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J:\CLIENT_DATA\EPA\EPA 2020\Reporting\April 2021\Caco2\"/>
    </mc:Choice>
  </mc:AlternateContent>
  <bookViews>
    <workbookView xWindow="0" yWindow="0" windowWidth="28800" windowHeight="12300"/>
  </bookViews>
  <sheets>
    <sheet name="Summary" sheetId="1" r:id="rId1"/>
    <sheet name="Data" sheetId="2" r:id="rId2"/>
    <sheet name="Plate1" sheetId="3" r:id="rId3"/>
    <sheet name="Log" sheetId="4" r:id="rId4"/>
  </sheets>
  <definedNames>
    <definedName name="Individual1">Summary!$J$2:$Q$39</definedName>
    <definedName name="Summary1">Summary!$A$4:$G$19</definedName>
    <definedName name="Summary2G1">Summary!$A$22:$H$40</definedName>
    <definedName name="Summary3">Summary!$A$43:$H$50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0" i="1" l="1"/>
  <c r="D50" i="1"/>
  <c r="F50" i="1" s="1"/>
  <c r="G50" i="1" s="1"/>
  <c r="C50" i="1"/>
  <c r="B50" i="1"/>
  <c r="E49" i="1"/>
  <c r="D49" i="1"/>
  <c r="C49" i="1"/>
  <c r="B49" i="1"/>
  <c r="E48" i="1"/>
  <c r="D48" i="1"/>
  <c r="F48" i="1" s="1"/>
  <c r="G48" i="1" s="1"/>
  <c r="C48" i="1"/>
  <c r="B48" i="1"/>
  <c r="E47" i="1"/>
  <c r="D47" i="1"/>
  <c r="C47" i="1"/>
  <c r="B47" i="1"/>
  <c r="E46" i="1"/>
  <c r="D46" i="1"/>
  <c r="C46" i="1"/>
  <c r="B46" i="1"/>
  <c r="E45" i="1"/>
  <c r="D45" i="1"/>
  <c r="C45" i="1"/>
  <c r="B45" i="1"/>
  <c r="E44" i="1"/>
  <c r="D44" i="1"/>
  <c r="C44" i="1"/>
  <c r="B44" i="1"/>
  <c r="P38" i="1"/>
  <c r="O38" i="1"/>
  <c r="N38" i="1"/>
  <c r="Q37" i="1"/>
  <c r="P37" i="1"/>
  <c r="O37" i="1"/>
  <c r="N37" i="1"/>
  <c r="Q35" i="1"/>
  <c r="P35" i="1"/>
  <c r="O35" i="1"/>
  <c r="N35" i="1"/>
  <c r="P36" i="1"/>
  <c r="O36" i="1"/>
  <c r="N36" i="1"/>
  <c r="P34" i="1"/>
  <c r="O34" i="1"/>
  <c r="N34" i="1"/>
  <c r="K34" i="1"/>
  <c r="P33" i="1"/>
  <c r="O33" i="1"/>
  <c r="N33" i="1"/>
  <c r="Q32" i="1"/>
  <c r="P32" i="1"/>
  <c r="O32" i="1"/>
  <c r="N32" i="1"/>
  <c r="Q30" i="1"/>
  <c r="P30" i="1"/>
  <c r="O30" i="1"/>
  <c r="N30" i="1"/>
  <c r="P31" i="1"/>
  <c r="O31" i="1"/>
  <c r="N31" i="1"/>
  <c r="P29" i="1"/>
  <c r="O29" i="1"/>
  <c r="N29" i="1"/>
  <c r="K29" i="1"/>
  <c r="P28" i="1"/>
  <c r="O28" i="1"/>
  <c r="N28" i="1"/>
  <c r="Q27" i="1"/>
  <c r="P27" i="1"/>
  <c r="O27" i="1"/>
  <c r="N27" i="1"/>
  <c r="Q25" i="1"/>
  <c r="P25" i="1"/>
  <c r="O25" i="1"/>
  <c r="N25" i="1"/>
  <c r="P26" i="1"/>
  <c r="O26" i="1"/>
  <c r="N26" i="1"/>
  <c r="P24" i="1"/>
  <c r="O24" i="1"/>
  <c r="N24" i="1"/>
  <c r="Q24" i="1" s="1"/>
  <c r="K24" i="1"/>
  <c r="P23" i="1"/>
  <c r="O23" i="1"/>
  <c r="N23" i="1"/>
  <c r="Q22" i="1"/>
  <c r="P22" i="1"/>
  <c r="O22" i="1"/>
  <c r="N22" i="1"/>
  <c r="Q20" i="1"/>
  <c r="P20" i="1"/>
  <c r="O20" i="1"/>
  <c r="N20" i="1"/>
  <c r="P21" i="1"/>
  <c r="O21" i="1"/>
  <c r="N21" i="1"/>
  <c r="P19" i="1"/>
  <c r="O19" i="1"/>
  <c r="N19" i="1"/>
  <c r="K19" i="1"/>
  <c r="P18" i="1"/>
  <c r="O18" i="1"/>
  <c r="N18" i="1"/>
  <c r="Q17" i="1"/>
  <c r="P17" i="1"/>
  <c r="O17" i="1"/>
  <c r="N17" i="1"/>
  <c r="P16" i="1"/>
  <c r="O16" i="1"/>
  <c r="N16" i="1"/>
  <c r="P15" i="1"/>
  <c r="O15" i="1"/>
  <c r="N15" i="1"/>
  <c r="K15" i="1"/>
  <c r="P14" i="1"/>
  <c r="O14" i="1"/>
  <c r="N14" i="1"/>
  <c r="Q13" i="1"/>
  <c r="P13" i="1"/>
  <c r="O13" i="1"/>
  <c r="N13" i="1"/>
  <c r="Q11" i="1"/>
  <c r="P11" i="1"/>
  <c r="O11" i="1"/>
  <c r="N11" i="1"/>
  <c r="P12" i="1"/>
  <c r="O12" i="1"/>
  <c r="N12" i="1"/>
  <c r="P10" i="1"/>
  <c r="O10" i="1"/>
  <c r="N10" i="1"/>
  <c r="K10" i="1"/>
  <c r="P9" i="1"/>
  <c r="O9" i="1"/>
  <c r="N9" i="1"/>
  <c r="Q8" i="1"/>
  <c r="P8" i="1"/>
  <c r="O8" i="1"/>
  <c r="N8" i="1"/>
  <c r="Q6" i="1"/>
  <c r="P6" i="1"/>
  <c r="O6" i="1"/>
  <c r="N6" i="1"/>
  <c r="P7" i="1"/>
  <c r="O7" i="1"/>
  <c r="N7" i="1"/>
  <c r="P5" i="1"/>
  <c r="O5" i="1"/>
  <c r="N5" i="1"/>
  <c r="K5" i="1"/>
  <c r="F10" i="1"/>
  <c r="E10" i="1"/>
  <c r="D10" i="1"/>
  <c r="C10" i="1"/>
  <c r="B10" i="1"/>
  <c r="F9" i="1"/>
  <c r="E9" i="1"/>
  <c r="D9" i="1"/>
  <c r="C9" i="1"/>
  <c r="B9" i="1"/>
  <c r="F8" i="1"/>
  <c r="E8" i="1"/>
  <c r="D8" i="1"/>
  <c r="C8" i="1"/>
  <c r="B8" i="1"/>
  <c r="F7" i="1"/>
  <c r="E7" i="1"/>
  <c r="D7" i="1"/>
  <c r="C7" i="1"/>
  <c r="B7" i="1"/>
  <c r="F6" i="1"/>
  <c r="E6" i="1"/>
  <c r="D6" i="1"/>
  <c r="C6" i="1"/>
  <c r="B6" i="1"/>
  <c r="F5" i="1"/>
  <c r="E5" i="1"/>
  <c r="D5" i="1"/>
  <c r="C5" i="1"/>
  <c r="B5" i="1"/>
  <c r="V176" i="2"/>
  <c r="V175" i="2"/>
  <c r="U177" i="2"/>
  <c r="U176" i="2"/>
  <c r="U175" i="2"/>
  <c r="T177" i="2"/>
  <c r="T176" i="2"/>
  <c r="T175" i="2"/>
  <c r="S177" i="2"/>
  <c r="S176" i="2"/>
  <c r="S175" i="2"/>
  <c r="Q176" i="2"/>
  <c r="P176" i="2"/>
  <c r="R159" i="2"/>
  <c r="Q159" i="2"/>
  <c r="N178" i="2"/>
  <c r="M178" i="2"/>
  <c r="N177" i="2"/>
  <c r="M177" i="2"/>
  <c r="N176" i="2"/>
  <c r="M176" i="2"/>
  <c r="N175" i="2"/>
  <c r="M175" i="2"/>
  <c r="N174" i="2"/>
  <c r="M174" i="2"/>
  <c r="N173" i="2"/>
  <c r="M173" i="2"/>
  <c r="N170" i="2"/>
  <c r="M170" i="2"/>
  <c r="M169" i="2"/>
  <c r="L178" i="2"/>
  <c r="L177" i="2"/>
  <c r="L176" i="2"/>
  <c r="K174" i="2"/>
  <c r="K177" i="2" s="1"/>
  <c r="K178" i="2" s="1"/>
  <c r="J174" i="2"/>
  <c r="J177" i="2" s="1"/>
  <c r="J178" i="2" s="1"/>
  <c r="R158" i="2"/>
  <c r="Q158" i="2"/>
  <c r="N166" i="2"/>
  <c r="M166" i="2"/>
  <c r="N165" i="2"/>
  <c r="M165" i="2"/>
  <c r="N164" i="2"/>
  <c r="M164" i="2"/>
  <c r="N163" i="2"/>
  <c r="M163" i="2"/>
  <c r="N162" i="2"/>
  <c r="M162" i="2"/>
  <c r="L166" i="2"/>
  <c r="L165" i="2"/>
  <c r="K164" i="2"/>
  <c r="J164" i="2"/>
  <c r="K169" i="2"/>
  <c r="K176" i="2" s="1"/>
  <c r="J169" i="2"/>
  <c r="J176" i="2" s="1"/>
  <c r="K171" i="2"/>
  <c r="K175" i="2" s="1"/>
  <c r="J171" i="2"/>
  <c r="N171" i="2" s="1"/>
  <c r="K170" i="2"/>
  <c r="J170" i="2"/>
  <c r="K158" i="2"/>
  <c r="K165" i="2" s="1"/>
  <c r="J158" i="2"/>
  <c r="M158" i="2" s="1"/>
  <c r="K160" i="2"/>
  <c r="J160" i="2"/>
  <c r="N160" i="2" s="1"/>
  <c r="K159" i="2"/>
  <c r="K163" i="2" s="1"/>
  <c r="K166" i="2" s="1"/>
  <c r="J159" i="2"/>
  <c r="J163" i="2" s="1"/>
  <c r="J166" i="2" s="1"/>
  <c r="K173" i="2"/>
  <c r="J173" i="2"/>
  <c r="K162" i="2"/>
  <c r="J162" i="2"/>
  <c r="U151" i="2"/>
  <c r="U150" i="2"/>
  <c r="U149" i="2"/>
  <c r="Q150" i="2"/>
  <c r="P150" i="2"/>
  <c r="M148" i="2"/>
  <c r="N147" i="2"/>
  <c r="M147" i="2"/>
  <c r="L152" i="2"/>
  <c r="L151" i="2"/>
  <c r="L150" i="2"/>
  <c r="K148" i="2"/>
  <c r="K151" i="2" s="1"/>
  <c r="K152" i="2" s="1"/>
  <c r="T151" i="2" s="1"/>
  <c r="N137" i="2"/>
  <c r="N136" i="2"/>
  <c r="M136" i="2"/>
  <c r="L140" i="2"/>
  <c r="L139" i="2"/>
  <c r="K137" i="2"/>
  <c r="K140" i="2" s="1"/>
  <c r="T149" i="2" s="1"/>
  <c r="J139" i="2"/>
  <c r="N139" i="2" s="1"/>
  <c r="K143" i="2"/>
  <c r="J143" i="2"/>
  <c r="K145" i="2"/>
  <c r="K149" i="2" s="1"/>
  <c r="J145" i="2"/>
  <c r="K144" i="2"/>
  <c r="J144" i="2"/>
  <c r="J148" i="2" s="1"/>
  <c r="J151" i="2" s="1"/>
  <c r="J152" i="2" s="1"/>
  <c r="S151" i="2" s="1"/>
  <c r="K132" i="2"/>
  <c r="K139" i="2" s="1"/>
  <c r="J132" i="2"/>
  <c r="K134" i="2"/>
  <c r="K138" i="2" s="1"/>
  <c r="J134" i="2"/>
  <c r="K133" i="2"/>
  <c r="J133" i="2"/>
  <c r="J137" i="2" s="1"/>
  <c r="J140" i="2" s="1"/>
  <c r="S149" i="2" s="1"/>
  <c r="K147" i="2"/>
  <c r="J147" i="2"/>
  <c r="K136" i="2"/>
  <c r="J136" i="2"/>
  <c r="U125" i="2"/>
  <c r="U124" i="2"/>
  <c r="U123" i="2"/>
  <c r="Q124" i="2"/>
  <c r="P124" i="2"/>
  <c r="N121" i="2"/>
  <c r="M121" i="2"/>
  <c r="J118" i="2" s="1"/>
  <c r="L126" i="2"/>
  <c r="L125" i="2"/>
  <c r="L124" i="2"/>
  <c r="N110" i="2"/>
  <c r="M110" i="2"/>
  <c r="K106" i="2" s="1"/>
  <c r="L114" i="2"/>
  <c r="L113" i="2"/>
  <c r="J108" i="2"/>
  <c r="K107" i="2"/>
  <c r="K111" i="2" s="1"/>
  <c r="J107" i="2"/>
  <c r="J111" i="2" s="1"/>
  <c r="K121" i="2"/>
  <c r="J121" i="2"/>
  <c r="K110" i="2"/>
  <c r="J110" i="2"/>
  <c r="U99" i="2"/>
  <c r="U98" i="2"/>
  <c r="U97" i="2"/>
  <c r="Q98" i="2"/>
  <c r="P98" i="2"/>
  <c r="N95" i="2"/>
  <c r="M95" i="2"/>
  <c r="K91" i="2" s="1"/>
  <c r="L100" i="2"/>
  <c r="L99" i="2"/>
  <c r="L98" i="2"/>
  <c r="N84" i="2"/>
  <c r="M84" i="2"/>
  <c r="J81" i="2" s="1"/>
  <c r="J85" i="2" s="1"/>
  <c r="L88" i="2"/>
  <c r="L87" i="2"/>
  <c r="J91" i="2"/>
  <c r="K93" i="2"/>
  <c r="M93" i="2" s="1"/>
  <c r="J93" i="2"/>
  <c r="J97" i="2" s="1"/>
  <c r="K92" i="2"/>
  <c r="K96" i="2" s="1"/>
  <c r="K99" i="2" s="1"/>
  <c r="J92" i="2"/>
  <c r="K95" i="2"/>
  <c r="J95" i="2"/>
  <c r="K84" i="2"/>
  <c r="J84" i="2"/>
  <c r="U73" i="2"/>
  <c r="U72" i="2"/>
  <c r="U71" i="2"/>
  <c r="Q72" i="2"/>
  <c r="P72" i="2"/>
  <c r="N69" i="2"/>
  <c r="M69" i="2"/>
  <c r="J65" i="2" s="1"/>
  <c r="L74" i="2"/>
  <c r="L73" i="2"/>
  <c r="L72" i="2"/>
  <c r="N58" i="2"/>
  <c r="M58" i="2"/>
  <c r="J56" i="2" s="1"/>
  <c r="L62" i="2"/>
  <c r="L61" i="2"/>
  <c r="K69" i="2"/>
  <c r="J69" i="2"/>
  <c r="K58" i="2"/>
  <c r="J58" i="2"/>
  <c r="U47" i="2"/>
  <c r="U46" i="2"/>
  <c r="U45" i="2"/>
  <c r="Q46" i="2"/>
  <c r="P46" i="2"/>
  <c r="N43" i="2"/>
  <c r="M43" i="2"/>
  <c r="J39" i="2" s="1"/>
  <c r="L48" i="2"/>
  <c r="L47" i="2"/>
  <c r="L46" i="2"/>
  <c r="N32" i="2"/>
  <c r="M32" i="2"/>
  <c r="J30" i="2" s="1"/>
  <c r="L36" i="2"/>
  <c r="L35" i="2"/>
  <c r="K43" i="2"/>
  <c r="J43" i="2"/>
  <c r="K32" i="2"/>
  <c r="J32" i="2"/>
  <c r="U21" i="2"/>
  <c r="U20" i="2"/>
  <c r="U19" i="2"/>
  <c r="Q20" i="2"/>
  <c r="P20" i="2"/>
  <c r="N17" i="2"/>
  <c r="M17" i="2"/>
  <c r="K13" i="2" s="1"/>
  <c r="L22" i="2"/>
  <c r="L21" i="2"/>
  <c r="L20" i="2"/>
  <c r="N6" i="2"/>
  <c r="M6" i="2"/>
  <c r="K4" i="2" s="1"/>
  <c r="K8" i="2" s="1"/>
  <c r="L10" i="2"/>
  <c r="L9" i="2"/>
  <c r="K17" i="2"/>
  <c r="J17" i="2"/>
  <c r="K6" i="2"/>
  <c r="J6" i="2"/>
  <c r="F47" i="1" l="1"/>
  <c r="Q7" i="1"/>
  <c r="Q19" i="1"/>
  <c r="Q23" i="1"/>
  <c r="Q31" i="1"/>
  <c r="F46" i="1"/>
  <c r="G46" i="1" s="1"/>
  <c r="Q26" i="1"/>
  <c r="Q29" i="1"/>
  <c r="F49" i="1"/>
  <c r="G49" i="1" s="1"/>
  <c r="Q5" i="1"/>
  <c r="Q16" i="1"/>
  <c r="Q28" i="1"/>
  <c r="Q21" i="1"/>
  <c r="Q34" i="1"/>
  <c r="G47" i="1"/>
  <c r="Q14" i="1"/>
  <c r="Q36" i="1"/>
  <c r="F44" i="1"/>
  <c r="G44" i="1" s="1"/>
  <c r="Q18" i="1"/>
  <c r="Q10" i="1"/>
  <c r="Q15" i="1"/>
  <c r="Q33" i="1"/>
  <c r="Q12" i="1"/>
  <c r="Q38" i="1"/>
  <c r="Q9" i="1"/>
  <c r="F45" i="1"/>
  <c r="G45" i="1" s="1"/>
  <c r="N169" i="2"/>
  <c r="J175" i="2"/>
  <c r="M171" i="2"/>
  <c r="N158" i="2"/>
  <c r="J165" i="2"/>
  <c r="M159" i="2"/>
  <c r="N159" i="2"/>
  <c r="M160" i="2"/>
  <c r="K118" i="2"/>
  <c r="K122" i="2" s="1"/>
  <c r="K125" i="2" s="1"/>
  <c r="N148" i="2"/>
  <c r="N152" i="2"/>
  <c r="J114" i="2"/>
  <c r="S123" i="2" s="1"/>
  <c r="J119" i="2"/>
  <c r="N119" i="2" s="1"/>
  <c r="T150" i="2"/>
  <c r="K114" i="2"/>
  <c r="T123" i="2" s="1"/>
  <c r="K119" i="2"/>
  <c r="K123" i="2" s="1"/>
  <c r="N145" i="2"/>
  <c r="M139" i="2"/>
  <c r="V149" i="2" s="1"/>
  <c r="J66" i="2"/>
  <c r="J70" i="2" s="1"/>
  <c r="K108" i="2"/>
  <c r="K112" i="2" s="1"/>
  <c r="K117" i="2"/>
  <c r="N134" i="2"/>
  <c r="J150" i="2"/>
  <c r="M140" i="2"/>
  <c r="Q132" i="2" s="1"/>
  <c r="J117" i="2"/>
  <c r="K66" i="2"/>
  <c r="K70" i="2" s="1"/>
  <c r="J106" i="2"/>
  <c r="K150" i="2"/>
  <c r="N140" i="2"/>
  <c r="R132" i="2" s="1"/>
  <c r="M151" i="2"/>
  <c r="Q133" i="2" s="1"/>
  <c r="K65" i="2"/>
  <c r="K67" i="2"/>
  <c r="K71" i="2" s="1"/>
  <c r="K98" i="2"/>
  <c r="J138" i="2"/>
  <c r="M137" i="2"/>
  <c r="N151" i="2"/>
  <c r="R133" i="2" s="1"/>
  <c r="S150" i="2"/>
  <c r="M152" i="2"/>
  <c r="M143" i="2"/>
  <c r="N143" i="2"/>
  <c r="M144" i="2"/>
  <c r="N144" i="2"/>
  <c r="J149" i="2"/>
  <c r="M145" i="2"/>
  <c r="M132" i="2"/>
  <c r="M133" i="2"/>
  <c r="N132" i="2"/>
  <c r="N133" i="2"/>
  <c r="M134" i="2"/>
  <c r="T124" i="2"/>
  <c r="J82" i="2"/>
  <c r="J88" i="2" s="1"/>
  <c r="S97" i="2" s="1"/>
  <c r="J67" i="2"/>
  <c r="J71" i="2" s="1"/>
  <c r="N71" i="2" s="1"/>
  <c r="K82" i="2"/>
  <c r="K86" i="2" s="1"/>
  <c r="J124" i="2"/>
  <c r="K81" i="2"/>
  <c r="K85" i="2" s="1"/>
  <c r="M85" i="2" s="1"/>
  <c r="J80" i="2"/>
  <c r="K124" i="2"/>
  <c r="K80" i="2"/>
  <c r="K87" i="2" s="1"/>
  <c r="J112" i="2"/>
  <c r="M111" i="2"/>
  <c r="M119" i="2"/>
  <c r="M70" i="2"/>
  <c r="K113" i="2"/>
  <c r="N111" i="2"/>
  <c r="J123" i="2"/>
  <c r="N117" i="2"/>
  <c r="M118" i="2"/>
  <c r="M117" i="2"/>
  <c r="J122" i="2"/>
  <c r="N106" i="2"/>
  <c r="M107" i="2"/>
  <c r="N107" i="2"/>
  <c r="N108" i="2"/>
  <c r="N65" i="2"/>
  <c r="T98" i="2"/>
  <c r="N92" i="2"/>
  <c r="J40" i="2"/>
  <c r="J44" i="2" s="1"/>
  <c r="K40" i="2"/>
  <c r="N93" i="2"/>
  <c r="K88" i="2"/>
  <c r="T97" i="2" s="1"/>
  <c r="J41" i="2"/>
  <c r="K41" i="2"/>
  <c r="K45" i="2" s="1"/>
  <c r="M91" i="2"/>
  <c r="K39" i="2"/>
  <c r="J86" i="2"/>
  <c r="N85" i="2"/>
  <c r="K97" i="2"/>
  <c r="N97" i="2" s="1"/>
  <c r="N91" i="2"/>
  <c r="M92" i="2"/>
  <c r="J96" i="2"/>
  <c r="J98" i="2"/>
  <c r="M81" i="2"/>
  <c r="N81" i="2"/>
  <c r="M82" i="2"/>
  <c r="N70" i="2"/>
  <c r="J2" i="2"/>
  <c r="M65" i="2"/>
  <c r="K73" i="2"/>
  <c r="K72" i="2"/>
  <c r="M66" i="2"/>
  <c r="N66" i="2"/>
  <c r="J60" i="2"/>
  <c r="K56" i="2"/>
  <c r="K60" i="2" s="1"/>
  <c r="J54" i="2"/>
  <c r="K54" i="2"/>
  <c r="J55" i="2"/>
  <c r="K55" i="2"/>
  <c r="K59" i="2" s="1"/>
  <c r="N39" i="2"/>
  <c r="M39" i="2"/>
  <c r="J14" i="2"/>
  <c r="J18" i="2" s="1"/>
  <c r="K14" i="2"/>
  <c r="K18" i="2" s="1"/>
  <c r="K21" i="2" s="1"/>
  <c r="T20" i="2" s="1"/>
  <c r="J15" i="2"/>
  <c r="J19" i="2" s="1"/>
  <c r="K15" i="2"/>
  <c r="K19" i="2" s="1"/>
  <c r="J13" i="2"/>
  <c r="M13" i="2" s="1"/>
  <c r="J3" i="2"/>
  <c r="J7" i="2" s="1"/>
  <c r="K44" i="2"/>
  <c r="M44" i="2" s="1"/>
  <c r="J45" i="2"/>
  <c r="J34" i="2"/>
  <c r="K30" i="2"/>
  <c r="K34" i="2" s="1"/>
  <c r="K29" i="2"/>
  <c r="K33" i="2" s="1"/>
  <c r="J28" i="2"/>
  <c r="K28" i="2"/>
  <c r="J29" i="2"/>
  <c r="K2" i="2"/>
  <c r="K3" i="2"/>
  <c r="K7" i="2" s="1"/>
  <c r="K10" i="2" s="1"/>
  <c r="T19" i="2" s="1"/>
  <c r="J4" i="2"/>
  <c r="N114" i="2" l="1"/>
  <c r="R106" i="2" s="1"/>
  <c r="M41" i="2"/>
  <c r="J87" i="2"/>
  <c r="N87" i="2" s="1"/>
  <c r="N149" i="2"/>
  <c r="M149" i="2"/>
  <c r="J113" i="2"/>
  <c r="M113" i="2" s="1"/>
  <c r="V123" i="2" s="1"/>
  <c r="M106" i="2"/>
  <c r="K126" i="2"/>
  <c r="T125" i="2" s="1"/>
  <c r="N138" i="2"/>
  <c r="M138" i="2"/>
  <c r="M108" i="2"/>
  <c r="J47" i="2"/>
  <c r="S46" i="2" s="1"/>
  <c r="M114" i="2"/>
  <c r="Q106" i="2" s="1"/>
  <c r="J10" i="2"/>
  <c r="M10" i="2" s="1"/>
  <c r="Q2" i="2" s="1"/>
  <c r="N41" i="2"/>
  <c r="N150" i="2"/>
  <c r="M150" i="2"/>
  <c r="V150" i="2" s="1"/>
  <c r="N118" i="2"/>
  <c r="N80" i="2"/>
  <c r="N67" i="2"/>
  <c r="M80" i="2"/>
  <c r="K46" i="2"/>
  <c r="M87" i="2"/>
  <c r="V97" i="2" s="1"/>
  <c r="N123" i="2"/>
  <c r="M123" i="2"/>
  <c r="M67" i="2"/>
  <c r="M71" i="2"/>
  <c r="N82" i="2"/>
  <c r="J125" i="2"/>
  <c r="M122" i="2"/>
  <c r="N122" i="2"/>
  <c r="J73" i="2"/>
  <c r="N124" i="2"/>
  <c r="M124" i="2"/>
  <c r="V124" i="2" s="1"/>
  <c r="J72" i="2"/>
  <c r="N72" i="2" s="1"/>
  <c r="N112" i="2"/>
  <c r="M112" i="2"/>
  <c r="J21" i="2"/>
  <c r="S20" i="2" s="1"/>
  <c r="M97" i="2"/>
  <c r="J20" i="2"/>
  <c r="M88" i="2"/>
  <c r="Q80" i="2" s="1"/>
  <c r="J99" i="2"/>
  <c r="M96" i="2"/>
  <c r="N96" i="2"/>
  <c r="M86" i="2"/>
  <c r="N86" i="2"/>
  <c r="N40" i="2"/>
  <c r="K62" i="2"/>
  <c r="T71" i="2" s="1"/>
  <c r="K100" i="2"/>
  <c r="T99" i="2" s="1"/>
  <c r="J46" i="2"/>
  <c r="M3" i="2"/>
  <c r="M40" i="2"/>
  <c r="N98" i="2"/>
  <c r="M98" i="2"/>
  <c r="V98" i="2" s="1"/>
  <c r="N88" i="2"/>
  <c r="R80" i="2" s="1"/>
  <c r="K74" i="2"/>
  <c r="T73" i="2" s="1"/>
  <c r="N73" i="2"/>
  <c r="R55" i="2" s="1"/>
  <c r="T72" i="2"/>
  <c r="M2" i="2"/>
  <c r="M14" i="2"/>
  <c r="M7" i="2"/>
  <c r="M15" i="2"/>
  <c r="N60" i="2"/>
  <c r="M60" i="2"/>
  <c r="K20" i="2"/>
  <c r="M20" i="2" s="1"/>
  <c r="V20" i="2" s="1"/>
  <c r="J9" i="2"/>
  <c r="N15" i="2"/>
  <c r="K61" i="2"/>
  <c r="N54" i="2"/>
  <c r="M54" i="2"/>
  <c r="J61" i="2"/>
  <c r="N56" i="2"/>
  <c r="N55" i="2"/>
  <c r="M55" i="2"/>
  <c r="J59" i="2"/>
  <c r="M56" i="2"/>
  <c r="M34" i="2"/>
  <c r="N34" i="2"/>
  <c r="K9" i="2"/>
  <c r="N30" i="2"/>
  <c r="N13" i="2"/>
  <c r="N18" i="2"/>
  <c r="N45" i="2"/>
  <c r="M45" i="2"/>
  <c r="M18" i="2"/>
  <c r="K35" i="2"/>
  <c r="N3" i="2"/>
  <c r="N14" i="2"/>
  <c r="K36" i="2"/>
  <c r="T45" i="2" s="1"/>
  <c r="K47" i="2"/>
  <c r="N44" i="2"/>
  <c r="N46" i="2"/>
  <c r="N29" i="2"/>
  <c r="M29" i="2"/>
  <c r="J33" i="2"/>
  <c r="J35" i="2"/>
  <c r="N28" i="2"/>
  <c r="M28" i="2"/>
  <c r="M30" i="2"/>
  <c r="S19" i="2"/>
  <c r="N10" i="2"/>
  <c r="R2" i="2" s="1"/>
  <c r="N19" i="2"/>
  <c r="M19" i="2"/>
  <c r="N2" i="2"/>
  <c r="N20" i="2"/>
  <c r="N4" i="2"/>
  <c r="J8" i="2"/>
  <c r="M4" i="2"/>
  <c r="N7" i="2"/>
  <c r="K22" i="2"/>
  <c r="T21" i="2" s="1"/>
  <c r="N21" i="2" l="1"/>
  <c r="R3" i="2" s="1"/>
  <c r="N113" i="2"/>
  <c r="M46" i="2"/>
  <c r="V46" i="2" s="1"/>
  <c r="M72" i="2"/>
  <c r="V72" i="2" s="1"/>
  <c r="S72" i="2"/>
  <c r="M73" i="2"/>
  <c r="Q55" i="2" s="1"/>
  <c r="J126" i="2"/>
  <c r="S124" i="2"/>
  <c r="N125" i="2"/>
  <c r="R107" i="2" s="1"/>
  <c r="M125" i="2"/>
  <c r="Q107" i="2" s="1"/>
  <c r="M9" i="2"/>
  <c r="V19" i="2" s="1"/>
  <c r="M21" i="2"/>
  <c r="Q3" i="2" s="1"/>
  <c r="J22" i="2"/>
  <c r="S21" i="2" s="1"/>
  <c r="J100" i="2"/>
  <c r="S98" i="2"/>
  <c r="N99" i="2"/>
  <c r="R81" i="2" s="1"/>
  <c r="M99" i="2"/>
  <c r="Q81" i="2" s="1"/>
  <c r="N9" i="2"/>
  <c r="N61" i="2"/>
  <c r="M61" i="2"/>
  <c r="V71" i="2" s="1"/>
  <c r="J62" i="2"/>
  <c r="M59" i="2"/>
  <c r="N59" i="2"/>
  <c r="K48" i="2"/>
  <c r="T47" i="2" s="1"/>
  <c r="T46" i="2"/>
  <c r="M47" i="2"/>
  <c r="Q29" i="2" s="1"/>
  <c r="N47" i="2"/>
  <c r="R29" i="2" s="1"/>
  <c r="N35" i="2"/>
  <c r="M35" i="2"/>
  <c r="V45" i="2" s="1"/>
  <c r="J36" i="2"/>
  <c r="N33" i="2"/>
  <c r="M33" i="2"/>
  <c r="M8" i="2"/>
  <c r="N8" i="2"/>
  <c r="N22" i="2"/>
  <c r="M22" i="2"/>
  <c r="S125" i="2" l="1"/>
  <c r="M126" i="2"/>
  <c r="N126" i="2"/>
  <c r="S99" i="2"/>
  <c r="M100" i="2"/>
  <c r="N100" i="2"/>
  <c r="S71" i="2"/>
  <c r="N62" i="2"/>
  <c r="R54" i="2" s="1"/>
  <c r="M62" i="2"/>
  <c r="Q54" i="2" s="1"/>
  <c r="J74" i="2"/>
  <c r="S45" i="2"/>
  <c r="N36" i="2"/>
  <c r="R28" i="2" s="1"/>
  <c r="M36" i="2"/>
  <c r="Q28" i="2" s="1"/>
  <c r="J48" i="2"/>
  <c r="S73" i="2" l="1"/>
  <c r="M74" i="2"/>
  <c r="N74" i="2"/>
  <c r="S47" i="2"/>
  <c r="M48" i="2"/>
  <c r="N48" i="2"/>
</calcChain>
</file>

<file path=xl/sharedStrings.xml><?xml version="1.0" encoding="utf-8"?>
<sst xmlns="http://schemas.openxmlformats.org/spreadsheetml/2006/main" count="5976" uniqueCount="302">
  <si>
    <t>SampleName</t>
  </si>
  <si>
    <t>DataPathName</t>
  </si>
  <si>
    <t>SamplePosition</t>
  </si>
  <si>
    <t>SampleType</t>
  </si>
  <si>
    <t>LevelName</t>
  </si>
  <si>
    <t>AcqTime</t>
  </si>
  <si>
    <t>CompoundName</t>
  </si>
  <si>
    <t>ExpectedConcentration</t>
  </si>
  <si>
    <t>ISTD RetentionTime</t>
  </si>
  <si>
    <t>Transition</t>
  </si>
  <si>
    <t>Accuracy</t>
  </si>
  <si>
    <t>Area</t>
  </si>
  <si>
    <t>Dilution</t>
  </si>
  <si>
    <t>ISTD Area</t>
  </si>
  <si>
    <t>ISTDResponseRatio</t>
  </si>
  <si>
    <t>RetentionTime</t>
  </si>
  <si>
    <t>Conc.</t>
  </si>
  <si>
    <t>ManuallyIntegrated</t>
  </si>
  <si>
    <t>AcqMethodFileName</t>
  </si>
  <si>
    <t>ACNH2O__________Inj EPA_Caco2_2021Apr26_Inj001</t>
  </si>
  <si>
    <t>Talinolol</t>
  </si>
  <si>
    <t>364.365 &gt; 209.165</t>
  </si>
  <si>
    <t>ACNH2O__________Inj EPA_Caco2_2021Apr26_Inj002</t>
  </si>
  <si>
    <t>Blank 1_A_B__1______Inj CYP1999-R1_Caco2</t>
  </si>
  <si>
    <t>MM</t>
  </si>
  <si>
    <t>Blank 1_A_B__2______Inj CYP1999-R1_Caco2</t>
  </si>
  <si>
    <t>Blank 2_B_A__3______Inj CYP1999-R1_Caco2</t>
  </si>
  <si>
    <t>bb</t>
  </si>
  <si>
    <t>Blank 2_B_A__4______Inj CYP1999-R1_Caco2</t>
  </si>
  <si>
    <t>Ranitidine_A_B_rec_1______Inj EPA_Caco2_2021Apr26_Inj007</t>
  </si>
  <si>
    <t>Ranitidine_A_B_rec_2______Inj EPA_Caco2_2021Apr26_Inj008</t>
  </si>
  <si>
    <t>Talinolol_A_B_rec_1______Inj EPA_Caco2_2021Apr26_Inj009</t>
  </si>
  <si>
    <t>Talinolol_A_B_rec_2______Inj EPA_Caco2_2021Apr26_Inj010</t>
  </si>
  <si>
    <t>DTXSID0025812_A_B_rec_1______Inj EPA_Caco2_2021Apr26_Inj011</t>
  </si>
  <si>
    <t>DTXSID0025812_A_B_rec_2______Inj EPA_Caco2_2021Apr26_Inj012</t>
  </si>
  <si>
    <t>Warfarin_A_B_rec_1______Inj EPA_Caco2_2021Apr26_Inj013</t>
  </si>
  <si>
    <t>Warfarin_A_B_rec_2______Inj EPA_Caco2_2021Apr26_Inj014</t>
  </si>
  <si>
    <t>DTXSID0042454_A_B_rec_1______Inj EPA_Caco2_2021Apr26_Inj015</t>
  </si>
  <si>
    <t>DTXSID0042454_A_B_rec_2______Inj EPA_Caco2_2021Apr26_Inj016</t>
  </si>
  <si>
    <t>DTXSID0025654_A_B_rec_1______Inj EPA_Caco2_2021Apr26_Inj017</t>
  </si>
  <si>
    <t>DTXSID0025654_A_B_rec_2______Inj EPA_Caco2_2021Apr26_Inj018</t>
  </si>
  <si>
    <t>DTXSID1041683_A_B_rec_1______Inj EPA_Caco2_2021Apr26_Inj019</t>
  </si>
  <si>
    <t>DTXSID1041683_A_B_rec_2______Inj EPA_Caco2_2021Apr26_Inj020</t>
  </si>
  <si>
    <t>DTXSID2021159_A_B_rec_1______Inj EPA_Caco2_2021Apr26_Inj021</t>
  </si>
  <si>
    <t>DTXSID2021159_A_B_rec_2______Inj EPA_Caco2_2021Apr26_Inj022</t>
  </si>
  <si>
    <t>DTXSID3037541_A_B_rec_1______Inj EPA_Caco2_2021Apr26_Inj023</t>
  </si>
  <si>
    <t>DTXSID3037541_A_B_rec_2______Inj EPA_Caco2_2021Apr26_Inj024</t>
  </si>
  <si>
    <t>DTXSID0041274_A_B_rec_1______Inj EPA_Caco2_2021Apr26_Inj025</t>
  </si>
  <si>
    <t>DTXSID0041274_A_B_rec_2______Inj EPA_Caco2_2021Apr26_Inj026</t>
  </si>
  <si>
    <t>DTXSID2040731_A_B_rec_1______Inj EPA_Caco2_2021Apr26_Inj027</t>
  </si>
  <si>
    <t>DTXSID2040731_A_B_rec_2______Inj EPA_Caco2_2021Apr26_Inj028</t>
  </si>
  <si>
    <t>DTXSID7029241_A_B_rec_1______Inj EPA_Caco2_2021Apr26_Inj029</t>
  </si>
  <si>
    <t>DTXSID7029241_A_B_rec_2______Inj EPA_Caco2_2021Apr26_Inj030</t>
  </si>
  <si>
    <t>DTXSID9021689_A_B_rec_1______Inj EPA_Caco2_2021Apr26_Inj031</t>
  </si>
  <si>
    <t>DTXSID9021689_A_B_rec_2______Inj EPA_Caco2_2021Apr26_Inj032</t>
  </si>
  <si>
    <t>DTXSID5048186_A_B_rec_1______Inj EPA_Caco2_2021Apr26_Inj033</t>
  </si>
  <si>
    <t>DTXSID5048186_A_B_rec_2______Inj EPA_Caco2_2021Apr26_Inj034</t>
  </si>
  <si>
    <t>DTXSID2026232_A_B_rec_1______Inj EPA_Caco2_2021Apr26_Inj035</t>
  </si>
  <si>
    <t>DTXSID2026232_A_B_rec_2______Inj EPA_Caco2_2021Apr26_Inj036</t>
  </si>
  <si>
    <t>ACNH2O__________Inj EPA_Caco2_2021Apr26_Inj037</t>
  </si>
  <si>
    <t>ACNH2O__________Inj EPA_Caco2_2021Apr26_Inj038</t>
  </si>
  <si>
    <t>Talinolol_B_A_rec_1______Inj EPA_Caco2_2021Apr26_Inj039</t>
  </si>
  <si>
    <t>Talinolol_B_A_rec_2______Inj EPA_Caco2_2021Apr26_Inj040</t>
  </si>
  <si>
    <t>Ranitidine_B_A_rec_1______Inj EPA_Caco2_2021Apr26_Inj041</t>
  </si>
  <si>
    <t>Ranitidine_B_A_rec_2______Inj EPA_Caco2_2021Apr26_Inj042</t>
  </si>
  <si>
    <t>DTXSID0025812_B_A_rec_1______Inj EPA_Caco2_2021Apr26_Inj043</t>
  </si>
  <si>
    <t>DTXSID0025812_B_A_rec_2______Inj EPA_Caco2_2021Apr26_Inj044</t>
  </si>
  <si>
    <t>Warfarin_B_A_rec_1______Inj EPA_Caco2_2021Apr26_Inj045</t>
  </si>
  <si>
    <t>Warfarin_B_A_rec_2______Inj EPA_Caco2_2021Apr26_Inj046</t>
  </si>
  <si>
    <t>DTXSID0042454_B_A_rec_1______Inj EPA_Caco2_2021Apr26_Inj047</t>
  </si>
  <si>
    <t>DTXSID0042454_B_A_rec_2______Inj EPA_Caco2_2021Apr26_Inj048</t>
  </si>
  <si>
    <t>DTXSID0025654_B_A_rec_1______Inj EPA_Caco2_2021Apr26_Inj049</t>
  </si>
  <si>
    <t>DTXSID0025654_B_A_rec_2______Inj EPA_Caco2_2021Apr26_Inj050</t>
  </si>
  <si>
    <t>DTXSID1041683_B_A_rec_1______Inj EPA_Caco2_2021Apr26_Inj051</t>
  </si>
  <si>
    <t>DTXSID1041683_B_A_rec_2______Inj EPA_Caco2_2021Apr26_Inj052</t>
  </si>
  <si>
    <t>DTXSID2021159_B_A_rec_1______Inj EPA_Caco2_2021Apr26_Inj053</t>
  </si>
  <si>
    <t>DTXSID2021159_B_A_rec_2______Inj EPA_Caco2_2021Apr26_Inj054</t>
  </si>
  <si>
    <t>DTXSID3037541_B_A_rec_1______Inj EPA_Caco2_2021Apr26_Inj055</t>
  </si>
  <si>
    <t>DTXSID3037541_B_A_rec_2______Inj EPA_Caco2_2021Apr26_Inj056</t>
  </si>
  <si>
    <t>DTXSID0041274_B_A_rec_1______Inj EPA_Caco2_2021Apr26_Inj057</t>
  </si>
  <si>
    <t>DTXSID0041274_B_A_rec_2______Inj EPA_Caco2_2021Apr26_Inj058</t>
  </si>
  <si>
    <t>DTXSID2040731_B_A_rec_1______Inj EPA_Caco2_2021Apr26_Inj059</t>
  </si>
  <si>
    <t>DTXSID2040731_B_A_rec_2______Inj EPA_Caco2_2021Apr26_Inj060</t>
  </si>
  <si>
    <t>DTXSID7029241_B_A_rec_1______Inj EPA_Caco2_2021Apr26_Inj0611</t>
  </si>
  <si>
    <t>DTXSID7029241_B_A_rec_2______Inj EPA_Caco2_2021Apr26_Inj062</t>
  </si>
  <si>
    <t>DTXSID9021689_B_A_rec_1______Inj EPA_Caco2_2021Apr26_Inj063</t>
  </si>
  <si>
    <t>DTXSID9021689_B_A_rec_2______Inj EPA_Caco2_2021Apr26_Inj064</t>
  </si>
  <si>
    <t>DTXSID5048186_B_A_rec_1______Inj EPA_Caco2_2021Apr26_Inj065</t>
  </si>
  <si>
    <t>DTXSID5048186_B_A_rec_2______Inj EPA_Caco2_2021Apr26_Inj066</t>
  </si>
  <si>
    <t>DTXSID2026232_B_A_rec_1______Inj EPA_Caco2_2021Apr26_Inj067</t>
  </si>
  <si>
    <t>DTXSID2026232_B_A_rec_2______Inj EPA_Caco2_2021Apr26_Inj068</t>
  </si>
  <si>
    <t>ACNH2O__________Inj EPA_Caco2_2021Apr26_Inj069</t>
  </si>
  <si>
    <t>ACNH2O__________Inj EPA_Caco2_2021Apr26_Inj070</t>
  </si>
  <si>
    <t>Ranitidine_A_B_don_1______Inj EPA_Caco2_2021Apr26_Inj071</t>
  </si>
  <si>
    <t>Ranitidine_A_B_don_2______Inj EPA_Caco2_2021Apr26_Inj072</t>
  </si>
  <si>
    <t>Talinolol_A_B_don_1______Inj EPA_Caco2_2021Apr26_Inj073</t>
  </si>
  <si>
    <t>Talinolol_A_B_don_2______Inj EPA_Caco2_2021Apr26_Inj074</t>
  </si>
  <si>
    <t>DTXSID0025812_A_B_don_1______Inj EPA_Caco2_2021Apr26_Inj075</t>
  </si>
  <si>
    <t>DTXSID0025812_A_B_don_2______Inj EPA_Caco2_2021Apr26_Inj076</t>
  </si>
  <si>
    <t>Warfarin_A_B_don_1______Inj EPA_Caco2_2021Apr26_Inj077</t>
  </si>
  <si>
    <t>Warfarin_A_B_don_2______Inj EPA_Caco2_2021Apr26_Inj078</t>
  </si>
  <si>
    <t>DTXSID0042454_A_B_don_1______Inj EPA_Caco2_2021Apr26_Inj079</t>
  </si>
  <si>
    <t>DTXSID0042454_A_B_don_2______Inj EPA_Caco2_2021Apr26_Inj080</t>
  </si>
  <si>
    <t>DTXSID0025654_A_B_don_1______Inj EPA_Caco2_2021Apr26_Inj081</t>
  </si>
  <si>
    <t>DTXSID0025654_A_B_don_2______Inj EPA_Caco2_2021Apr26_Inj082</t>
  </si>
  <si>
    <t>DTXSID1041683_A_B_don_1______Inj EPA_Caco2_2021Apr26_Inj083</t>
  </si>
  <si>
    <t>DTXSID1041683_A_B_don_2______Inj EPA_Caco2_2021Apr26_Inj084</t>
  </si>
  <si>
    <t>DTXSID2021159_A_B_don_1______Inj EPA_Caco2_2021Apr26_Inj085</t>
  </si>
  <si>
    <t>DTXSID2021159_A_B_don_2______Inj EPA_Caco2_2021Apr26_Inj086</t>
  </si>
  <si>
    <t>DTXSID3037541_A_B_don_1______Inj EPA_Caco2_2021Apr26_Inj087</t>
  </si>
  <si>
    <t>DTXSID3037541_A_B_don_2______Inj EPA_Caco2_2021Apr26_Inj088</t>
  </si>
  <si>
    <t>DTXSID0041274_A_B_don_1______Inj EPA_Caco2_2021Apr26_Inj089</t>
  </si>
  <si>
    <t>DTXSID0041274_A_B_don_2______Inj EPA_Caco2_2021Apr26_Inj090</t>
  </si>
  <si>
    <t>DTXSID2040731_A_B_don_1______Inj EPA_Caco2_2021Apr26_Inj091</t>
  </si>
  <si>
    <t>DTXSID2040731_A_B_don_2______Inj EPA_Caco2_2021Apr26_Inj092</t>
  </si>
  <si>
    <t>DTXSID7029241_A_B_don_1______Inj EPA_Caco2_2021Apr26_Inj093</t>
  </si>
  <si>
    <t>DTXSID7029241_A_B_don_2______Inj EPA_Caco2_2021Apr26_Inj094</t>
  </si>
  <si>
    <t>DTXSID9021689_A_B_don_1______Inj EPA_Caco2_2021Apr26_Inj095</t>
  </si>
  <si>
    <t>DTXSID9021689_A_B_don_2______Inj EPA_Caco2_2021Apr26_Inj096</t>
  </si>
  <si>
    <t>DTXSID5048186_A_B_don_1______Inj EPA_Caco2_2021Apr26_Inj097</t>
  </si>
  <si>
    <t>DTXSID5048186_A_B_don_2______Inj EPA_Caco2_2021Apr26_Inj098</t>
  </si>
  <si>
    <t>DTXSID2026232_A_B_don_1______Inj EPA_Caco2_2021Apr26_Inj099</t>
  </si>
  <si>
    <t>DTXSID2026232_A_B_don_2______Inj EPA_Caco2_2021Apr26_Inj100</t>
  </si>
  <si>
    <t>ACNH2O__________Inj EPA_Caco2_2021Apr26_Inj101</t>
  </si>
  <si>
    <t>ACNH2O__________Inj EPA_Caco2_2021Apr26_Inj102</t>
  </si>
  <si>
    <t>Talinolol_B_A_don_1______Inj EPA_Caco2_2021Apr26_Inj103</t>
  </si>
  <si>
    <t>Talinolol_B_A_don_2______Inj EPA_Caco2_2021Apr26_Inj104</t>
  </si>
  <si>
    <t>Ranitidine_B_A_don_1______Inj EPA_Caco2_2021Apr26_Inj105</t>
  </si>
  <si>
    <t>Ranitidine_B_A_don_2______Inj EPA_Caco2_2021Apr26_Inj106</t>
  </si>
  <si>
    <t>DTXSID0025812_B_A_don_1______Inj EPA_Caco2_2021Apr26_Inj107</t>
  </si>
  <si>
    <t>DTXSID0025812_B_A_don_2______Inj EPA_Caco2_2021Apr26_Inj108</t>
  </si>
  <si>
    <t>Warfarin_B_A_don_1______Inj EPA_Caco2_2021Apr26_Inj109</t>
  </si>
  <si>
    <t>Warfarin_B_A_don_2______Inj EPA_Caco2_2021Apr26_Inj110</t>
  </si>
  <si>
    <t>DTXSID0042454_B_A_don_1______Inj EPA_Caco2_2021Apr26_Inj111</t>
  </si>
  <si>
    <t>DTXSID0042454_B_A_don_2______Inj EPA_Caco2_2021Apr26_Inj112</t>
  </si>
  <si>
    <t>DTXSID0025654_B_A_don_1______Inj EPA_Caco2_2021Apr26_Inj113</t>
  </si>
  <si>
    <t>DTXSID0025654_B_A_don_2______Inj EPA_Caco2_2021Apr26_Inj114</t>
  </si>
  <si>
    <t>DTXSID1041683_B_A_don_1______Inj EPA_Caco2_2021Apr26_Inj115</t>
  </si>
  <si>
    <t>DTXSID1041683_B_A_don_2______Inj EPA_Caco2_2021Apr26_Inj116</t>
  </si>
  <si>
    <t>DTXSID2021159_B_A_don_1______Inj EPA_Caco2_2021Apr26_Inj117</t>
  </si>
  <si>
    <t>DTXSID2021159_B_A_don_2______Inj EPA_Caco2_2021Apr26_Inj118</t>
  </si>
  <si>
    <t>DTXSID3037541_B_A_don_1______Inj EPA_Caco2_2021Apr26_Inj119</t>
  </si>
  <si>
    <t>DTXSID3037541_B_A_don_2______Inj EPA_Caco2_2021Apr26_Inj120</t>
  </si>
  <si>
    <t>DTXSID0041274_B_A_don_1______Inj EPA_Caco2_2021Apr26_Inj121</t>
  </si>
  <si>
    <t>DTXSID0041274_B_A_don_2______Inj EPA_Caco2_2021Apr26_Inj122</t>
  </si>
  <si>
    <t>DTXSID2040731_B_A_don_1______Inj EPA_Caco2_2021Apr26_Inj123</t>
  </si>
  <si>
    <t>DTXSID2040731_B_A_don_2______Inj EPA_Caco2_2021Apr26_Inj124</t>
  </si>
  <si>
    <t>DTXSID7029241_B_A_don_1______Inj EPA_Caco2_2021Apr26_Inj125</t>
  </si>
  <si>
    <t>DTXSID7029241_B_A_don_2______Inj EPA_Caco2_2021Apr26_Inj126</t>
  </si>
  <si>
    <t>DTXSID9021689_B_A_don_1______Inj EPA_Caco2_2021Apr26_Inj127</t>
  </si>
  <si>
    <t>DTXSID9021689_B_A_don_2______Inj EPA_Caco2_2021Apr26_Inj128</t>
  </si>
  <si>
    <t>DTXSID5048186_B_A_don_1______Inj EPA_Caco2_2021Apr26_Inj129</t>
  </si>
  <si>
    <t>DTXSID5048186_B_A_don_2______Inj EPA_Caco2_2021Apr26_Inj130</t>
  </si>
  <si>
    <t>DTXSID2026232_B_A_don_1______Inj EPA_Caco2_2021Apr26_Inj131</t>
  </si>
  <si>
    <t>DTXSID2026232_B_A_don_2______Inj EPA_Caco2_2021Apr26_Inj132</t>
  </si>
  <si>
    <t>ACNH2O__________Inj EPA_Caco2_2021Apr26_Inj133</t>
  </si>
  <si>
    <t>ACNH2O__________Inj EPA_Caco2_2021Apr26_Inj134</t>
  </si>
  <si>
    <t>Ranitidine_A_B_dos_1______Inj EPA_Caco2_2021Apr26_Inj135</t>
  </si>
  <si>
    <t>Ranitidine_A_B_dos_2______Inj EPA_Caco2_2021Apr26_Inj136</t>
  </si>
  <si>
    <t>Talinolol_A_B_dos_1______Inj EPA_Caco2_2021Apr26_Inj137</t>
  </si>
  <si>
    <t>Talinolol_A_B_dos_2______Inj EPA_Caco2_2021Apr26_Inj138</t>
  </si>
  <si>
    <t>DTXSID0025812_A_B_dos_1______Inj EPA_Caco2_2021Apr26_Inj139</t>
  </si>
  <si>
    <t>DTXSID0025812_A_B_dos_2______Inj EPA_Caco2_2021Apr26_Inj140</t>
  </si>
  <si>
    <t>Warfarin_A_B_dos_1______Inj EPA_Caco2_2021Apr26_Inj141</t>
  </si>
  <si>
    <t>Warfarin_A_B_dos_2______Inj EPA_Caco2_2021Apr26_Inj142</t>
  </si>
  <si>
    <t>DTXSID0042454_A_B_dos_1______Inj EPA_Caco2_2021Apr26_Inj143</t>
  </si>
  <si>
    <t>DTXSID0042454_A_B_dos_2______Inj EPA_Caco2_2021Apr26_Inj144</t>
  </si>
  <si>
    <t>DTXSID0025654_A_B_dos_1______Inj EPA_Caco2_2021Apr26_Inj145</t>
  </si>
  <si>
    <t>DTXSID0025654_A_B_dos_2______Inj EPA_Caco2_2021Apr26_Inj146</t>
  </si>
  <si>
    <t>DTXSID1041683_A_B_dos_1______Inj EPA_Caco2_2021Apr26_Inj147</t>
  </si>
  <si>
    <t>DTXSID1041683_A_B_dos_2______Inj EPA_Caco2_2021Apr26_Inj148</t>
  </si>
  <si>
    <t>DTXSID2021159_A_B_dos_1______Inj EPA_Caco2_2021Apr26_Inj149</t>
  </si>
  <si>
    <t>DTXSID2021159_A_B_dos_2______Inj EPA_Caco2_2021Apr26_Inj150</t>
  </si>
  <si>
    <t>DTXSID3037541_A_B_dos_1______Inj EPA_Caco2_2021Apr26_Inj151</t>
  </si>
  <si>
    <t>DTXSID3037541_A_B_dos_2______Inj EPA_Caco2_2021Apr26_Inj152</t>
  </si>
  <si>
    <t>DTXSID0041274_A_B_dos_1______Inj EPA_Caco2_2021Apr26_Inj153</t>
  </si>
  <si>
    <t>DTXSID0041274_A_B_dos_2______Inj EPA_Caco2_2021Apr26_Inj154</t>
  </si>
  <si>
    <t>DTXSID2040731_A_B_dos_1______Inj EPA_Caco2_2021Apr26_Inj155</t>
  </si>
  <si>
    <t>DTXSID2040731_A_B_dos_2______Inj EPA_Caco2_2021Apr26_Inj156</t>
  </si>
  <si>
    <t>DTXSID7029241_A_B_dos_1______Inj EPA_Caco2_2021Apr26_Inj157</t>
  </si>
  <si>
    <t>DTXSID7029241_A_B_dos_2______Inj EPA_Caco2_2021Apr26_Inj158</t>
  </si>
  <si>
    <t>DTXSID9021689_A_B_dos_1______Inj EPA_Caco2_2021Apr26_Inj159</t>
  </si>
  <si>
    <t>DTXSID9021689_A_B_dos_2______Inj EPA_Caco2_2021Apr26_Inj160</t>
  </si>
  <si>
    <t>DTXSID5048186_A_B_dos_1______Inj EPA_Caco2_2021Apr26_Inj161</t>
  </si>
  <si>
    <t>DTXSID5048186_A_B_dos_2______Inj EPA_Caco2_2021Apr26_Inj162</t>
  </si>
  <si>
    <t>DTXSID2026232_A_B_dos_1______Inj EPA_Caco2_2021Apr26_Inj163</t>
  </si>
  <si>
    <t>DTXSID2026232_A_B_dos_2______Inj EPA_Caco2_2021Apr26_Inj164</t>
  </si>
  <si>
    <t>ACNH2O__________Inj EPA_Caco2_2021Apr26_Inj165</t>
  </si>
  <si>
    <t>ACNH2O__________Inj EPA_Caco2_2021Apr26_Inj166</t>
  </si>
  <si>
    <t>Talinolol_B_A_dos_1______Inj EPA_Caco2_2021Apr26_Inj167</t>
  </si>
  <si>
    <t>Talinolol_B_A_dos_2______Inj EPA_Caco2_2021Apr26_Inj168</t>
  </si>
  <si>
    <t>Ranitidine_B_A_dos_1______Inj EPA_Caco2_2021Apr26_Inj169</t>
  </si>
  <si>
    <t>Ranitidine_B_A_dos_2______Inj EPA_Caco2_2021Apr26_Inj170</t>
  </si>
  <si>
    <t>DTXSID0025812_B_A_dos_1______Inj EPA_Caco2_2021Apr26_Inj171</t>
  </si>
  <si>
    <t>DTXSID0025812_B_A_dos_2______Inj EPA_Caco2_2021Apr26_Inj172</t>
  </si>
  <si>
    <t>Warfarin_B_A_dos_1______Inj EPA_Caco2_2021Apr26_Inj173</t>
  </si>
  <si>
    <t>Warfarin_B_A_dos_2______Inj EPA_Caco2_2021Apr26_Inj174</t>
  </si>
  <si>
    <t>DTXSID0042454_B_A_dos_1______Inj EPA_Caco2_2021Apr26_Inj175</t>
  </si>
  <si>
    <t>DTXSID0042454_B_A_dos_2______Inj EPA_Caco2_2021Apr26_Inj176</t>
  </si>
  <si>
    <t>DTXSID0025654_B_A_dos_1______Inj EPA_Caco2_2021Apr26_Inj177</t>
  </si>
  <si>
    <t>DTXSID0025654_B_A_dos_2______Inj EPA_Caco2_2021Apr26_Inj178</t>
  </si>
  <si>
    <t>DTXSID1041683_B_A_dos_1______Inj EPA_Caco2_2021Apr26_Inj179</t>
  </si>
  <si>
    <t>DTXSID1041683_B_A_dos_2______Inj EPA_Caco2_2021Apr26_Inj180</t>
  </si>
  <si>
    <t>DTXSID2021159_B_A_dos_1______Inj EPA_Caco2_2021Apr26_Inj181</t>
  </si>
  <si>
    <t>DTXSID2021159_B_A_dos_2______Inj EPA_Caco2_2021Apr26_Inj182</t>
  </si>
  <si>
    <t>DTXSID3037541_B_A_dos_1______Inj EPA_Caco2_2021Apr26_Inj183</t>
  </si>
  <si>
    <t>DTXSID3037541_B_A_dos_2______Inj EPA_Caco2_2021Apr26_Inj184</t>
  </si>
  <si>
    <t>DTXSID0041274_B_A_dos_1______Inj EPA_Caco2_2021Apr26_Inj185</t>
  </si>
  <si>
    <t>DTXSID0041274_B_A_dos_2______Inj EPA_Caco2_2021Apr26_Inj186</t>
  </si>
  <si>
    <t>DTXSID2040731_B_A_dos_1______Inj EPA_Caco2_2021Apr26_Inj187</t>
  </si>
  <si>
    <t>DTXSID2040731_B_A_dos_2______Inj EPA_Caco2_2021Apr26_Inj188</t>
  </si>
  <si>
    <t>DTXSID7029241_B_A_dos_1______Inj EPA_Caco2_2021Apr26_Inj189</t>
  </si>
  <si>
    <t>DTXSID7029241_B_A_dos_2______Inj EPA_Caco2_2021Apr26_Inj190</t>
  </si>
  <si>
    <t>DTXSID9021689_B_A_dos_1______Inj EPA_Caco2_2021Apr26_Inj191</t>
  </si>
  <si>
    <t>DTXSID9021689_B_A_dos_2______Inj EPA_Caco2_2021Apr26_Inj192</t>
  </si>
  <si>
    <t>DTXSID5048186_B_A_dos_1______Inj EPA_Caco2_2021Apr26_Inj193</t>
  </si>
  <si>
    <t>DTXSID5048186_B_A_dos_2______Inj EPA_Caco2_2021Apr26_Inj194</t>
  </si>
  <si>
    <t>DTXSID2026232_B_A_dos_1______Inj EPA_Caco2_2021Apr26_Inj195</t>
  </si>
  <si>
    <t>DTXSID2026232_B_A_dos_2______Inj EPA_Caco2_2021Apr26_Inj196</t>
  </si>
  <si>
    <t>ACNH2O__________Inj EPA_Caco2_2021Apr26_Inj197</t>
  </si>
  <si>
    <t>ACNH2O__________Inj EPA_Caco2_2021Apr26_Inj198</t>
  </si>
  <si>
    <t>Warfarin</t>
  </si>
  <si>
    <t>309.225 &gt; 251.114</t>
  </si>
  <si>
    <t>Ranitidine</t>
  </si>
  <si>
    <t>315.216 &gt; 175.737</t>
  </si>
  <si>
    <t>DTXSID0041274</t>
  </si>
  <si>
    <t>174.006 &gt; 113.135</t>
  </si>
  <si>
    <t>DTXSID2040731</t>
  </si>
  <si>
    <t>251.08 &gt; 148.896</t>
  </si>
  <si>
    <t>DTXSID2026232</t>
  </si>
  <si>
    <t>197.069 &gt; 70.834</t>
  </si>
  <si>
    <t>DTXSID9021689</t>
  </si>
  <si>
    <t>156.964 &gt; 78.887</t>
  </si>
  <si>
    <t>Client ID</t>
  </si>
  <si>
    <t>Test Conc_x000D_
(µM)</t>
  </si>
  <si>
    <t>Assay_x000D_
Duration_x000D_
(hr)</t>
  </si>
  <si>
    <r>
      <t>Mean_x000D_
A → B_x000D_
Papp_x000D_
10</t>
    </r>
    <r>
      <rPr>
        <b/>
        <vertAlign val="superscript"/>
        <sz val="11"/>
        <color theme="1"/>
        <rFont val="Times New Roman"/>
        <family val="1"/>
      </rPr>
      <t>-6</t>
    </r>
    <r>
      <rPr>
        <b/>
        <sz val="11"/>
        <color theme="1"/>
        <rFont val="Times New Roman"/>
        <family val="1"/>
      </rPr>
      <t xml:space="preserve"> cm/s</t>
    </r>
  </si>
  <si>
    <r>
      <t>Mean_x000D_
B → A_x000D_
Papp_x000D_
10</t>
    </r>
    <r>
      <rPr>
        <b/>
        <vertAlign val="superscript"/>
        <sz val="11"/>
        <color theme="1"/>
        <rFont val="Times New Roman"/>
        <family val="1"/>
      </rPr>
      <t>-6</t>
    </r>
    <r>
      <rPr>
        <b/>
        <sz val="11"/>
        <color theme="1"/>
        <rFont val="Times New Roman"/>
        <family val="1"/>
      </rPr>
      <t xml:space="preserve"> cm/s</t>
    </r>
  </si>
  <si>
    <t>Efflux Ratio</t>
  </si>
  <si>
    <t>Comments</t>
  </si>
  <si>
    <t>Test_x000D_
Concentration_x000D_
_x000D_
(µM)</t>
  </si>
  <si>
    <t>Direction</t>
  </si>
  <si>
    <t>Parameter</t>
  </si>
  <si>
    <t>First</t>
  </si>
  <si>
    <t>Second</t>
  </si>
  <si>
    <t>Third</t>
  </si>
  <si>
    <t>Mean</t>
  </si>
  <si>
    <t>Volume</t>
  </si>
  <si>
    <t>RR1</t>
  </si>
  <si>
    <t>RR2</t>
  </si>
  <si>
    <t>RR3</t>
  </si>
  <si>
    <t>RR Mean</t>
  </si>
  <si>
    <t>RR SD</t>
  </si>
  <si>
    <t>Chamber Surface Area</t>
  </si>
  <si>
    <t>Sampling Period (hrs)</t>
  </si>
  <si>
    <t>Test Concentration (µM)</t>
  </si>
  <si>
    <t>A → B</t>
  </si>
  <si>
    <t>Donor</t>
  </si>
  <si>
    <t>Receiver</t>
  </si>
  <si>
    <t>Dosing</t>
  </si>
  <si>
    <t>Standard</t>
  </si>
  <si>
    <t>Blank</t>
  </si>
  <si>
    <t>dq/dt</t>
  </si>
  <si>
    <r>
      <t>C</t>
    </r>
    <r>
      <rPr>
        <b/>
        <vertAlign val="subscript"/>
        <sz val="11"/>
        <color theme="1"/>
        <rFont val="Calibri"/>
        <family val="2"/>
        <scheme val="minor"/>
      </rPr>
      <t>o</t>
    </r>
  </si>
  <si>
    <t>Recovery</t>
  </si>
  <si>
    <t>Papp</t>
  </si>
  <si>
    <r>
      <t>P</t>
    </r>
    <r>
      <rPr>
        <b/>
        <vertAlign val="subscript"/>
        <sz val="11"/>
        <color theme="1"/>
        <rFont val="Calibri"/>
        <family val="2"/>
        <scheme val="minor"/>
      </rPr>
      <t>app</t>
    </r>
  </si>
  <si>
    <t>B → A</t>
  </si>
  <si>
    <t>Test Article</t>
  </si>
  <si>
    <t>Test Conc (µM)</t>
  </si>
  <si>
    <r>
      <t>P</t>
    </r>
    <r>
      <rPr>
        <b/>
        <vertAlign val="subscript"/>
        <sz val="11"/>
        <color theme="1"/>
        <rFont val="Calibri"/>
        <family val="2"/>
        <scheme val="minor"/>
      </rPr>
      <t>app</t>
    </r>
    <r>
      <rPr>
        <b/>
        <sz val="11"/>
        <color theme="1"/>
        <rFont val="Calibri"/>
        <family val="2"/>
        <scheme val="minor"/>
      </rPr>
      <t>_x000D_
(10</t>
    </r>
    <r>
      <rPr>
        <b/>
        <vertAlign val="superscript"/>
        <sz val="11"/>
        <color theme="1"/>
        <rFont val="Calibri"/>
        <family val="2"/>
        <scheme val="minor"/>
      </rPr>
      <t>-6</t>
    </r>
    <r>
      <rPr>
        <b/>
        <sz val="11"/>
        <color theme="1"/>
        <rFont val="Calibri"/>
        <family val="2"/>
        <scheme val="minor"/>
      </rPr>
      <t xml:space="preserve"> cm/s)_x000D_
Rep-1</t>
    </r>
  </si>
  <si>
    <r>
      <t>P</t>
    </r>
    <r>
      <rPr>
        <b/>
        <vertAlign val="subscript"/>
        <sz val="11"/>
        <color theme="1"/>
        <rFont val="Calibri"/>
        <family val="2"/>
        <scheme val="minor"/>
      </rPr>
      <t>app</t>
    </r>
    <r>
      <rPr>
        <b/>
        <sz val="11"/>
        <color theme="1"/>
        <rFont val="Calibri"/>
        <family val="2"/>
        <scheme val="minor"/>
      </rPr>
      <t>_x000D_
(10</t>
    </r>
    <r>
      <rPr>
        <b/>
        <vertAlign val="superscript"/>
        <sz val="11"/>
        <color theme="1"/>
        <rFont val="Calibri"/>
        <family val="2"/>
        <scheme val="minor"/>
      </rPr>
      <t>-6</t>
    </r>
    <r>
      <rPr>
        <b/>
        <sz val="11"/>
        <color theme="1"/>
        <rFont val="Calibri"/>
        <family val="2"/>
        <scheme val="minor"/>
      </rPr>
      <t xml:space="preserve"> cm/s)_x000D_
Rep-2</t>
    </r>
  </si>
  <si>
    <r>
      <t>P</t>
    </r>
    <r>
      <rPr>
        <b/>
        <vertAlign val="subscript"/>
        <sz val="11"/>
        <color theme="1"/>
        <rFont val="Calibri"/>
        <family val="2"/>
        <scheme val="minor"/>
      </rPr>
      <t>app</t>
    </r>
    <r>
      <rPr>
        <b/>
        <sz val="11"/>
        <color theme="1"/>
        <rFont val="Calibri"/>
        <family val="2"/>
        <scheme val="minor"/>
      </rPr>
      <t>_x000D_
(10</t>
    </r>
    <r>
      <rPr>
        <b/>
        <vertAlign val="superscript"/>
        <sz val="11"/>
        <color theme="1"/>
        <rFont val="Calibri"/>
        <family val="2"/>
        <scheme val="minor"/>
      </rPr>
      <t>-6</t>
    </r>
    <r>
      <rPr>
        <b/>
        <sz val="11"/>
        <color theme="1"/>
        <rFont val="Calibri"/>
        <family val="2"/>
        <scheme val="minor"/>
      </rPr>
      <t xml:space="preserve"> cm/s)_x000D_
Rep-3</t>
    </r>
  </si>
  <si>
    <t>Low Recovery A → B</t>
  </si>
  <si>
    <t>Low Permeability Control</t>
  </si>
  <si>
    <t>P-gp Efflux Control</t>
  </si>
  <si>
    <t>High Permeability Control</t>
  </si>
  <si>
    <t>Low recovery may be due to poor aqueous solubility, poor stability, and/or non-specific binding (high lipophilicity) of the_x000D_
Compound. Permeability rates for compounds with low/poor post assay recovery may be underestimated.</t>
  </si>
  <si>
    <t>(B → A)/(A → B)</t>
  </si>
  <si>
    <t>Compounds</t>
  </si>
  <si>
    <t>Stdev</t>
  </si>
  <si>
    <t>Ratio</t>
  </si>
  <si>
    <t>04/30/2021  12:51:48  Data Analyst: Adusumalli, Sravani</t>
  </si>
  <si>
    <t xml:space="preserve">                      Macro: MSPermeabilityData.xlsm Version 2.19</t>
  </si>
  <si>
    <t xml:space="preserve">                      AddIn Library: Version .</t>
  </si>
  <si>
    <t xml:space="preserve">                      Using Excel version 16.0 (2010)</t>
  </si>
  <si>
    <t xml:space="preserve">                      From: L:\!Excel Macros</t>
  </si>
  <si>
    <t xml:space="preserve">                      Caco Processing: Use Rep Ratio option selected</t>
  </si>
  <si>
    <t xml:space="preserve">                      Lab Analyst: Sravani Adusmalli</t>
  </si>
  <si>
    <t xml:space="preserve">                      Lab Instrument: Xevo 1</t>
  </si>
  <si>
    <t>04/30/2021  12:52:09  Processing Started on folder: J:\CLIENT_DATA\EPA\EPA 2021\Caco-2_22Apr2021\Plate1\Data-1\</t>
  </si>
  <si>
    <t xml:space="preserve">                      File 1:  \Quant_Report_1206211_short_dilution_format_filter.xlsx</t>
  </si>
  <si>
    <t>04/30/2021  12:52:35  Processing Completed</t>
  </si>
  <si>
    <t xml:space="preserve">                      Output in J:\CLIENT_DATA\EPA\EPA 2021\Caco-2_22Apr2021\Plate1\Data-1\ - Permeability ResultsR1.xlsm</t>
  </si>
  <si>
    <t>DTXSID0042454</t>
  </si>
  <si>
    <t>DTXSID0025654</t>
  </si>
  <si>
    <t>DTXSID1041683</t>
  </si>
  <si>
    <t>DTXSID2021159</t>
  </si>
  <si>
    <t>DTXSID3037541</t>
  </si>
  <si>
    <t>DTXSID7029241</t>
  </si>
  <si>
    <t>DTXSID5048186</t>
  </si>
  <si>
    <t>No peak detected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</si>
</sst>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dd\ mmm\ yyyy"/>
    <numFmt numFmtId="165" formatCode="0.000"/>
    <numFmt numFmtId="166" formatCode="0.0"/>
    <numFmt numFmtId="167" formatCode="0.0000"/>
    <numFmt numFmtId="168" formatCode="0.00000"/>
    <numFmt numFmtId="169" formatCode="0.000000"/>
    <numFmt numFmtId="170" formatCode="0.0%"/>
    <numFmt numFmtId="171" formatCode="0.000%"/>
  </numFmts>
  <fonts count="11" x14ac:knownFonts="1">
    <font>
      <sz val="11"/>
      <color theme="1"/>
      <name val="Times New Roman"/>
      <family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b/>
      <sz val="11"/>
      <color theme="1"/>
      <name val="Times New Roman"/>
      <family val="1"/>
    </font>
    <font>
      <b/>
      <vertAlign val="superscript"/>
      <sz val="11"/>
      <color theme="1"/>
      <name val="Times New Roman"/>
      <family val="1"/>
    </font>
    <font>
      <b/>
      <vertAlign val="sub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sz val="11"/>
      <color theme="1"/>
      <name val="Courier New"/>
      <family val="3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8"/>
        <bgColor indexed="64"/>
      </patternFill>
    </fill>
  </fills>
  <borders count="47">
    <border>
      <left/>
      <right/>
      <top/>
      <bottom/>
      <diagonal/>
    </border>
    <border>
      <left/>
      <right/>
      <top/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Dashed">
        <color rgb="FF5B9BD5"/>
      </top>
      <bottom/>
      <diagonal/>
    </border>
    <border>
      <left/>
      <right/>
      <top/>
      <bottom style="mediumDashed">
        <color rgb="FF5B9BD5"/>
      </bottom>
      <diagonal/>
    </border>
    <border>
      <left style="thick">
        <color rgb="FF5B9BD5"/>
      </left>
      <right/>
      <top style="thick">
        <color rgb="FF5B9BD5"/>
      </top>
      <bottom/>
      <diagonal/>
    </border>
    <border>
      <left/>
      <right/>
      <top style="thick">
        <color rgb="FF5B9BD5"/>
      </top>
      <bottom/>
      <diagonal/>
    </border>
    <border>
      <left/>
      <right style="thick">
        <color rgb="FF5B9BD5"/>
      </right>
      <top style="thick">
        <color rgb="FF5B9BD5"/>
      </top>
      <bottom/>
      <diagonal/>
    </border>
    <border>
      <left style="thick">
        <color rgb="FF5B9BD5"/>
      </left>
      <right/>
      <top/>
      <bottom/>
      <diagonal/>
    </border>
    <border>
      <left/>
      <right style="thick">
        <color rgb="FF5B9BD5"/>
      </right>
      <top/>
      <bottom/>
      <diagonal/>
    </border>
    <border>
      <left style="thick">
        <color rgb="FF5B9BD5"/>
      </left>
      <right/>
      <top/>
      <bottom style="mediumDashed">
        <color rgb="FF5B9BD5"/>
      </bottom>
      <diagonal/>
    </border>
    <border>
      <left/>
      <right style="thick">
        <color rgb="FF5B9BD5"/>
      </right>
      <top/>
      <bottom style="mediumDashed">
        <color rgb="FF5B9BD5"/>
      </bottom>
      <diagonal/>
    </border>
    <border>
      <left style="thick">
        <color rgb="FF5B9BD5"/>
      </left>
      <right/>
      <top style="mediumDashed">
        <color rgb="FF5B9BD5"/>
      </top>
      <bottom/>
      <diagonal/>
    </border>
    <border>
      <left/>
      <right style="thick">
        <color rgb="FF5B9BD5"/>
      </right>
      <top style="mediumDashed">
        <color rgb="FF5B9BD5"/>
      </top>
      <bottom/>
      <diagonal/>
    </border>
    <border>
      <left style="thick">
        <color rgb="FF5B9BD5"/>
      </left>
      <right/>
      <top/>
      <bottom style="thick">
        <color rgb="FF5B9BD5"/>
      </bottom>
      <diagonal/>
    </border>
    <border>
      <left/>
      <right/>
      <top/>
      <bottom style="thick">
        <color rgb="FF5B9BD5"/>
      </bottom>
      <diagonal/>
    </border>
    <border>
      <left/>
      <right style="thick">
        <color rgb="FF5B9BD5"/>
      </right>
      <top/>
      <bottom style="thick">
        <color rgb="FF5B9BD5"/>
      </bottom>
      <diagonal/>
    </border>
    <border>
      <left/>
      <right/>
      <top style="mediumDashed">
        <color rgb="FFED7D31"/>
      </top>
      <bottom/>
      <diagonal/>
    </border>
    <border>
      <left/>
      <right/>
      <top/>
      <bottom style="mediumDashed">
        <color rgb="FFED7D31"/>
      </bottom>
      <diagonal/>
    </border>
    <border>
      <left style="thick">
        <color rgb="FFED7D31"/>
      </left>
      <right/>
      <top style="thick">
        <color rgb="FFED7D31"/>
      </top>
      <bottom/>
      <diagonal/>
    </border>
    <border>
      <left/>
      <right/>
      <top style="thick">
        <color rgb="FFED7D31"/>
      </top>
      <bottom/>
      <diagonal/>
    </border>
    <border>
      <left/>
      <right style="thick">
        <color rgb="FFED7D31"/>
      </right>
      <top style="thick">
        <color rgb="FFED7D31"/>
      </top>
      <bottom/>
      <diagonal/>
    </border>
    <border>
      <left style="thick">
        <color rgb="FFED7D31"/>
      </left>
      <right/>
      <top/>
      <bottom/>
      <diagonal/>
    </border>
    <border>
      <left/>
      <right style="thick">
        <color rgb="FFED7D31"/>
      </right>
      <top/>
      <bottom/>
      <diagonal/>
    </border>
    <border>
      <left style="thick">
        <color rgb="FFED7D31"/>
      </left>
      <right/>
      <top/>
      <bottom style="mediumDashed">
        <color rgb="FFED7D31"/>
      </bottom>
      <diagonal/>
    </border>
    <border>
      <left/>
      <right style="thick">
        <color rgb="FFED7D31"/>
      </right>
      <top/>
      <bottom style="mediumDashed">
        <color rgb="FFED7D31"/>
      </bottom>
      <diagonal/>
    </border>
    <border>
      <left style="thick">
        <color rgb="FFED7D31"/>
      </left>
      <right/>
      <top style="mediumDashed">
        <color rgb="FFED7D31"/>
      </top>
      <bottom/>
      <diagonal/>
    </border>
    <border>
      <left/>
      <right style="thick">
        <color rgb="FFED7D31"/>
      </right>
      <top style="mediumDashed">
        <color rgb="FFED7D31"/>
      </top>
      <bottom/>
      <diagonal/>
    </border>
    <border>
      <left style="thick">
        <color rgb="FFED7D31"/>
      </left>
      <right/>
      <top/>
      <bottom style="thick">
        <color rgb="FFED7D31"/>
      </bottom>
      <diagonal/>
    </border>
    <border>
      <left/>
      <right/>
      <top/>
      <bottom style="thick">
        <color rgb="FFED7D31"/>
      </bottom>
      <diagonal/>
    </border>
    <border>
      <left/>
      <right style="thick">
        <color rgb="FFED7D31"/>
      </right>
      <top/>
      <bottom style="thick">
        <color rgb="FFED7D31"/>
      </bottom>
      <diagonal/>
    </border>
    <border>
      <left/>
      <right/>
      <top style="double">
        <color rgb="FF000000"/>
      </top>
      <bottom/>
      <diagonal/>
    </border>
    <border>
      <left/>
      <right/>
      <top/>
      <bottom style="dashed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double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double">
        <color rgb="FF000000"/>
      </bottom>
      <diagonal/>
    </border>
    <border>
      <left style="mediumDashed">
        <color rgb="FF000000"/>
      </left>
      <right/>
      <top style="double">
        <color rgb="FF000000"/>
      </top>
      <bottom/>
      <diagonal/>
    </border>
    <border>
      <left style="mediumDashed">
        <color rgb="FF000000"/>
      </left>
      <right/>
      <top/>
      <bottom/>
      <diagonal/>
    </border>
    <border>
      <left style="mediumDashed">
        <color rgb="FF000000"/>
      </left>
      <right/>
      <top/>
      <bottom style="double">
        <color rgb="FF000000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246">
    <xf numFmtId="0" fontId="0" fillId="0" borderId="0" xfId="0"/>
    <xf numFmtId="0" fontId="1" fillId="0" borderId="0" xfId="1"/>
    <xf numFmtId="0" fontId="0" fillId="3" borderId="0" xfId="0" applyFill="1"/>
    <xf numFmtId="0" fontId="2" fillId="0" borderId="0" xfId="1" applyFont="1"/>
    <xf numFmtId="0" fontId="3" fillId="0" borderId="0" xfId="0" applyFont="1" applyAlignment="1">
      <alignment horizontal="center"/>
    </xf>
    <xf numFmtId="164" fontId="4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5" fillId="0" borderId="1" xfId="0" applyFont="1" applyBorder="1" applyAlignment="1">
      <alignment horizontal="center"/>
    </xf>
    <xf numFmtId="0" fontId="5" fillId="0" borderId="1" xfId="0" applyFont="1" applyBorder="1"/>
    <xf numFmtId="0" fontId="5" fillId="0" borderId="2" xfId="0" applyFont="1" applyBorder="1" applyAlignment="1">
      <alignment horizontal="center"/>
    </xf>
    <xf numFmtId="0" fontId="5" fillId="0" borderId="2" xfId="0" applyFont="1" applyBorder="1" applyAlignment="1">
      <alignment horizontal="center" wrapText="1"/>
    </xf>
    <xf numFmtId="2" fontId="1" fillId="0" borderId="0" xfId="1" applyNumberFormat="1"/>
    <xf numFmtId="165" fontId="1" fillId="0" borderId="0" xfId="1" applyNumberFormat="1"/>
    <xf numFmtId="166" fontId="1" fillId="0" borderId="0" xfId="1" applyNumberFormat="1"/>
    <xf numFmtId="0" fontId="2" fillId="0" borderId="3" xfId="1" applyFont="1" applyBorder="1"/>
    <xf numFmtId="2" fontId="1" fillId="0" borderId="4" xfId="1" applyNumberFormat="1" applyBorder="1"/>
    <xf numFmtId="0" fontId="2" fillId="0" borderId="5" xfId="1" applyFont="1" applyBorder="1"/>
    <xf numFmtId="165" fontId="1" fillId="0" borderId="6" xfId="1" applyNumberFormat="1" applyBorder="1"/>
    <xf numFmtId="2" fontId="1" fillId="0" borderId="6" xfId="1" applyNumberFormat="1" applyBorder="1"/>
    <xf numFmtId="0" fontId="2" fillId="0" borderId="7" xfId="1" applyFont="1" applyBorder="1"/>
    <xf numFmtId="166" fontId="1" fillId="0" borderId="8" xfId="1" applyNumberFormat="1" applyBorder="1"/>
    <xf numFmtId="168" fontId="1" fillId="0" borderId="0" xfId="1" applyNumberFormat="1"/>
    <xf numFmtId="0" fontId="1" fillId="0" borderId="9" xfId="1" applyBorder="1"/>
    <xf numFmtId="0" fontId="1" fillId="0" borderId="0" xfId="1" applyBorder="1"/>
    <xf numFmtId="0" fontId="1" fillId="0" borderId="10" xfId="1" applyBorder="1"/>
    <xf numFmtId="165" fontId="1" fillId="0" borderId="0" xfId="1" applyNumberFormat="1" applyBorder="1"/>
    <xf numFmtId="167" fontId="2" fillId="0" borderId="0" xfId="1" applyNumberFormat="1" applyFont="1" applyBorder="1"/>
    <xf numFmtId="167" fontId="1" fillId="0" borderId="0" xfId="1" applyNumberFormat="1" applyBorder="1"/>
    <xf numFmtId="168" fontId="1" fillId="0" borderId="10" xfId="1" applyNumberFormat="1" applyBorder="1"/>
    <xf numFmtId="167" fontId="1" fillId="0" borderId="12" xfId="1" applyNumberFormat="1" applyBorder="1"/>
    <xf numFmtId="167" fontId="2" fillId="0" borderId="12" xfId="1" applyNumberFormat="1" applyFont="1" applyBorder="1"/>
    <xf numFmtId="0" fontId="1" fillId="0" borderId="12" xfId="1" applyBorder="1"/>
    <xf numFmtId="0" fontId="1" fillId="0" borderId="15" xfId="1" applyBorder="1"/>
    <xf numFmtId="0" fontId="1" fillId="0" borderId="21" xfId="1" applyBorder="1"/>
    <xf numFmtId="11" fontId="1" fillId="0" borderId="9" xfId="1" applyNumberFormat="1" applyBorder="1"/>
    <xf numFmtId="9" fontId="1" fillId="0" borderId="0" xfId="1" applyNumberFormat="1" applyBorder="1"/>
    <xf numFmtId="1" fontId="1" fillId="0" borderId="21" xfId="1" applyNumberFormat="1" applyBorder="1"/>
    <xf numFmtId="168" fontId="1" fillId="0" borderId="13" xfId="1" applyNumberFormat="1" applyBorder="1"/>
    <xf numFmtId="169" fontId="1" fillId="0" borderId="15" xfId="1" applyNumberFormat="1" applyBorder="1"/>
    <xf numFmtId="168" fontId="1" fillId="0" borderId="15" xfId="1" applyNumberFormat="1" applyBorder="1"/>
    <xf numFmtId="169" fontId="1" fillId="0" borderId="17" xfId="1" applyNumberFormat="1" applyBorder="1"/>
    <xf numFmtId="11" fontId="1" fillId="0" borderId="19" xfId="1" applyNumberFormat="1" applyBorder="1"/>
    <xf numFmtId="170" fontId="1" fillId="0" borderId="15" xfId="1" applyNumberFormat="1" applyBorder="1"/>
    <xf numFmtId="166" fontId="1" fillId="0" borderId="21" xfId="1" applyNumberFormat="1" applyBorder="1"/>
    <xf numFmtId="2" fontId="1" fillId="0" borderId="22" xfId="1" applyNumberFormat="1" applyBorder="1"/>
    <xf numFmtId="11" fontId="1" fillId="0" borderId="9" xfId="1" applyNumberFormat="1" applyBorder="1" applyAlignment="1">
      <alignment horizontal="left"/>
    </xf>
    <xf numFmtId="167" fontId="1" fillId="0" borderId="0" xfId="1" applyNumberFormat="1" applyBorder="1" applyAlignment="1">
      <alignment horizontal="left"/>
    </xf>
    <xf numFmtId="9" fontId="1" fillId="0" borderId="0" xfId="1" applyNumberFormat="1" applyBorder="1" applyAlignment="1">
      <alignment horizontal="left"/>
    </xf>
    <xf numFmtId="1" fontId="1" fillId="0" borderId="21" xfId="1" applyNumberFormat="1" applyBorder="1" applyAlignment="1">
      <alignment horizontal="left"/>
    </xf>
    <xf numFmtId="0" fontId="1" fillId="0" borderId="23" xfId="1" applyBorder="1"/>
    <xf numFmtId="0" fontId="1" fillId="0" borderId="24" xfId="1" applyBorder="1"/>
    <xf numFmtId="166" fontId="1" fillId="0" borderId="24" xfId="1" applyNumberFormat="1" applyBorder="1"/>
    <xf numFmtId="165" fontId="1" fillId="0" borderId="26" xfId="1" applyNumberFormat="1" applyBorder="1"/>
    <xf numFmtId="167" fontId="2" fillId="0" borderId="26" xfId="1" applyNumberFormat="1" applyFont="1" applyBorder="1"/>
    <xf numFmtId="0" fontId="1" fillId="0" borderId="26" xfId="1" applyBorder="1"/>
    <xf numFmtId="0" fontId="1" fillId="0" borderId="29" xfId="1" applyBorder="1"/>
    <xf numFmtId="0" fontId="2" fillId="0" borderId="34" xfId="1" applyFont="1" applyBorder="1"/>
    <xf numFmtId="0" fontId="1" fillId="0" borderId="35" xfId="1" applyBorder="1"/>
    <xf numFmtId="11" fontId="1" fillId="0" borderId="23" xfId="1" applyNumberFormat="1" applyBorder="1"/>
    <xf numFmtId="165" fontId="1" fillId="0" borderId="35" xfId="1" applyNumberFormat="1" applyBorder="1"/>
    <xf numFmtId="2" fontId="1" fillId="0" borderId="35" xfId="1" applyNumberFormat="1" applyBorder="1"/>
    <xf numFmtId="167" fontId="1" fillId="0" borderId="26" xfId="1" applyNumberFormat="1" applyBorder="1"/>
    <xf numFmtId="169" fontId="1" fillId="0" borderId="27" xfId="1" applyNumberFormat="1" applyBorder="1"/>
    <xf numFmtId="168" fontId="1" fillId="0" borderId="29" xfId="1" applyNumberFormat="1" applyBorder="1"/>
    <xf numFmtId="166" fontId="1" fillId="0" borderId="31" xfId="1" applyNumberFormat="1" applyBorder="1"/>
    <xf numFmtId="11" fontId="1" fillId="0" borderId="33" xfId="1" applyNumberFormat="1" applyBorder="1"/>
    <xf numFmtId="10" fontId="1" fillId="0" borderId="29" xfId="1" applyNumberFormat="1" applyBorder="1"/>
    <xf numFmtId="2" fontId="1" fillId="0" borderId="31" xfId="1" applyNumberFormat="1" applyBorder="1"/>
    <xf numFmtId="165" fontId="1" fillId="0" borderId="36" xfId="1" applyNumberFormat="1" applyBorder="1"/>
    <xf numFmtId="11" fontId="1" fillId="0" borderId="23" xfId="1" applyNumberFormat="1" applyBorder="1" applyAlignment="1">
      <alignment horizontal="left"/>
    </xf>
    <xf numFmtId="166" fontId="1" fillId="0" borderId="24" xfId="1" applyNumberFormat="1" applyBorder="1" applyAlignment="1">
      <alignment horizontal="left"/>
    </xf>
    <xf numFmtId="0" fontId="1" fillId="0" borderId="0" xfId="1" applyAlignment="1">
      <alignment horizontal="right"/>
    </xf>
    <xf numFmtId="0" fontId="2" fillId="0" borderId="0" xfId="1" applyFont="1" applyAlignment="1">
      <alignment horizontal="right"/>
    </xf>
    <xf numFmtId="0" fontId="2" fillId="0" borderId="11" xfId="1" applyFont="1" applyBorder="1" applyAlignment="1">
      <alignment horizontal="right"/>
    </xf>
    <xf numFmtId="0" fontId="2" fillId="0" borderId="14" xfId="1" applyFont="1" applyBorder="1" applyAlignment="1">
      <alignment horizontal="right"/>
    </xf>
    <xf numFmtId="0" fontId="2" fillId="0" borderId="16" xfId="1" applyFont="1" applyBorder="1" applyAlignment="1">
      <alignment horizontal="right"/>
    </xf>
    <xf numFmtId="0" fontId="2" fillId="0" borderId="18" xfId="1" applyFont="1" applyBorder="1" applyAlignment="1">
      <alignment horizontal="right"/>
    </xf>
    <xf numFmtId="0" fontId="2" fillId="0" borderId="20" xfId="1" applyFont="1" applyBorder="1" applyAlignment="1">
      <alignment horizontal="right"/>
    </xf>
    <xf numFmtId="0" fontId="2" fillId="0" borderId="25" xfId="1" applyFont="1" applyBorder="1" applyAlignment="1">
      <alignment horizontal="right"/>
    </xf>
    <xf numFmtId="0" fontId="2" fillId="0" borderId="28" xfId="1" applyFont="1" applyBorder="1" applyAlignment="1">
      <alignment horizontal="right"/>
    </xf>
    <xf numFmtId="0" fontId="2" fillId="0" borderId="30" xfId="1" applyFont="1" applyBorder="1" applyAlignment="1">
      <alignment horizontal="right"/>
    </xf>
    <xf numFmtId="0" fontId="2" fillId="0" borderId="32" xfId="1" applyFont="1" applyBorder="1" applyAlignment="1">
      <alignment horizontal="right"/>
    </xf>
    <xf numFmtId="0" fontId="2" fillId="0" borderId="2" xfId="1" applyFont="1" applyBorder="1"/>
    <xf numFmtId="0" fontId="2" fillId="0" borderId="2" xfId="1" applyFont="1" applyBorder="1" applyAlignment="1">
      <alignment horizontal="center"/>
    </xf>
    <xf numFmtId="0" fontId="2" fillId="0" borderId="2" xfId="1" applyFont="1" applyBorder="1" applyAlignment="1">
      <alignment horizontal="center" wrapText="1"/>
    </xf>
    <xf numFmtId="0" fontId="1" fillId="0" borderId="0" xfId="1" applyAlignment="1">
      <alignment horizontal="center"/>
    </xf>
    <xf numFmtId="0" fontId="1" fillId="0" borderId="0" xfId="1" applyAlignment="1">
      <alignment vertical="center" wrapText="1"/>
    </xf>
    <xf numFmtId="0" fontId="1" fillId="0" borderId="1" xfId="1" applyBorder="1" applyAlignment="1">
      <alignment vertical="center"/>
    </xf>
    <xf numFmtId="0" fontId="1" fillId="0" borderId="0" xfId="1" applyAlignment="1">
      <alignment vertical="center"/>
    </xf>
    <xf numFmtId="1" fontId="1" fillId="0" borderId="0" xfId="1" applyNumberFormat="1" applyAlignment="1">
      <alignment horizontal="center"/>
    </xf>
    <xf numFmtId="9" fontId="1" fillId="0" borderId="0" xfId="1" applyNumberFormat="1" applyAlignment="1">
      <alignment horizontal="center"/>
    </xf>
    <xf numFmtId="166" fontId="1" fillId="0" borderId="0" xfId="1" applyNumberFormat="1" applyAlignment="1">
      <alignment horizontal="center" vertical="center"/>
    </xf>
    <xf numFmtId="166" fontId="1" fillId="0" borderId="0" xfId="1" applyNumberFormat="1" applyAlignment="1">
      <alignment horizontal="center"/>
    </xf>
    <xf numFmtId="0" fontId="1" fillId="0" borderId="1" xfId="1" applyBorder="1" applyAlignment="1">
      <alignment horizontal="center" vertical="center"/>
    </xf>
    <xf numFmtId="0" fontId="1" fillId="0" borderId="1" xfId="1" applyBorder="1" applyAlignment="1">
      <alignment horizontal="center"/>
    </xf>
    <xf numFmtId="165" fontId="1" fillId="0" borderId="1" xfId="1" applyNumberFormat="1" applyBorder="1" applyAlignment="1">
      <alignment horizontal="center"/>
    </xf>
    <xf numFmtId="2" fontId="1" fillId="0" borderId="1" xfId="1" applyNumberFormat="1" applyBorder="1" applyAlignment="1">
      <alignment horizontal="center"/>
    </xf>
    <xf numFmtId="0" fontId="1" fillId="0" borderId="0" xfId="1" applyAlignment="1">
      <alignment horizontal="center" vertical="center"/>
    </xf>
    <xf numFmtId="165" fontId="2" fillId="0" borderId="0" xfId="1" applyNumberFormat="1" applyFont="1" applyBorder="1"/>
    <xf numFmtId="169" fontId="1" fillId="0" borderId="10" xfId="1" applyNumberFormat="1" applyBorder="1"/>
    <xf numFmtId="168" fontId="2" fillId="0" borderId="12" xfId="1" applyNumberFormat="1" applyFont="1" applyBorder="1"/>
    <xf numFmtId="170" fontId="1" fillId="0" borderId="0" xfId="1" applyNumberFormat="1" applyBorder="1"/>
    <xf numFmtId="168" fontId="1" fillId="0" borderId="12" xfId="1" applyNumberFormat="1" applyBorder="1"/>
    <xf numFmtId="167" fontId="1" fillId="0" borderId="15" xfId="1" applyNumberFormat="1" applyBorder="1"/>
    <xf numFmtId="11" fontId="1" fillId="0" borderId="17" xfId="1" applyNumberFormat="1" applyBorder="1"/>
    <xf numFmtId="10" fontId="1" fillId="0" borderId="15" xfId="1" applyNumberFormat="1" applyBorder="1"/>
    <xf numFmtId="165" fontId="1" fillId="0" borderId="0" xfId="1" applyNumberFormat="1" applyBorder="1" applyAlignment="1">
      <alignment horizontal="left"/>
    </xf>
    <xf numFmtId="170" fontId="1" fillId="0" borderId="0" xfId="1" applyNumberFormat="1" applyBorder="1" applyAlignment="1">
      <alignment horizontal="left"/>
    </xf>
    <xf numFmtId="166" fontId="1" fillId="0" borderId="21" xfId="1" applyNumberFormat="1" applyBorder="1" applyAlignment="1">
      <alignment horizontal="left"/>
    </xf>
    <xf numFmtId="168" fontId="2" fillId="0" borderId="0" xfId="1" applyNumberFormat="1" applyFont="1" applyBorder="1"/>
    <xf numFmtId="2" fontId="2" fillId="0" borderId="0" xfId="1" applyNumberFormat="1" applyFont="1" applyBorder="1"/>
    <xf numFmtId="165" fontId="2" fillId="0" borderId="26" xfId="1" applyNumberFormat="1" applyFont="1" applyBorder="1"/>
    <xf numFmtId="2" fontId="1" fillId="0" borderId="0" xfId="1" applyNumberFormat="1" applyBorder="1"/>
    <xf numFmtId="167" fontId="1" fillId="0" borderId="35" xfId="1" applyNumberFormat="1" applyBorder="1"/>
    <xf numFmtId="2" fontId="1" fillId="0" borderId="24" xfId="1" applyNumberFormat="1" applyBorder="1"/>
    <xf numFmtId="167" fontId="1" fillId="0" borderId="27" xfId="1" applyNumberFormat="1" applyBorder="1"/>
    <xf numFmtId="167" fontId="1" fillId="0" borderId="29" xfId="1" applyNumberFormat="1" applyBorder="1"/>
    <xf numFmtId="167" fontId="1" fillId="0" borderId="36" xfId="1" applyNumberFormat="1" applyBorder="1"/>
    <xf numFmtId="2" fontId="1" fillId="0" borderId="0" xfId="1" applyNumberFormat="1" applyBorder="1" applyAlignment="1">
      <alignment horizontal="left"/>
    </xf>
    <xf numFmtId="165" fontId="1" fillId="0" borderId="24" xfId="1" applyNumberFormat="1" applyBorder="1" applyAlignment="1">
      <alignment horizontal="left"/>
    </xf>
    <xf numFmtId="170" fontId="1" fillId="0" borderId="0" xfId="1" applyNumberFormat="1" applyAlignment="1">
      <alignment horizontal="center"/>
    </xf>
    <xf numFmtId="165" fontId="1" fillId="0" borderId="0" xfId="1" applyNumberFormat="1" applyAlignment="1">
      <alignment horizontal="center"/>
    </xf>
    <xf numFmtId="2" fontId="1" fillId="0" borderId="0" xfId="1" applyNumberFormat="1" applyAlignment="1">
      <alignment horizontal="center"/>
    </xf>
    <xf numFmtId="167" fontId="1" fillId="0" borderId="1" xfId="1" applyNumberFormat="1" applyBorder="1" applyAlignment="1">
      <alignment horizontal="center"/>
    </xf>
    <xf numFmtId="166" fontId="2" fillId="0" borderId="0" xfId="1" applyNumberFormat="1" applyFont="1" applyBorder="1"/>
    <xf numFmtId="166" fontId="2" fillId="0" borderId="12" xfId="1" applyNumberFormat="1" applyFont="1" applyBorder="1"/>
    <xf numFmtId="169" fontId="1" fillId="0" borderId="9" xfId="1" applyNumberFormat="1" applyBorder="1"/>
    <xf numFmtId="166" fontId="1" fillId="0" borderId="0" xfId="1" applyNumberFormat="1" applyBorder="1"/>
    <xf numFmtId="166" fontId="1" fillId="0" borderId="12" xfId="1" applyNumberFormat="1" applyBorder="1"/>
    <xf numFmtId="165" fontId="1" fillId="0" borderId="13" xfId="1" applyNumberFormat="1" applyBorder="1"/>
    <xf numFmtId="165" fontId="1" fillId="0" borderId="15" xfId="1" applyNumberFormat="1" applyBorder="1"/>
    <xf numFmtId="2" fontId="1" fillId="0" borderId="15" xfId="1" applyNumberFormat="1" applyBorder="1"/>
    <xf numFmtId="168" fontId="1" fillId="0" borderId="17" xfId="1" applyNumberFormat="1" applyBorder="1"/>
    <xf numFmtId="169" fontId="1" fillId="0" borderId="9" xfId="1" applyNumberFormat="1" applyBorder="1" applyAlignment="1">
      <alignment horizontal="left"/>
    </xf>
    <xf numFmtId="166" fontId="1" fillId="0" borderId="0" xfId="1" applyNumberFormat="1" applyBorder="1" applyAlignment="1">
      <alignment horizontal="left"/>
    </xf>
    <xf numFmtId="166" fontId="2" fillId="0" borderId="26" xfId="1" applyNumberFormat="1" applyFont="1" applyBorder="1"/>
    <xf numFmtId="169" fontId="1" fillId="0" borderId="23" xfId="1" applyNumberFormat="1" applyBorder="1"/>
    <xf numFmtId="166" fontId="1" fillId="0" borderId="26" xfId="1" applyNumberFormat="1" applyBorder="1"/>
    <xf numFmtId="165" fontId="1" fillId="0" borderId="27" xfId="1" applyNumberFormat="1" applyBorder="1"/>
    <xf numFmtId="165" fontId="1" fillId="0" borderId="29" xfId="1" applyNumberFormat="1" applyBorder="1"/>
    <xf numFmtId="171" fontId="1" fillId="0" borderId="29" xfId="1" applyNumberFormat="1" applyBorder="1"/>
    <xf numFmtId="165" fontId="1" fillId="0" borderId="31" xfId="1" applyNumberFormat="1" applyBorder="1"/>
    <xf numFmtId="169" fontId="1" fillId="0" borderId="23" xfId="1" applyNumberFormat="1" applyBorder="1" applyAlignment="1">
      <alignment horizontal="left"/>
    </xf>
    <xf numFmtId="1" fontId="2" fillId="0" borderId="0" xfId="1" applyNumberFormat="1" applyFont="1" applyBorder="1"/>
    <xf numFmtId="166" fontId="1" fillId="0" borderId="10" xfId="1" applyNumberFormat="1" applyBorder="1"/>
    <xf numFmtId="1" fontId="2" fillId="0" borderId="12" xfId="1" applyNumberFormat="1" applyFont="1" applyBorder="1"/>
    <xf numFmtId="168" fontId="1" fillId="0" borderId="9" xfId="1" applyNumberFormat="1" applyBorder="1"/>
    <xf numFmtId="1" fontId="1" fillId="0" borderId="0" xfId="1" applyNumberFormat="1" applyBorder="1"/>
    <xf numFmtId="1" fontId="1" fillId="0" borderId="12" xfId="1" applyNumberFormat="1" applyBorder="1"/>
    <xf numFmtId="2" fontId="1" fillId="0" borderId="13" xfId="1" applyNumberFormat="1" applyBorder="1"/>
    <xf numFmtId="165" fontId="1" fillId="0" borderId="17" xfId="1" applyNumberFormat="1" applyBorder="1"/>
    <xf numFmtId="165" fontId="1" fillId="0" borderId="22" xfId="1" applyNumberFormat="1" applyBorder="1"/>
    <xf numFmtId="168" fontId="1" fillId="0" borderId="9" xfId="1" applyNumberFormat="1" applyBorder="1" applyAlignment="1">
      <alignment horizontal="left"/>
    </xf>
    <xf numFmtId="1" fontId="1" fillId="0" borderId="0" xfId="1" applyNumberFormat="1" applyBorder="1" applyAlignment="1">
      <alignment horizontal="left"/>
    </xf>
    <xf numFmtId="1" fontId="2" fillId="0" borderId="26" xfId="1" applyNumberFormat="1" applyFont="1" applyBorder="1"/>
    <xf numFmtId="168" fontId="1" fillId="0" borderId="23" xfId="1" applyNumberFormat="1" applyBorder="1"/>
    <xf numFmtId="1" fontId="1" fillId="0" borderId="26" xfId="1" applyNumberFormat="1" applyBorder="1"/>
    <xf numFmtId="2" fontId="1" fillId="0" borderId="27" xfId="1" applyNumberFormat="1" applyBorder="1"/>
    <xf numFmtId="166" fontId="1" fillId="0" borderId="29" xfId="1" applyNumberFormat="1" applyBorder="1"/>
    <xf numFmtId="169" fontId="1" fillId="0" borderId="33" xfId="1" applyNumberFormat="1" applyBorder="1"/>
    <xf numFmtId="168" fontId="1" fillId="0" borderId="23" xfId="1" applyNumberFormat="1" applyBorder="1" applyAlignment="1">
      <alignment horizontal="left"/>
    </xf>
    <xf numFmtId="11" fontId="1" fillId="0" borderId="10" xfId="1" applyNumberFormat="1" applyBorder="1"/>
    <xf numFmtId="2" fontId="2" fillId="0" borderId="12" xfId="1" applyNumberFormat="1" applyFont="1" applyBorder="1"/>
    <xf numFmtId="165" fontId="1" fillId="0" borderId="21" xfId="1" applyNumberFormat="1" applyBorder="1"/>
    <xf numFmtId="2" fontId="1" fillId="0" borderId="21" xfId="1" applyNumberFormat="1" applyBorder="1"/>
    <xf numFmtId="2" fontId="1" fillId="0" borderId="12" xfId="1" applyNumberFormat="1" applyBorder="1"/>
    <xf numFmtId="167" fontId="1" fillId="0" borderId="13" xfId="1" applyNumberFormat="1" applyBorder="1"/>
    <xf numFmtId="171" fontId="1" fillId="0" borderId="15" xfId="1" applyNumberFormat="1" applyBorder="1"/>
    <xf numFmtId="165" fontId="1" fillId="0" borderId="21" xfId="1" applyNumberFormat="1" applyBorder="1" applyAlignment="1">
      <alignment horizontal="left"/>
    </xf>
    <xf numFmtId="11" fontId="1" fillId="0" borderId="24" xfId="1" applyNumberFormat="1" applyBorder="1"/>
    <xf numFmtId="2" fontId="2" fillId="0" borderId="26" xfId="1" applyNumberFormat="1" applyFont="1" applyBorder="1"/>
    <xf numFmtId="2" fontId="1" fillId="0" borderId="26" xfId="1" applyNumberFormat="1" applyBorder="1"/>
    <xf numFmtId="11" fontId="1" fillId="0" borderId="31" xfId="1" applyNumberFormat="1" applyBorder="1"/>
    <xf numFmtId="2" fontId="1" fillId="0" borderId="24" xfId="1" applyNumberFormat="1" applyBorder="1" applyAlignment="1">
      <alignment horizontal="left"/>
    </xf>
    <xf numFmtId="168" fontId="1" fillId="0" borderId="0" xfId="1" applyNumberFormat="1" applyBorder="1"/>
    <xf numFmtId="166" fontId="1" fillId="0" borderId="35" xfId="1" applyNumberFormat="1" applyBorder="1"/>
    <xf numFmtId="169" fontId="1" fillId="0" borderId="29" xfId="1" applyNumberFormat="1" applyBorder="1"/>
    <xf numFmtId="168" fontId="1" fillId="0" borderId="31" xfId="1" applyNumberFormat="1" applyBorder="1"/>
    <xf numFmtId="166" fontId="1" fillId="0" borderId="36" xfId="1" applyNumberFormat="1" applyBorder="1"/>
    <xf numFmtId="166" fontId="1" fillId="0" borderId="1" xfId="1" applyNumberFormat="1" applyBorder="1" applyAlignment="1">
      <alignment horizontal="center"/>
    </xf>
    <xf numFmtId="170" fontId="1" fillId="0" borderId="29" xfId="1" applyNumberFormat="1" applyBorder="1"/>
    <xf numFmtId="166" fontId="0" fillId="0" borderId="0" xfId="0" applyNumberFormat="1" applyAlignment="1">
      <alignment horizontal="center"/>
    </xf>
    <xf numFmtId="166" fontId="0" fillId="0" borderId="0" xfId="0" applyNumberFormat="1"/>
    <xf numFmtId="167" fontId="0" fillId="0" borderId="0" xfId="0" applyNumberFormat="1"/>
    <xf numFmtId="165" fontId="0" fillId="0" borderId="0" xfId="0" applyNumberFormat="1"/>
    <xf numFmtId="166" fontId="0" fillId="0" borderId="1" xfId="0" applyNumberFormat="1" applyBorder="1" applyAlignment="1">
      <alignment horizontal="center"/>
    </xf>
    <xf numFmtId="165" fontId="0" fillId="0" borderId="1" xfId="0" applyNumberFormat="1" applyBorder="1"/>
    <xf numFmtId="0" fontId="0" fillId="0" borderId="1" xfId="0" applyBorder="1"/>
    <xf numFmtId="2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38" xfId="0" applyBorder="1"/>
    <xf numFmtId="0" fontId="5" fillId="0" borderId="38" xfId="0" applyFont="1" applyBorder="1"/>
    <xf numFmtId="9" fontId="0" fillId="0" borderId="38" xfId="0" applyNumberFormat="1" applyBorder="1"/>
    <xf numFmtId="170" fontId="0" fillId="0" borderId="38" xfId="0" applyNumberFormat="1" applyBorder="1"/>
    <xf numFmtId="0" fontId="0" fillId="0" borderId="39" xfId="0" applyBorder="1"/>
    <xf numFmtId="0" fontId="5" fillId="0" borderId="39" xfId="0" applyFont="1" applyBorder="1"/>
    <xf numFmtId="165" fontId="0" fillId="0" borderId="39" xfId="0" applyNumberFormat="1" applyBorder="1"/>
    <xf numFmtId="2" fontId="0" fillId="0" borderId="39" xfId="0" applyNumberFormat="1" applyBorder="1"/>
    <xf numFmtId="167" fontId="0" fillId="0" borderId="39" xfId="0" applyNumberFormat="1" applyBorder="1"/>
    <xf numFmtId="166" fontId="0" fillId="0" borderId="39" xfId="0" applyNumberFormat="1" applyBorder="1"/>
    <xf numFmtId="0" fontId="0" fillId="0" borderId="0" xfId="0" applyBorder="1"/>
    <xf numFmtId="0" fontId="5" fillId="0" borderId="0" xfId="0" applyFont="1" applyBorder="1"/>
    <xf numFmtId="166" fontId="0" fillId="0" borderId="0" xfId="0" applyNumberFormat="1" applyBorder="1"/>
    <xf numFmtId="165" fontId="0" fillId="0" borderId="0" xfId="0" applyNumberFormat="1" applyBorder="1"/>
    <xf numFmtId="2" fontId="0" fillId="0" borderId="0" xfId="0" applyNumberFormat="1" applyBorder="1"/>
    <xf numFmtId="0" fontId="0" fillId="0" borderId="0" xfId="0" applyBorder="1" applyAlignment="1">
      <alignment horizontal="center"/>
    </xf>
    <xf numFmtId="166" fontId="0" fillId="0" borderId="0" xfId="0" applyNumberFormat="1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1" xfId="0" applyBorder="1" applyAlignment="1">
      <alignment horizontal="center"/>
    </xf>
    <xf numFmtId="0" fontId="5" fillId="0" borderId="37" xfId="0" applyFont="1" applyBorder="1" applyAlignment="1">
      <alignment horizontal="center"/>
    </xf>
    <xf numFmtId="168" fontId="0" fillId="0" borderId="0" xfId="0" applyNumberFormat="1" applyAlignment="1">
      <alignment horizontal="center"/>
    </xf>
    <xf numFmtId="166" fontId="0" fillId="0" borderId="40" xfId="0" applyNumberFormat="1" applyBorder="1" applyAlignment="1">
      <alignment horizontal="center"/>
    </xf>
    <xf numFmtId="166" fontId="0" fillId="0" borderId="41" xfId="0" applyNumberFormat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165" fontId="0" fillId="0" borderId="41" xfId="0" applyNumberFormat="1" applyBorder="1" applyAlignment="1">
      <alignment horizontal="center"/>
    </xf>
    <xf numFmtId="166" fontId="0" fillId="0" borderId="42" xfId="0" applyNumberFormat="1" applyBorder="1" applyAlignment="1">
      <alignment horizontal="center"/>
    </xf>
    <xf numFmtId="166" fontId="0" fillId="0" borderId="43" xfId="0" applyNumberFormat="1" applyBorder="1" applyAlignment="1">
      <alignment horizontal="center"/>
    </xf>
    <xf numFmtId="2" fontId="0" fillId="0" borderId="44" xfId="0" applyNumberFormat="1" applyBorder="1" applyAlignment="1">
      <alignment horizontal="center"/>
    </xf>
    <xf numFmtId="166" fontId="0" fillId="0" borderId="44" xfId="0" applyNumberFormat="1" applyBorder="1" applyAlignment="1">
      <alignment horizontal="center"/>
    </xf>
    <xf numFmtId="166" fontId="0" fillId="0" borderId="45" xfId="0" applyNumberFormat="1" applyBorder="1" applyAlignment="1">
      <alignment horizontal="center"/>
    </xf>
    <xf numFmtId="2" fontId="0" fillId="0" borderId="43" xfId="0" applyNumberFormat="1" applyBorder="1" applyAlignment="1">
      <alignment horizontal="center"/>
    </xf>
    <xf numFmtId="167" fontId="0" fillId="0" borderId="44" xfId="0" applyNumberFormat="1" applyBorder="1" applyAlignment="1">
      <alignment horizontal="center"/>
    </xf>
    <xf numFmtId="165" fontId="0" fillId="0" borderId="44" xfId="0" applyNumberFormat="1" applyBorder="1" applyAlignment="1">
      <alignment horizontal="center"/>
    </xf>
    <xf numFmtId="165" fontId="0" fillId="0" borderId="45" xfId="0" applyNumberFormat="1" applyBorder="1" applyAlignment="1">
      <alignment horizontal="center"/>
    </xf>
    <xf numFmtId="0" fontId="0" fillId="0" borderId="43" xfId="0" applyBorder="1"/>
    <xf numFmtId="0" fontId="0" fillId="0" borderId="44" xfId="0" applyBorder="1"/>
    <xf numFmtId="0" fontId="0" fillId="0" borderId="45" xfId="0" applyBorder="1"/>
    <xf numFmtId="0" fontId="9" fillId="0" borderId="0" xfId="0" applyFont="1"/>
    <xf numFmtId="0" fontId="1" fillId="2" borderId="0" xfId="1" applyFill="1"/>
    <xf numFmtId="0" fontId="0" fillId="0" borderId="0" xfId="0" applyAlignment="1">
      <alignment horizontal="center"/>
    </xf>
    <xf numFmtId="0" fontId="0" fillId="0" borderId="37" xfId="0" applyBorder="1" applyAlignment="1">
      <alignment horizontal="center" wrapText="1"/>
    </xf>
    <xf numFmtId="0" fontId="10" fillId="0" borderId="0" xfId="0" applyFont="1" applyBorder="1" applyAlignment="1">
      <alignment vertical="center"/>
    </xf>
    <xf numFmtId="0" fontId="10" fillId="0" borderId="0" xfId="0" applyFont="1"/>
    <xf numFmtId="0" fontId="5" fillId="0" borderId="46" xfId="0" applyFont="1" applyBorder="1" applyAlignment="1">
      <alignment horizontal="center"/>
    </xf>
    <xf numFmtId="166" fontId="0" fillId="0" borderId="46" xfId="0" applyNumberFormat="1" applyBorder="1" applyAlignment="1">
      <alignment horizontal="center"/>
    </xf>
    <xf numFmtId="2" fontId="0" fillId="0" borderId="46" xfId="0" applyNumberFormat="1" applyBorder="1" applyAlignment="1">
      <alignment horizontal="center"/>
    </xf>
    <xf numFmtId="165" fontId="0" fillId="0" borderId="46" xfId="0" applyNumberFormat="1" applyBorder="1" applyAlignment="1">
      <alignment horizontal="center"/>
    </xf>
    <xf numFmtId="0" fontId="0" fillId="0" borderId="46" xfId="0" applyBorder="1"/>
    <xf numFmtId="166" fontId="0" fillId="0" borderId="0" xfId="0" applyNumberFormat="1" applyAlignment="1">
      <alignment horizontal="left"/>
    </xf>
    <xf numFmtId="166" fontId="0" fillId="0" borderId="1" xfId="0" applyNumberFormat="1" applyBorder="1" applyAlignment="1">
      <alignment horizontal="left"/>
    </xf>
  </cellXfs>
  <cellStyles count="2">
    <cellStyle name="Normal" xfId="0" builtinId="0" customBuiltin="1"/>
    <cellStyle name="Normal 2" xfId="1"/>
  </cellStyles>
  <dxfs count="112"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Permeability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 → B</c:v>
          </c:tx>
          <c:invertIfNegative val="0"/>
          <c:errBars>
            <c:errBarType val="both"/>
            <c:errValType val="cust"/>
            <c:noEndCap val="0"/>
            <c:plus>
              <c:numRef>
                <c:f>Summary!$C$44:$C$50</c:f>
                <c:numCache>
                  <c:formatCode>General</c:formatCode>
                  <c:ptCount val="7"/>
                  <c:pt idx="0">
                    <c:v>9.1919034825173345</c:v>
                  </c:pt>
                  <c:pt idx="1">
                    <c:v>7.0092772340819165</c:v>
                  </c:pt>
                  <c:pt idx="2">
                    <c:v>2.7867055056980776</c:v>
                  </c:pt>
                  <c:pt idx="3">
                    <c:v>0.6130230401389366</c:v>
                  </c:pt>
                  <c:pt idx="4">
                    <c:v>0.14756609320646832</c:v>
                  </c:pt>
                  <c:pt idx="5">
                    <c:v>0.20485008498681773</c:v>
                  </c:pt>
                  <c:pt idx="6">
                    <c:v>6.5857414440376871</c:v>
                  </c:pt>
                </c:numCache>
              </c:numRef>
            </c:plus>
            <c:minus>
              <c:numRef>
                <c:f>Summary!$C$44:$C$50</c:f>
                <c:numCache>
                  <c:formatCode>General</c:formatCode>
                  <c:ptCount val="7"/>
                  <c:pt idx="0">
                    <c:v>9.1919034825173345</c:v>
                  </c:pt>
                  <c:pt idx="1">
                    <c:v>7.0092772340819165</c:v>
                  </c:pt>
                  <c:pt idx="2">
                    <c:v>2.7867055056980776</c:v>
                  </c:pt>
                  <c:pt idx="3">
                    <c:v>0.6130230401389366</c:v>
                  </c:pt>
                  <c:pt idx="4">
                    <c:v>0.14756609320646832</c:v>
                  </c:pt>
                  <c:pt idx="5">
                    <c:v>0.20485008498681773</c:v>
                  </c:pt>
                  <c:pt idx="6">
                    <c:v>6.5857414440376871</c:v>
                  </c:pt>
                </c:numCache>
              </c:numRef>
            </c:minus>
          </c:errBars>
          <c:val>
            <c:numRef>
              <c:f>Summary!$B$44:$B$50</c:f>
              <c:numCache>
                <c:formatCode>0.0</c:formatCode>
                <c:ptCount val="7"/>
                <c:pt idx="0">
                  <c:v>45.153495517017632</c:v>
                </c:pt>
                <c:pt idx="1">
                  <c:v>36.567495645156683</c:v>
                </c:pt>
                <c:pt idx="2">
                  <c:v>23.129733647381066</c:v>
                </c:pt>
                <c:pt idx="3">
                  <c:v>50.652093130204037</c:v>
                </c:pt>
                <c:pt idx="4" formatCode="0.00">
                  <c:v>1.0130301925097094</c:v>
                </c:pt>
                <c:pt idx="5" formatCode="0.000">
                  <c:v>0.31633145558226994</c:v>
                </c:pt>
                <c:pt idx="6">
                  <c:v>49.821955305693095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44-45ED-95AA-7ED2E99A3175}"/>
            </c:ext>
          </c:extLst>
        </c:ser>
        <c:ser>
          <c:idx val="1"/>
          <c:order val="1"/>
          <c:tx>
            <c:v>B → A</c:v>
          </c:tx>
          <c:invertIfNegative val="0"/>
          <c:errBars>
            <c:errBarType val="both"/>
            <c:errValType val="cust"/>
            <c:noEndCap val="0"/>
            <c:plus>
              <c:numRef>
                <c:f>Summary!$E$44:$E$50</c:f>
                <c:numCache>
                  <c:formatCode>General</c:formatCode>
                  <c:ptCount val="7"/>
                  <c:pt idx="0">
                    <c:v>1.3516710519915256</c:v>
                  </c:pt>
                  <c:pt idx="1">
                    <c:v>1.1140947262221439</c:v>
                  </c:pt>
                  <c:pt idx="2">
                    <c:v>0.60535089592862246</c:v>
                  </c:pt>
                  <c:pt idx="3">
                    <c:v>2.9025748159715343</c:v>
                  </c:pt>
                  <c:pt idx="4">
                    <c:v>0.20559456239604079</c:v>
                  </c:pt>
                  <c:pt idx="5">
                    <c:v>8.8062535495161721E-3</c:v>
                  </c:pt>
                  <c:pt idx="6">
                    <c:v>7.8088642194349314</c:v>
                  </c:pt>
                </c:numCache>
              </c:numRef>
            </c:plus>
            <c:minus>
              <c:numRef>
                <c:f>Summary!$E$44:$E$50</c:f>
                <c:numCache>
                  <c:formatCode>General</c:formatCode>
                  <c:ptCount val="7"/>
                  <c:pt idx="0">
                    <c:v>1.3516710519915256</c:v>
                  </c:pt>
                  <c:pt idx="1">
                    <c:v>1.1140947262221439</c:v>
                  </c:pt>
                  <c:pt idx="2">
                    <c:v>0.60535089592862246</c:v>
                  </c:pt>
                  <c:pt idx="3">
                    <c:v>2.9025748159715343</c:v>
                  </c:pt>
                  <c:pt idx="4">
                    <c:v>0.20559456239604079</c:v>
                  </c:pt>
                  <c:pt idx="5">
                    <c:v>8.8062535495161721E-3</c:v>
                  </c:pt>
                  <c:pt idx="6">
                    <c:v>7.8088642194349314</c:v>
                  </c:pt>
                </c:numCache>
              </c:numRef>
            </c:minus>
          </c:errBars>
          <c:cat>
            <c:strRef>
              <c:f>Summary!$A$44:$A$50</c:f>
              <c:strCache>
                <c:ptCount val="7"/>
                <c:pt idx="0">
                  <c:v>DTXSID0041274</c:v>
                </c:pt>
                <c:pt idx="1">
                  <c:v>DTXSID2026232</c:v>
                </c:pt>
                <c:pt idx="2">
                  <c:v>DTXSID2040731</c:v>
                </c:pt>
                <c:pt idx="3">
                  <c:v>DTXSID9021689</c:v>
                </c:pt>
                <c:pt idx="4">
                  <c:v>Ranitidine</c:v>
                </c:pt>
                <c:pt idx="5">
                  <c:v>Talinolol</c:v>
                </c:pt>
                <c:pt idx="6">
                  <c:v>Warfarin</c:v>
                </c:pt>
              </c:strCache>
            </c:strRef>
          </c:cat>
          <c:val>
            <c:numRef>
              <c:f>Summary!$D$44:$D$50</c:f>
              <c:numCache>
                <c:formatCode>0.00</c:formatCode>
                <c:ptCount val="7"/>
                <c:pt idx="0" formatCode="0.0">
                  <c:v>46.565871205008982</c:v>
                </c:pt>
                <c:pt idx="1">
                  <c:v>1.4038851370733709</c:v>
                </c:pt>
                <c:pt idx="2" formatCode="0.0">
                  <c:v>15.802229640803567</c:v>
                </c:pt>
                <c:pt idx="3" formatCode="0.0">
                  <c:v>34.401592661792762</c:v>
                </c:pt>
                <c:pt idx="4">
                  <c:v>2.5792307023077812</c:v>
                </c:pt>
                <c:pt idx="5">
                  <c:v>5.7827699714842495</c:v>
                </c:pt>
                <c:pt idx="6" formatCode="0.0">
                  <c:v>38.642767383435796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44-45ED-95AA-7ED2E99A31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2245560"/>
        <c:axId val="602245888"/>
      </c:barChart>
      <c:catAx>
        <c:axId val="6022455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Compound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602245888"/>
        <c:crosses val="autoZero"/>
        <c:auto val="1"/>
        <c:lblAlgn val="ctr"/>
        <c:lblOffset val="100"/>
        <c:noMultiLvlLbl val="0"/>
      </c:catAx>
      <c:valAx>
        <c:axId val="6022458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Papp (10-6 cm/s)</a:t>
                </a:r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nextTo"/>
        <c:crossAx val="602245560"/>
        <c:crosses val="autoZero"/>
        <c:crossBetween val="between"/>
      </c:valAx>
      <c:spPr>
        <a:solidFill>
          <a:srgbClr val="FFC000">
            <a:lumMod val="20000"/>
            <a:lumOff val="80000"/>
          </a:srgbClr>
        </a:solidFill>
      </c:spPr>
    </c:plotArea>
    <c:legend>
      <c:legendPos val="t"/>
      <c:layout/>
      <c:overlay val="0"/>
      <c:spPr>
        <a:solidFill>
          <a:srgbClr val="FFF2CC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txPr>
    <a:bodyPr/>
    <a:lstStyle/>
    <a:p>
      <a:pPr>
        <a:defRPr>
          <a:latin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Permeability of DTXSID0041274</a:t>
            </a:r>
          </a:p>
          <a:p>
            <a:pPr>
              <a:defRPr/>
            </a:pPr>
            <a:r>
              <a:rPr lang="en-US"/>
              <a:t>Efflux Ratio = 1.06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invertIfNegative val="0"/>
          <c:errBars>
            <c:errBarType val="both"/>
            <c:errValType val="cust"/>
            <c:noEndCap val="0"/>
            <c:plus>
              <c:numRef>
                <c:f>Data!$R$2:$R$3</c:f>
                <c:numCache>
                  <c:formatCode>General</c:formatCode>
                  <c:ptCount val="2"/>
                  <c:pt idx="0">
                    <c:v>9.1919034825173345</c:v>
                  </c:pt>
                  <c:pt idx="1">
                    <c:v>1.3516710519915256</c:v>
                  </c:pt>
                </c:numCache>
              </c:numRef>
            </c:plus>
            <c:minus>
              <c:numRef>
                <c:f>Data!$R$2:$R$3</c:f>
                <c:numCache>
                  <c:formatCode>General</c:formatCode>
                  <c:ptCount val="2"/>
                  <c:pt idx="0">
                    <c:v>9.1919034825173345</c:v>
                  </c:pt>
                  <c:pt idx="1">
                    <c:v>1.3516710519915256</c:v>
                  </c:pt>
                </c:numCache>
              </c:numRef>
            </c:minus>
          </c:errBars>
          <c:cat>
            <c:strRef>
              <c:f>Data!$P$2:$P$3</c:f>
              <c:strCache>
                <c:ptCount val="2"/>
                <c:pt idx="0">
                  <c:v>A → B</c:v>
                </c:pt>
                <c:pt idx="1">
                  <c:v>B → A</c:v>
                </c:pt>
              </c:strCache>
            </c:strRef>
          </c:cat>
          <c:val>
            <c:numRef>
              <c:f>Data!$Q$2:$Q$3</c:f>
              <c:numCache>
                <c:formatCode>0.0</c:formatCode>
                <c:ptCount val="2"/>
                <c:pt idx="0">
                  <c:v>45.153495517017632</c:v>
                </c:pt>
                <c:pt idx="1">
                  <c:v>46.565871205008982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20-4EB9-9CB0-E209618DB5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5892168"/>
        <c:axId val="425882328"/>
      </c:barChart>
      <c:catAx>
        <c:axId val="425892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Direction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25882328"/>
        <c:crosses val="autoZero"/>
        <c:auto val="1"/>
        <c:lblAlgn val="ctr"/>
        <c:lblOffset val="100"/>
        <c:noMultiLvlLbl val="0"/>
      </c:catAx>
      <c:valAx>
        <c:axId val="42588232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Papp (10-6 cm/s)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425892168"/>
        <c:crosses val="autoZero"/>
        <c:crossBetween val="between"/>
      </c:valAx>
      <c:spPr>
        <a:solidFill>
          <a:srgbClr val="FFC000">
            <a:lumMod val="20000"/>
            <a:lumOff val="80000"/>
          </a:srgbClr>
        </a:solidFill>
      </c:spPr>
    </c:plotArea>
    <c:plotVisOnly val="0"/>
    <c:dispBlanksAs val="gap"/>
    <c:showDLblsOverMax val="0"/>
  </c:chart>
  <c:txPr>
    <a:bodyPr/>
    <a:lstStyle/>
    <a:p>
      <a:pPr>
        <a:defRPr>
          <a:latin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Permeability of DTXSID2026232</a:t>
            </a:r>
          </a:p>
          <a:p>
            <a:pPr>
              <a:defRPr/>
            </a:pPr>
            <a:r>
              <a:rPr lang="en-US"/>
              <a:t>Efflux Ratio = 0.0421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invertIfNegative val="0"/>
          <c:errBars>
            <c:errBarType val="both"/>
            <c:errValType val="cust"/>
            <c:noEndCap val="0"/>
            <c:plus>
              <c:numRef>
                <c:f>Data!$R$28:$R$29</c:f>
                <c:numCache>
                  <c:formatCode>General</c:formatCode>
                  <c:ptCount val="2"/>
                  <c:pt idx="0">
                    <c:v>7.0092772340819165</c:v>
                  </c:pt>
                  <c:pt idx="1">
                    <c:v>1.1140947262221439</c:v>
                  </c:pt>
                </c:numCache>
              </c:numRef>
            </c:plus>
            <c:minus>
              <c:numRef>
                <c:f>Data!$R$28:$R$29</c:f>
                <c:numCache>
                  <c:formatCode>General</c:formatCode>
                  <c:ptCount val="2"/>
                  <c:pt idx="0">
                    <c:v>7.0092772340819165</c:v>
                  </c:pt>
                  <c:pt idx="1">
                    <c:v>1.1140947262221439</c:v>
                  </c:pt>
                </c:numCache>
              </c:numRef>
            </c:minus>
          </c:errBars>
          <c:cat>
            <c:strRef>
              <c:f>Data!$P$28:$P$29</c:f>
              <c:strCache>
                <c:ptCount val="2"/>
                <c:pt idx="0">
                  <c:v>A → B</c:v>
                </c:pt>
                <c:pt idx="1">
                  <c:v>B → A</c:v>
                </c:pt>
              </c:strCache>
            </c:strRef>
          </c:cat>
          <c:val>
            <c:numRef>
              <c:f>Data!$Q$28:$Q$29</c:f>
              <c:numCache>
                <c:formatCode>0.00</c:formatCode>
                <c:ptCount val="2"/>
                <c:pt idx="0" formatCode="0.0">
                  <c:v>36.567495645156683</c:v>
                </c:pt>
                <c:pt idx="1">
                  <c:v>1.4038851370733709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92-42DC-A74F-ABF1C5A4F5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7694784"/>
        <c:axId val="597701016"/>
      </c:barChart>
      <c:catAx>
        <c:axId val="597694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Direction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97701016"/>
        <c:crosses val="autoZero"/>
        <c:auto val="1"/>
        <c:lblAlgn val="ctr"/>
        <c:lblOffset val="100"/>
        <c:noMultiLvlLbl val="0"/>
      </c:catAx>
      <c:valAx>
        <c:axId val="597701016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Papp (10-6 cm/s)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597694784"/>
        <c:crosses val="autoZero"/>
        <c:crossBetween val="between"/>
      </c:valAx>
      <c:spPr>
        <a:solidFill>
          <a:srgbClr val="FFC000">
            <a:lumMod val="20000"/>
            <a:lumOff val="80000"/>
          </a:srgbClr>
        </a:solidFill>
      </c:spPr>
    </c:plotArea>
    <c:plotVisOnly val="0"/>
    <c:dispBlanksAs val="gap"/>
    <c:showDLblsOverMax val="0"/>
  </c:chart>
  <c:txPr>
    <a:bodyPr/>
    <a:lstStyle/>
    <a:p>
      <a:pPr>
        <a:defRPr>
          <a:latin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Permeability of DTXSID2040731</a:t>
            </a:r>
          </a:p>
          <a:p>
            <a:pPr>
              <a:defRPr/>
            </a:pPr>
            <a:r>
              <a:rPr lang="en-US"/>
              <a:t>Efflux Ratio = 0.687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invertIfNegative val="0"/>
          <c:errBars>
            <c:errBarType val="both"/>
            <c:errValType val="cust"/>
            <c:noEndCap val="0"/>
            <c:plus>
              <c:numRef>
                <c:f>Data!$R$54:$R$55</c:f>
                <c:numCache>
                  <c:formatCode>General</c:formatCode>
                  <c:ptCount val="2"/>
                  <c:pt idx="0">
                    <c:v>2.7867055056980776</c:v>
                  </c:pt>
                  <c:pt idx="1">
                    <c:v>0.60535089592862246</c:v>
                  </c:pt>
                </c:numCache>
              </c:numRef>
            </c:plus>
            <c:minus>
              <c:numRef>
                <c:f>Data!$R$54:$R$55</c:f>
                <c:numCache>
                  <c:formatCode>General</c:formatCode>
                  <c:ptCount val="2"/>
                  <c:pt idx="0">
                    <c:v>2.7867055056980776</c:v>
                  </c:pt>
                  <c:pt idx="1">
                    <c:v>0.60535089592862246</c:v>
                  </c:pt>
                </c:numCache>
              </c:numRef>
            </c:minus>
          </c:errBars>
          <c:cat>
            <c:strRef>
              <c:f>Data!$P$54:$P$55</c:f>
              <c:strCache>
                <c:ptCount val="2"/>
                <c:pt idx="0">
                  <c:v>A → B</c:v>
                </c:pt>
                <c:pt idx="1">
                  <c:v>B → A</c:v>
                </c:pt>
              </c:strCache>
            </c:strRef>
          </c:cat>
          <c:val>
            <c:numRef>
              <c:f>Data!$Q$54:$Q$55</c:f>
              <c:numCache>
                <c:formatCode>0.0</c:formatCode>
                <c:ptCount val="2"/>
                <c:pt idx="0">
                  <c:v>23.129733647381066</c:v>
                </c:pt>
                <c:pt idx="1">
                  <c:v>15.802229640803567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5F-4F8B-A2C4-86F37072C8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2258680"/>
        <c:axId val="602260976"/>
      </c:barChart>
      <c:catAx>
        <c:axId val="6022586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Direction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02260976"/>
        <c:crosses val="autoZero"/>
        <c:auto val="1"/>
        <c:lblAlgn val="ctr"/>
        <c:lblOffset val="100"/>
        <c:noMultiLvlLbl val="0"/>
      </c:catAx>
      <c:valAx>
        <c:axId val="602260976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Papp (10-6 cm/s)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602258680"/>
        <c:crosses val="autoZero"/>
        <c:crossBetween val="between"/>
      </c:valAx>
      <c:spPr>
        <a:solidFill>
          <a:srgbClr val="FFC000">
            <a:lumMod val="20000"/>
            <a:lumOff val="80000"/>
          </a:srgbClr>
        </a:solidFill>
      </c:spPr>
    </c:plotArea>
    <c:plotVisOnly val="0"/>
    <c:dispBlanksAs val="gap"/>
    <c:showDLblsOverMax val="0"/>
  </c:chart>
  <c:txPr>
    <a:bodyPr/>
    <a:lstStyle/>
    <a:p>
      <a:pPr>
        <a:defRPr>
          <a:latin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Permeability of DTXSID9021689</a:t>
            </a:r>
          </a:p>
          <a:p>
            <a:pPr>
              <a:defRPr/>
            </a:pPr>
            <a:r>
              <a:rPr lang="en-US"/>
              <a:t>Efflux Ratio = 0.679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invertIfNegative val="0"/>
          <c:errBars>
            <c:errBarType val="both"/>
            <c:errValType val="cust"/>
            <c:noEndCap val="0"/>
            <c:plus>
              <c:numRef>
                <c:f>Data!$R$80:$R$81</c:f>
                <c:numCache>
                  <c:formatCode>General</c:formatCode>
                  <c:ptCount val="2"/>
                  <c:pt idx="0">
                    <c:v>0.6130230401389366</c:v>
                  </c:pt>
                  <c:pt idx="1">
                    <c:v>2.9025748159715343</c:v>
                  </c:pt>
                </c:numCache>
              </c:numRef>
            </c:plus>
            <c:minus>
              <c:numRef>
                <c:f>Data!$R$80:$R$81</c:f>
                <c:numCache>
                  <c:formatCode>General</c:formatCode>
                  <c:ptCount val="2"/>
                  <c:pt idx="0">
                    <c:v>0.6130230401389366</c:v>
                  </c:pt>
                  <c:pt idx="1">
                    <c:v>2.9025748159715343</c:v>
                  </c:pt>
                </c:numCache>
              </c:numRef>
            </c:minus>
          </c:errBars>
          <c:cat>
            <c:strRef>
              <c:f>Data!$P$80:$P$81</c:f>
              <c:strCache>
                <c:ptCount val="2"/>
                <c:pt idx="0">
                  <c:v>A → B</c:v>
                </c:pt>
                <c:pt idx="1">
                  <c:v>B → A</c:v>
                </c:pt>
              </c:strCache>
            </c:strRef>
          </c:cat>
          <c:val>
            <c:numRef>
              <c:f>Data!$Q$80:$Q$81</c:f>
              <c:numCache>
                <c:formatCode>0.0</c:formatCode>
                <c:ptCount val="2"/>
                <c:pt idx="0">
                  <c:v>50.652093130204037</c:v>
                </c:pt>
                <c:pt idx="1">
                  <c:v>34.401592661792762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91-45C9-9C10-3B9603417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0543392"/>
        <c:axId val="600542080"/>
      </c:barChart>
      <c:catAx>
        <c:axId val="6005433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Direction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00542080"/>
        <c:crosses val="autoZero"/>
        <c:auto val="1"/>
        <c:lblAlgn val="ctr"/>
        <c:lblOffset val="100"/>
        <c:noMultiLvlLbl val="0"/>
      </c:catAx>
      <c:valAx>
        <c:axId val="60054208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Papp (10-6 cm/s)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600543392"/>
        <c:crosses val="autoZero"/>
        <c:crossBetween val="between"/>
      </c:valAx>
      <c:spPr>
        <a:solidFill>
          <a:srgbClr val="FFC000">
            <a:lumMod val="20000"/>
            <a:lumOff val="80000"/>
          </a:srgbClr>
        </a:solidFill>
      </c:spPr>
    </c:plotArea>
    <c:plotVisOnly val="0"/>
    <c:dispBlanksAs val="gap"/>
    <c:showDLblsOverMax val="0"/>
  </c:chart>
  <c:txPr>
    <a:bodyPr/>
    <a:lstStyle/>
    <a:p>
      <a:pPr>
        <a:defRPr>
          <a:latin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Permeability of Ranitidine</a:t>
            </a:r>
          </a:p>
          <a:p>
            <a:pPr>
              <a:defRPr/>
            </a:pPr>
            <a:r>
              <a:rPr lang="en-US"/>
              <a:t>Efflux Ratio = 2.59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invertIfNegative val="0"/>
          <c:errBars>
            <c:errBarType val="both"/>
            <c:errValType val="cust"/>
            <c:noEndCap val="0"/>
            <c:plus>
              <c:numRef>
                <c:f>Data!$R$106:$R$107</c:f>
                <c:numCache>
                  <c:formatCode>General</c:formatCode>
                  <c:ptCount val="2"/>
                  <c:pt idx="0">
                    <c:v>0.14756609320646832</c:v>
                  </c:pt>
                  <c:pt idx="1">
                    <c:v>0.20559456239604079</c:v>
                  </c:pt>
                </c:numCache>
              </c:numRef>
            </c:plus>
            <c:minus>
              <c:numRef>
                <c:f>Data!$R$106:$R$107</c:f>
                <c:numCache>
                  <c:formatCode>General</c:formatCode>
                  <c:ptCount val="2"/>
                  <c:pt idx="0">
                    <c:v>0.14756609320646832</c:v>
                  </c:pt>
                  <c:pt idx="1">
                    <c:v>0.20559456239604079</c:v>
                  </c:pt>
                </c:numCache>
              </c:numRef>
            </c:minus>
          </c:errBars>
          <c:cat>
            <c:strRef>
              <c:f>Data!$P$106:$P$107</c:f>
              <c:strCache>
                <c:ptCount val="2"/>
                <c:pt idx="0">
                  <c:v>A → B</c:v>
                </c:pt>
                <c:pt idx="1">
                  <c:v>B → A</c:v>
                </c:pt>
              </c:strCache>
            </c:strRef>
          </c:cat>
          <c:val>
            <c:numRef>
              <c:f>Data!$Q$106:$Q$107</c:f>
              <c:numCache>
                <c:formatCode>0.00</c:formatCode>
                <c:ptCount val="2"/>
                <c:pt idx="0">
                  <c:v>1.0130301925097094</c:v>
                </c:pt>
                <c:pt idx="1">
                  <c:v>2.5792307023077812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BD-4CD3-98DE-2EE0A2A64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2249496"/>
        <c:axId val="602251464"/>
      </c:barChart>
      <c:catAx>
        <c:axId val="602249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Direction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02251464"/>
        <c:crosses val="autoZero"/>
        <c:auto val="1"/>
        <c:lblAlgn val="ctr"/>
        <c:lblOffset val="100"/>
        <c:noMultiLvlLbl val="0"/>
      </c:catAx>
      <c:valAx>
        <c:axId val="602251464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Papp (10-6 cm/s)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602249496"/>
        <c:crosses val="autoZero"/>
        <c:crossBetween val="between"/>
      </c:valAx>
      <c:spPr>
        <a:solidFill>
          <a:srgbClr val="FFC000">
            <a:lumMod val="20000"/>
            <a:lumOff val="80000"/>
          </a:srgbClr>
        </a:solidFill>
      </c:spPr>
    </c:plotArea>
    <c:plotVisOnly val="0"/>
    <c:dispBlanksAs val="gap"/>
    <c:showDLblsOverMax val="0"/>
  </c:chart>
  <c:txPr>
    <a:bodyPr/>
    <a:lstStyle/>
    <a:p>
      <a:pPr>
        <a:defRPr>
          <a:latin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Permeability of Talinolol</a:t>
            </a:r>
          </a:p>
          <a:p>
            <a:pPr>
              <a:defRPr/>
            </a:pPr>
            <a:r>
              <a:rPr lang="en-US"/>
              <a:t>Efflux Ratio = 23.1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invertIfNegative val="0"/>
          <c:errBars>
            <c:errBarType val="both"/>
            <c:errValType val="cust"/>
            <c:noEndCap val="0"/>
            <c:plus>
              <c:numRef>
                <c:f>Data!$R$132:$R$133</c:f>
                <c:numCache>
                  <c:formatCode>General</c:formatCode>
                  <c:ptCount val="2"/>
                  <c:pt idx="0">
                    <c:v>0.20485008498681773</c:v>
                  </c:pt>
                  <c:pt idx="1">
                    <c:v>8.8062535495161721E-3</c:v>
                  </c:pt>
                </c:numCache>
              </c:numRef>
            </c:plus>
            <c:minus>
              <c:numRef>
                <c:f>Data!$R$132:$R$133</c:f>
                <c:numCache>
                  <c:formatCode>General</c:formatCode>
                  <c:ptCount val="2"/>
                  <c:pt idx="0">
                    <c:v>0.20485008498681773</c:v>
                  </c:pt>
                  <c:pt idx="1">
                    <c:v>8.8062535495161721E-3</c:v>
                  </c:pt>
                </c:numCache>
              </c:numRef>
            </c:minus>
          </c:errBars>
          <c:cat>
            <c:strRef>
              <c:f>Data!$P$132:$P$133</c:f>
              <c:strCache>
                <c:ptCount val="2"/>
                <c:pt idx="0">
                  <c:v>A → B</c:v>
                </c:pt>
                <c:pt idx="1">
                  <c:v>B → A</c:v>
                </c:pt>
              </c:strCache>
            </c:strRef>
          </c:cat>
          <c:val>
            <c:numRef>
              <c:f>Data!$Q$132:$Q$133</c:f>
              <c:numCache>
                <c:formatCode>0.00</c:formatCode>
                <c:ptCount val="2"/>
                <c:pt idx="0" formatCode="0.000">
                  <c:v>0.31633145558226994</c:v>
                </c:pt>
                <c:pt idx="1">
                  <c:v>5.7827699714842495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FE-493B-B780-D6DA7F0927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0547984"/>
        <c:axId val="600548968"/>
      </c:barChart>
      <c:catAx>
        <c:axId val="600547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Direction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00548968"/>
        <c:crosses val="autoZero"/>
        <c:auto val="1"/>
        <c:lblAlgn val="ctr"/>
        <c:lblOffset val="100"/>
        <c:noMultiLvlLbl val="0"/>
      </c:catAx>
      <c:valAx>
        <c:axId val="60054896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Papp (10-6 cm/s)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600547984"/>
        <c:crosses val="autoZero"/>
        <c:crossBetween val="between"/>
      </c:valAx>
      <c:spPr>
        <a:solidFill>
          <a:srgbClr val="FFC000">
            <a:lumMod val="20000"/>
            <a:lumOff val="80000"/>
          </a:srgbClr>
        </a:solidFill>
      </c:spPr>
    </c:plotArea>
    <c:plotVisOnly val="0"/>
    <c:dispBlanksAs val="gap"/>
    <c:showDLblsOverMax val="0"/>
  </c:chart>
  <c:txPr>
    <a:bodyPr/>
    <a:lstStyle/>
    <a:p>
      <a:pPr>
        <a:defRPr>
          <a:latin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Permeability of Warfarin</a:t>
            </a:r>
          </a:p>
          <a:p>
            <a:pPr>
              <a:defRPr/>
            </a:pPr>
            <a:r>
              <a:rPr lang="en-US"/>
              <a:t>Efflux Ratio = 0.793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invertIfNegative val="0"/>
          <c:errBars>
            <c:errBarType val="both"/>
            <c:errValType val="cust"/>
            <c:noEndCap val="0"/>
            <c:plus>
              <c:numRef>
                <c:f>Data!$R$158:$R$159</c:f>
                <c:numCache>
                  <c:formatCode>General</c:formatCode>
                  <c:ptCount val="2"/>
                  <c:pt idx="0">
                    <c:v>6.5857414440376871</c:v>
                  </c:pt>
                  <c:pt idx="1">
                    <c:v>7.8088642194349314</c:v>
                  </c:pt>
                </c:numCache>
              </c:numRef>
            </c:plus>
            <c:minus>
              <c:numRef>
                <c:f>Data!$R$158:$R$159</c:f>
                <c:numCache>
                  <c:formatCode>General</c:formatCode>
                  <c:ptCount val="2"/>
                  <c:pt idx="0">
                    <c:v>6.5857414440376871</c:v>
                  </c:pt>
                  <c:pt idx="1">
                    <c:v>7.8088642194349314</c:v>
                  </c:pt>
                </c:numCache>
              </c:numRef>
            </c:minus>
          </c:errBars>
          <c:cat>
            <c:strRef>
              <c:f>Data!$P$158:$P$159</c:f>
              <c:strCache>
                <c:ptCount val="2"/>
                <c:pt idx="0">
                  <c:v>A → B</c:v>
                </c:pt>
                <c:pt idx="1">
                  <c:v>B → A</c:v>
                </c:pt>
              </c:strCache>
            </c:strRef>
          </c:cat>
          <c:val>
            <c:numRef>
              <c:f>Data!$Q$158:$Q$159</c:f>
              <c:numCache>
                <c:formatCode>0.0</c:formatCode>
                <c:ptCount val="2"/>
                <c:pt idx="0">
                  <c:v>49.821955305693095</c:v>
                </c:pt>
                <c:pt idx="1">
                  <c:v>38.642767383435796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43-4827-B679-9C2CC178B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0657664"/>
        <c:axId val="600657992"/>
      </c:barChart>
      <c:catAx>
        <c:axId val="600657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Direction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00657992"/>
        <c:crosses val="autoZero"/>
        <c:auto val="1"/>
        <c:lblAlgn val="ctr"/>
        <c:lblOffset val="100"/>
        <c:noMultiLvlLbl val="0"/>
      </c:catAx>
      <c:valAx>
        <c:axId val="600657992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Papp (10-6 cm/s)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600657664"/>
        <c:crosses val="autoZero"/>
        <c:crossBetween val="between"/>
      </c:valAx>
      <c:spPr>
        <a:solidFill>
          <a:srgbClr val="FFC000">
            <a:lumMod val="20000"/>
            <a:lumOff val="80000"/>
          </a:srgbClr>
        </a:solidFill>
      </c:spPr>
    </c:plotArea>
    <c:plotVisOnly val="0"/>
    <c:dispBlanksAs val="gap"/>
    <c:showDLblsOverMax val="0"/>
  </c:chart>
  <c:txPr>
    <a:bodyPr/>
    <a:lstStyle/>
    <a:p>
      <a:pPr>
        <a:defRPr>
          <a:latin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0</xdr:rowOff>
    </xdr:from>
    <xdr:to>
      <xdr:col>8</xdr:col>
      <xdr:colOff>0</xdr:colOff>
      <xdr:row>40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</xdr:row>
      <xdr:rowOff>0</xdr:rowOff>
    </xdr:from>
    <xdr:to>
      <xdr:col>22</xdr:col>
      <xdr:colOff>0</xdr:colOff>
      <xdr:row>17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0</xdr:colOff>
      <xdr:row>27</xdr:row>
      <xdr:rowOff>0</xdr:rowOff>
    </xdr:from>
    <xdr:to>
      <xdr:col>22</xdr:col>
      <xdr:colOff>0</xdr:colOff>
      <xdr:row>43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0</xdr:colOff>
      <xdr:row>53</xdr:row>
      <xdr:rowOff>0</xdr:rowOff>
    </xdr:from>
    <xdr:to>
      <xdr:col>22</xdr:col>
      <xdr:colOff>0</xdr:colOff>
      <xdr:row>69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0</xdr:colOff>
      <xdr:row>79</xdr:row>
      <xdr:rowOff>0</xdr:rowOff>
    </xdr:from>
    <xdr:to>
      <xdr:col>22</xdr:col>
      <xdr:colOff>0</xdr:colOff>
      <xdr:row>95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0</xdr:colOff>
      <xdr:row>105</xdr:row>
      <xdr:rowOff>0</xdr:rowOff>
    </xdr:from>
    <xdr:to>
      <xdr:col>22</xdr:col>
      <xdr:colOff>0</xdr:colOff>
      <xdr:row>121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0</xdr:colOff>
      <xdr:row>131</xdr:row>
      <xdr:rowOff>0</xdr:rowOff>
    </xdr:from>
    <xdr:to>
      <xdr:col>22</xdr:col>
      <xdr:colOff>0</xdr:colOff>
      <xdr:row>147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0</xdr:colOff>
      <xdr:row>157</xdr:row>
      <xdr:rowOff>0</xdr:rowOff>
    </xdr:from>
    <xdr:to>
      <xdr:col>22</xdr:col>
      <xdr:colOff>0</xdr:colOff>
      <xdr:row>173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51"/>
  <sheetViews>
    <sheetView tabSelected="1" workbookViewId="0">
      <selection activeCell="E15" sqref="E15"/>
    </sheetView>
  </sheetViews>
  <sheetFormatPr defaultRowHeight="15" x14ac:dyDescent="0.25"/>
  <cols>
    <col min="1" max="1" width="22.28515625" style="6" customWidth="1"/>
    <col min="2" max="2" width="9.5703125" style="6" bestFit="1" customWidth="1"/>
    <col min="3" max="3" width="9.140625" style="6"/>
    <col min="4" max="5" width="13.140625" style="6" customWidth="1"/>
    <col min="6" max="6" width="11.42578125" style="6" customWidth="1"/>
    <col min="7" max="8" width="50.7109375" customWidth="1"/>
    <col min="10" max="10" width="17.28515625" bestFit="1" customWidth="1"/>
    <col min="11" max="11" width="13.85546875" style="6" customWidth="1"/>
    <col min="12" max="12" width="17" bestFit="1" customWidth="1"/>
    <col min="13" max="13" width="12" bestFit="1" customWidth="1"/>
    <col min="14" max="14" width="6.5703125" bestFit="1" customWidth="1"/>
    <col min="15" max="15" width="7.7109375" bestFit="1" customWidth="1"/>
    <col min="16" max="16" width="6.140625" bestFit="1" customWidth="1"/>
    <col min="17" max="17" width="6.5703125" bestFit="1" customWidth="1"/>
  </cols>
  <sheetData>
    <row r="1" spans="1:17" ht="15.75" x14ac:dyDescent="0.25">
      <c r="A1" s="235"/>
      <c r="B1" s="4"/>
      <c r="J1" s="206"/>
      <c r="K1" s="211"/>
      <c r="L1" s="206"/>
      <c r="M1" s="206"/>
      <c r="N1" s="206"/>
      <c r="O1" s="206"/>
      <c r="P1" s="206"/>
      <c r="Q1" s="206"/>
    </row>
    <row r="2" spans="1:17" x14ac:dyDescent="0.25">
      <c r="A2" s="235"/>
      <c r="B2" s="5"/>
      <c r="J2" s="206"/>
      <c r="K2" s="211"/>
      <c r="L2" s="206"/>
      <c r="M2" s="206"/>
      <c r="N2" s="206"/>
      <c r="O2" s="206"/>
      <c r="P2" s="206"/>
      <c r="Q2" s="206"/>
    </row>
    <row r="3" spans="1:17" ht="15.75" thickBot="1" x14ac:dyDescent="0.3">
      <c r="J3" s="206"/>
      <c r="K3" s="211"/>
      <c r="L3" s="206"/>
      <c r="M3" s="206"/>
      <c r="N3" s="206"/>
      <c r="O3" s="206"/>
      <c r="P3" s="206"/>
      <c r="Q3" s="206"/>
    </row>
    <row r="4" spans="1:17" s="9" customFormat="1" ht="73.5" thickTop="1" thickBot="1" x14ac:dyDescent="0.3">
      <c r="A4" s="13" t="s">
        <v>233</v>
      </c>
      <c r="B4" s="13" t="s">
        <v>234</v>
      </c>
      <c r="C4" s="13" t="s">
        <v>235</v>
      </c>
      <c r="D4" s="13" t="s">
        <v>236</v>
      </c>
      <c r="E4" s="13" t="s">
        <v>237</v>
      </c>
      <c r="F4" s="13" t="s">
        <v>238</v>
      </c>
      <c r="G4" s="13" t="s">
        <v>239</v>
      </c>
      <c r="H4" s="8"/>
      <c r="I4" s="8"/>
      <c r="J4" s="13" t="s">
        <v>233</v>
      </c>
      <c r="K4" s="13" t="s">
        <v>240</v>
      </c>
      <c r="L4" s="13" t="s">
        <v>241</v>
      </c>
      <c r="M4" s="13" t="s">
        <v>242</v>
      </c>
      <c r="N4" s="13" t="s">
        <v>243</v>
      </c>
      <c r="O4" s="13" t="s">
        <v>244</v>
      </c>
      <c r="P4" s="13" t="s">
        <v>245</v>
      </c>
      <c r="Q4" s="13" t="s">
        <v>246</v>
      </c>
    </row>
    <row r="5" spans="1:17" ht="15.75" thickTop="1" x14ac:dyDescent="0.25">
      <c r="A5" s="7" t="s">
        <v>225</v>
      </c>
      <c r="B5" s="184">
        <f>Data!$F$21</f>
        <v>10</v>
      </c>
      <c r="C5" s="191">
        <f>Data!$F$20</f>
        <v>2</v>
      </c>
      <c r="D5" s="184">
        <f>Data!$M$10</f>
        <v>45.153495517017632</v>
      </c>
      <c r="E5" s="184">
        <f>Data!$M$21</f>
        <v>46.565871205008982</v>
      </c>
      <c r="F5" s="191">
        <f>Data!$M$22</f>
        <v>1.0562114966915939</v>
      </c>
      <c r="J5" s="207" t="s">
        <v>225</v>
      </c>
      <c r="K5" s="212">
        <f>Data!$F$21</f>
        <v>10</v>
      </c>
      <c r="L5" s="206" t="s">
        <v>256</v>
      </c>
      <c r="M5" s="207" t="s">
        <v>265</v>
      </c>
      <c r="N5" s="208">
        <f>Data!$J$10</f>
        <v>51.653152801517855</v>
      </c>
      <c r="O5" s="208">
        <f>Data!$K$10</f>
        <v>38.653838232517415</v>
      </c>
      <c r="P5" s="206" t="str">
        <f>Data!$L$10</f>
        <v/>
      </c>
      <c r="Q5" s="208">
        <f>AVERAGE($N5:$P5)</f>
        <v>45.153495517017632</v>
      </c>
    </row>
    <row r="6" spans="1:17" x14ac:dyDescent="0.25">
      <c r="A6" s="7" t="s">
        <v>229</v>
      </c>
      <c r="B6" s="184">
        <f>Data!$F$47</f>
        <v>10</v>
      </c>
      <c r="C6" s="191">
        <f>Data!$F$46</f>
        <v>2</v>
      </c>
      <c r="D6" s="184">
        <f>Data!$M$36</f>
        <v>36.567495645156683</v>
      </c>
      <c r="E6" s="191">
        <f>Data!$M$47</f>
        <v>1.4038851370733709</v>
      </c>
      <c r="F6" s="192">
        <f>Data!$M$48</f>
        <v>4.2084685316421379E-2</v>
      </c>
      <c r="G6" t="s">
        <v>273</v>
      </c>
      <c r="J6" s="206"/>
      <c r="K6" s="211"/>
      <c r="L6" s="196" t="s">
        <v>256</v>
      </c>
      <c r="M6" s="197" t="s">
        <v>264</v>
      </c>
      <c r="N6" s="198">
        <f>Data!$J9</f>
        <v>1.2377046568812757</v>
      </c>
      <c r="O6" s="199">
        <f>Data!$K9</f>
        <v>0.9186930178093472</v>
      </c>
      <c r="P6" s="196" t="str">
        <f>Data!$L9</f>
        <v/>
      </c>
      <c r="Q6" s="198">
        <f>Data!$M9</f>
        <v>1.0781988373453115</v>
      </c>
    </row>
    <row r="7" spans="1:17" x14ac:dyDescent="0.25">
      <c r="A7" s="7" t="s">
        <v>227</v>
      </c>
      <c r="B7" s="184">
        <f>Data!$F$73</f>
        <v>10</v>
      </c>
      <c r="C7" s="191">
        <f>Data!$F$72</f>
        <v>2</v>
      </c>
      <c r="D7" s="184">
        <f>Data!$M$62</f>
        <v>23.129733647381066</v>
      </c>
      <c r="E7" s="184">
        <f>Data!$M$73</f>
        <v>15.802229640803567</v>
      </c>
      <c r="F7" s="193">
        <f>Data!$M$74</f>
        <v>0.68660651080554436</v>
      </c>
      <c r="J7" s="206"/>
      <c r="K7" s="211"/>
      <c r="L7" s="206" t="s">
        <v>267</v>
      </c>
      <c r="M7" s="207" t="s">
        <v>265</v>
      </c>
      <c r="N7" s="208">
        <f>Data!$J$21</f>
        <v>45.61009543821222</v>
      </c>
      <c r="O7" s="208">
        <f>Data!$K$21</f>
        <v>47.521646971805744</v>
      </c>
      <c r="P7" s="206" t="str">
        <f>Data!$L$21</f>
        <v/>
      </c>
      <c r="Q7" s="208">
        <f>AVERAGE($N7:$P7)</f>
        <v>46.565871205008982</v>
      </c>
    </row>
    <row r="8" spans="1:17" x14ac:dyDescent="0.25">
      <c r="A8" s="7" t="s">
        <v>231</v>
      </c>
      <c r="B8" s="184">
        <f>Data!$F$99</f>
        <v>10</v>
      </c>
      <c r="C8" s="191">
        <f>Data!$F$98</f>
        <v>2</v>
      </c>
      <c r="D8" s="184">
        <f>Data!$M$88</f>
        <v>50.652093130204037</v>
      </c>
      <c r="E8" s="184">
        <f>Data!$M$99</f>
        <v>34.401592661792762</v>
      </c>
      <c r="F8" s="193">
        <f>Data!$M$100</f>
        <v>0.67887711077763258</v>
      </c>
      <c r="J8" s="206"/>
      <c r="K8" s="211"/>
      <c r="L8" s="196" t="s">
        <v>267</v>
      </c>
      <c r="M8" s="197" t="s">
        <v>264</v>
      </c>
      <c r="N8" s="198">
        <f>Data!$J20</f>
        <v>1.0461559577224528</v>
      </c>
      <c r="O8" s="198">
        <f>Data!$K20</f>
        <v>1.031469821818511</v>
      </c>
      <c r="P8" s="196" t="str">
        <f>Data!$L20</f>
        <v/>
      </c>
      <c r="Q8" s="198">
        <f>Data!$M20</f>
        <v>1.0388128897704818</v>
      </c>
    </row>
    <row r="9" spans="1:17" ht="15.75" thickBot="1" x14ac:dyDescent="0.3">
      <c r="A9" s="7" t="s">
        <v>223</v>
      </c>
      <c r="B9" s="184">
        <f>Data!$F$125</f>
        <v>10</v>
      </c>
      <c r="C9" s="191">
        <f>Data!$F$124</f>
        <v>2</v>
      </c>
      <c r="D9" s="191">
        <f>Data!$M$114</f>
        <v>1.0130301925097094</v>
      </c>
      <c r="E9" s="191">
        <f>Data!$M$125</f>
        <v>2.5792307023077812</v>
      </c>
      <c r="F9" s="191">
        <f>Data!$M$126</f>
        <v>2.5882975435921387</v>
      </c>
      <c r="G9" t="s">
        <v>274</v>
      </c>
      <c r="J9" s="200"/>
      <c r="K9" s="213"/>
      <c r="L9" s="200" t="s">
        <v>278</v>
      </c>
      <c r="M9" s="201" t="s">
        <v>238</v>
      </c>
      <c r="N9" s="202">
        <f>IFERROR(Data!$J21/ Data!$J10,"")</f>
        <v>0.88300699888491496</v>
      </c>
      <c r="O9" s="203">
        <f>IFERROR(Data!$K21/ Data!$K10,"")</f>
        <v>1.2294159944982725</v>
      </c>
      <c r="P9" s="200" t="str">
        <f>IFERROR(Data!$L21/ Data!$L10,"")</f>
        <v/>
      </c>
      <c r="Q9" s="203">
        <f>IFERROR(AVERAGE($N9:$P9),"")</f>
        <v>1.0562114966915939</v>
      </c>
    </row>
    <row r="10" spans="1:17" x14ac:dyDescent="0.25">
      <c r="A10" s="7" t="s">
        <v>20</v>
      </c>
      <c r="B10" s="184">
        <f>Data!$F$151</f>
        <v>10</v>
      </c>
      <c r="C10" s="191">
        <f>Data!$F$150</f>
        <v>2</v>
      </c>
      <c r="D10" s="193">
        <f>Data!$M$140</f>
        <v>0.31633145558226994</v>
      </c>
      <c r="E10" s="191">
        <f>Data!$M$151</f>
        <v>5.7827699714842495</v>
      </c>
      <c r="F10" s="184">
        <f>Data!$M$152</f>
        <v>23.119397450999749</v>
      </c>
      <c r="G10" t="s">
        <v>275</v>
      </c>
      <c r="J10" s="207" t="s">
        <v>229</v>
      </c>
      <c r="K10" s="212">
        <f>Data!$F$47</f>
        <v>10</v>
      </c>
      <c r="L10" s="206" t="s">
        <v>256</v>
      </c>
      <c r="M10" s="207" t="s">
        <v>265</v>
      </c>
      <c r="N10" s="208">
        <f>Data!$J$36</f>
        <v>41.523803108592467</v>
      </c>
      <c r="O10" s="208">
        <f>Data!$K$36</f>
        <v>31.611188181720905</v>
      </c>
      <c r="P10" s="206" t="str">
        <f>Data!$L$36</f>
        <v/>
      </c>
      <c r="Q10" s="208">
        <f>AVERAGE($N10:$P10)</f>
        <v>36.567495645156683</v>
      </c>
    </row>
    <row r="11" spans="1:17" ht="15.75" thickBot="1" x14ac:dyDescent="0.3">
      <c r="A11" s="239" t="s">
        <v>221</v>
      </c>
      <c r="B11" s="240">
        <v>10</v>
      </c>
      <c r="C11" s="241">
        <v>2</v>
      </c>
      <c r="D11" s="242">
        <v>49.821955305693095</v>
      </c>
      <c r="E11" s="241">
        <v>38.642767383435796</v>
      </c>
      <c r="F11" s="240">
        <v>0.7929035213219876</v>
      </c>
      <c r="G11" s="243" t="s">
        <v>276</v>
      </c>
      <c r="J11" s="206"/>
      <c r="K11" s="211"/>
      <c r="L11" s="196" t="s">
        <v>256</v>
      </c>
      <c r="M11" s="197" t="s">
        <v>264</v>
      </c>
      <c r="N11" s="199">
        <f>Data!$J35</f>
        <v>0.44033813757128776</v>
      </c>
      <c r="O11" s="199">
        <f>Data!$K35</f>
        <v>0.3419883235616531</v>
      </c>
      <c r="P11" s="196" t="str">
        <f>Data!$L35</f>
        <v/>
      </c>
      <c r="Q11" s="199">
        <f>Data!$M35</f>
        <v>0.3911632305664704</v>
      </c>
    </row>
    <row r="12" spans="1:17" ht="31.5" customHeight="1" x14ac:dyDescent="0.25">
      <c r="A12" s="237" t="s">
        <v>294</v>
      </c>
      <c r="B12" s="244" t="s">
        <v>301</v>
      </c>
      <c r="C12" s="191"/>
      <c r="D12" s="193"/>
      <c r="E12" s="191"/>
      <c r="F12" s="184"/>
      <c r="J12" s="206"/>
      <c r="K12" s="211"/>
      <c r="L12" s="206" t="s">
        <v>267</v>
      </c>
      <c r="M12" s="207" t="s">
        <v>265</v>
      </c>
      <c r="N12" s="209">
        <f>Data!$J$47</f>
        <v>0.6161012012775231</v>
      </c>
      <c r="O12" s="210">
        <f>Data!$K$47</f>
        <v>2.1916690728692187</v>
      </c>
      <c r="P12" s="206" t="str">
        <f>Data!$L$47</f>
        <v/>
      </c>
      <c r="Q12" s="210">
        <f>AVERAGE($N12:$P12)</f>
        <v>1.4038851370733709</v>
      </c>
    </row>
    <row r="13" spans="1:17" x14ac:dyDescent="0.25">
      <c r="A13" s="237" t="s">
        <v>295</v>
      </c>
      <c r="B13" s="244" t="s">
        <v>301</v>
      </c>
      <c r="C13" s="191"/>
      <c r="D13" s="193"/>
      <c r="E13" s="191"/>
      <c r="F13" s="184"/>
      <c r="J13" s="206"/>
      <c r="K13" s="211"/>
      <c r="L13" s="196" t="s">
        <v>267</v>
      </c>
      <c r="M13" s="197" t="s">
        <v>264</v>
      </c>
      <c r="N13" s="199">
        <f>Data!$J46</f>
        <v>0.60648722986850456</v>
      </c>
      <c r="O13" s="199">
        <f>Data!$K46</f>
        <v>0.68544532732091457</v>
      </c>
      <c r="P13" s="196" t="str">
        <f>Data!$L46</f>
        <v/>
      </c>
      <c r="Q13" s="199">
        <f>Data!$M46</f>
        <v>0.64596627859470956</v>
      </c>
    </row>
    <row r="14" spans="1:17" ht="15.75" thickBot="1" x14ac:dyDescent="0.3">
      <c r="A14" s="237" t="s">
        <v>296</v>
      </c>
      <c r="B14" s="244" t="s">
        <v>301</v>
      </c>
      <c r="C14" s="191"/>
      <c r="D14" s="193"/>
      <c r="E14" s="191"/>
      <c r="F14" s="184"/>
      <c r="J14" s="200"/>
      <c r="K14" s="213"/>
      <c r="L14" s="200" t="s">
        <v>278</v>
      </c>
      <c r="M14" s="201" t="s">
        <v>238</v>
      </c>
      <c r="N14" s="204">
        <f>IFERROR(Data!$J47/ Data!$J36,"")</f>
        <v>1.4837301864338001E-2</v>
      </c>
      <c r="O14" s="204">
        <f>IFERROR(Data!$K47/ Data!$K36,"")</f>
        <v>6.9332068768504757E-2</v>
      </c>
      <c r="P14" s="200" t="str">
        <f>IFERROR(Data!$L47/ Data!$L36,"")</f>
        <v/>
      </c>
      <c r="Q14" s="204">
        <f>IFERROR(AVERAGE($N14:$P14),"")</f>
        <v>4.2084685316421379E-2</v>
      </c>
    </row>
    <row r="15" spans="1:17" x14ac:dyDescent="0.25">
      <c r="A15" s="237" t="s">
        <v>297</v>
      </c>
      <c r="B15" s="244" t="s">
        <v>301</v>
      </c>
      <c r="C15" s="191"/>
      <c r="D15" s="193"/>
      <c r="E15" s="191"/>
      <c r="F15" s="184"/>
      <c r="J15" s="207" t="s">
        <v>227</v>
      </c>
      <c r="K15" s="212">
        <f>Data!$F$73</f>
        <v>10</v>
      </c>
      <c r="L15" s="206" t="s">
        <v>256</v>
      </c>
      <c r="M15" s="207" t="s">
        <v>265</v>
      </c>
      <c r="N15" s="208">
        <f>Data!$J$62</f>
        <v>21.15923528713207</v>
      </c>
      <c r="O15" s="208">
        <f>Data!$K$62</f>
        <v>25.100232007630066</v>
      </c>
      <c r="P15" s="206" t="str">
        <f>Data!$L$62</f>
        <v/>
      </c>
      <c r="Q15" s="208">
        <f>AVERAGE($N15:$P15)</f>
        <v>23.129733647381066</v>
      </c>
    </row>
    <row r="16" spans="1:17" x14ac:dyDescent="0.25">
      <c r="A16" s="237" t="s">
        <v>298</v>
      </c>
      <c r="B16" s="244" t="s">
        <v>301</v>
      </c>
      <c r="C16" s="191"/>
      <c r="D16" s="193"/>
      <c r="E16" s="191"/>
      <c r="F16" s="184"/>
      <c r="J16" s="206"/>
      <c r="K16" s="211"/>
      <c r="L16" s="206" t="s">
        <v>267</v>
      </c>
      <c r="M16" s="207" t="s">
        <v>265</v>
      </c>
      <c r="N16" s="208">
        <f>Data!$J$73</f>
        <v>15.374181917295086</v>
      </c>
      <c r="O16" s="208">
        <f>Data!$K$73</f>
        <v>16.230277364312048</v>
      </c>
      <c r="P16" s="206" t="str">
        <f>Data!$L$73</f>
        <v/>
      </c>
      <c r="Q16" s="208">
        <f>AVERAGE($N16:$P16)</f>
        <v>15.802229640803567</v>
      </c>
    </row>
    <row r="17" spans="1:17" x14ac:dyDescent="0.25">
      <c r="A17" s="237" t="s">
        <v>299</v>
      </c>
      <c r="B17" s="244" t="s">
        <v>301</v>
      </c>
      <c r="C17" s="191"/>
      <c r="D17" s="193"/>
      <c r="E17" s="191"/>
      <c r="F17" s="184"/>
      <c r="J17" s="206"/>
      <c r="K17" s="211"/>
      <c r="L17" s="196" t="s">
        <v>267</v>
      </c>
      <c r="M17" s="197" t="s">
        <v>264</v>
      </c>
      <c r="N17" s="199">
        <f>Data!$J72</f>
        <v>0.68966420637947112</v>
      </c>
      <c r="O17" s="199">
        <f>Data!$K72</f>
        <v>0.69601041460916324</v>
      </c>
      <c r="P17" s="196" t="str">
        <f>Data!$L72</f>
        <v/>
      </c>
      <c r="Q17" s="199">
        <f>Data!$M72</f>
        <v>0.69283731049431718</v>
      </c>
    </row>
    <row r="18" spans="1:17" ht="15.75" thickBot="1" x14ac:dyDescent="0.3">
      <c r="A18" s="238" t="s">
        <v>300</v>
      </c>
      <c r="B18" s="245" t="s">
        <v>301</v>
      </c>
      <c r="C18" s="194"/>
      <c r="D18" s="188"/>
      <c r="E18" s="188"/>
      <c r="F18" s="195"/>
      <c r="G18" s="190"/>
      <c r="J18" s="200"/>
      <c r="K18" s="213"/>
      <c r="L18" s="200" t="s">
        <v>278</v>
      </c>
      <c r="M18" s="201" t="s">
        <v>238</v>
      </c>
      <c r="N18" s="202">
        <f>IFERROR(Data!$J73/ Data!$J62,"")</f>
        <v>0.72659440233385242</v>
      </c>
      <c r="O18" s="202">
        <f>IFERROR(Data!$K73/ Data!$K62,"")</f>
        <v>0.64661861927723641</v>
      </c>
      <c r="P18" s="200" t="str">
        <f>IFERROR(Data!$L73/ Data!$L62,"")</f>
        <v/>
      </c>
      <c r="Q18" s="202">
        <f>IFERROR(AVERAGE($N18:$P18),"")</f>
        <v>0.68660651080554436</v>
      </c>
    </row>
    <row r="19" spans="1:17" ht="15.75" thickTop="1" x14ac:dyDescent="0.25">
      <c r="A19" s="236" t="s">
        <v>277</v>
      </c>
      <c r="B19" s="236"/>
      <c r="C19" s="236"/>
      <c r="D19" s="236"/>
      <c r="E19" s="236"/>
      <c r="F19" s="236"/>
      <c r="G19" s="236"/>
      <c r="J19" s="207" t="s">
        <v>231</v>
      </c>
      <c r="K19" s="212">
        <f>Data!$F$99</f>
        <v>10</v>
      </c>
      <c r="L19" s="206" t="s">
        <v>256</v>
      </c>
      <c r="M19" s="207" t="s">
        <v>265</v>
      </c>
      <c r="N19" s="208">
        <f>Data!$J$88</f>
        <v>50.218620381498205</v>
      </c>
      <c r="O19" s="208">
        <f>Data!$K$88</f>
        <v>51.085565878909875</v>
      </c>
      <c r="P19" s="206" t="str">
        <f>Data!$L$88</f>
        <v/>
      </c>
      <c r="Q19" s="208">
        <f>AVERAGE($N19:$P19)</f>
        <v>50.652093130204037</v>
      </c>
    </row>
    <row r="20" spans="1:17" x14ac:dyDescent="0.25">
      <c r="J20" s="206"/>
      <c r="K20" s="211"/>
      <c r="L20" s="196" t="s">
        <v>256</v>
      </c>
      <c r="M20" s="197" t="s">
        <v>264</v>
      </c>
      <c r="N20" s="198">
        <f>Data!$J87</f>
        <v>1.2931125059872013</v>
      </c>
      <c r="O20" s="198">
        <f>Data!$K87</f>
        <v>1.2563717916079422</v>
      </c>
      <c r="P20" s="196" t="str">
        <f>Data!$L87</f>
        <v/>
      </c>
      <c r="Q20" s="198">
        <f>Data!$M87</f>
        <v>1.2747421487975719</v>
      </c>
    </row>
    <row r="21" spans="1:17" x14ac:dyDescent="0.25">
      <c r="J21" s="206"/>
      <c r="K21" s="211"/>
      <c r="L21" s="206" t="s">
        <v>267</v>
      </c>
      <c r="M21" s="207" t="s">
        <v>265</v>
      </c>
      <c r="N21" s="208">
        <f>Data!$J$99</f>
        <v>32.349162326517998</v>
      </c>
      <c r="O21" s="208">
        <f>Data!$K$99</f>
        <v>36.454022997067533</v>
      </c>
      <c r="P21" s="206" t="str">
        <f>Data!$L$99</f>
        <v/>
      </c>
      <c r="Q21" s="208">
        <f>AVERAGE($N21:$P21)</f>
        <v>34.401592661792762</v>
      </c>
    </row>
    <row r="22" spans="1:17" x14ac:dyDescent="0.25">
      <c r="J22" s="206"/>
      <c r="K22" s="211"/>
      <c r="L22" s="196" t="s">
        <v>267</v>
      </c>
      <c r="M22" s="197" t="s">
        <v>264</v>
      </c>
      <c r="N22" s="199">
        <f>Data!$J98</f>
        <v>0.99861972924490261</v>
      </c>
      <c r="O22" s="199">
        <f>Data!$K98</f>
        <v>0.90585707348997779</v>
      </c>
      <c r="P22" s="196" t="str">
        <f>Data!$L98</f>
        <v/>
      </c>
      <c r="Q22" s="199">
        <f>Data!$M98</f>
        <v>0.9522384013674402</v>
      </c>
    </row>
    <row r="23" spans="1:17" ht="15.75" thickBot="1" x14ac:dyDescent="0.3">
      <c r="J23" s="200"/>
      <c r="K23" s="213"/>
      <c r="L23" s="200" t="s">
        <v>278</v>
      </c>
      <c r="M23" s="201" t="s">
        <v>238</v>
      </c>
      <c r="N23" s="202">
        <f>IFERROR(Data!$J99/ Data!$J88,"")</f>
        <v>0.64416668719231163</v>
      </c>
      <c r="O23" s="202">
        <f>IFERROR(Data!$K99/ Data!$K88,"")</f>
        <v>0.71358753436295363</v>
      </c>
      <c r="P23" s="200" t="str">
        <f>IFERROR(Data!$L99/ Data!$L88,"")</f>
        <v/>
      </c>
      <c r="Q23" s="202">
        <f>IFERROR(AVERAGE($N23:$P23),"")</f>
        <v>0.67887711077763258</v>
      </c>
    </row>
    <row r="24" spans="1:17" x14ac:dyDescent="0.25">
      <c r="J24" s="207" t="s">
        <v>223</v>
      </c>
      <c r="K24" s="212">
        <f>Data!$F$125</f>
        <v>10</v>
      </c>
      <c r="L24" s="206" t="s">
        <v>256</v>
      </c>
      <c r="M24" s="207" t="s">
        <v>265</v>
      </c>
      <c r="N24" s="209">
        <f>Data!$J$114</f>
        <v>0.90868520733020974</v>
      </c>
      <c r="O24" s="210">
        <f>Data!$K$114</f>
        <v>1.1173751776892091</v>
      </c>
      <c r="P24" s="206" t="str">
        <f>Data!$L$114</f>
        <v/>
      </c>
      <c r="Q24" s="210">
        <f>AVERAGE($N24:$P24)</f>
        <v>1.0130301925097094</v>
      </c>
    </row>
    <row r="25" spans="1:17" x14ac:dyDescent="0.25">
      <c r="J25" s="206"/>
      <c r="K25" s="211"/>
      <c r="L25" s="196" t="s">
        <v>256</v>
      </c>
      <c r="M25" s="197" t="s">
        <v>264</v>
      </c>
      <c r="N25" s="199">
        <f>Data!$J113</f>
        <v>0.76504882419304865</v>
      </c>
      <c r="O25" s="199">
        <f>Data!$K113</f>
        <v>0.7747391892606541</v>
      </c>
      <c r="P25" s="196" t="str">
        <f>Data!$L113</f>
        <v/>
      </c>
      <c r="Q25" s="199">
        <f>Data!$M113</f>
        <v>0.76989400672685138</v>
      </c>
    </row>
    <row r="26" spans="1:17" x14ac:dyDescent="0.25">
      <c r="J26" s="206"/>
      <c r="K26" s="211"/>
      <c r="L26" s="206" t="s">
        <v>267</v>
      </c>
      <c r="M26" s="207" t="s">
        <v>265</v>
      </c>
      <c r="N26" s="210">
        <f>Data!$J$125</f>
        <v>2.7246080115531024</v>
      </c>
      <c r="O26" s="210">
        <f>Data!$K$125</f>
        <v>2.43385339306246</v>
      </c>
      <c r="P26" s="206" t="str">
        <f>Data!$L$125</f>
        <v/>
      </c>
      <c r="Q26" s="210">
        <f>AVERAGE($N26:$P26)</f>
        <v>2.5792307023077812</v>
      </c>
    </row>
    <row r="27" spans="1:17" x14ac:dyDescent="0.25">
      <c r="J27" s="206"/>
      <c r="K27" s="211"/>
      <c r="L27" s="196" t="s">
        <v>267</v>
      </c>
      <c r="M27" s="197" t="s">
        <v>264</v>
      </c>
      <c r="N27" s="199">
        <f>Data!$J124</f>
        <v>0.85074659937199082</v>
      </c>
      <c r="O27" s="199">
        <f>Data!$K124</f>
        <v>0.83925985195684649</v>
      </c>
      <c r="P27" s="196" t="str">
        <f>Data!$L124</f>
        <v/>
      </c>
      <c r="Q27" s="199">
        <f>Data!$M124</f>
        <v>0.84500322566441866</v>
      </c>
    </row>
    <row r="28" spans="1:17" ht="15.75" thickBot="1" x14ac:dyDescent="0.3">
      <c r="J28" s="200"/>
      <c r="K28" s="213"/>
      <c r="L28" s="200" t="s">
        <v>278</v>
      </c>
      <c r="M28" s="201" t="s">
        <v>238</v>
      </c>
      <c r="N28" s="203">
        <f>IFERROR(Data!$J125/ Data!$J114,"")</f>
        <v>2.9984069175707395</v>
      </c>
      <c r="O28" s="203">
        <f>IFERROR(Data!$K125/ Data!$K114,"")</f>
        <v>2.1781881696135379</v>
      </c>
      <c r="P28" s="200" t="str">
        <f>IFERROR(Data!$L125/ Data!$L114,"")</f>
        <v/>
      </c>
      <c r="Q28" s="203">
        <f>IFERROR(AVERAGE($N28:$P28),"")</f>
        <v>2.5882975435921387</v>
      </c>
    </row>
    <row r="29" spans="1:17" x14ac:dyDescent="0.25">
      <c r="J29" s="207" t="s">
        <v>20</v>
      </c>
      <c r="K29" s="212">
        <f>Data!$F$151</f>
        <v>10</v>
      </c>
      <c r="L29" s="206" t="s">
        <v>256</v>
      </c>
      <c r="M29" s="207" t="s">
        <v>265</v>
      </c>
      <c r="N29" s="209">
        <f>Data!$J$140</f>
        <v>0.46118233980308931</v>
      </c>
      <c r="O29" s="209">
        <f>Data!$K$140</f>
        <v>0.17148057136145059</v>
      </c>
      <c r="P29" s="206" t="str">
        <f>Data!$L$140</f>
        <v/>
      </c>
      <c r="Q29" s="209">
        <f>AVERAGE($N29:$P29)</f>
        <v>0.31633145558226994</v>
      </c>
    </row>
    <row r="30" spans="1:17" x14ac:dyDescent="0.25">
      <c r="J30" s="206"/>
      <c r="K30" s="211"/>
      <c r="L30" s="196" t="s">
        <v>256</v>
      </c>
      <c r="M30" s="197" t="s">
        <v>264</v>
      </c>
      <c r="N30" s="199">
        <f>Data!$J139</f>
        <v>0.73269508534515659</v>
      </c>
      <c r="O30" s="199">
        <f>Data!$K139</f>
        <v>0.61933706340051564</v>
      </c>
      <c r="P30" s="196" t="str">
        <f>Data!$L139</f>
        <v/>
      </c>
      <c r="Q30" s="199">
        <f>Data!$M139</f>
        <v>0.67601607437283606</v>
      </c>
    </row>
    <row r="31" spans="1:17" x14ac:dyDescent="0.25">
      <c r="J31" s="206"/>
      <c r="K31" s="211"/>
      <c r="L31" s="206" t="s">
        <v>267</v>
      </c>
      <c r="M31" s="207" t="s">
        <v>265</v>
      </c>
      <c r="N31" s="210">
        <f>Data!$J$151</f>
        <v>5.7889969330859605</v>
      </c>
      <c r="O31" s="210">
        <f>Data!$K$151</f>
        <v>5.7765430098825385</v>
      </c>
      <c r="P31" s="206" t="str">
        <f>Data!$L$151</f>
        <v/>
      </c>
      <c r="Q31" s="210">
        <f>AVERAGE($N31:$P31)</f>
        <v>5.7827699714842495</v>
      </c>
    </row>
    <row r="32" spans="1:17" x14ac:dyDescent="0.25">
      <c r="J32" s="206"/>
      <c r="K32" s="211"/>
      <c r="L32" s="196" t="s">
        <v>267</v>
      </c>
      <c r="M32" s="197" t="s">
        <v>264</v>
      </c>
      <c r="N32" s="199">
        <f>Data!$J150</f>
        <v>0.80505649146958247</v>
      </c>
      <c r="O32" s="199">
        <f>Data!$K150</f>
        <v>0.83405032792053457</v>
      </c>
      <c r="P32" s="196" t="str">
        <f>Data!$L150</f>
        <v/>
      </c>
      <c r="Q32" s="199">
        <f>Data!$M150</f>
        <v>0.81955340969505852</v>
      </c>
    </row>
    <row r="33" spans="1:17" ht="15.75" thickBot="1" x14ac:dyDescent="0.3">
      <c r="J33" s="200"/>
      <c r="K33" s="213"/>
      <c r="L33" s="200" t="s">
        <v>278</v>
      </c>
      <c r="M33" s="201" t="s">
        <v>238</v>
      </c>
      <c r="N33" s="205">
        <f>IFERROR(Data!$J151/ Data!$J140,"")</f>
        <v>12.552512170257179</v>
      </c>
      <c r="O33" s="205">
        <f>IFERROR(Data!$K151/ Data!$K140,"")</f>
        <v>33.686282731742317</v>
      </c>
      <c r="P33" s="200" t="str">
        <f>IFERROR(Data!$L151/ Data!$L140,"")</f>
        <v/>
      </c>
      <c r="Q33" s="205">
        <f>IFERROR(AVERAGE($N33:$P33),"")</f>
        <v>23.119397450999749</v>
      </c>
    </row>
    <row r="34" spans="1:17" x14ac:dyDescent="0.25">
      <c r="J34" s="207" t="s">
        <v>221</v>
      </c>
      <c r="K34" s="212">
        <f>Data!$F$177</f>
        <v>10</v>
      </c>
      <c r="L34" s="206" t="s">
        <v>256</v>
      </c>
      <c r="M34" s="207" t="s">
        <v>265</v>
      </c>
      <c r="N34" s="208">
        <f>Data!$J$166</f>
        <v>54.478777739913426</v>
      </c>
      <c r="O34" s="208">
        <f>Data!$K$166</f>
        <v>45.165132871472757</v>
      </c>
      <c r="P34" s="206" t="str">
        <f>Data!$L$166</f>
        <v/>
      </c>
      <c r="Q34" s="208">
        <f>AVERAGE($N34:$P34)</f>
        <v>49.821955305693095</v>
      </c>
    </row>
    <row r="35" spans="1:17" x14ac:dyDescent="0.25">
      <c r="J35" s="206"/>
      <c r="K35" s="211"/>
      <c r="L35" s="196" t="s">
        <v>256</v>
      </c>
      <c r="M35" s="197" t="s">
        <v>264</v>
      </c>
      <c r="N35" s="198">
        <f>Data!$J165</f>
        <v>1.2082405936688969</v>
      </c>
      <c r="O35" s="198">
        <f>Data!$K165</f>
        <v>1.1080098702265961</v>
      </c>
      <c r="P35" s="196" t="str">
        <f>Data!$L165</f>
        <v/>
      </c>
      <c r="Q35" s="198">
        <f>Data!$M165</f>
        <v>1.1581252319477464</v>
      </c>
    </row>
    <row r="36" spans="1:17" x14ac:dyDescent="0.25">
      <c r="J36" s="206"/>
      <c r="K36" s="211"/>
      <c r="L36" s="206" t="s">
        <v>267</v>
      </c>
      <c r="M36" s="207" t="s">
        <v>265</v>
      </c>
      <c r="N36" s="208">
        <f>Data!$J$177</f>
        <v>33.12106654050833</v>
      </c>
      <c r="O36" s="208">
        <f>Data!$K$177</f>
        <v>44.164468226363255</v>
      </c>
      <c r="P36" s="206" t="str">
        <f>Data!$L$177</f>
        <v/>
      </c>
      <c r="Q36" s="208">
        <f>AVERAGE($N36:$P36)</f>
        <v>38.642767383435796</v>
      </c>
    </row>
    <row r="37" spans="1:17" x14ac:dyDescent="0.25">
      <c r="J37" s="206"/>
      <c r="K37" s="211"/>
      <c r="L37" s="196" t="s">
        <v>267</v>
      </c>
      <c r="M37" s="197" t="s">
        <v>264</v>
      </c>
      <c r="N37" s="199">
        <f>Data!$J176</f>
        <v>0.99782301406725893</v>
      </c>
      <c r="O37" s="198">
        <f>Data!$K176</f>
        <v>1.2097676529375465</v>
      </c>
      <c r="P37" s="196" t="str">
        <f>Data!$L176</f>
        <v/>
      </c>
      <c r="Q37" s="198">
        <f>Data!$M176</f>
        <v>1.1037953335024027</v>
      </c>
    </row>
    <row r="38" spans="1:17" ht="15.75" thickBot="1" x14ac:dyDescent="0.3">
      <c r="J38" s="190"/>
      <c r="K38" s="214"/>
      <c r="L38" s="190" t="s">
        <v>278</v>
      </c>
      <c r="M38" s="11" t="s">
        <v>238</v>
      </c>
      <c r="N38" s="189">
        <f>IFERROR(Data!$J177/ Data!$J166,"")</f>
        <v>0.60796273181148219</v>
      </c>
      <c r="O38" s="189">
        <f>IFERROR(Data!$K177/ Data!$K166,"")</f>
        <v>0.97784431083249301</v>
      </c>
      <c r="P38" s="190" t="str">
        <f>IFERROR(Data!$L177/ Data!$L166,"")</f>
        <v/>
      </c>
      <c r="Q38" s="189">
        <f>IFERROR(AVERAGE($N38:$P38),"")</f>
        <v>0.7929035213219876</v>
      </c>
    </row>
    <row r="39" spans="1:17" ht="15.75" thickTop="1" x14ac:dyDescent="0.25"/>
    <row r="42" spans="1:17" ht="15.75" thickBot="1" x14ac:dyDescent="0.3"/>
    <row r="43" spans="1:17" ht="16.5" thickTop="1" thickBot="1" x14ac:dyDescent="0.3">
      <c r="A43" s="12" t="s">
        <v>279</v>
      </c>
      <c r="B43" s="215" t="s">
        <v>256</v>
      </c>
      <c r="C43" s="12" t="s">
        <v>280</v>
      </c>
      <c r="D43" s="215" t="s">
        <v>267</v>
      </c>
      <c r="E43" s="12" t="s">
        <v>280</v>
      </c>
      <c r="F43" s="215" t="s">
        <v>281</v>
      </c>
      <c r="G43" s="12" t="s">
        <v>280</v>
      </c>
      <c r="H43" s="215" t="s">
        <v>239</v>
      </c>
    </row>
    <row r="44" spans="1:17" ht="15.75" thickTop="1" x14ac:dyDescent="0.25">
      <c r="A44" s="7" t="s">
        <v>225</v>
      </c>
      <c r="B44" s="217">
        <f>Data!M10</f>
        <v>45.153495517017632</v>
      </c>
      <c r="C44" s="191">
        <f>Data!N10</f>
        <v>9.1919034825173345</v>
      </c>
      <c r="D44" s="222">
        <f>Data!M21</f>
        <v>46.565871205008982</v>
      </c>
      <c r="E44" s="191">
        <f>Data!N21</f>
        <v>1.3516710519915256</v>
      </c>
      <c r="F44" s="226">
        <f t="shared" ref="F44:F50" si="0">IFERROR($D44 / $B44,"")</f>
        <v>1.0312794318982248</v>
      </c>
      <c r="G44" s="187">
        <f t="shared" ref="G44:G50" si="1">IFERROR($F44 * SQRT( ($C44^2 / $B44^2) + ($E44^2 /$D44^2) ),"")</f>
        <v>0.21206117914968739</v>
      </c>
      <c r="H44" s="230"/>
    </row>
    <row r="45" spans="1:17" x14ac:dyDescent="0.25">
      <c r="A45" s="7" t="s">
        <v>229</v>
      </c>
      <c r="B45" s="218">
        <f>Data!M36</f>
        <v>36.567495645156683</v>
      </c>
      <c r="C45" s="191">
        <f>Data!N36</f>
        <v>7.0092772340819165</v>
      </c>
      <c r="D45" s="223">
        <f>Data!M47</f>
        <v>1.4038851370733709</v>
      </c>
      <c r="E45" s="191">
        <f>Data!N47</f>
        <v>1.1140947262221439</v>
      </c>
      <c r="F45" s="227">
        <f t="shared" si="0"/>
        <v>3.8391612887477396E-2</v>
      </c>
      <c r="G45" s="186">
        <f t="shared" si="1"/>
        <v>3.1342940661345388E-2</v>
      </c>
      <c r="H45" s="231"/>
    </row>
    <row r="46" spans="1:17" x14ac:dyDescent="0.25">
      <c r="A46" s="7" t="s">
        <v>227</v>
      </c>
      <c r="B46" s="218">
        <f>Data!M62</f>
        <v>23.129733647381066</v>
      </c>
      <c r="C46" s="191">
        <f>Data!N62</f>
        <v>2.7867055056980776</v>
      </c>
      <c r="D46" s="224">
        <f>Data!M73</f>
        <v>15.802229640803567</v>
      </c>
      <c r="E46" s="193">
        <f>Data!N73</f>
        <v>0.60535089592862246</v>
      </c>
      <c r="F46" s="228">
        <f t="shared" si="0"/>
        <v>0.68319981032694777</v>
      </c>
      <c r="G46" s="186">
        <f t="shared" si="1"/>
        <v>8.637357616303766E-2</v>
      </c>
      <c r="H46" s="231"/>
    </row>
    <row r="47" spans="1:17" x14ac:dyDescent="0.25">
      <c r="A47" s="7" t="s">
        <v>231</v>
      </c>
      <c r="B47" s="218">
        <f>Data!M88</f>
        <v>50.652093130204037</v>
      </c>
      <c r="C47" s="193">
        <f>Data!N88</f>
        <v>0.6130230401389366</v>
      </c>
      <c r="D47" s="224">
        <f>Data!M99</f>
        <v>34.401592661792762</v>
      </c>
      <c r="E47" s="191">
        <f>Data!N99</f>
        <v>2.9025748159715343</v>
      </c>
      <c r="F47" s="228">
        <f t="shared" si="0"/>
        <v>0.67917415719349539</v>
      </c>
      <c r="G47" s="186">
        <f t="shared" si="1"/>
        <v>5.7890670780110808E-2</v>
      </c>
      <c r="H47" s="231"/>
    </row>
    <row r="48" spans="1:17" x14ac:dyDescent="0.25">
      <c r="A48" s="7" t="s">
        <v>223</v>
      </c>
      <c r="B48" s="219">
        <f>Data!M114</f>
        <v>1.0130301925097094</v>
      </c>
      <c r="C48" s="193">
        <f>Data!N114</f>
        <v>0.14756609320646832</v>
      </c>
      <c r="D48" s="223">
        <f>Data!M125</f>
        <v>2.5792307023077812</v>
      </c>
      <c r="E48" s="193">
        <f>Data!N125</f>
        <v>0.20559456239604079</v>
      </c>
      <c r="F48" s="223">
        <f t="shared" si="0"/>
        <v>2.5460551140316192</v>
      </c>
      <c r="G48" s="187">
        <f t="shared" si="1"/>
        <v>0.4227763109948065</v>
      </c>
      <c r="H48" s="231"/>
    </row>
    <row r="49" spans="1:8" x14ac:dyDescent="0.25">
      <c r="A49" s="7" t="s">
        <v>20</v>
      </c>
      <c r="B49" s="220">
        <f>Data!M140</f>
        <v>0.31633145558226994</v>
      </c>
      <c r="C49" s="193">
        <f>Data!N140</f>
        <v>0.20485008498681773</v>
      </c>
      <c r="D49" s="223">
        <f>Data!M151</f>
        <v>5.7827699714842495</v>
      </c>
      <c r="E49" s="216">
        <f>Data!N151</f>
        <v>8.8062535495161721E-3</v>
      </c>
      <c r="F49" s="224">
        <f t="shared" si="0"/>
        <v>18.280730131121263</v>
      </c>
      <c r="G49" s="185">
        <f t="shared" si="1"/>
        <v>11.838277253902143</v>
      </c>
      <c r="H49" s="231"/>
    </row>
    <row r="50" spans="1:8" ht="15.75" thickBot="1" x14ac:dyDescent="0.3">
      <c r="A50" s="10" t="s">
        <v>221</v>
      </c>
      <c r="B50" s="221">
        <f>Data!M166</f>
        <v>49.821955305693095</v>
      </c>
      <c r="C50" s="194">
        <f>Data!N166</f>
        <v>6.5857414440376871</v>
      </c>
      <c r="D50" s="225">
        <f>Data!M177</f>
        <v>38.642767383435796</v>
      </c>
      <c r="E50" s="194">
        <f>Data!N177</f>
        <v>7.8088642194349314</v>
      </c>
      <c r="F50" s="229">
        <f t="shared" si="0"/>
        <v>0.77561723835074237</v>
      </c>
      <c r="G50" s="189">
        <f t="shared" si="1"/>
        <v>0.18728971855984711</v>
      </c>
      <c r="H50" s="232"/>
    </row>
    <row r="51" spans="1:8" ht="15.75" thickTop="1" x14ac:dyDescent="0.25"/>
  </sheetData>
  <mergeCells count="2">
    <mergeCell ref="A1:A2"/>
    <mergeCell ref="A19:G19"/>
  </mergeCells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179"/>
  <sheetViews>
    <sheetView workbookViewId="0">
      <pane ySplit="1" topLeftCell="A71" activePane="bottomLeft" state="frozenSplit"/>
      <selection pane="bottomLeft" activeCell="G46" sqref="G46"/>
    </sheetView>
  </sheetViews>
  <sheetFormatPr defaultRowHeight="15" x14ac:dyDescent="0.25"/>
  <cols>
    <col min="1" max="1" width="61.5703125" style="1" bestFit="1" customWidth="1"/>
    <col min="2" max="3" width="16.140625" style="1" bestFit="1" customWidth="1"/>
    <col min="4" max="4" width="12" style="1" bestFit="1" customWidth="1"/>
    <col min="5" max="5" width="23" style="1" bestFit="1" customWidth="1"/>
    <col min="6" max="7" width="8.7109375" style="1" customWidth="1"/>
    <col min="8" max="8" width="11.140625" style="1" bestFit="1" customWidth="1"/>
    <col min="9" max="9" width="8" style="1" bestFit="1" customWidth="1"/>
    <col min="10" max="11" width="8.5703125" style="1" bestFit="1" customWidth="1"/>
    <col min="12" max="12" width="4.28515625" style="1" bestFit="1" customWidth="1"/>
    <col min="13" max="13" width="8.85546875" style="1" bestFit="1" customWidth="1"/>
    <col min="14" max="14" width="8.5703125" style="1" bestFit="1" customWidth="1"/>
    <col min="15" max="15" width="8.7109375" style="1" customWidth="1"/>
    <col min="16" max="16" width="11" style="1" bestFit="1" customWidth="1"/>
    <col min="17" max="17" width="14.42578125" style="1" bestFit="1" customWidth="1"/>
    <col min="18" max="18" width="11.140625" style="1" bestFit="1" customWidth="1"/>
    <col min="19" max="20" width="6.5703125" style="1" bestFit="1" customWidth="1"/>
    <col min="21" max="21" width="6.140625" style="1" bestFit="1" customWidth="1"/>
    <col min="22" max="22" width="8.140625" style="1" bestFit="1" customWidth="1"/>
    <col min="23" max="40" width="8.7109375" style="1" customWidth="1"/>
    <col min="41" max="16384" width="9.140625" style="1"/>
  </cols>
  <sheetData>
    <row r="1" spans="1:18" s="3" customFormat="1" ht="15.75" thickBot="1" x14ac:dyDescent="0.3">
      <c r="A1" s="3" t="s">
        <v>0</v>
      </c>
      <c r="B1" s="3" t="s">
        <v>6</v>
      </c>
      <c r="C1" s="3" t="s">
        <v>9</v>
      </c>
      <c r="D1" s="3" t="s">
        <v>11</v>
      </c>
      <c r="E1" s="3" t="s">
        <v>13</v>
      </c>
      <c r="F1" s="3" t="s">
        <v>14</v>
      </c>
      <c r="H1" s="75" t="s">
        <v>256</v>
      </c>
      <c r="I1" s="3" t="s">
        <v>247</v>
      </c>
      <c r="J1" s="3" t="s">
        <v>248</v>
      </c>
      <c r="K1" s="3" t="s">
        <v>249</v>
      </c>
      <c r="L1" s="3" t="s">
        <v>250</v>
      </c>
      <c r="M1" s="3" t="s">
        <v>251</v>
      </c>
      <c r="N1" s="3" t="s">
        <v>252</v>
      </c>
    </row>
    <row r="2" spans="1:18" ht="15.75" thickTop="1" x14ac:dyDescent="0.25">
      <c r="A2" s="1" t="s">
        <v>23</v>
      </c>
      <c r="B2" s="1" t="s">
        <v>225</v>
      </c>
      <c r="C2" s="1" t="s">
        <v>226</v>
      </c>
      <c r="D2" s="1">
        <v>357.50900000000001</v>
      </c>
      <c r="E2" s="1">
        <v>101225.531</v>
      </c>
      <c r="F2" s="1">
        <v>3.531806615072239E-3</v>
      </c>
      <c r="H2" s="76" t="s">
        <v>257</v>
      </c>
      <c r="I2" s="32">
        <v>7.4999999999999997E-2</v>
      </c>
      <c r="J2" s="33">
        <f>($F$10 - $M$6) * $F$18</f>
        <v>2.7455754545372243E-2</v>
      </c>
      <c r="K2" s="33">
        <f>($F$11 - $M$6) * $F$18</f>
        <v>2.1351020512359594E-2</v>
      </c>
      <c r="L2" s="34"/>
      <c r="M2" s="32">
        <f>IFERROR(AVERAGE(J2:L2),"")</f>
        <v>2.4403387528865918E-2</v>
      </c>
      <c r="N2" s="40">
        <f>IFERROR(STDEV(J2:L2),"")</f>
        <v>4.3166988320835452E-3</v>
      </c>
      <c r="P2" s="1" t="s">
        <v>256</v>
      </c>
      <c r="Q2" s="16">
        <f>$M$10</f>
        <v>45.153495517017632</v>
      </c>
      <c r="R2" s="14">
        <f>$N$10</f>
        <v>9.1919034825173345</v>
      </c>
    </row>
    <row r="3" spans="1:18" x14ac:dyDescent="0.25">
      <c r="A3" s="1" t="s">
        <v>25</v>
      </c>
      <c r="B3" s="1" t="s">
        <v>225</v>
      </c>
      <c r="C3" s="1" t="s">
        <v>226</v>
      </c>
      <c r="D3" s="1">
        <v>381.178</v>
      </c>
      <c r="E3" s="1">
        <v>100985.69500000001</v>
      </c>
      <c r="F3" s="1">
        <v>3.7745742107335102E-3</v>
      </c>
      <c r="H3" s="77" t="s">
        <v>258</v>
      </c>
      <c r="I3" s="28">
        <v>0.25</v>
      </c>
      <c r="J3" s="29">
        <f>($F$6 - $M$6) * $F$18</f>
        <v>6.4901402424824596E-3</v>
      </c>
      <c r="K3" s="29">
        <f>($F$7 - $M$6) * $F$18</f>
        <v>5.1214562819122747E-3</v>
      </c>
      <c r="L3" s="26"/>
      <c r="M3" s="30">
        <f>IFERROR(AVERAGE(J3:L3),"")</f>
        <v>5.8057982621973672E-3</v>
      </c>
      <c r="N3" s="41">
        <f>IFERROR(STDEV(J3:L3),"")</f>
        <v>9.6780570982043894E-4</v>
      </c>
      <c r="P3" s="1" t="s">
        <v>267</v>
      </c>
      <c r="Q3" s="16">
        <f>$M$21</f>
        <v>46.565871205008982</v>
      </c>
      <c r="R3" s="14">
        <f>$N$21</f>
        <v>1.3516710519915256</v>
      </c>
    </row>
    <row r="4" spans="1:18" x14ac:dyDescent="0.25">
      <c r="A4" s="1" t="s">
        <v>26</v>
      </c>
      <c r="B4" s="1" t="s">
        <v>225</v>
      </c>
      <c r="C4" s="234"/>
      <c r="D4" s="234"/>
      <c r="E4" s="234">
        <v>95940.266000000003</v>
      </c>
      <c r="F4" s="234">
        <v>0</v>
      </c>
      <c r="H4" s="77" t="s">
        <v>259</v>
      </c>
      <c r="I4" s="30">
        <v>7.4999999999999997E-2</v>
      </c>
      <c r="J4" s="29">
        <f>($F$8 - $M$6) * $F$18</f>
        <v>3.9661768323099977E-2</v>
      </c>
      <c r="K4" s="29">
        <f>($F$9 - $M$6) * $F$18</f>
        <v>4.1823047206440034E-2</v>
      </c>
      <c r="L4" s="26"/>
      <c r="M4" s="30">
        <f>IFERROR(AVERAGE(J4:L4),"")</f>
        <v>4.0742407764770006E-2</v>
      </c>
      <c r="N4" s="42">
        <f>IFERROR(STDEV(J4:L4),"")</f>
        <v>1.5282549544450431E-3</v>
      </c>
    </row>
    <row r="5" spans="1:18" x14ac:dyDescent="0.25">
      <c r="A5" s="1" t="s">
        <v>28</v>
      </c>
      <c r="B5" s="1" t="s">
        <v>225</v>
      </c>
      <c r="C5" s="234"/>
      <c r="D5" s="234"/>
      <c r="E5" s="234">
        <v>93786.812999999995</v>
      </c>
      <c r="F5" s="234">
        <v>0</v>
      </c>
      <c r="H5" s="77" t="s">
        <v>260</v>
      </c>
      <c r="I5" s="26"/>
      <c r="J5" s="26"/>
      <c r="K5" s="26"/>
      <c r="L5" s="26"/>
      <c r="M5" s="26"/>
      <c r="N5" s="35"/>
    </row>
    <row r="6" spans="1:18" ht="15.75" thickBot="1" x14ac:dyDescent="0.3">
      <c r="A6" s="1" t="s">
        <v>47</v>
      </c>
      <c r="B6" s="1" t="s">
        <v>225</v>
      </c>
      <c r="C6" s="1" t="s">
        <v>226</v>
      </c>
      <c r="D6" s="1">
        <v>631.79499999999996</v>
      </c>
      <c r="E6" s="1">
        <v>119755.094</v>
      </c>
      <c r="F6" s="1">
        <v>5.2757254735234897E-3</v>
      </c>
      <c r="H6" s="78" t="s">
        <v>261</v>
      </c>
      <c r="I6" s="27"/>
      <c r="J6" s="31">
        <f>IF($G$2&lt;&gt;"","Point Deleted",$F$2)</f>
        <v>3.531806615072239E-3</v>
      </c>
      <c r="K6" s="31">
        <f>IF($G$3&lt;&gt;"","Point Deleted",$F$3)</f>
        <v>3.7745742107335102E-3</v>
      </c>
      <c r="L6" s="27"/>
      <c r="M6" s="31">
        <f>IFERROR(AVERAGE(J6:L6),"")</f>
        <v>3.6531904129028748E-3</v>
      </c>
      <c r="N6" s="43">
        <f>IFERROR(STDEV(J6:L6),"")</f>
        <v>1.7166261314443878E-4</v>
      </c>
    </row>
    <row r="7" spans="1:18" x14ac:dyDescent="0.25">
      <c r="A7" s="1" t="s">
        <v>48</v>
      </c>
      <c r="B7" s="1" t="s">
        <v>225</v>
      </c>
      <c r="C7" s="1" t="s">
        <v>226</v>
      </c>
      <c r="D7" s="1">
        <v>593.24</v>
      </c>
      <c r="E7" s="1">
        <v>120245.961</v>
      </c>
      <c r="F7" s="1">
        <v>4.9335544833809435E-3</v>
      </c>
      <c r="H7" s="79" t="s">
        <v>262</v>
      </c>
      <c r="I7" s="25"/>
      <c r="J7" s="48">
        <f>IFERROR(IF(ISTEXT($J$3),NA(),($J$3 * $I$3) / ($F$20 * 3600)),"")</f>
        <v>2.2535209175286319E-7</v>
      </c>
      <c r="K7" s="37">
        <f>IFERROR(IF(ISTEXT($K$3),NA(),($K$3 * $I$3) / ($F$20 * 3600)),"")</f>
        <v>1.7782834312195397E-7</v>
      </c>
      <c r="L7" s="25"/>
      <c r="M7" s="37">
        <f>IFERROR(AVERAGE(J7:L7),"")</f>
        <v>2.015902174374086E-7</v>
      </c>
      <c r="N7" s="44">
        <f>IFERROR(STDEV(J7:L7),"")</f>
        <v>3.3604364924320811E-8</v>
      </c>
    </row>
    <row r="8" spans="1:18" ht="18" x14ac:dyDescent="0.35">
      <c r="A8" s="1" t="s">
        <v>175</v>
      </c>
      <c r="B8" s="1" t="s">
        <v>225</v>
      </c>
      <c r="C8" s="1" t="s">
        <v>226</v>
      </c>
      <c r="D8" s="1">
        <v>1111.1210000000001</v>
      </c>
      <c r="E8" s="1">
        <v>81888.945000000007</v>
      </c>
      <c r="F8" s="1">
        <v>1.356863249367787E-2</v>
      </c>
      <c r="H8" s="77" t="s">
        <v>263</v>
      </c>
      <c r="I8" s="26"/>
      <c r="J8" s="49">
        <f>IFERROR(IF(ISTEXT($J$4),NA(),$J$4),"")</f>
        <v>3.9661768323099977E-2</v>
      </c>
      <c r="K8" s="30">
        <f>IFERROR(IF(ISTEXT($K$4),NA(),$K$4),"")</f>
        <v>4.1823047206440034E-2</v>
      </c>
      <c r="L8" s="26"/>
      <c r="M8" s="30">
        <f>IFERROR(AVERAGE(J8:L8),"")</f>
        <v>4.0742407764770006E-2</v>
      </c>
      <c r="N8" s="42">
        <f>IFERROR(STDEV(J8:L8),"")</f>
        <v>1.5282549544450431E-3</v>
      </c>
    </row>
    <row r="9" spans="1:18" x14ac:dyDescent="0.25">
      <c r="A9" s="1" t="s">
        <v>176</v>
      </c>
      <c r="B9" s="1" t="s">
        <v>225</v>
      </c>
      <c r="C9" s="1" t="s">
        <v>226</v>
      </c>
      <c r="D9" s="1">
        <v>1132.711</v>
      </c>
      <c r="E9" s="1">
        <v>80283.141000000003</v>
      </c>
      <c r="F9" s="1">
        <v>1.4108952214512882E-2</v>
      </c>
      <c r="H9" s="77" t="s">
        <v>264</v>
      </c>
      <c r="I9" s="26"/>
      <c r="J9" s="50">
        <f>IFERROR(IF(OR(ISTEXT($J$2),ISTEXT($J$3),ISTEXT($J$4)),NA(),(($J$2 * $I$2) + ($J$3 * $I$3)) / $J$4 / $I$4),"")</f>
        <v>1.2377046568812757</v>
      </c>
      <c r="K9" s="38">
        <f>IFERROR(IF(OR(ISTEXT($K$2),ISTEXT($K$3),ISTEXT($K$4)),NA(),(($K$2 * $I$2) + ($K$3 * $I$3)) / $K$4 / $I$4),"")</f>
        <v>0.9186930178093472</v>
      </c>
      <c r="L9" s="26" t="str">
        <f>IFERROR(IF(OR(ISTEXT($L$2),ISTEXT($L$3),ISTEXT($L$4)),NA(),(($L$2 * $I$2) + ($L$3 * $I$3)) / $L$4 / $I$4),"")</f>
        <v/>
      </c>
      <c r="M9" s="38">
        <f>IFERROR(AVERAGE(J9:L9),"")</f>
        <v>1.0781988373453115</v>
      </c>
      <c r="N9" s="45">
        <f>IFERROR(STDEV(J9:L9),"")</f>
        <v>0.22557529326519535</v>
      </c>
    </row>
    <row r="10" spans="1:18" ht="18.75" thickBot="1" x14ac:dyDescent="0.4">
      <c r="A10" s="1" t="s">
        <v>111</v>
      </c>
      <c r="B10" s="1" t="s">
        <v>225</v>
      </c>
      <c r="C10" s="1" t="s">
        <v>226</v>
      </c>
      <c r="D10" s="1">
        <v>930.36199999999997</v>
      </c>
      <c r="E10" s="1">
        <v>88461.593999999997</v>
      </c>
      <c r="F10" s="1">
        <v>1.0517129049245936E-2</v>
      </c>
      <c r="H10" s="80" t="s">
        <v>266</v>
      </c>
      <c r="I10" s="36"/>
      <c r="J10" s="51">
        <f>IFERROR($J$7 / $J$4 / $F$19 * 1000000,"")</f>
        <v>51.653152801517855</v>
      </c>
      <c r="K10" s="39">
        <f>IFERROR($K$7 / $K$4 / $F$19 * 1000000,"")</f>
        <v>38.653838232517415</v>
      </c>
      <c r="L10" s="36" t="str">
        <f>IFERROR($L$7 / $L$4 / $F$19 * 1000000,"")</f>
        <v/>
      </c>
      <c r="M10" s="46">
        <f>IFERROR(AVERAGE(J10:L10),"")</f>
        <v>45.153495517017632</v>
      </c>
      <c r="N10" s="47">
        <f>IFERROR(STDEV(J10:L10),"")</f>
        <v>9.1919034825173345</v>
      </c>
    </row>
    <row r="11" spans="1:18" ht="15.75" thickTop="1" x14ac:dyDescent="0.25">
      <c r="A11" s="1" t="s">
        <v>112</v>
      </c>
      <c r="B11" s="1" t="s">
        <v>225</v>
      </c>
      <c r="C11" s="1" t="s">
        <v>226</v>
      </c>
      <c r="D11" s="1">
        <v>867.053</v>
      </c>
      <c r="E11" s="1">
        <v>96436.241999999998</v>
      </c>
      <c r="F11" s="1">
        <v>8.9909455409927733E-3</v>
      </c>
      <c r="H11" s="74"/>
    </row>
    <row r="12" spans="1:18" ht="15.75" thickBot="1" x14ac:dyDescent="0.3">
      <c r="A12" s="1" t="s">
        <v>79</v>
      </c>
      <c r="B12" s="1" t="s">
        <v>225</v>
      </c>
      <c r="C12" s="1" t="s">
        <v>226</v>
      </c>
      <c r="D12" s="1">
        <v>818.37300000000005</v>
      </c>
      <c r="E12" s="1">
        <v>120933.44500000001</v>
      </c>
      <c r="F12" s="1">
        <v>6.7671354272591834E-3</v>
      </c>
      <c r="H12" s="75" t="s">
        <v>267</v>
      </c>
    </row>
    <row r="13" spans="1:18" ht="15.75" thickTop="1" x14ac:dyDescent="0.25">
      <c r="A13" s="1" t="s">
        <v>80</v>
      </c>
      <c r="B13" s="1" t="s">
        <v>225</v>
      </c>
      <c r="C13" s="1" t="s">
        <v>226</v>
      </c>
      <c r="D13" s="1">
        <v>861.35799999999995</v>
      </c>
      <c r="E13" s="1">
        <v>118392.31299999999</v>
      </c>
      <c r="F13" s="1">
        <v>7.2754554596800554E-3</v>
      </c>
      <c r="H13" s="81" t="s">
        <v>257</v>
      </c>
      <c r="I13" s="55">
        <v>0.25</v>
      </c>
      <c r="J13" s="56">
        <f>($F$16 - $M$17) * $F$18</f>
        <v>5.067389569250718E-2</v>
      </c>
      <c r="K13" s="56">
        <f>($F$17 - $M$17) * $F$18</f>
        <v>5.108599531901286E-2</v>
      </c>
      <c r="L13" s="57"/>
      <c r="M13" s="64">
        <f>IFERROR(AVERAGE(J13:L13),"")</f>
        <v>5.087994550576002E-2</v>
      </c>
      <c r="N13" s="65">
        <f>IFERROR(STDEV(J13:L13),"")</f>
        <v>2.9139844042660968E-4</v>
      </c>
    </row>
    <row r="14" spans="1:18" x14ac:dyDescent="0.25">
      <c r="A14" s="1" t="s">
        <v>207</v>
      </c>
      <c r="B14" s="1" t="s">
        <v>225</v>
      </c>
      <c r="C14" s="1" t="s">
        <v>226</v>
      </c>
      <c r="D14" s="1">
        <v>1110.7380000000001</v>
      </c>
      <c r="E14" s="1">
        <v>79055.422000000006</v>
      </c>
      <c r="F14" s="1">
        <v>1.4050117903361517E-2</v>
      </c>
      <c r="H14" s="82" t="s">
        <v>258</v>
      </c>
      <c r="I14" s="30">
        <v>7.4999999999999997E-2</v>
      </c>
      <c r="J14" s="29">
        <f>($F$12 - $M$17) * $F$18</f>
        <v>2.7068541709036734E-2</v>
      </c>
      <c r="K14" s="29">
        <f>($F$13 - $M$17) * $F$18</f>
        <v>2.9101821838720222E-2</v>
      </c>
      <c r="L14" s="26"/>
      <c r="M14" s="30">
        <f>IFERROR(AVERAGE(J14:L14),"")</f>
        <v>2.8085181773878476E-2</v>
      </c>
      <c r="N14" s="66">
        <f>IFERROR(STDEV(J14:L14),"")</f>
        <v>1.4377461677510571E-3</v>
      </c>
    </row>
    <row r="15" spans="1:18" x14ac:dyDescent="0.25">
      <c r="A15" s="1" t="s">
        <v>208</v>
      </c>
      <c r="B15" s="1" t="s">
        <v>225</v>
      </c>
      <c r="C15" s="1" t="s">
        <v>226</v>
      </c>
      <c r="D15" s="1">
        <v>1146.663</v>
      </c>
      <c r="E15" s="1">
        <v>79091.718999999997</v>
      </c>
      <c r="F15" s="1">
        <v>1.449788946931347E-2</v>
      </c>
      <c r="H15" s="82" t="s">
        <v>259</v>
      </c>
      <c r="I15" s="28">
        <v>0.25</v>
      </c>
      <c r="J15" s="29">
        <f>($F$14 - $M$17) * $F$18</f>
        <v>5.6200471613446067E-2</v>
      </c>
      <c r="K15" s="29">
        <f>($F$15 - $M$17) * $F$18</f>
        <v>5.799155787725388E-2</v>
      </c>
      <c r="L15" s="26"/>
      <c r="M15" s="30">
        <f>IFERROR(AVERAGE(J15:L15),"")</f>
        <v>5.7096014745349977E-2</v>
      </c>
      <c r="N15" s="66">
        <f>IFERROR(STDEV(J15:L15),"")</f>
        <v>1.2664892428285823E-3</v>
      </c>
    </row>
    <row r="16" spans="1:18" x14ac:dyDescent="0.25">
      <c r="A16" s="1" t="s">
        <v>143</v>
      </c>
      <c r="B16" s="1" t="s">
        <v>225</v>
      </c>
      <c r="C16" s="1" t="s">
        <v>226</v>
      </c>
      <c r="D16" s="1">
        <v>1104.751</v>
      </c>
      <c r="E16" s="1">
        <v>87204.741999999998</v>
      </c>
      <c r="F16" s="1">
        <v>1.2668473923126795E-2</v>
      </c>
      <c r="H16" s="82" t="s">
        <v>260</v>
      </c>
      <c r="I16" s="26"/>
      <c r="J16" s="26"/>
      <c r="K16" s="26"/>
      <c r="L16" s="26"/>
      <c r="M16" s="26"/>
      <c r="N16" s="58"/>
    </row>
    <row r="17" spans="1:22" ht="15.75" thickBot="1" x14ac:dyDescent="0.3">
      <c r="A17" s="1" t="s">
        <v>144</v>
      </c>
      <c r="B17" s="1" t="s">
        <v>225</v>
      </c>
      <c r="C17" s="1" t="s">
        <v>226</v>
      </c>
      <c r="D17" s="1">
        <v>1106.4169999999999</v>
      </c>
      <c r="E17" s="1">
        <v>86631.726999999999</v>
      </c>
      <c r="F17" s="1">
        <v>1.2771498829753215E-2</v>
      </c>
      <c r="H17" s="83" t="s">
        <v>261</v>
      </c>
      <c r="I17" s="53"/>
      <c r="J17" s="54">
        <f>IF($G$4&lt;&gt;"","Point Deleted",$F$4)</f>
        <v>0</v>
      </c>
      <c r="K17" s="54">
        <f>IF($G$5&lt;&gt;"","Point Deleted",$F$5)</f>
        <v>0</v>
      </c>
      <c r="L17" s="53"/>
      <c r="M17" s="54">
        <f t="shared" ref="M17:M22" si="0">IFERROR(AVERAGE(J17:L17),"")</f>
        <v>0</v>
      </c>
      <c r="N17" s="67">
        <f t="shared" ref="N17:N22" si="1">IFERROR(STDEV(J17:L17),"")</f>
        <v>0</v>
      </c>
    </row>
    <row r="18" spans="1:22" ht="66.75" thickTop="1" thickBot="1" x14ac:dyDescent="0.3">
      <c r="C18" s="75"/>
      <c r="E18" s="17" t="s">
        <v>12</v>
      </c>
      <c r="F18" s="18">
        <v>4</v>
      </c>
      <c r="H18" s="84" t="s">
        <v>262</v>
      </c>
      <c r="I18" s="52"/>
      <c r="J18" s="72">
        <f>IFERROR(IF(ISTEXT($J$14),NA(),($J$14 * $I$14) / ($F$20 * 3600)),"")</f>
        <v>2.8196397613579928E-7</v>
      </c>
      <c r="K18" s="61">
        <f>IFERROR(IF(ISTEXT($K$14),NA(),($K$14 * $I$14) / ($F$20 * 3600)),"")</f>
        <v>3.0314397748666895E-7</v>
      </c>
      <c r="L18" s="52"/>
      <c r="M18" s="61">
        <f t="shared" si="0"/>
        <v>2.9255397681123414E-7</v>
      </c>
      <c r="N18" s="68">
        <f t="shared" si="1"/>
        <v>1.4976522580740184E-8</v>
      </c>
      <c r="P18" s="85" t="s">
        <v>268</v>
      </c>
      <c r="Q18" s="86" t="s">
        <v>269</v>
      </c>
      <c r="R18" s="87" t="s">
        <v>242</v>
      </c>
      <c r="S18" s="87" t="s">
        <v>270</v>
      </c>
      <c r="T18" s="87" t="s">
        <v>271</v>
      </c>
      <c r="U18" s="87" t="s">
        <v>272</v>
      </c>
      <c r="V18" s="87" t="s">
        <v>264</v>
      </c>
    </row>
    <row r="19" spans="1:22" ht="18.75" thickTop="1" x14ac:dyDescent="0.35">
      <c r="C19" s="75"/>
      <c r="E19" s="19" t="s">
        <v>253</v>
      </c>
      <c r="F19" s="20">
        <v>0.11</v>
      </c>
      <c r="H19" s="82" t="s">
        <v>263</v>
      </c>
      <c r="I19" s="26"/>
      <c r="J19" s="49">
        <f>IFERROR(IF(ISTEXT($J$15),NA(),$J$15),"")</f>
        <v>5.6200471613446067E-2</v>
      </c>
      <c r="K19" s="30">
        <f>IFERROR(IF(ISTEXT($K$15),NA(),$K$15),"")</f>
        <v>5.799155787725388E-2</v>
      </c>
      <c r="L19" s="26"/>
      <c r="M19" s="30">
        <f t="shared" si="0"/>
        <v>5.7096014745349977E-2</v>
      </c>
      <c r="N19" s="66">
        <f t="shared" si="1"/>
        <v>1.2664892428285823E-3</v>
      </c>
      <c r="Q19" s="88"/>
      <c r="R19" s="88" t="s">
        <v>256</v>
      </c>
      <c r="S19" s="92">
        <f>$J$10</f>
        <v>51.653152801517855</v>
      </c>
      <c r="T19" s="92">
        <f>$K$10</f>
        <v>38.653838232517415</v>
      </c>
      <c r="U19" s="88" t="str">
        <f>$L$10</f>
        <v/>
      </c>
      <c r="V19" s="93">
        <f>$M$9</f>
        <v>1.0781988373453115</v>
      </c>
    </row>
    <row r="20" spans="1:22" ht="30" x14ac:dyDescent="0.25">
      <c r="C20" s="75"/>
      <c r="E20" s="19" t="s">
        <v>254</v>
      </c>
      <c r="F20" s="21">
        <v>2</v>
      </c>
      <c r="H20" s="82" t="s">
        <v>264</v>
      </c>
      <c r="I20" s="26"/>
      <c r="J20" s="50">
        <f>IFERROR(IF(OR(ISTEXT($J$13),ISTEXT($J$14),ISTEXT($J$15)),NA(),(($J$13 * $I$13) + ($J$14 * $I$14)) / $J$15 / $I$15),"")</f>
        <v>1.0461559577224528</v>
      </c>
      <c r="K20" s="38">
        <f>IFERROR(IF(OR(ISTEXT($K$13),ISTEXT($K$14),ISTEXT($K$15)),NA(),(($K$13 * $I$13) + ($K$14 * $I$14)) / $K$15 / $I$15),"")</f>
        <v>1.031469821818511</v>
      </c>
      <c r="L20" s="26" t="str">
        <f>IFERROR(IF(OR(ISTEXT($L$13),ISTEXT($L$14),ISTEXT($L$15)),NA(),(($L$13 * $I$13) + ($L$14 * $I$14)) / $L$15 / $I$15),"")</f>
        <v/>
      </c>
      <c r="M20" s="38">
        <f t="shared" si="0"/>
        <v>1.0388128897704818</v>
      </c>
      <c r="N20" s="69">
        <f t="shared" si="1"/>
        <v>1.0384666287104513E-2</v>
      </c>
      <c r="P20" s="89" t="str">
        <f>$B$2</f>
        <v>DTXSID0041274</v>
      </c>
      <c r="Q20" s="94">
        <f>$F$21</f>
        <v>10</v>
      </c>
      <c r="R20" s="88" t="s">
        <v>267</v>
      </c>
      <c r="S20" s="95">
        <f>$J$21</f>
        <v>45.61009543821222</v>
      </c>
      <c r="T20" s="95">
        <f>$K$21</f>
        <v>47.521646971805744</v>
      </c>
      <c r="U20" s="88" t="str">
        <f>$L$21</f>
        <v/>
      </c>
      <c r="V20" s="93">
        <f>$M$20</f>
        <v>1.0388128897704818</v>
      </c>
    </row>
    <row r="21" spans="1:22" ht="18.75" thickBot="1" x14ac:dyDescent="0.4">
      <c r="C21" s="75"/>
      <c r="E21" s="22" t="s">
        <v>255</v>
      </c>
      <c r="F21" s="23">
        <v>10</v>
      </c>
      <c r="H21" s="83" t="s">
        <v>266</v>
      </c>
      <c r="I21" s="53"/>
      <c r="J21" s="73">
        <f>IFERROR($J$18 / $J$15 / $F$19 * 1000000,"")</f>
        <v>45.61009543821222</v>
      </c>
      <c r="K21" s="54">
        <f>IFERROR($K$18 / $K$15 / $F$19 * 1000000,"")</f>
        <v>47.521646971805744</v>
      </c>
      <c r="L21" s="53" t="str">
        <f>IFERROR($L$18 / $L$15 / $F$19 * 1000000,"")</f>
        <v/>
      </c>
      <c r="M21" s="54">
        <f t="shared" si="0"/>
        <v>46.565871205008982</v>
      </c>
      <c r="N21" s="70">
        <f t="shared" si="1"/>
        <v>1.3516710519915256</v>
      </c>
      <c r="P21" s="90"/>
      <c r="Q21" s="96"/>
      <c r="R21" s="97" t="s">
        <v>238</v>
      </c>
      <c r="S21" s="98">
        <f>$J$22</f>
        <v>0.88300699888491496</v>
      </c>
      <c r="T21" s="99">
        <f>$K$22</f>
        <v>1.2294159944982725</v>
      </c>
      <c r="U21" s="97" t="str">
        <f>$L$22</f>
        <v/>
      </c>
      <c r="V21" s="97"/>
    </row>
    <row r="22" spans="1:22" ht="15.75" thickBot="1" x14ac:dyDescent="0.3">
      <c r="H22" s="59" t="s">
        <v>238</v>
      </c>
      <c r="I22" s="60"/>
      <c r="J22" s="62">
        <f>IFERROR($J$21 / $J$10,"")</f>
        <v>0.88300699888491496</v>
      </c>
      <c r="K22" s="63">
        <f>IFERROR($K$21 / $K$10,"")</f>
        <v>1.2294159944982725</v>
      </c>
      <c r="L22" s="60" t="str">
        <f>IFERROR($L$21 / $L$10,"")</f>
        <v/>
      </c>
      <c r="M22" s="63">
        <f t="shared" si="0"/>
        <v>1.0562114966915939</v>
      </c>
      <c r="N22" s="71">
        <f t="shared" si="1"/>
        <v>0.24494814986222532</v>
      </c>
      <c r="P22" s="91"/>
      <c r="Q22" s="100"/>
      <c r="R22" s="88"/>
      <c r="S22" s="88"/>
      <c r="T22" s="88"/>
      <c r="U22" s="88"/>
      <c r="V22" s="88"/>
    </row>
    <row r="23" spans="1:22" ht="15.75" thickTop="1" x14ac:dyDescent="0.25"/>
    <row r="27" spans="1:22" ht="15.75" thickBot="1" x14ac:dyDescent="0.3">
      <c r="H27" s="75" t="s">
        <v>256</v>
      </c>
    </row>
    <row r="28" spans="1:22" ht="15.75" thickTop="1" x14ac:dyDescent="0.25">
      <c r="A28" s="1" t="s">
        <v>23</v>
      </c>
      <c r="B28" s="1" t="s">
        <v>229</v>
      </c>
      <c r="C28" s="1" t="s">
        <v>230</v>
      </c>
      <c r="D28" s="1">
        <v>24.391999999999999</v>
      </c>
      <c r="E28" s="1">
        <v>101225.531</v>
      </c>
      <c r="F28" s="1">
        <v>2.4096687623204464E-4</v>
      </c>
      <c r="H28" s="76" t="s">
        <v>257</v>
      </c>
      <c r="I28" s="32">
        <v>7.4999999999999997E-2</v>
      </c>
      <c r="J28" s="103">
        <f>($F$36 - $M$32) * $F$44</f>
        <v>1.3321987521458744E-3</v>
      </c>
      <c r="K28" s="103">
        <f>($F$37 - $M$32) * $F$44</f>
        <v>6.0838393442038535E-3</v>
      </c>
      <c r="L28" s="34"/>
      <c r="M28" s="105">
        <f>IFERROR(AVERAGE(J28:L28),"")</f>
        <v>3.7080190481748642E-3</v>
      </c>
      <c r="N28" s="40">
        <f>IFERROR(STDEV(J28:L28),"")</f>
        <v>3.359917284405458E-3</v>
      </c>
      <c r="P28" s="1" t="s">
        <v>256</v>
      </c>
      <c r="Q28" s="16">
        <f>$M$36</f>
        <v>36.567495645156683</v>
      </c>
      <c r="R28" s="14">
        <f>$N$36</f>
        <v>7.0092772340819165</v>
      </c>
    </row>
    <row r="29" spans="1:22" x14ac:dyDescent="0.25">
      <c r="A29" s="1" t="s">
        <v>25</v>
      </c>
      <c r="B29" s="1" t="s">
        <v>229</v>
      </c>
      <c r="C29" s="1" t="s">
        <v>230</v>
      </c>
      <c r="D29" s="1">
        <v>12.624000000000001</v>
      </c>
      <c r="E29" s="1">
        <v>100985.69500000001</v>
      </c>
      <c r="F29" s="1">
        <v>1.2500780432317667E-4</v>
      </c>
      <c r="H29" s="77" t="s">
        <v>258</v>
      </c>
      <c r="I29" s="28">
        <v>0.25</v>
      </c>
      <c r="J29" s="29">
        <f>($F$32 - $M$32) * $F$44</f>
        <v>9.4893599690965294E-2</v>
      </c>
      <c r="K29" s="29">
        <f>($F$33 - $M$32) * $F$44</f>
        <v>7.4534909167840446E-2</v>
      </c>
      <c r="L29" s="26"/>
      <c r="M29" s="30">
        <f>IFERROR(AVERAGE(J29:L29),"")</f>
        <v>8.4714254429402863E-2</v>
      </c>
      <c r="N29" s="106">
        <f>IFERROR(STDEV(J29:L29),"")</f>
        <v>1.4395768124979974E-2</v>
      </c>
      <c r="P29" s="1" t="s">
        <v>267</v>
      </c>
      <c r="Q29" s="14">
        <f>$M$47</f>
        <v>1.4038851370733709</v>
      </c>
      <c r="R29" s="14">
        <f>$N$47</f>
        <v>1.1140947262221439</v>
      </c>
    </row>
    <row r="30" spans="1:22" x14ac:dyDescent="0.25">
      <c r="A30" s="1" t="s">
        <v>26</v>
      </c>
      <c r="B30" s="1" t="s">
        <v>229</v>
      </c>
      <c r="C30" s="234"/>
      <c r="D30" s="234"/>
      <c r="E30" s="234">
        <v>95940.266000000003</v>
      </c>
      <c r="F30" s="234">
        <v>0</v>
      </c>
      <c r="H30" s="77" t="s">
        <v>259</v>
      </c>
      <c r="I30" s="30">
        <v>7.4999999999999997E-2</v>
      </c>
      <c r="J30" s="101">
        <f>($F$34 - $M$32) * $F$44</f>
        <v>0.7213642667292377</v>
      </c>
      <c r="K30" s="101">
        <f>($F$35 - $M$32) * $F$44</f>
        <v>0.74427551771208866</v>
      </c>
      <c r="L30" s="26"/>
      <c r="M30" s="28">
        <f>IFERROR(AVERAGE(J30:L30),"")</f>
        <v>0.73281989222066324</v>
      </c>
      <c r="N30" s="106">
        <f>IFERROR(STDEV(J30:L30),"")</f>
        <v>1.6200700935440866E-2</v>
      </c>
    </row>
    <row r="31" spans="1:22" x14ac:dyDescent="0.25">
      <c r="A31" s="1" t="s">
        <v>28</v>
      </c>
      <c r="B31" s="1" t="s">
        <v>229</v>
      </c>
      <c r="C31" s="234"/>
      <c r="D31" s="234"/>
      <c r="E31" s="234">
        <v>93786.812999999995</v>
      </c>
      <c r="F31" s="234">
        <v>0</v>
      </c>
      <c r="H31" s="77" t="s">
        <v>260</v>
      </c>
      <c r="I31" s="26"/>
      <c r="J31" s="26"/>
      <c r="K31" s="26"/>
      <c r="L31" s="26"/>
      <c r="M31" s="26"/>
      <c r="N31" s="35"/>
    </row>
    <row r="32" spans="1:22" ht="15.75" thickBot="1" x14ac:dyDescent="0.3">
      <c r="A32" s="1" t="s">
        <v>57</v>
      </c>
      <c r="B32" s="1" t="s">
        <v>229</v>
      </c>
      <c r="C32" s="1" t="s">
        <v>230</v>
      </c>
      <c r="D32" s="1">
        <v>2963.0059999999999</v>
      </c>
      <c r="E32" s="1">
        <v>123942.023</v>
      </c>
      <c r="F32" s="1">
        <v>2.3906387263018934E-2</v>
      </c>
      <c r="H32" s="78" t="s">
        <v>261</v>
      </c>
      <c r="I32" s="27"/>
      <c r="J32" s="102">
        <f>IF($G$28&lt;&gt;"","Point Deleted",$F$28)</f>
        <v>2.4096687623204464E-4</v>
      </c>
      <c r="K32" s="102">
        <f>IF($G$29&lt;&gt;"","Point Deleted",$F$29)</f>
        <v>1.2500780432317667E-4</v>
      </c>
      <c r="L32" s="27"/>
      <c r="M32" s="102">
        <f>IFERROR(AVERAGE(J32:L32),"")</f>
        <v>1.8298734027761066E-4</v>
      </c>
      <c r="N32" s="107">
        <f>IFERROR(STDEV(J32:L32),"")</f>
        <v>8.1995446086859038E-5</v>
      </c>
    </row>
    <row r="33" spans="1:22" x14ac:dyDescent="0.25">
      <c r="A33" s="1" t="s">
        <v>58</v>
      </c>
      <c r="B33" s="1" t="s">
        <v>229</v>
      </c>
      <c r="C33" s="1" t="s">
        <v>230</v>
      </c>
      <c r="D33" s="1">
        <v>2206.0650000000001</v>
      </c>
      <c r="E33" s="1">
        <v>117239.648</v>
      </c>
      <c r="F33" s="1">
        <v>1.8816714632237722E-2</v>
      </c>
      <c r="H33" s="79" t="s">
        <v>262</v>
      </c>
      <c r="I33" s="25"/>
      <c r="J33" s="48">
        <f>IFERROR(IF(ISTEXT($J$29),NA(),($J$29 * $I$29) / ($F$46 * 3600)),"")</f>
        <v>3.2949166559362949E-6</v>
      </c>
      <c r="K33" s="37">
        <f>IFERROR(IF(ISTEXT($K$29),NA(),($K$29 * $I$29) / ($F$46 * 3600)),"")</f>
        <v>2.5880176794389044E-6</v>
      </c>
      <c r="L33" s="25"/>
      <c r="M33" s="37">
        <f>IFERROR(AVERAGE(J33:L33),"")</f>
        <v>2.9414671676875999E-6</v>
      </c>
      <c r="N33" s="44">
        <f>IFERROR(STDEV(J33:L33),"")</f>
        <v>4.9985305989513473E-7</v>
      </c>
    </row>
    <row r="34" spans="1:22" ht="18" x14ac:dyDescent="0.35">
      <c r="A34" s="1" t="s">
        <v>185</v>
      </c>
      <c r="B34" s="1" t="s">
        <v>229</v>
      </c>
      <c r="C34" s="1" t="s">
        <v>230</v>
      </c>
      <c r="D34" s="1">
        <v>15505.210999999999</v>
      </c>
      <c r="E34" s="1">
        <v>85890</v>
      </c>
      <c r="F34" s="1">
        <v>0.18052405402258703</v>
      </c>
      <c r="H34" s="77" t="s">
        <v>263</v>
      </c>
      <c r="I34" s="26"/>
      <c r="J34" s="109">
        <f>IFERROR(IF(ISTEXT($J$30),NA(),$J$30),"")</f>
        <v>0.7213642667292377</v>
      </c>
      <c r="K34" s="28">
        <f>IFERROR(IF(ISTEXT($K$30),NA(),$K$30),"")</f>
        <v>0.74427551771208866</v>
      </c>
      <c r="L34" s="26"/>
      <c r="M34" s="28">
        <f>IFERROR(AVERAGE(J34:L34),"")</f>
        <v>0.73281989222066324</v>
      </c>
      <c r="N34" s="106">
        <f>IFERROR(STDEV(J34:L34),"")</f>
        <v>1.6200700935440866E-2</v>
      </c>
    </row>
    <row r="35" spans="1:22" x14ac:dyDescent="0.25">
      <c r="A35" s="1" t="s">
        <v>186</v>
      </c>
      <c r="B35" s="1" t="s">
        <v>229</v>
      </c>
      <c r="C35" s="1" t="s">
        <v>230</v>
      </c>
      <c r="D35" s="1">
        <v>16257.031999999999</v>
      </c>
      <c r="E35" s="1">
        <v>87285.202999999994</v>
      </c>
      <c r="F35" s="1">
        <v>0.18625186676829977</v>
      </c>
      <c r="H35" s="77" t="s">
        <v>264</v>
      </c>
      <c r="I35" s="26"/>
      <c r="J35" s="110">
        <f>IFERROR(IF(OR(ISTEXT($J$28),ISTEXT($J$29),ISTEXT($J$30)),NA(),(($J$28 * $I$28) + ($J$29 * $I$29)) / $J$30 / $I$30),"")</f>
        <v>0.44033813757128776</v>
      </c>
      <c r="K35" s="104">
        <f>IFERROR(IF(OR(ISTEXT($K$28),ISTEXT($K$29),ISTEXT($K$30)),NA(),(($K$28 * $I$28) + ($K$29 * $I$29)) / $K$30 / $I$30),"")</f>
        <v>0.3419883235616531</v>
      </c>
      <c r="L35" s="26" t="str">
        <f>IFERROR(IF(OR(ISTEXT($L$28),ISTEXT($L$29),ISTEXT($L$30)),NA(),(($L$28 * $I$28) + ($L$29 * $I$29)) / $L$30 / $I$30),"")</f>
        <v/>
      </c>
      <c r="M35" s="104">
        <f>IFERROR(AVERAGE(J35:L35),"")</f>
        <v>0.3911632305664704</v>
      </c>
      <c r="N35" s="108">
        <f>IFERROR(STDEV(J35:L35),"")</f>
        <v>6.9543820414648572E-2</v>
      </c>
    </row>
    <row r="36" spans="1:22" ht="18.75" thickBot="1" x14ac:dyDescent="0.4">
      <c r="A36" s="1" t="s">
        <v>121</v>
      </c>
      <c r="B36" s="1" t="s">
        <v>229</v>
      </c>
      <c r="C36" s="1" t="s">
        <v>230</v>
      </c>
      <c r="D36" s="1">
        <v>43.063000000000002</v>
      </c>
      <c r="E36" s="1">
        <v>83449.437999999995</v>
      </c>
      <c r="F36" s="1">
        <v>5.1603702831407928E-4</v>
      </c>
      <c r="H36" s="80" t="s">
        <v>266</v>
      </c>
      <c r="I36" s="36"/>
      <c r="J36" s="111">
        <f>IFERROR($J$33 / $J$30 / $F$45 * 1000000,"")</f>
        <v>41.523803108592467</v>
      </c>
      <c r="K36" s="46">
        <f>IFERROR($K$33 / $K$30 / $F$45 * 1000000,"")</f>
        <v>31.611188181720905</v>
      </c>
      <c r="L36" s="36" t="str">
        <f>IFERROR($L$33 / $L$30 / $F$45 * 1000000,"")</f>
        <v/>
      </c>
      <c r="M36" s="46">
        <f>IFERROR(AVERAGE(J36:L36),"")</f>
        <v>36.567495645156683</v>
      </c>
      <c r="N36" s="47">
        <f>IFERROR(STDEV(J36:L36),"")</f>
        <v>7.0092772340819165</v>
      </c>
    </row>
    <row r="37" spans="1:22" ht="15.75" thickTop="1" x14ac:dyDescent="0.25">
      <c r="A37" s="1" t="s">
        <v>122</v>
      </c>
      <c r="B37" s="1" t="s">
        <v>229</v>
      </c>
      <c r="C37" s="1" t="s">
        <v>230</v>
      </c>
      <c r="D37" s="1">
        <v>144.495</v>
      </c>
      <c r="E37" s="1">
        <v>84800.164000000004</v>
      </c>
      <c r="F37" s="1">
        <v>1.7039471763285741E-3</v>
      </c>
      <c r="H37" s="74"/>
    </row>
    <row r="38" spans="1:22" ht="15.75" thickBot="1" x14ac:dyDescent="0.3">
      <c r="A38" s="1" t="s">
        <v>89</v>
      </c>
      <c r="B38" s="1" t="s">
        <v>229</v>
      </c>
      <c r="C38" s="1" t="s">
        <v>230</v>
      </c>
      <c r="D38" s="1">
        <v>138.36799999999999</v>
      </c>
      <c r="E38" s="1">
        <v>79356.687999999995</v>
      </c>
      <c r="F38" s="1">
        <v>1.7436211551570802E-3</v>
      </c>
      <c r="H38" s="75" t="s">
        <v>267</v>
      </c>
    </row>
    <row r="39" spans="1:22" ht="15.75" thickTop="1" x14ac:dyDescent="0.25">
      <c r="A39" s="1" t="s">
        <v>90</v>
      </c>
      <c r="B39" s="1" t="s">
        <v>229</v>
      </c>
      <c r="C39" s="1" t="s">
        <v>230</v>
      </c>
      <c r="D39" s="1">
        <v>486.29199999999997</v>
      </c>
      <c r="E39" s="1">
        <v>80031.358999999997</v>
      </c>
      <c r="F39" s="1">
        <v>6.0762681788272517E-3</v>
      </c>
      <c r="H39" s="81" t="s">
        <v>257</v>
      </c>
      <c r="I39" s="55">
        <v>0.25</v>
      </c>
      <c r="J39" s="114">
        <f>($F$42 - $M$43) * $F$44</f>
        <v>0.64806400371794448</v>
      </c>
      <c r="K39" s="114">
        <f>($F$43 - $M$43) * $F$44</f>
        <v>0.71253997802752067</v>
      </c>
      <c r="L39" s="57"/>
      <c r="M39" s="55">
        <f>IFERROR(AVERAGE(J39:L39),"")</f>
        <v>0.68030199087273258</v>
      </c>
      <c r="N39" s="118">
        <f>IFERROR(STDEV(J39:L39),"")</f>
        <v>4.5591398657910946E-2</v>
      </c>
    </row>
    <row r="40" spans="1:22" x14ac:dyDescent="0.25">
      <c r="A40" s="1" t="s">
        <v>217</v>
      </c>
      <c r="B40" s="1" t="s">
        <v>229</v>
      </c>
      <c r="C40" s="1" t="s">
        <v>230</v>
      </c>
      <c r="D40" s="1">
        <v>21753.465</v>
      </c>
      <c r="E40" s="1">
        <v>81169.391000000003</v>
      </c>
      <c r="F40" s="1">
        <v>0.26800084036604388</v>
      </c>
      <c r="H40" s="82" t="s">
        <v>258</v>
      </c>
      <c r="I40" s="30">
        <v>7.4999999999999997E-2</v>
      </c>
      <c r="J40" s="112">
        <f>($F$38 - $M$43) * $F$44</f>
        <v>6.9744846206283208E-3</v>
      </c>
      <c r="K40" s="29">
        <f>($F$39 - $M$43) * $F$44</f>
        <v>2.4305072715309007E-2</v>
      </c>
      <c r="L40" s="26"/>
      <c r="M40" s="30">
        <f>IFERROR(AVERAGE(J40:L40),"")</f>
        <v>1.5639778667968663E-2</v>
      </c>
      <c r="N40" s="119">
        <f>IFERROR(STDEV(J40:L40),"")</f>
        <v>1.2254576363699567E-2</v>
      </c>
    </row>
    <row r="41" spans="1:22" x14ac:dyDescent="0.25">
      <c r="A41" s="1" t="s">
        <v>218</v>
      </c>
      <c r="B41" s="1" t="s">
        <v>229</v>
      </c>
      <c r="C41" s="1" t="s">
        <v>230</v>
      </c>
      <c r="D41" s="1">
        <v>20970.990000000002</v>
      </c>
      <c r="E41" s="1">
        <v>79876.843999999997</v>
      </c>
      <c r="F41" s="1">
        <v>0.26254154458080498</v>
      </c>
      <c r="H41" s="82" t="s">
        <v>259</v>
      </c>
      <c r="I41" s="28">
        <v>0.25</v>
      </c>
      <c r="J41" s="113">
        <f>($F$40 - $M$43) * $F$44</f>
        <v>1.0720033614641755</v>
      </c>
      <c r="K41" s="113">
        <f>($F$41 - $M$43) * $F$44</f>
        <v>1.0501661783232199</v>
      </c>
      <c r="L41" s="26"/>
      <c r="M41" s="115">
        <f>IFERROR(AVERAGE(J41:L41),"")</f>
        <v>1.0610847698936978</v>
      </c>
      <c r="N41" s="119">
        <f>IFERROR(STDEV(J41:L41),"")</f>
        <v>1.5441220280982269E-2</v>
      </c>
    </row>
    <row r="42" spans="1:22" x14ac:dyDescent="0.25">
      <c r="A42" s="1" t="s">
        <v>153</v>
      </c>
      <c r="B42" s="1" t="s">
        <v>229</v>
      </c>
      <c r="C42" s="1" t="s">
        <v>230</v>
      </c>
      <c r="D42" s="1">
        <v>13989.188</v>
      </c>
      <c r="E42" s="1">
        <v>86344.483999999997</v>
      </c>
      <c r="F42" s="1">
        <v>0.16201600092948612</v>
      </c>
      <c r="H42" s="82" t="s">
        <v>260</v>
      </c>
      <c r="I42" s="26"/>
      <c r="J42" s="26"/>
      <c r="K42" s="26"/>
      <c r="L42" s="26"/>
      <c r="M42" s="26"/>
      <c r="N42" s="58"/>
    </row>
    <row r="43" spans="1:22" ht="15.75" thickBot="1" x14ac:dyDescent="0.3">
      <c r="A43" s="1" t="s">
        <v>154</v>
      </c>
      <c r="B43" s="1" t="s">
        <v>229</v>
      </c>
      <c r="C43" s="1" t="s">
        <v>230</v>
      </c>
      <c r="D43" s="1">
        <v>15363.119000000001</v>
      </c>
      <c r="E43" s="1">
        <v>86244.25</v>
      </c>
      <c r="F43" s="1">
        <v>0.17813499450688017</v>
      </c>
      <c r="H43" s="83" t="s">
        <v>261</v>
      </c>
      <c r="I43" s="53"/>
      <c r="J43" s="54">
        <f>IF($G$30&lt;&gt;"","Point Deleted",$F$30)</f>
        <v>0</v>
      </c>
      <c r="K43" s="54">
        <f>IF($G$31&lt;&gt;"","Point Deleted",$F$31)</f>
        <v>0</v>
      </c>
      <c r="L43" s="53"/>
      <c r="M43" s="54">
        <f t="shared" ref="M43:M48" si="2">IFERROR(AVERAGE(J43:L43),"")</f>
        <v>0</v>
      </c>
      <c r="N43" s="67">
        <f t="shared" ref="N43:N48" si="3">IFERROR(STDEV(J43:L43),"")</f>
        <v>0</v>
      </c>
    </row>
    <row r="44" spans="1:22" ht="66.75" thickTop="1" thickBot="1" x14ac:dyDescent="0.3">
      <c r="C44" s="75"/>
      <c r="E44" s="17" t="s">
        <v>12</v>
      </c>
      <c r="F44" s="18">
        <v>4</v>
      </c>
      <c r="H44" s="84" t="s">
        <v>262</v>
      </c>
      <c r="I44" s="52"/>
      <c r="J44" s="72">
        <f>IFERROR(IF(ISTEXT($J$40),NA(),($J$40 * $I$40) / ($F$46 * 3600)),"")</f>
        <v>7.2650881464878348E-8</v>
      </c>
      <c r="K44" s="61">
        <f>IFERROR(IF(ISTEXT($K$40),NA(),($K$40 * $I$40) / ($F$46 * 3600)),"")</f>
        <v>2.5317784078446881E-7</v>
      </c>
      <c r="L44" s="52"/>
      <c r="M44" s="61">
        <f t="shared" si="2"/>
        <v>1.6291436112467357E-7</v>
      </c>
      <c r="N44" s="68">
        <f t="shared" si="3"/>
        <v>1.2765183712187041E-7</v>
      </c>
      <c r="P44" s="85" t="s">
        <v>268</v>
      </c>
      <c r="Q44" s="86" t="s">
        <v>269</v>
      </c>
      <c r="R44" s="87" t="s">
        <v>242</v>
      </c>
      <c r="S44" s="87" t="s">
        <v>270</v>
      </c>
      <c r="T44" s="87" t="s">
        <v>271</v>
      </c>
      <c r="U44" s="87" t="s">
        <v>272</v>
      </c>
      <c r="V44" s="87" t="s">
        <v>264</v>
      </c>
    </row>
    <row r="45" spans="1:22" ht="18.75" thickTop="1" x14ac:dyDescent="0.35">
      <c r="C45" s="75"/>
      <c r="E45" s="19" t="s">
        <v>253</v>
      </c>
      <c r="F45" s="20">
        <v>0.11</v>
      </c>
      <c r="H45" s="82" t="s">
        <v>263</v>
      </c>
      <c r="I45" s="26"/>
      <c r="J45" s="121">
        <f>IFERROR(IF(ISTEXT($J$41),NA(),$J$41),"")</f>
        <v>1.0720033614641755</v>
      </c>
      <c r="K45" s="115">
        <f>IFERROR(IF(ISTEXT($K$41),NA(),$K$41),"")</f>
        <v>1.0501661783232199</v>
      </c>
      <c r="L45" s="26"/>
      <c r="M45" s="115">
        <f t="shared" si="2"/>
        <v>1.0610847698936978</v>
      </c>
      <c r="N45" s="119">
        <f t="shared" si="3"/>
        <v>1.5441220280982269E-2</v>
      </c>
      <c r="Q45" s="88"/>
      <c r="R45" s="88" t="s">
        <v>256</v>
      </c>
      <c r="S45" s="95">
        <f>$J$36</f>
        <v>41.523803108592467</v>
      </c>
      <c r="T45" s="95">
        <f>$K$36</f>
        <v>31.611188181720905</v>
      </c>
      <c r="U45" s="88" t="str">
        <f>$L$36</f>
        <v/>
      </c>
      <c r="V45" s="123">
        <f>$M$35</f>
        <v>0.3911632305664704</v>
      </c>
    </row>
    <row r="46" spans="1:22" ht="30" x14ac:dyDescent="0.25">
      <c r="C46" s="75"/>
      <c r="E46" s="19" t="s">
        <v>254</v>
      </c>
      <c r="F46" s="21">
        <v>2</v>
      </c>
      <c r="H46" s="82" t="s">
        <v>264</v>
      </c>
      <c r="I46" s="26"/>
      <c r="J46" s="110">
        <f>IFERROR(IF(OR(ISTEXT($J$39),ISTEXT($J$40),ISTEXT($J$41)),NA(),(($J$39 * $I$39) + ($J$40 * $I$40)) / $J$41 / $I$41),"")</f>
        <v>0.60648722986850456</v>
      </c>
      <c r="K46" s="104">
        <f>IFERROR(IF(OR(ISTEXT($K$39),ISTEXT($K$40),ISTEXT($K$41)),NA(),(($K$39 * $I$39) + ($K$40 * $I$40)) / $K$41 / $I$41),"")</f>
        <v>0.68544532732091457</v>
      </c>
      <c r="L46" s="26" t="str">
        <f>IFERROR(IF(OR(ISTEXT($L$39),ISTEXT($L$40),ISTEXT($L$41)),NA(),(($L$39 * $I$39) + ($L$40 * $I$40)) / $L$41 / $I$41),"")</f>
        <v/>
      </c>
      <c r="M46" s="104">
        <f t="shared" si="2"/>
        <v>0.64596627859470956</v>
      </c>
      <c r="N46" s="69">
        <f t="shared" si="3"/>
        <v>5.5831806138187376E-2</v>
      </c>
      <c r="P46" s="89" t="str">
        <f>$B$28</f>
        <v>DTXSID2026232</v>
      </c>
      <c r="Q46" s="94">
        <f>$F$47</f>
        <v>10</v>
      </c>
      <c r="R46" s="88" t="s">
        <v>267</v>
      </c>
      <c r="S46" s="124">
        <f>$J$47</f>
        <v>0.6161012012775231</v>
      </c>
      <c r="T46" s="125">
        <f>$K$47</f>
        <v>2.1916690728692187</v>
      </c>
      <c r="U46" s="88" t="str">
        <f>$L$47</f>
        <v/>
      </c>
      <c r="V46" s="123">
        <f>$M$46</f>
        <v>0.64596627859470956</v>
      </c>
    </row>
    <row r="47" spans="1:22" ht="18.75" thickBot="1" x14ac:dyDescent="0.4">
      <c r="C47" s="75"/>
      <c r="E47" s="22" t="s">
        <v>255</v>
      </c>
      <c r="F47" s="23">
        <v>10</v>
      </c>
      <c r="H47" s="83" t="s">
        <v>266</v>
      </c>
      <c r="I47" s="53"/>
      <c r="J47" s="122">
        <f>IFERROR($J$44 / $J$41 / $F$45 * 1000000,"")</f>
        <v>0.6161012012775231</v>
      </c>
      <c r="K47" s="117">
        <f>IFERROR($K$44 / $K$41 / $F$45 * 1000000,"")</f>
        <v>2.1916690728692187</v>
      </c>
      <c r="L47" s="53" t="str">
        <f>IFERROR($L$44 / $L$41 / $F$45 * 1000000,"")</f>
        <v/>
      </c>
      <c r="M47" s="117">
        <f t="shared" si="2"/>
        <v>1.4038851370733709</v>
      </c>
      <c r="N47" s="70">
        <f t="shared" si="3"/>
        <v>1.1140947262221439</v>
      </c>
      <c r="P47" s="90"/>
      <c r="Q47" s="96"/>
      <c r="R47" s="97" t="s">
        <v>238</v>
      </c>
      <c r="S47" s="126">
        <f>$J$48</f>
        <v>1.4837301864338001E-2</v>
      </c>
      <c r="T47" s="126">
        <f>$K$48</f>
        <v>6.9332068768504757E-2</v>
      </c>
      <c r="U47" s="97" t="str">
        <f>$L$48</f>
        <v/>
      </c>
      <c r="V47" s="97"/>
    </row>
    <row r="48" spans="1:22" ht="15.75" thickBot="1" x14ac:dyDescent="0.3">
      <c r="H48" s="59" t="s">
        <v>238</v>
      </c>
      <c r="I48" s="60"/>
      <c r="J48" s="116">
        <f>IFERROR($J$47 / $J$36,"")</f>
        <v>1.4837301864338001E-2</v>
      </c>
      <c r="K48" s="116">
        <f>IFERROR($K$47 / $K$36,"")</f>
        <v>6.9332068768504757E-2</v>
      </c>
      <c r="L48" s="60" t="str">
        <f>IFERROR($L$47 / $L$36,"")</f>
        <v/>
      </c>
      <c r="M48" s="116">
        <f t="shared" si="2"/>
        <v>4.2084685316421379E-2</v>
      </c>
      <c r="N48" s="120">
        <f t="shared" si="3"/>
        <v>3.8533619217116552E-2</v>
      </c>
      <c r="P48" s="91"/>
      <c r="Q48" s="100"/>
      <c r="R48" s="88"/>
      <c r="S48" s="88"/>
      <c r="T48" s="88"/>
      <c r="U48" s="88"/>
      <c r="V48" s="88"/>
    </row>
    <row r="49" spans="1:18" ht="15.75" thickTop="1" x14ac:dyDescent="0.25"/>
    <row r="53" spans="1:18" ht="15.75" thickBot="1" x14ac:dyDescent="0.3">
      <c r="H53" s="75" t="s">
        <v>256</v>
      </c>
    </row>
    <row r="54" spans="1:18" ht="15.75" thickTop="1" x14ac:dyDescent="0.25">
      <c r="A54" s="1" t="s">
        <v>23</v>
      </c>
      <c r="B54" s="1" t="s">
        <v>227</v>
      </c>
      <c r="C54" s="1" t="s">
        <v>228</v>
      </c>
      <c r="D54" s="1">
        <v>620.24300000000005</v>
      </c>
      <c r="E54" s="1">
        <v>101225.531</v>
      </c>
      <c r="F54" s="1">
        <v>6.1273375785008237E-3</v>
      </c>
      <c r="H54" s="76" t="s">
        <v>257</v>
      </c>
      <c r="I54" s="32">
        <v>7.4999999999999997E-2</v>
      </c>
      <c r="J54" s="128">
        <f>($F$62 - $M$58) * $F$70</f>
        <v>12.964415373416641</v>
      </c>
      <c r="K54" s="128">
        <f>($F$63 - $M$58) * $F$70</f>
        <v>13.704882392865928</v>
      </c>
      <c r="L54" s="34"/>
      <c r="M54" s="131">
        <f>IFERROR(AVERAGE(J54:L54),"")</f>
        <v>13.334648883141284</v>
      </c>
      <c r="N54" s="132">
        <f>IFERROR(STDEV(J54:L54),"")</f>
        <v>0.52358925069758222</v>
      </c>
      <c r="P54" s="1" t="s">
        <v>256</v>
      </c>
      <c r="Q54" s="16">
        <f>$M$62</f>
        <v>23.129733647381066</v>
      </c>
      <c r="R54" s="14">
        <f>$N$62</f>
        <v>2.7867055056980776</v>
      </c>
    </row>
    <row r="55" spans="1:18" x14ac:dyDescent="0.25">
      <c r="A55" s="1" t="s">
        <v>25</v>
      </c>
      <c r="B55" s="1" t="s">
        <v>227</v>
      </c>
      <c r="C55" s="1" t="s">
        <v>228</v>
      </c>
      <c r="D55" s="1">
        <v>912.73900000000003</v>
      </c>
      <c r="E55" s="1">
        <v>100985.69500000001</v>
      </c>
      <c r="F55" s="1">
        <v>9.0382999295098177E-3</v>
      </c>
      <c r="H55" s="77" t="s">
        <v>258</v>
      </c>
      <c r="I55" s="28">
        <v>0.25</v>
      </c>
      <c r="J55" s="113">
        <f>($F$58 - $M$58) * $F$70</f>
        <v>3.7551848272120099</v>
      </c>
      <c r="K55" s="113">
        <f>($F$59 - $M$58) * $F$70</f>
        <v>4.0539736336982743</v>
      </c>
      <c r="L55" s="26"/>
      <c r="M55" s="115">
        <f>IFERROR(AVERAGE(J55:L55),"")</f>
        <v>3.9045792304551421</v>
      </c>
      <c r="N55" s="133">
        <f>IFERROR(STDEV(J55:L55),"")</f>
        <v>0.21127559120907272</v>
      </c>
      <c r="P55" s="1" t="s">
        <v>267</v>
      </c>
      <c r="Q55" s="16">
        <f>$M$73</f>
        <v>15.802229640803567</v>
      </c>
      <c r="R55" s="15">
        <f>$N$73</f>
        <v>0.60535089592862246</v>
      </c>
    </row>
    <row r="56" spans="1:18" x14ac:dyDescent="0.25">
      <c r="A56" s="1" t="s">
        <v>26</v>
      </c>
      <c r="B56" s="1" t="s">
        <v>227</v>
      </c>
      <c r="C56" s="234"/>
      <c r="D56" s="234"/>
      <c r="E56" s="234">
        <v>95940.266000000003</v>
      </c>
      <c r="F56" s="234">
        <v>0</v>
      </c>
      <c r="H56" s="77" t="s">
        <v>259</v>
      </c>
      <c r="I56" s="30">
        <v>7.4999999999999997E-2</v>
      </c>
      <c r="J56" s="127">
        <f>($F$60 - $M$58) * $F$70</f>
        <v>56.020396289286204</v>
      </c>
      <c r="K56" s="127">
        <f>($F$61 - $M$58) * $F$70</f>
        <v>50.982134112802967</v>
      </c>
      <c r="L56" s="26"/>
      <c r="M56" s="130">
        <f>IFERROR(AVERAGE(J56:L56),"")</f>
        <v>53.501265201044589</v>
      </c>
      <c r="N56" s="134">
        <f>IFERROR(STDEV(J56:L56),"")</f>
        <v>3.5625893503869905</v>
      </c>
    </row>
    <row r="57" spans="1:18" x14ac:dyDescent="0.25">
      <c r="A57" s="1" t="s">
        <v>28</v>
      </c>
      <c r="B57" s="1" t="s">
        <v>227</v>
      </c>
      <c r="C57" s="234"/>
      <c r="D57" s="234"/>
      <c r="E57" s="234">
        <v>93786.812999999995</v>
      </c>
      <c r="F57" s="234">
        <v>0</v>
      </c>
      <c r="H57" s="77" t="s">
        <v>260</v>
      </c>
      <c r="I57" s="26"/>
      <c r="J57" s="26"/>
      <c r="K57" s="26"/>
      <c r="L57" s="26"/>
      <c r="M57" s="26"/>
      <c r="N57" s="35"/>
    </row>
    <row r="58" spans="1:18" ht="15.75" thickBot="1" x14ac:dyDescent="0.3">
      <c r="A58" s="1" t="s">
        <v>49</v>
      </c>
      <c r="B58" s="1" t="s">
        <v>227</v>
      </c>
      <c r="C58" s="1" t="s">
        <v>228</v>
      </c>
      <c r="D58" s="1">
        <v>110834.625</v>
      </c>
      <c r="E58" s="1">
        <v>117114.414</v>
      </c>
      <c r="F58" s="1">
        <v>0.94637902555700781</v>
      </c>
      <c r="H58" s="78" t="s">
        <v>261</v>
      </c>
      <c r="I58" s="27"/>
      <c r="J58" s="31">
        <f>IF($G$54&lt;&gt;"","Point Deleted",$F$54)</f>
        <v>6.1273375785008237E-3</v>
      </c>
      <c r="K58" s="31">
        <f>IF($G$55&lt;&gt;"","Point Deleted",$F$55)</f>
        <v>9.0382999295098177E-3</v>
      </c>
      <c r="L58" s="27"/>
      <c r="M58" s="31">
        <f>IFERROR(AVERAGE(J58:L58),"")</f>
        <v>7.5828187540053207E-3</v>
      </c>
      <c r="N58" s="135">
        <f>IFERROR(STDEV(J58:L58),"")</f>
        <v>2.0583612181771945E-3</v>
      </c>
    </row>
    <row r="59" spans="1:18" x14ac:dyDescent="0.25">
      <c r="A59" s="1" t="s">
        <v>50</v>
      </c>
      <c r="B59" s="1" t="s">
        <v>227</v>
      </c>
      <c r="C59" s="1" t="s">
        <v>228</v>
      </c>
      <c r="D59" s="1">
        <v>118258.30499999999</v>
      </c>
      <c r="E59" s="1">
        <v>115817.31299999999</v>
      </c>
      <c r="F59" s="1">
        <v>1.0210762271785738</v>
      </c>
      <c r="H59" s="79" t="s">
        <v>262</v>
      </c>
      <c r="I59" s="25"/>
      <c r="J59" s="136">
        <f>IFERROR(IF(ISTEXT($J$55),NA(),($J$55 * $I$55) / ($F$72 * 3600)),"")</f>
        <v>1.3038836205597258E-4</v>
      </c>
      <c r="K59" s="129">
        <f>IFERROR(IF(ISTEXT($K$55),NA(),($K$55 * $I$55) / ($F$72 * 3600)),"")</f>
        <v>1.407629733923012E-4</v>
      </c>
      <c r="L59" s="25"/>
      <c r="M59" s="129">
        <f>IFERROR(AVERAGE(J59:L59),"")</f>
        <v>1.3557566772413689E-4</v>
      </c>
      <c r="N59" s="44">
        <f>IFERROR(STDEV(J59:L59),"")</f>
        <v>7.3359580280928004E-6</v>
      </c>
    </row>
    <row r="60" spans="1:18" ht="18" x14ac:dyDescent="0.35">
      <c r="A60" s="1" t="s">
        <v>177</v>
      </c>
      <c r="B60" s="1" t="s">
        <v>227</v>
      </c>
      <c r="C60" s="1" t="s">
        <v>228</v>
      </c>
      <c r="D60" s="1">
        <v>1091873.75</v>
      </c>
      <c r="E60" s="1">
        <v>77920.398000000001</v>
      </c>
      <c r="F60" s="1">
        <v>14.012681891075557</v>
      </c>
      <c r="H60" s="77" t="s">
        <v>263</v>
      </c>
      <c r="I60" s="26"/>
      <c r="J60" s="137">
        <f>IFERROR(IF(ISTEXT($J$56),NA(),$J$56),"")</f>
        <v>56.020396289286204</v>
      </c>
      <c r="K60" s="130">
        <f>IFERROR(IF(ISTEXT($K$56),NA(),$K$56),"")</f>
        <v>50.982134112802967</v>
      </c>
      <c r="L60" s="26"/>
      <c r="M60" s="130">
        <f>IFERROR(AVERAGE(J60:L60),"")</f>
        <v>53.501265201044589</v>
      </c>
      <c r="N60" s="134">
        <f>IFERROR(STDEV(J60:L60),"")</f>
        <v>3.5625893503869905</v>
      </c>
    </row>
    <row r="61" spans="1:18" x14ac:dyDescent="0.25">
      <c r="A61" s="1" t="s">
        <v>178</v>
      </c>
      <c r="B61" s="1" t="s">
        <v>227</v>
      </c>
      <c r="C61" s="1" t="s">
        <v>228</v>
      </c>
      <c r="D61" s="1">
        <v>1000587.688</v>
      </c>
      <c r="E61" s="1">
        <v>78458.289000000004</v>
      </c>
      <c r="F61" s="1">
        <v>12.753116346954748</v>
      </c>
      <c r="H61" s="77" t="s">
        <v>264</v>
      </c>
      <c r="I61" s="26"/>
      <c r="J61" s="110">
        <f>IFERROR(IF(OR(ISTEXT($J$54),ISTEXT($J$55),ISTEXT($J$56)),NA(),(($J$54 * $I$54) + ($J$55 * $I$55)) / $J$56 / $I$56),"")</f>
        <v>0.45486465320959063</v>
      </c>
      <c r="K61" s="104">
        <f>IFERROR(IF(OR(ISTEXT($K$54),ISTEXT($K$55),ISTEXT($K$56)),NA(),(($K$54 * $I$54) + ($K$55 * $I$55)) / $K$56 / $I$56),"")</f>
        <v>0.53387580398859069</v>
      </c>
      <c r="L61" s="26" t="str">
        <f>IFERROR(IF(OR(ISTEXT($L$54),ISTEXT($L$55),ISTEXT($L$56)),NA(),(($L$54 * $I$54) + ($L$55 * $I$55)) / $L$56 / $I$56),"")</f>
        <v/>
      </c>
      <c r="M61" s="104">
        <f>IFERROR(AVERAGE(J61:L61),"")</f>
        <v>0.49437022859909063</v>
      </c>
      <c r="N61" s="108">
        <f>IFERROR(STDEV(J61:L61),"")</f>
        <v>5.5869320505183707E-2</v>
      </c>
    </row>
    <row r="62" spans="1:18" ht="18.75" thickBot="1" x14ac:dyDescent="0.4">
      <c r="A62" s="1" t="s">
        <v>113</v>
      </c>
      <c r="B62" s="1" t="s">
        <v>227</v>
      </c>
      <c r="C62" s="1" t="s">
        <v>228</v>
      </c>
      <c r="D62" s="1">
        <v>279445.65600000002</v>
      </c>
      <c r="E62" s="1">
        <v>86018.039000000004</v>
      </c>
      <c r="F62" s="1">
        <v>3.2486866621081654</v>
      </c>
      <c r="H62" s="80" t="s">
        <v>266</v>
      </c>
      <c r="I62" s="36"/>
      <c r="J62" s="111">
        <f>IFERROR($J$59 / $J$56 / $F$71 * 1000000,"")</f>
        <v>21.15923528713207</v>
      </c>
      <c r="K62" s="46">
        <f>IFERROR($K$59 / $K$56 / $F$71 * 1000000,"")</f>
        <v>25.100232007630066</v>
      </c>
      <c r="L62" s="36" t="str">
        <f>IFERROR($L$59 / $L$56 / $F$71 * 1000000,"")</f>
        <v/>
      </c>
      <c r="M62" s="46">
        <f>IFERROR(AVERAGE(J62:L62),"")</f>
        <v>23.129733647381066</v>
      </c>
      <c r="N62" s="47">
        <f>IFERROR(STDEV(J62:L62),"")</f>
        <v>2.7867055056980776</v>
      </c>
    </row>
    <row r="63" spans="1:18" ht="15.75" thickTop="1" x14ac:dyDescent="0.25">
      <c r="A63" s="1" t="s">
        <v>114</v>
      </c>
      <c r="B63" s="1" t="s">
        <v>227</v>
      </c>
      <c r="C63" s="1" t="s">
        <v>228</v>
      </c>
      <c r="D63" s="1">
        <v>293258.18800000002</v>
      </c>
      <c r="E63" s="1">
        <v>85403.312999999995</v>
      </c>
      <c r="F63" s="1">
        <v>3.4338034169704872</v>
      </c>
      <c r="H63" s="74"/>
    </row>
    <row r="64" spans="1:18" ht="15.75" thickBot="1" x14ac:dyDescent="0.3">
      <c r="A64" s="1" t="s">
        <v>81</v>
      </c>
      <c r="B64" s="1" t="s">
        <v>227</v>
      </c>
      <c r="C64" s="1" t="s">
        <v>228</v>
      </c>
      <c r="D64" s="1">
        <v>282118.31300000002</v>
      </c>
      <c r="E64" s="1">
        <v>115258.281</v>
      </c>
      <c r="F64" s="1">
        <v>2.4477053670442994</v>
      </c>
      <c r="H64" s="75" t="s">
        <v>267</v>
      </c>
    </row>
    <row r="65" spans="1:22" ht="15.75" thickTop="1" x14ac:dyDescent="0.25">
      <c r="A65" s="1" t="s">
        <v>82</v>
      </c>
      <c r="B65" s="1" t="s">
        <v>227</v>
      </c>
      <c r="C65" s="1" t="s">
        <v>228</v>
      </c>
      <c r="D65" s="1">
        <v>296853.46899999998</v>
      </c>
      <c r="E65" s="1">
        <v>114999.148</v>
      </c>
      <c r="F65" s="1">
        <v>2.581353637506949</v>
      </c>
      <c r="H65" s="81" t="s">
        <v>257</v>
      </c>
      <c r="I65" s="55">
        <v>0.25</v>
      </c>
      <c r="J65" s="138">
        <f>($F$68 - $M$69) * $F$70</f>
        <v>38.653899295084379</v>
      </c>
      <c r="K65" s="138">
        <f>($F$69 - $M$69) * $F$70</f>
        <v>38.833197532204572</v>
      </c>
      <c r="L65" s="57"/>
      <c r="M65" s="140">
        <f>IFERROR(AVERAGE(J65:L65),"")</f>
        <v>38.743548413644476</v>
      </c>
      <c r="N65" s="141">
        <f>IFERROR(STDEV(J65:L65),"")</f>
        <v>0.12678299932248202</v>
      </c>
    </row>
    <row r="66" spans="1:22" x14ac:dyDescent="0.25">
      <c r="A66" s="1" t="s">
        <v>209</v>
      </c>
      <c r="B66" s="1" t="s">
        <v>227</v>
      </c>
      <c r="C66" s="1" t="s">
        <v>228</v>
      </c>
      <c r="D66" s="1">
        <v>1165747.125</v>
      </c>
      <c r="E66" s="1">
        <v>77321.656000000003</v>
      </c>
      <c r="F66" s="1">
        <v>15.076592837070121</v>
      </c>
      <c r="H66" s="82" t="s">
        <v>258</v>
      </c>
      <c r="I66" s="30">
        <v>7.4999999999999997E-2</v>
      </c>
      <c r="J66" s="113">
        <f>($F$64 - $M$69) * $F$70</f>
        <v>9.7908214681771977</v>
      </c>
      <c r="K66" s="127">
        <f>($F$65 - $M$69) * $F$70</f>
        <v>10.325414550027796</v>
      </c>
      <c r="L66" s="26"/>
      <c r="M66" s="130">
        <f>IFERROR(AVERAGE(J66:L66),"")</f>
        <v>10.058118009102497</v>
      </c>
      <c r="N66" s="142">
        <f>IFERROR(STDEV(J66:L66),"")</f>
        <v>0.37801439335197318</v>
      </c>
    </row>
    <row r="67" spans="1:22" x14ac:dyDescent="0.25">
      <c r="A67" s="1" t="s">
        <v>210</v>
      </c>
      <c r="B67" s="1" t="s">
        <v>227</v>
      </c>
      <c r="C67" s="1" t="s">
        <v>228</v>
      </c>
      <c r="D67" s="1">
        <v>1106091.375</v>
      </c>
      <c r="E67" s="1">
        <v>73440.116999999998</v>
      </c>
      <c r="F67" s="1">
        <v>15.061133072541265</v>
      </c>
      <c r="H67" s="82" t="s">
        <v>259</v>
      </c>
      <c r="I67" s="28">
        <v>0.25</v>
      </c>
      <c r="J67" s="127">
        <f>($F$66 - $M$69) * $F$70</f>
        <v>60.306371348280486</v>
      </c>
      <c r="K67" s="127">
        <f>($F$67 - $M$69) * $F$70</f>
        <v>60.244532290165061</v>
      </c>
      <c r="L67" s="26"/>
      <c r="M67" s="130">
        <f>IFERROR(AVERAGE(J67:L67),"")</f>
        <v>60.275451819222774</v>
      </c>
      <c r="N67" s="119">
        <f>IFERROR(STDEV(J67:L67),"")</f>
        <v>4.3726817335605635E-2</v>
      </c>
    </row>
    <row r="68" spans="1:22" x14ac:dyDescent="0.25">
      <c r="A68" s="1" t="s">
        <v>145</v>
      </c>
      <c r="B68" s="1" t="s">
        <v>227</v>
      </c>
      <c r="C68" s="1" t="s">
        <v>228</v>
      </c>
      <c r="D68" s="1">
        <v>771456.93799999997</v>
      </c>
      <c r="E68" s="1">
        <v>79832.25</v>
      </c>
      <c r="F68" s="1">
        <v>9.6634748237710948</v>
      </c>
      <c r="H68" s="82" t="s">
        <v>260</v>
      </c>
      <c r="I68" s="26"/>
      <c r="J68" s="26"/>
      <c r="K68" s="26"/>
      <c r="L68" s="26"/>
      <c r="M68" s="26"/>
      <c r="N68" s="58"/>
    </row>
    <row r="69" spans="1:22" ht="15.75" thickBot="1" x14ac:dyDescent="0.3">
      <c r="A69" s="1" t="s">
        <v>146</v>
      </c>
      <c r="B69" s="1" t="s">
        <v>227</v>
      </c>
      <c r="C69" s="1" t="s">
        <v>228</v>
      </c>
      <c r="D69" s="1">
        <v>841617.25</v>
      </c>
      <c r="E69" s="1">
        <v>86690.491999999998</v>
      </c>
      <c r="F69" s="1">
        <v>9.708299383051143</v>
      </c>
      <c r="H69" s="83" t="s">
        <v>261</v>
      </c>
      <c r="I69" s="53"/>
      <c r="J69" s="54">
        <f>IF($G$56&lt;&gt;"","Point Deleted",$F$56)</f>
        <v>0</v>
      </c>
      <c r="K69" s="54">
        <f>IF($G$57&lt;&gt;"","Point Deleted",$F$57)</f>
        <v>0</v>
      </c>
      <c r="L69" s="53"/>
      <c r="M69" s="54">
        <f t="shared" ref="M69:M74" si="4">IFERROR(AVERAGE(J69:L69),"")</f>
        <v>0</v>
      </c>
      <c r="N69" s="67">
        <f t="shared" ref="N69:N74" si="5">IFERROR(STDEV(J69:L69),"")</f>
        <v>0</v>
      </c>
    </row>
    <row r="70" spans="1:22" ht="66.75" thickTop="1" thickBot="1" x14ac:dyDescent="0.3">
      <c r="C70" s="75"/>
      <c r="E70" s="17" t="s">
        <v>12</v>
      </c>
      <c r="F70" s="18">
        <v>4</v>
      </c>
      <c r="H70" s="84" t="s">
        <v>262</v>
      </c>
      <c r="I70" s="52"/>
      <c r="J70" s="145">
        <f>IFERROR(IF(ISTEXT($J$66),NA(),($J$66 * $I$66) / ($F$72 * 3600)),"")</f>
        <v>1.0198772362684581E-4</v>
      </c>
      <c r="K70" s="139">
        <f>IFERROR(IF(ISTEXT($K$66),NA(),($K$66 * $I$66) / ($F$72 * 3600)),"")</f>
        <v>1.0755640156278954E-4</v>
      </c>
      <c r="L70" s="52"/>
      <c r="M70" s="139">
        <f t="shared" si="4"/>
        <v>1.0477206259481767E-4</v>
      </c>
      <c r="N70" s="68">
        <f t="shared" si="5"/>
        <v>3.9376499307497223E-6</v>
      </c>
      <c r="P70" s="85" t="s">
        <v>268</v>
      </c>
      <c r="Q70" s="86" t="s">
        <v>269</v>
      </c>
      <c r="R70" s="87" t="s">
        <v>242</v>
      </c>
      <c r="S70" s="87" t="s">
        <v>270</v>
      </c>
      <c r="T70" s="87" t="s">
        <v>271</v>
      </c>
      <c r="U70" s="87" t="s">
        <v>272</v>
      </c>
      <c r="V70" s="87" t="s">
        <v>264</v>
      </c>
    </row>
    <row r="71" spans="1:22" ht="18.75" thickTop="1" x14ac:dyDescent="0.35">
      <c r="C71" s="75"/>
      <c r="E71" s="19" t="s">
        <v>253</v>
      </c>
      <c r="F71" s="20">
        <v>0.11</v>
      </c>
      <c r="H71" s="82" t="s">
        <v>263</v>
      </c>
      <c r="I71" s="26"/>
      <c r="J71" s="137">
        <f>IFERROR(IF(ISTEXT($J$67),NA(),$J$67),"")</f>
        <v>60.306371348280486</v>
      </c>
      <c r="K71" s="130">
        <f>IFERROR(IF(ISTEXT($K$67),NA(),$K$67),"")</f>
        <v>60.244532290165061</v>
      </c>
      <c r="L71" s="26"/>
      <c r="M71" s="130">
        <f t="shared" si="4"/>
        <v>60.275451819222774</v>
      </c>
      <c r="N71" s="119">
        <f t="shared" si="5"/>
        <v>4.3726817335605635E-2</v>
      </c>
      <c r="Q71" s="88"/>
      <c r="R71" s="88" t="s">
        <v>256</v>
      </c>
      <c r="S71" s="95">
        <f>$J$62</f>
        <v>21.15923528713207</v>
      </c>
      <c r="T71" s="95">
        <f>$K$62</f>
        <v>25.100232007630066</v>
      </c>
      <c r="U71" s="88" t="str">
        <f>$L$62</f>
        <v/>
      </c>
      <c r="V71" s="123">
        <f>$M$61</f>
        <v>0.49437022859909063</v>
      </c>
    </row>
    <row r="72" spans="1:22" ht="30" x14ac:dyDescent="0.25">
      <c r="C72" s="75"/>
      <c r="E72" s="19" t="s">
        <v>254</v>
      </c>
      <c r="F72" s="21">
        <v>2</v>
      </c>
      <c r="H72" s="82" t="s">
        <v>264</v>
      </c>
      <c r="I72" s="26"/>
      <c r="J72" s="110">
        <f>IFERROR(IF(OR(ISTEXT($J$65),ISTEXT($J$66),ISTEXT($J$67)),NA(),(($J$65 * $I$65) + ($J$66 * $I$66)) / $J$67 / $I$67),"")</f>
        <v>0.68966420637947112</v>
      </c>
      <c r="K72" s="104">
        <f>IFERROR(IF(OR(ISTEXT($K$65),ISTEXT($K$66),ISTEXT($K$67)),NA(),(($K$65 * $I$65) + ($K$66 * $I$66)) / $K$67 / $I$67),"")</f>
        <v>0.69601041460916324</v>
      </c>
      <c r="L72" s="26" t="str">
        <f>IFERROR(IF(OR(ISTEXT($L$65),ISTEXT($L$66),ISTEXT($L$67)),NA(),(($L$65 * $I$65) + ($L$66 * $I$66)) / $L$67 / $I$67),"")</f>
        <v/>
      </c>
      <c r="M72" s="104">
        <f t="shared" si="4"/>
        <v>0.69283731049431718</v>
      </c>
      <c r="N72" s="143">
        <f t="shared" si="5"/>
        <v>4.4874468740371725E-3</v>
      </c>
      <c r="P72" s="89" t="str">
        <f>$B$54</f>
        <v>DTXSID2040731</v>
      </c>
      <c r="Q72" s="94">
        <f>$F$73</f>
        <v>10</v>
      </c>
      <c r="R72" s="88" t="s">
        <v>267</v>
      </c>
      <c r="S72" s="95">
        <f>$J$73</f>
        <v>15.374181917295086</v>
      </c>
      <c r="T72" s="95">
        <f>$K$73</f>
        <v>16.230277364312048</v>
      </c>
      <c r="U72" s="88" t="str">
        <f>$L$73</f>
        <v/>
      </c>
      <c r="V72" s="123">
        <f>$M$72</f>
        <v>0.69283731049431718</v>
      </c>
    </row>
    <row r="73" spans="1:22" ht="18.75" thickBot="1" x14ac:dyDescent="0.4">
      <c r="C73" s="75"/>
      <c r="E73" s="22" t="s">
        <v>255</v>
      </c>
      <c r="F73" s="23">
        <v>10</v>
      </c>
      <c r="H73" s="83" t="s">
        <v>266</v>
      </c>
      <c r="I73" s="53"/>
      <c r="J73" s="73">
        <f>IFERROR($J$70 / $J$67 / $F$71 * 1000000,"")</f>
        <v>15.374181917295086</v>
      </c>
      <c r="K73" s="54">
        <f>IFERROR($K$70 / $K$67 / $F$71 * 1000000,"")</f>
        <v>16.230277364312048</v>
      </c>
      <c r="L73" s="53" t="str">
        <f>IFERROR($L$70 / $L$67 / $F$71 * 1000000,"")</f>
        <v/>
      </c>
      <c r="M73" s="54">
        <f t="shared" si="4"/>
        <v>15.802229640803567</v>
      </c>
      <c r="N73" s="144">
        <f t="shared" si="5"/>
        <v>0.60535089592862246</v>
      </c>
      <c r="P73" s="90"/>
      <c r="Q73" s="96"/>
      <c r="R73" s="97" t="s">
        <v>238</v>
      </c>
      <c r="S73" s="98">
        <f>$J$74</f>
        <v>0.72659440233385242</v>
      </c>
      <c r="T73" s="98">
        <f>$K$74</f>
        <v>0.64661861927723641</v>
      </c>
      <c r="U73" s="97" t="str">
        <f>$L$74</f>
        <v/>
      </c>
      <c r="V73" s="97"/>
    </row>
    <row r="74" spans="1:22" ht="15.75" thickBot="1" x14ac:dyDescent="0.3">
      <c r="H74" s="59" t="s">
        <v>238</v>
      </c>
      <c r="I74" s="60"/>
      <c r="J74" s="62">
        <f>IFERROR($J$73 / $J$62,"")</f>
        <v>0.72659440233385242</v>
      </c>
      <c r="K74" s="62">
        <f>IFERROR($K$73 / $K$62,"")</f>
        <v>0.64661861927723641</v>
      </c>
      <c r="L74" s="60" t="str">
        <f>IFERROR($L$73 / $L$62,"")</f>
        <v/>
      </c>
      <c r="M74" s="62">
        <f t="shared" si="4"/>
        <v>0.68660651080554436</v>
      </c>
      <c r="N74" s="120">
        <f t="shared" si="5"/>
        <v>5.6551418530037367E-2</v>
      </c>
      <c r="P74" s="91"/>
      <c r="Q74" s="100"/>
      <c r="R74" s="88"/>
      <c r="S74" s="88"/>
      <c r="T74" s="88"/>
      <c r="U74" s="88"/>
      <c r="V74" s="88"/>
    </row>
    <row r="75" spans="1:22" ht="15.75" thickTop="1" x14ac:dyDescent="0.25"/>
    <row r="79" spans="1:22" ht="15.75" thickBot="1" x14ac:dyDescent="0.3">
      <c r="H79" s="75" t="s">
        <v>256</v>
      </c>
    </row>
    <row r="80" spans="1:22" ht="15.75" thickTop="1" x14ac:dyDescent="0.25">
      <c r="A80" s="1" t="s">
        <v>23</v>
      </c>
      <c r="B80" s="1" t="s">
        <v>231</v>
      </c>
      <c r="C80" s="1" t="s">
        <v>232</v>
      </c>
      <c r="D80" s="1">
        <v>3331700.75</v>
      </c>
      <c r="E80" s="1">
        <v>101225.531</v>
      </c>
      <c r="F80" s="1">
        <v>32.913640630840455</v>
      </c>
      <c r="H80" s="76" t="s">
        <v>257</v>
      </c>
      <c r="I80" s="32">
        <v>7.4999999999999997E-2</v>
      </c>
      <c r="J80" s="148">
        <f>($F$88 - $M$84) * $F$96</f>
        <v>244.25836573326131</v>
      </c>
      <c r="K80" s="148">
        <f>($F$89 - $M$84) * $F$96</f>
        <v>236.74488609253513</v>
      </c>
      <c r="L80" s="34"/>
      <c r="M80" s="151">
        <f>IFERROR(AVERAGE(J80:L80),"")</f>
        <v>240.50162591289822</v>
      </c>
      <c r="N80" s="152">
        <f>IFERROR(STDEV(J80:L80),"")</f>
        <v>5.3128324042645527</v>
      </c>
      <c r="P80" s="1" t="s">
        <v>256</v>
      </c>
      <c r="Q80" s="16">
        <f>$M$88</f>
        <v>50.652093130204037</v>
      </c>
      <c r="R80" s="15">
        <f>$N$88</f>
        <v>0.6130230401389366</v>
      </c>
    </row>
    <row r="81" spans="1:22" x14ac:dyDescent="0.25">
      <c r="A81" s="1" t="s">
        <v>25</v>
      </c>
      <c r="B81" s="1" t="s">
        <v>231</v>
      </c>
      <c r="C81" s="1" t="s">
        <v>232</v>
      </c>
      <c r="D81" s="1">
        <v>3261129</v>
      </c>
      <c r="E81" s="1">
        <v>100985.69500000001</v>
      </c>
      <c r="F81" s="1">
        <v>32.292979713611913</v>
      </c>
      <c r="H81" s="77" t="s">
        <v>258</v>
      </c>
      <c r="I81" s="28">
        <v>0.25</v>
      </c>
      <c r="J81" s="146">
        <f>($F$84 - $M$84) * $F$96</f>
        <v>50.943233464489708</v>
      </c>
      <c r="K81" s="146">
        <f>($F$85 - $M$84) * $F$96</f>
        <v>53.444181530542551</v>
      </c>
      <c r="L81" s="26"/>
      <c r="M81" s="150">
        <f>IFERROR(AVERAGE(J81:L81),"")</f>
        <v>52.193707497516129</v>
      </c>
      <c r="N81" s="134">
        <f>IFERROR(STDEV(J81:L81),"")</f>
        <v>1.7684373369013464</v>
      </c>
      <c r="P81" s="1" t="s">
        <v>267</v>
      </c>
      <c r="Q81" s="16">
        <f>$M$99</f>
        <v>34.401592661792762</v>
      </c>
      <c r="R81" s="14">
        <f>$N$99</f>
        <v>2.9025748159715343</v>
      </c>
    </row>
    <row r="82" spans="1:22" x14ac:dyDescent="0.25">
      <c r="A82" s="1" t="s">
        <v>26</v>
      </c>
      <c r="B82" s="1" t="s">
        <v>231</v>
      </c>
      <c r="C82" s="234"/>
      <c r="D82" s="234"/>
      <c r="E82" s="234">
        <v>95940.266000000003</v>
      </c>
      <c r="F82" s="234">
        <v>0</v>
      </c>
      <c r="H82" s="77" t="s">
        <v>259</v>
      </c>
      <c r="I82" s="30">
        <v>7.4999999999999997E-2</v>
      </c>
      <c r="J82" s="146">
        <f>($F$86 - $M$84) * $F$96</f>
        <v>320.21122835875298</v>
      </c>
      <c r="K82" s="146">
        <f>($F$87 - $M$84) * $F$96</f>
        <v>330.23039886148581</v>
      </c>
      <c r="L82" s="26"/>
      <c r="M82" s="150">
        <f>IFERROR(AVERAGE(J82:L82),"")</f>
        <v>325.22081361011942</v>
      </c>
      <c r="N82" s="134">
        <f>IFERROR(STDEV(J82:L82),"")</f>
        <v>7.0846234043466172</v>
      </c>
    </row>
    <row r="83" spans="1:22" x14ac:dyDescent="0.25">
      <c r="A83" s="1" t="s">
        <v>28</v>
      </c>
      <c r="B83" s="1" t="s">
        <v>231</v>
      </c>
      <c r="C83" s="234"/>
      <c r="D83" s="234"/>
      <c r="E83" s="234">
        <v>93786.812999999995</v>
      </c>
      <c r="F83" s="234">
        <v>0</v>
      </c>
      <c r="H83" s="77" t="s">
        <v>260</v>
      </c>
      <c r="I83" s="26"/>
      <c r="J83" s="26"/>
      <c r="K83" s="26"/>
      <c r="L83" s="26"/>
      <c r="M83" s="26"/>
      <c r="N83" s="35"/>
    </row>
    <row r="84" spans="1:22" ht="15.75" thickBot="1" x14ac:dyDescent="0.3">
      <c r="A84" s="1" t="s">
        <v>53</v>
      </c>
      <c r="B84" s="1" t="s">
        <v>231</v>
      </c>
      <c r="C84" s="1" t="s">
        <v>232</v>
      </c>
      <c r="D84" s="1">
        <v>5388505</v>
      </c>
      <c r="E84" s="1">
        <v>118848.914</v>
      </c>
      <c r="F84" s="1">
        <v>45.339118538348615</v>
      </c>
      <c r="H84" s="78" t="s">
        <v>261</v>
      </c>
      <c r="I84" s="27"/>
      <c r="J84" s="147">
        <f>IF($G$80&lt;&gt;"","Point Deleted",$F$80)</f>
        <v>32.913640630840455</v>
      </c>
      <c r="K84" s="147">
        <f>IF($G$81&lt;&gt;"","Point Deleted",$F$81)</f>
        <v>32.292979713611913</v>
      </c>
      <c r="L84" s="27"/>
      <c r="M84" s="147">
        <f>IFERROR(AVERAGE(J84:L84),"")</f>
        <v>32.603310172226188</v>
      </c>
      <c r="N84" s="153">
        <f>IFERROR(STDEV(J84:L84),"")</f>
        <v>0.43887354338976392</v>
      </c>
    </row>
    <row r="85" spans="1:22" x14ac:dyDescent="0.25">
      <c r="A85" s="1" t="s">
        <v>54</v>
      </c>
      <c r="B85" s="1" t="s">
        <v>231</v>
      </c>
      <c r="C85" s="1" t="s">
        <v>232</v>
      </c>
      <c r="D85" s="1">
        <v>5318204.5</v>
      </c>
      <c r="E85" s="1">
        <v>115702.79700000001</v>
      </c>
      <c r="F85" s="1">
        <v>45.964355554861825</v>
      </c>
      <c r="H85" s="79" t="s">
        <v>262</v>
      </c>
      <c r="I85" s="25"/>
      <c r="J85" s="155">
        <f>IFERROR(IF(ISTEXT($J$81),NA(),($J$81 * $I$81) / ($F$98 * 3600)),"")</f>
        <v>1.7688622730725593E-3</v>
      </c>
      <c r="K85" s="149">
        <f>IFERROR(IF(ISTEXT($K$81),NA(),($K$81 * $I$81) / ($F$98 * 3600)),"")</f>
        <v>1.855700747588283E-3</v>
      </c>
      <c r="L85" s="25"/>
      <c r="M85" s="149">
        <f>IFERROR(AVERAGE(J85:L85),"")</f>
        <v>1.8122815103304212E-3</v>
      </c>
      <c r="N85" s="44">
        <f>IFERROR(STDEV(J85:L85),"")</f>
        <v>6.1404074197963417E-5</v>
      </c>
    </row>
    <row r="86" spans="1:22" ht="18" x14ac:dyDescent="0.35">
      <c r="A86" s="1" t="s">
        <v>181</v>
      </c>
      <c r="B86" s="1" t="s">
        <v>231</v>
      </c>
      <c r="C86" s="1" t="s">
        <v>232</v>
      </c>
      <c r="D86" s="1">
        <v>9269370</v>
      </c>
      <c r="E86" s="1">
        <v>82280.218999999997</v>
      </c>
      <c r="F86" s="1">
        <v>112.65611726191443</v>
      </c>
      <c r="H86" s="77" t="s">
        <v>263</v>
      </c>
      <c r="I86" s="26"/>
      <c r="J86" s="156">
        <f>IFERROR(IF(ISTEXT($J$82),NA(),$J$82),"")</f>
        <v>320.21122835875298</v>
      </c>
      <c r="K86" s="150">
        <f>IFERROR(IF(ISTEXT($K$82),NA(),$K$82),"")</f>
        <v>330.23039886148581</v>
      </c>
      <c r="L86" s="26"/>
      <c r="M86" s="150">
        <f>IFERROR(AVERAGE(J86:L86),"")</f>
        <v>325.22081361011942</v>
      </c>
      <c r="N86" s="134">
        <f>IFERROR(STDEV(J86:L86),"")</f>
        <v>7.0846234043466172</v>
      </c>
    </row>
    <row r="87" spans="1:22" x14ac:dyDescent="0.25">
      <c r="A87" s="1" t="s">
        <v>182</v>
      </c>
      <c r="B87" s="1" t="s">
        <v>231</v>
      </c>
      <c r="C87" s="1" t="s">
        <v>232</v>
      </c>
      <c r="D87" s="1">
        <v>9444994</v>
      </c>
      <c r="E87" s="1">
        <v>82015.625</v>
      </c>
      <c r="F87" s="1">
        <v>115.16090988759764</v>
      </c>
      <c r="H87" s="77" t="s">
        <v>264</v>
      </c>
      <c r="I87" s="26"/>
      <c r="J87" s="50">
        <f>IFERROR(IF(OR(ISTEXT($J$80),ISTEXT($J$81),ISTEXT($J$82)),NA(),(($J$80 * $I$80) + ($J$81 * $I$81)) / $J$82 / $I$82),"")</f>
        <v>1.2931125059872013</v>
      </c>
      <c r="K87" s="38">
        <f>IFERROR(IF(OR(ISTEXT($K$80),ISTEXT($K$81),ISTEXT($K$82)),NA(),(($K$80 * $I$80) + ($K$81 * $I$81)) / $K$82 / $I$82),"")</f>
        <v>1.2563717916079422</v>
      </c>
      <c r="L87" s="26" t="str">
        <f>IFERROR(IF(OR(ISTEXT($L$80),ISTEXT($L$81),ISTEXT($L$82)),NA(),(($L$80 * $I$80) + ($L$81 * $I$81)) / $L$82 / $I$82),"")</f>
        <v/>
      </c>
      <c r="M87" s="38">
        <f>IFERROR(AVERAGE(J87:L87),"")</f>
        <v>1.2747421487975719</v>
      </c>
      <c r="N87" s="108">
        <f>IFERROR(STDEV(J87:L87),"")</f>
        <v>2.5979608283212188E-2</v>
      </c>
    </row>
    <row r="88" spans="1:22" ht="18.75" thickBot="1" x14ac:dyDescent="0.4">
      <c r="A88" s="1" t="s">
        <v>117</v>
      </c>
      <c r="B88" s="1" t="s">
        <v>231</v>
      </c>
      <c r="C88" s="1" t="s">
        <v>232</v>
      </c>
      <c r="D88" s="1">
        <v>7949448.5</v>
      </c>
      <c r="E88" s="1">
        <v>84868.437999999995</v>
      </c>
      <c r="F88" s="1">
        <v>93.667901605541516</v>
      </c>
      <c r="H88" s="80" t="s">
        <v>266</v>
      </c>
      <c r="I88" s="36"/>
      <c r="J88" s="51">
        <f>IFERROR($J$85 / $J$82 / $F$97 * 1000000,"")</f>
        <v>50.218620381498205</v>
      </c>
      <c r="K88" s="39">
        <f>IFERROR($K$85 / $K$82 / $F$97 * 1000000,"")</f>
        <v>51.085565878909875</v>
      </c>
      <c r="L88" s="36" t="str">
        <f>IFERROR($L$85 / $L$82 / $F$97 * 1000000,"")</f>
        <v/>
      </c>
      <c r="M88" s="46">
        <f>IFERROR(AVERAGE(J88:L88),"")</f>
        <v>50.652093130204037</v>
      </c>
      <c r="N88" s="154">
        <f>IFERROR(STDEV(J88:L88),"")</f>
        <v>0.6130230401389366</v>
      </c>
    </row>
    <row r="89" spans="1:22" ht="15.75" thickTop="1" x14ac:dyDescent="0.25">
      <c r="A89" s="1" t="s">
        <v>118</v>
      </c>
      <c r="B89" s="1" t="s">
        <v>231</v>
      </c>
      <c r="C89" s="1" t="s">
        <v>232</v>
      </c>
      <c r="D89" s="1">
        <v>7871063.5</v>
      </c>
      <c r="E89" s="1">
        <v>85751.210999999996</v>
      </c>
      <c r="F89" s="1">
        <v>91.789531695359969</v>
      </c>
      <c r="H89" s="74"/>
    </row>
    <row r="90" spans="1:22" ht="15.75" thickBot="1" x14ac:dyDescent="0.3">
      <c r="A90" s="1" t="s">
        <v>85</v>
      </c>
      <c r="B90" s="1" t="s">
        <v>231</v>
      </c>
      <c r="C90" s="1" t="s">
        <v>232</v>
      </c>
      <c r="D90" s="1">
        <v>3898634</v>
      </c>
      <c r="E90" s="1">
        <v>98311.702999999994</v>
      </c>
      <c r="F90" s="1">
        <v>39.655848500559493</v>
      </c>
      <c r="H90" s="75" t="s">
        <v>267</v>
      </c>
    </row>
    <row r="91" spans="1:22" ht="15.75" thickTop="1" x14ac:dyDescent="0.25">
      <c r="A91" s="1" t="s">
        <v>86</v>
      </c>
      <c r="B91" s="1" t="s">
        <v>231</v>
      </c>
      <c r="C91" s="1" t="s">
        <v>232</v>
      </c>
      <c r="D91" s="1">
        <v>4099945</v>
      </c>
      <c r="E91" s="1">
        <v>82892.577999999994</v>
      </c>
      <c r="F91" s="1">
        <v>49.46094208820481</v>
      </c>
      <c r="H91" s="81" t="s">
        <v>257</v>
      </c>
      <c r="I91" s="55">
        <v>0.25</v>
      </c>
      <c r="J91" s="157">
        <f>($F$94 - $M$95) * $F$96</f>
        <v>416.11653378204346</v>
      </c>
      <c r="K91" s="157">
        <f>($F$95 - $M$95) * $F$96</f>
        <v>406.20366904595357</v>
      </c>
      <c r="L91" s="57"/>
      <c r="M91" s="159">
        <f>IFERROR(AVERAGE(J91:L91),"")</f>
        <v>411.16010141399852</v>
      </c>
      <c r="N91" s="160">
        <f>IFERROR(STDEV(J91:L91),"")</f>
        <v>7.0094538758741551</v>
      </c>
    </row>
    <row r="92" spans="1:22" x14ac:dyDescent="0.25">
      <c r="A92" s="1" t="s">
        <v>213</v>
      </c>
      <c r="B92" s="1" t="s">
        <v>231</v>
      </c>
      <c r="C92" s="1" t="s">
        <v>232</v>
      </c>
      <c r="D92" s="1">
        <v>8975395</v>
      </c>
      <c r="E92" s="1">
        <v>77316.695000000007</v>
      </c>
      <c r="F92" s="1">
        <v>116.08611826979929</v>
      </c>
      <c r="H92" s="82" t="s">
        <v>258</v>
      </c>
      <c r="I92" s="30">
        <v>7.4999999999999997E-2</v>
      </c>
      <c r="J92" s="146">
        <f>($F$90 - $M$95) * $F$96</f>
        <v>158.62339400223797</v>
      </c>
      <c r="K92" s="146">
        <f>($F$91 - $M$95) * $F$96</f>
        <v>197.84376835281924</v>
      </c>
      <c r="L92" s="26"/>
      <c r="M92" s="150">
        <f>IFERROR(AVERAGE(J92:L92),"")</f>
        <v>178.23358117752861</v>
      </c>
      <c r="N92" s="161">
        <f>IFERROR(STDEV(J92:L92),"")</f>
        <v>27.732992663970791</v>
      </c>
    </row>
    <row r="93" spans="1:22" x14ac:dyDescent="0.25">
      <c r="A93" s="1" t="s">
        <v>214</v>
      </c>
      <c r="B93" s="1" t="s">
        <v>231</v>
      </c>
      <c r="C93" s="1" t="s">
        <v>232</v>
      </c>
      <c r="D93" s="1">
        <v>9116081</v>
      </c>
      <c r="E93" s="1">
        <v>70950.452999999994</v>
      </c>
      <c r="F93" s="1">
        <v>128.48516978461012</v>
      </c>
      <c r="H93" s="82" t="s">
        <v>259</v>
      </c>
      <c r="I93" s="28">
        <v>0.25</v>
      </c>
      <c r="J93" s="146">
        <f>($F$92 - $M$95) * $F$96</f>
        <v>464.34447307919714</v>
      </c>
      <c r="K93" s="146">
        <f>($F$93 - $M$95) * $F$96</f>
        <v>513.94067913844049</v>
      </c>
      <c r="L93" s="26"/>
      <c r="M93" s="150">
        <f>IFERROR(AVERAGE(J93:L93),"")</f>
        <v>489.14257610881884</v>
      </c>
      <c r="N93" s="161">
        <f>IFERROR(STDEV(J93:L93),"")</f>
        <v>35.069813625616305</v>
      </c>
    </row>
    <row r="94" spans="1:22" x14ac:dyDescent="0.25">
      <c r="A94" s="1" t="s">
        <v>149</v>
      </c>
      <c r="B94" s="1" t="s">
        <v>231</v>
      </c>
      <c r="C94" s="1" t="s">
        <v>232</v>
      </c>
      <c r="D94" s="1">
        <v>8794232</v>
      </c>
      <c r="E94" s="1">
        <v>84536.241999999998</v>
      </c>
      <c r="F94" s="1">
        <v>104.02913344551087</v>
      </c>
      <c r="H94" s="82" t="s">
        <v>260</v>
      </c>
      <c r="I94" s="26"/>
      <c r="J94" s="26"/>
      <c r="K94" s="26"/>
      <c r="L94" s="26"/>
      <c r="M94" s="26"/>
      <c r="N94" s="58"/>
    </row>
    <row r="95" spans="1:22" ht="15.75" thickBot="1" x14ac:dyDescent="0.3">
      <c r="A95" s="1" t="s">
        <v>150</v>
      </c>
      <c r="B95" s="1" t="s">
        <v>231</v>
      </c>
      <c r="C95" s="1" t="s">
        <v>232</v>
      </c>
      <c r="D95" s="1">
        <v>8874426</v>
      </c>
      <c r="E95" s="1">
        <v>87388.93</v>
      </c>
      <c r="F95" s="1">
        <v>101.55091726148839</v>
      </c>
      <c r="H95" s="83" t="s">
        <v>261</v>
      </c>
      <c r="I95" s="53"/>
      <c r="J95" s="54">
        <f>IF($G$82&lt;&gt;"","Point Deleted",$F$82)</f>
        <v>0</v>
      </c>
      <c r="K95" s="54">
        <f>IF($G$83&lt;&gt;"","Point Deleted",$F$83)</f>
        <v>0</v>
      </c>
      <c r="L95" s="53"/>
      <c r="M95" s="54">
        <f t="shared" ref="M95:M100" si="6">IFERROR(AVERAGE(J95:L95),"")</f>
        <v>0</v>
      </c>
      <c r="N95" s="67">
        <f t="shared" ref="N95:N100" si="7">IFERROR(STDEV(J95:L95),"")</f>
        <v>0</v>
      </c>
    </row>
    <row r="96" spans="1:22" ht="66.75" thickTop="1" thickBot="1" x14ac:dyDescent="0.3">
      <c r="C96" s="75"/>
      <c r="E96" s="17" t="s">
        <v>12</v>
      </c>
      <c r="F96" s="18">
        <v>4</v>
      </c>
      <c r="H96" s="84" t="s">
        <v>262</v>
      </c>
      <c r="I96" s="52"/>
      <c r="J96" s="163">
        <f>IFERROR(IF(ISTEXT($J$92),NA(),($J$92 * $I$92) / ($F$98 * 3600)),"")</f>
        <v>1.6523270208566455E-3</v>
      </c>
      <c r="K96" s="158">
        <f>IFERROR(IF(ISTEXT($K$92),NA(),($K$92 * $I$92) / ($F$98 * 3600)),"")</f>
        <v>2.0608725870085338E-3</v>
      </c>
      <c r="L96" s="52"/>
      <c r="M96" s="158">
        <f t="shared" si="6"/>
        <v>1.8565998039325898E-3</v>
      </c>
      <c r="N96" s="162">
        <f t="shared" si="7"/>
        <v>2.8888534024969751E-4</v>
      </c>
      <c r="P96" s="85" t="s">
        <v>268</v>
      </c>
      <c r="Q96" s="86" t="s">
        <v>269</v>
      </c>
      <c r="R96" s="87" t="s">
        <v>242</v>
      </c>
      <c r="S96" s="87" t="s">
        <v>270</v>
      </c>
      <c r="T96" s="87" t="s">
        <v>271</v>
      </c>
      <c r="U96" s="87" t="s">
        <v>272</v>
      </c>
      <c r="V96" s="87" t="s">
        <v>264</v>
      </c>
    </row>
    <row r="97" spans="1:22" ht="18.75" thickTop="1" x14ac:dyDescent="0.35">
      <c r="C97" s="75"/>
      <c r="E97" s="19" t="s">
        <v>253</v>
      </c>
      <c r="F97" s="20">
        <v>0.11</v>
      </c>
      <c r="H97" s="82" t="s">
        <v>263</v>
      </c>
      <c r="I97" s="26"/>
      <c r="J97" s="156">
        <f>IFERROR(IF(ISTEXT($J$93),NA(),$J$93),"")</f>
        <v>464.34447307919714</v>
      </c>
      <c r="K97" s="150">
        <f>IFERROR(IF(ISTEXT($K$93),NA(),$K$93),"")</f>
        <v>513.94067913844049</v>
      </c>
      <c r="L97" s="26"/>
      <c r="M97" s="150">
        <f t="shared" si="6"/>
        <v>489.14257610881884</v>
      </c>
      <c r="N97" s="161">
        <f t="shared" si="7"/>
        <v>35.069813625616305</v>
      </c>
      <c r="Q97" s="88"/>
      <c r="R97" s="88" t="s">
        <v>256</v>
      </c>
      <c r="S97" s="92">
        <f>$J$88</f>
        <v>50.218620381498205</v>
      </c>
      <c r="T97" s="92">
        <f>$K$88</f>
        <v>51.085565878909875</v>
      </c>
      <c r="U97" s="88" t="str">
        <f>$L$88</f>
        <v/>
      </c>
      <c r="V97" s="93">
        <f>$M$87</f>
        <v>1.2747421487975719</v>
      </c>
    </row>
    <row r="98" spans="1:22" ht="30" x14ac:dyDescent="0.25">
      <c r="C98" s="75"/>
      <c r="E98" s="19" t="s">
        <v>254</v>
      </c>
      <c r="F98" s="21">
        <v>2</v>
      </c>
      <c r="H98" s="82" t="s">
        <v>264</v>
      </c>
      <c r="I98" s="26"/>
      <c r="J98" s="110">
        <f>IFERROR(IF(OR(ISTEXT($J$91),ISTEXT($J$92),ISTEXT($J$93)),NA(),(($J$91 * $I$91) + ($J$92 * $I$92)) / $J$93 / $I$93),"")</f>
        <v>0.99861972924490261</v>
      </c>
      <c r="K98" s="104">
        <f>IFERROR(IF(OR(ISTEXT($K$91),ISTEXT($K$92),ISTEXT($K$93)),NA(),(($K$91 * $I$91) + ($K$92 * $I$92)) / $K$93 / $I$93),"")</f>
        <v>0.90585707348997779</v>
      </c>
      <c r="L98" s="26" t="str">
        <f>IFERROR(IF(OR(ISTEXT($L$91),ISTEXT($L$92),ISTEXT($L$93)),NA(),(($L$91 * $I$91) + ($L$92 * $I$92)) / $L$93 / $I$93),"")</f>
        <v/>
      </c>
      <c r="M98" s="104">
        <f t="shared" si="6"/>
        <v>0.9522384013674402</v>
      </c>
      <c r="N98" s="69">
        <f t="shared" si="7"/>
        <v>6.5593102925180655E-2</v>
      </c>
      <c r="P98" s="89" t="str">
        <f>$B$80</f>
        <v>DTXSID9021689</v>
      </c>
      <c r="Q98" s="94">
        <f>$F$99</f>
        <v>10</v>
      </c>
      <c r="R98" s="88" t="s">
        <v>267</v>
      </c>
      <c r="S98" s="95">
        <f>$J$99</f>
        <v>32.349162326517998</v>
      </c>
      <c r="T98" s="95">
        <f>$K$99</f>
        <v>36.454022997067533</v>
      </c>
      <c r="U98" s="88" t="str">
        <f>$L$99</f>
        <v/>
      </c>
      <c r="V98" s="123">
        <f>$M$98</f>
        <v>0.9522384013674402</v>
      </c>
    </row>
    <row r="99" spans="1:22" ht="18.75" thickBot="1" x14ac:dyDescent="0.4">
      <c r="C99" s="75"/>
      <c r="E99" s="22" t="s">
        <v>255</v>
      </c>
      <c r="F99" s="23">
        <v>10</v>
      </c>
      <c r="H99" s="83" t="s">
        <v>266</v>
      </c>
      <c r="I99" s="53"/>
      <c r="J99" s="73">
        <f>IFERROR($J$96 / $J$93 / $F$97 * 1000000,"")</f>
        <v>32.349162326517998</v>
      </c>
      <c r="K99" s="54">
        <f>IFERROR($K$96 / $K$93 / $F$97 * 1000000,"")</f>
        <v>36.454022997067533</v>
      </c>
      <c r="L99" s="53" t="str">
        <f>IFERROR($L$96 / $L$93 / $F$97 * 1000000,"")</f>
        <v/>
      </c>
      <c r="M99" s="54">
        <f t="shared" si="6"/>
        <v>34.401592661792762</v>
      </c>
      <c r="N99" s="70">
        <f t="shared" si="7"/>
        <v>2.9025748159715343</v>
      </c>
      <c r="P99" s="90"/>
      <c r="Q99" s="96"/>
      <c r="R99" s="97" t="s">
        <v>238</v>
      </c>
      <c r="S99" s="98">
        <f>$J$100</f>
        <v>0.64416668719231163</v>
      </c>
      <c r="T99" s="98">
        <f>$K$100</f>
        <v>0.71358753436295363</v>
      </c>
      <c r="U99" s="97" t="str">
        <f>$L$100</f>
        <v/>
      </c>
      <c r="V99" s="97"/>
    </row>
    <row r="100" spans="1:22" ht="15.75" thickBot="1" x14ac:dyDescent="0.3">
      <c r="H100" s="59" t="s">
        <v>238</v>
      </c>
      <c r="I100" s="60"/>
      <c r="J100" s="62">
        <f>IFERROR($J$99 / $J$88,"")</f>
        <v>0.64416668719231163</v>
      </c>
      <c r="K100" s="62">
        <f>IFERROR($K$99 / $K$88,"")</f>
        <v>0.71358753436295363</v>
      </c>
      <c r="L100" s="60" t="str">
        <f>IFERROR($L$99 / $L$88,"")</f>
        <v/>
      </c>
      <c r="M100" s="62">
        <f t="shared" si="6"/>
        <v>0.67887711077763258</v>
      </c>
      <c r="N100" s="120">
        <f t="shared" si="7"/>
        <v>4.9087951790075912E-2</v>
      </c>
      <c r="P100" s="91"/>
      <c r="Q100" s="100"/>
      <c r="R100" s="88"/>
      <c r="S100" s="88"/>
      <c r="T100" s="88"/>
      <c r="U100" s="88"/>
      <c r="V100" s="88"/>
    </row>
    <row r="101" spans="1:22" ht="15.75" thickTop="1" x14ac:dyDescent="0.25"/>
    <row r="105" spans="1:22" ht="15.75" thickBot="1" x14ac:dyDescent="0.3">
      <c r="H105" s="75" t="s">
        <v>256</v>
      </c>
    </row>
    <row r="106" spans="1:22" ht="15.75" thickTop="1" x14ac:dyDescent="0.25">
      <c r="A106" s="1" t="s">
        <v>23</v>
      </c>
      <c r="B106" s="1" t="s">
        <v>223</v>
      </c>
      <c r="C106" s="1" t="s">
        <v>224</v>
      </c>
      <c r="D106" s="1">
        <v>0.20699999999999999</v>
      </c>
      <c r="E106" s="1">
        <v>101225.531</v>
      </c>
      <c r="F106" s="1">
        <v>2.0449386429990668E-6</v>
      </c>
      <c r="H106" s="76" t="s">
        <v>257</v>
      </c>
      <c r="I106" s="32">
        <v>7.4999999999999997E-2</v>
      </c>
      <c r="J106" s="165">
        <f>($F$114 - $M$110) * $F$122</f>
        <v>7.8086946464083571</v>
      </c>
      <c r="K106" s="165">
        <f>($F$115 - $M$110) * $F$122</f>
        <v>7.8298377192348196</v>
      </c>
      <c r="L106" s="34"/>
      <c r="M106" s="168">
        <f>IFERROR(AVERAGE(J106:L106),"")</f>
        <v>7.8192661828215879</v>
      </c>
      <c r="N106" s="169">
        <f>IFERROR(STDEV(J106:L106),"")</f>
        <v>1.4950410170712693E-2</v>
      </c>
      <c r="P106" s="1" t="s">
        <v>256</v>
      </c>
      <c r="Q106" s="14">
        <f>$M$114</f>
        <v>1.0130301925097094</v>
      </c>
      <c r="R106" s="15">
        <f>$N$114</f>
        <v>0.14756609320646832</v>
      </c>
    </row>
    <row r="107" spans="1:22" x14ac:dyDescent="0.25">
      <c r="A107" s="1" t="s">
        <v>25</v>
      </c>
      <c r="B107" s="1" t="s">
        <v>223</v>
      </c>
      <c r="C107" s="1" t="s">
        <v>224</v>
      </c>
      <c r="D107" s="1">
        <v>0.58599999999999997</v>
      </c>
      <c r="E107" s="1">
        <v>100985.69500000001</v>
      </c>
      <c r="F107" s="1">
        <v>5.802802070134784E-6</v>
      </c>
      <c r="H107" s="77" t="s">
        <v>258</v>
      </c>
      <c r="I107" s="28">
        <v>0.25</v>
      </c>
      <c r="J107" s="29">
        <f>($F$110 - $M$110) * $F$122</f>
        <v>2.975565803344208E-2</v>
      </c>
      <c r="K107" s="29">
        <f>($F$111 - $M$110) * $F$122</f>
        <v>3.6328438814648423E-2</v>
      </c>
      <c r="L107" s="26"/>
      <c r="M107" s="30">
        <f>IFERROR(AVERAGE(J107:L107),"")</f>
        <v>3.3042048424045248E-2</v>
      </c>
      <c r="N107" s="42">
        <f>IFERROR(STDEV(J107:L107),"")</f>
        <v>4.6476578616436179E-3</v>
      </c>
      <c r="P107" s="1" t="s">
        <v>267</v>
      </c>
      <c r="Q107" s="14">
        <f>$M$125</f>
        <v>2.5792307023077812</v>
      </c>
      <c r="R107" s="15">
        <f>$N$125</f>
        <v>0.20559456239604079</v>
      </c>
    </row>
    <row r="108" spans="1:22" x14ac:dyDescent="0.25">
      <c r="A108" s="1" t="s">
        <v>26</v>
      </c>
      <c r="B108" s="1" t="s">
        <v>223</v>
      </c>
      <c r="C108" s="1" t="s">
        <v>224</v>
      </c>
      <c r="D108" s="1">
        <v>0.39300000000000002</v>
      </c>
      <c r="E108" s="1">
        <v>95940.266000000003</v>
      </c>
      <c r="F108" s="1">
        <v>4.0962988366115227E-6</v>
      </c>
      <c r="H108" s="77" t="s">
        <v>259</v>
      </c>
      <c r="I108" s="30">
        <v>7.4999999999999997E-2</v>
      </c>
      <c r="J108" s="127">
        <f>($F$112 - $M$110) * $F$122</f>
        <v>10.336438568515545</v>
      </c>
      <c r="K108" s="127">
        <f>($F$113 - $M$110) * $F$122</f>
        <v>10.262721475173274</v>
      </c>
      <c r="L108" s="26"/>
      <c r="M108" s="130">
        <f>IFERROR(AVERAGE(J108:L108),"")</f>
        <v>10.29958002184441</v>
      </c>
      <c r="N108" s="106">
        <f>IFERROR(STDEV(J108:L108),"")</f>
        <v>5.2125856591681556E-2</v>
      </c>
    </row>
    <row r="109" spans="1:22" x14ac:dyDescent="0.25">
      <c r="A109" s="1" t="s">
        <v>28</v>
      </c>
      <c r="B109" s="1" t="s">
        <v>223</v>
      </c>
      <c r="C109" s="1" t="s">
        <v>224</v>
      </c>
      <c r="D109" s="1">
        <v>7.5999999999999998E-2</v>
      </c>
      <c r="E109" s="1">
        <v>93786.812999999995</v>
      </c>
      <c r="F109" s="1">
        <v>8.1034846551401638E-7</v>
      </c>
      <c r="H109" s="77" t="s">
        <v>260</v>
      </c>
      <c r="I109" s="26"/>
      <c r="J109" s="26"/>
      <c r="K109" s="26"/>
      <c r="L109" s="26"/>
      <c r="M109" s="26"/>
      <c r="N109" s="35"/>
    </row>
    <row r="110" spans="1:22" ht="15.75" thickBot="1" x14ac:dyDescent="0.3">
      <c r="A110" s="1" t="s">
        <v>29</v>
      </c>
      <c r="B110" s="1" t="s">
        <v>223</v>
      </c>
      <c r="C110" s="1" t="s">
        <v>224</v>
      </c>
      <c r="D110" s="1">
        <v>825.42200000000003</v>
      </c>
      <c r="E110" s="1">
        <v>110901.508</v>
      </c>
      <c r="F110" s="1">
        <v>7.4428383787170866E-3</v>
      </c>
      <c r="H110" s="78" t="s">
        <v>261</v>
      </c>
      <c r="I110" s="27"/>
      <c r="J110" s="164">
        <f>IF($G$106&lt;&gt;"","Point Deleted",$F$106)</f>
        <v>2.0449386429990668E-6</v>
      </c>
      <c r="K110" s="164">
        <f>IF($G$107&lt;&gt;"","Point Deleted",$F$107)</f>
        <v>5.802802070134784E-6</v>
      </c>
      <c r="L110" s="27"/>
      <c r="M110" s="164">
        <f>IFERROR(AVERAGE(J110:L110),"")</f>
        <v>3.9238703565669254E-6</v>
      </c>
      <c r="N110" s="107">
        <f>IFERROR(STDEV(J110:L110),"")</f>
        <v>2.6572107121005852E-6</v>
      </c>
    </row>
    <row r="111" spans="1:22" x14ac:dyDescent="0.25">
      <c r="A111" s="1" t="s">
        <v>30</v>
      </c>
      <c r="B111" s="1" t="s">
        <v>223</v>
      </c>
      <c r="C111" s="1" t="s">
        <v>224</v>
      </c>
      <c r="D111" s="1">
        <v>976.69799999999998</v>
      </c>
      <c r="E111" s="1">
        <v>107494.43</v>
      </c>
      <c r="F111" s="1">
        <v>9.0860335740186732E-3</v>
      </c>
      <c r="H111" s="79" t="s">
        <v>262</v>
      </c>
      <c r="I111" s="25"/>
      <c r="J111" s="48">
        <f>IFERROR(IF(ISTEXT($J$107),NA(),($J$107 * $I$107) / ($F$124 * 3600)),"")</f>
        <v>1.0331825706056277E-6</v>
      </c>
      <c r="K111" s="37">
        <f>IFERROR(IF(ISTEXT($K$107),NA(),($K$107 * $I$107) / ($F$124 * 3600)),"")</f>
        <v>1.2614041255086259E-6</v>
      </c>
      <c r="L111" s="25"/>
      <c r="M111" s="37">
        <f>IFERROR(AVERAGE(J111:L111),"")</f>
        <v>1.1472933480571269E-6</v>
      </c>
      <c r="N111" s="44">
        <f>IFERROR(STDEV(J111:L111),"")</f>
        <v>1.6137700908484796E-7</v>
      </c>
    </row>
    <row r="112" spans="1:22" ht="18" x14ac:dyDescent="0.35">
      <c r="A112" s="1" t="s">
        <v>157</v>
      </c>
      <c r="B112" s="1" t="s">
        <v>223</v>
      </c>
      <c r="C112" s="1" t="s">
        <v>224</v>
      </c>
      <c r="D112" s="1">
        <v>200523.71900000001</v>
      </c>
      <c r="E112" s="1">
        <v>77598.648000000001</v>
      </c>
      <c r="F112" s="1">
        <v>2.5841135659992429</v>
      </c>
      <c r="H112" s="77" t="s">
        <v>263</v>
      </c>
      <c r="I112" s="26"/>
      <c r="J112" s="137">
        <f>IFERROR(IF(ISTEXT($J$108),NA(),$J$108),"")</f>
        <v>10.336438568515545</v>
      </c>
      <c r="K112" s="130">
        <f>IFERROR(IF(ISTEXT($K$108),NA(),$K$108),"")</f>
        <v>10.262721475173274</v>
      </c>
      <c r="L112" s="26"/>
      <c r="M112" s="130">
        <f>IFERROR(AVERAGE(J112:L112),"")</f>
        <v>10.29958002184441</v>
      </c>
      <c r="N112" s="106">
        <f>IFERROR(STDEV(J112:L112),"")</f>
        <v>5.2125856591681556E-2</v>
      </c>
    </row>
    <row r="113" spans="1:22" x14ac:dyDescent="0.25">
      <c r="A113" s="1" t="s">
        <v>158</v>
      </c>
      <c r="B113" s="1" t="s">
        <v>223</v>
      </c>
      <c r="C113" s="1" t="s">
        <v>224</v>
      </c>
      <c r="D113" s="1">
        <v>196487.5</v>
      </c>
      <c r="E113" s="1">
        <v>76582.883000000002</v>
      </c>
      <c r="F113" s="1">
        <v>2.5656842926636751</v>
      </c>
      <c r="H113" s="77" t="s">
        <v>264</v>
      </c>
      <c r="I113" s="26"/>
      <c r="J113" s="110">
        <f>IFERROR(IF(OR(ISTEXT($J$106),ISTEXT($J$107),ISTEXT($J$108)),NA(),(($J$106 * $I$106) + ($J$107 * $I$107)) / $J$108 / $I$108),"")</f>
        <v>0.76504882419304865</v>
      </c>
      <c r="K113" s="104">
        <f>IFERROR(IF(OR(ISTEXT($K$106),ISTEXT($K$107),ISTEXT($K$108)),NA(),(($K$106 * $I$106) + ($K$107 * $I$107)) / $K$108 / $I$108),"")</f>
        <v>0.7747391892606541</v>
      </c>
      <c r="L113" s="26" t="str">
        <f>IFERROR(IF(OR(ISTEXT($L$106),ISTEXT($L$107),ISTEXT($L$108)),NA(),(($L$106 * $I$106) + ($L$107 * $I$107)) / $L$108 / $I$108),"")</f>
        <v/>
      </c>
      <c r="M113" s="104">
        <f>IFERROR(AVERAGE(J113:L113),"")</f>
        <v>0.76989400672685138</v>
      </c>
      <c r="N113" s="170">
        <f>IFERROR(STDEV(J113:L113),"")</f>
        <v>6.8521228514770551E-3</v>
      </c>
    </row>
    <row r="114" spans="1:22" ht="18.75" thickBot="1" x14ac:dyDescent="0.4">
      <c r="A114" s="1" t="s">
        <v>93</v>
      </c>
      <c r="B114" s="1" t="s">
        <v>223</v>
      </c>
      <c r="C114" s="1" t="s">
        <v>224</v>
      </c>
      <c r="D114" s="1">
        <v>169723.18799999999</v>
      </c>
      <c r="E114" s="1">
        <v>86940.445000000007</v>
      </c>
      <c r="F114" s="1">
        <v>1.9521775854724459</v>
      </c>
      <c r="H114" s="80" t="s">
        <v>266</v>
      </c>
      <c r="I114" s="36"/>
      <c r="J114" s="171">
        <f>IFERROR($J$111 / $J$108 / $F$123 * 1000000,"")</f>
        <v>0.90868520733020974</v>
      </c>
      <c r="K114" s="167">
        <f>IFERROR($K$111 / $K$108 / $F$123 * 1000000,"")</f>
        <v>1.1173751776892091</v>
      </c>
      <c r="L114" s="36" t="str">
        <f>IFERROR($L$111 / $L$108 / $F$123 * 1000000,"")</f>
        <v/>
      </c>
      <c r="M114" s="167">
        <f>IFERROR(AVERAGE(J114:L114),"")</f>
        <v>1.0130301925097094</v>
      </c>
      <c r="N114" s="154">
        <f>IFERROR(STDEV(J114:L114),"")</f>
        <v>0.14756609320646832</v>
      </c>
    </row>
    <row r="115" spans="1:22" ht="15.75" thickTop="1" x14ac:dyDescent="0.25">
      <c r="A115" s="1" t="s">
        <v>94</v>
      </c>
      <c r="B115" s="1" t="s">
        <v>223</v>
      </c>
      <c r="C115" s="1" t="s">
        <v>224</v>
      </c>
      <c r="D115" s="1">
        <v>167577.68799999999</v>
      </c>
      <c r="E115" s="1">
        <v>85609.616999999998</v>
      </c>
      <c r="F115" s="1">
        <v>1.9574633536790615</v>
      </c>
      <c r="H115" s="74"/>
    </row>
    <row r="116" spans="1:22" ht="15.75" thickBot="1" x14ac:dyDescent="0.3">
      <c r="A116" s="1" t="s">
        <v>63</v>
      </c>
      <c r="B116" s="1" t="s">
        <v>223</v>
      </c>
      <c r="C116" s="1" t="s">
        <v>224</v>
      </c>
      <c r="D116" s="1">
        <v>8766.357</v>
      </c>
      <c r="E116" s="1">
        <v>114009.516</v>
      </c>
      <c r="F116" s="1">
        <v>7.6891450008436141E-2</v>
      </c>
      <c r="H116" s="75" t="s">
        <v>267</v>
      </c>
    </row>
    <row r="117" spans="1:22" ht="15.75" thickTop="1" x14ac:dyDescent="0.25">
      <c r="A117" s="1" t="s">
        <v>64</v>
      </c>
      <c r="B117" s="1" t="s">
        <v>223</v>
      </c>
      <c r="C117" s="1" t="s">
        <v>224</v>
      </c>
      <c r="D117" s="1">
        <v>7955.1670000000004</v>
      </c>
      <c r="E117" s="1">
        <v>113238.109</v>
      </c>
      <c r="F117" s="1">
        <v>7.025167649170122E-2</v>
      </c>
      <c r="H117" s="81" t="s">
        <v>257</v>
      </c>
      <c r="I117" s="55">
        <v>0.25</v>
      </c>
      <c r="J117" s="173">
        <f>($F$120 - $M$121) * $F$122</f>
        <v>9.0017648154280145</v>
      </c>
      <c r="K117" s="173">
        <f>($F$121 - $M$121) * $F$122</f>
        <v>9.0914099570864408</v>
      </c>
      <c r="L117" s="57"/>
      <c r="M117" s="174">
        <f>IFERROR(AVERAGE(J117:L117),"")</f>
        <v>9.0465873862572277</v>
      </c>
      <c r="N117" s="118">
        <f>IFERROR(STDEV(J117:L117),"")</f>
        <v>6.3388687567101906E-2</v>
      </c>
    </row>
    <row r="118" spans="1:22" x14ac:dyDescent="0.25">
      <c r="A118" s="1" t="s">
        <v>191</v>
      </c>
      <c r="B118" s="1" t="s">
        <v>223</v>
      </c>
      <c r="C118" s="1" t="s">
        <v>224</v>
      </c>
      <c r="D118" s="1">
        <v>210103.40599999999</v>
      </c>
      <c r="E118" s="1">
        <v>78620.616999999998</v>
      </c>
      <c r="F118" s="1">
        <v>2.6723703529317251</v>
      </c>
      <c r="H118" s="82" t="s">
        <v>258</v>
      </c>
      <c r="I118" s="30">
        <v>7.4999999999999997E-2</v>
      </c>
      <c r="J118" s="101">
        <f>($F$116 - $M$121) * $F$122</f>
        <v>0.30755598673914031</v>
      </c>
      <c r="K118" s="101">
        <f>($F$117 - $M$121) * $F$122</f>
        <v>0.28099689267220063</v>
      </c>
      <c r="L118" s="26"/>
      <c r="M118" s="28">
        <f>IFERROR(AVERAGE(J118:L118),"")</f>
        <v>0.29427643970567047</v>
      </c>
      <c r="N118" s="119">
        <f>IFERROR(STDEV(J118:L118),"")</f>
        <v>1.878011551690445E-2</v>
      </c>
    </row>
    <row r="119" spans="1:22" x14ac:dyDescent="0.25">
      <c r="A119" s="1" t="s">
        <v>192</v>
      </c>
      <c r="B119" s="1" t="s">
        <v>223</v>
      </c>
      <c r="C119" s="1" t="s">
        <v>224</v>
      </c>
      <c r="D119" s="1">
        <v>209417.54699999999</v>
      </c>
      <c r="E119" s="1">
        <v>76617.766000000003</v>
      </c>
      <c r="F119" s="1">
        <v>2.7332766006254996</v>
      </c>
      <c r="H119" s="82" t="s">
        <v>259</v>
      </c>
      <c r="I119" s="28">
        <v>0.25</v>
      </c>
      <c r="J119" s="127">
        <f>($F$118 - $M$121) * $F$122</f>
        <v>10.689471598432297</v>
      </c>
      <c r="K119" s="127">
        <f>($F$119 - $M$121) * $F$122</f>
        <v>10.933096589207395</v>
      </c>
      <c r="L119" s="26"/>
      <c r="M119" s="130">
        <f>IFERROR(AVERAGE(J119:L119),"")</f>
        <v>10.811284093819847</v>
      </c>
      <c r="N119" s="142">
        <f>IFERROR(STDEV(J119:L119),"")</f>
        <v>0.1722688830435819</v>
      </c>
    </row>
    <row r="120" spans="1:22" x14ac:dyDescent="0.25">
      <c r="A120" s="1" t="s">
        <v>127</v>
      </c>
      <c r="B120" s="1" t="s">
        <v>223</v>
      </c>
      <c r="C120" s="1" t="s">
        <v>224</v>
      </c>
      <c r="D120" s="1">
        <v>191464.68799999999</v>
      </c>
      <c r="E120" s="1">
        <v>85078.641000000003</v>
      </c>
      <c r="F120" s="1">
        <v>2.2504436571806545</v>
      </c>
      <c r="H120" s="82" t="s">
        <v>260</v>
      </c>
      <c r="I120" s="26"/>
      <c r="J120" s="26"/>
      <c r="K120" s="26"/>
      <c r="L120" s="26"/>
      <c r="M120" s="26"/>
      <c r="N120" s="58"/>
    </row>
    <row r="121" spans="1:22" ht="15.75" thickBot="1" x14ac:dyDescent="0.3">
      <c r="A121" s="1" t="s">
        <v>128</v>
      </c>
      <c r="B121" s="1" t="s">
        <v>223</v>
      </c>
      <c r="C121" s="1" t="s">
        <v>224</v>
      </c>
      <c r="D121" s="1">
        <v>193941.46900000001</v>
      </c>
      <c r="E121" s="1">
        <v>85329.452999999994</v>
      </c>
      <c r="F121" s="1">
        <v>2.2728549425952611</v>
      </c>
      <c r="H121" s="83" t="s">
        <v>261</v>
      </c>
      <c r="I121" s="53"/>
      <c r="J121" s="172">
        <f>IF($G$108&lt;&gt;"","Point Deleted",$F$108)</f>
        <v>4.0962988366115227E-6</v>
      </c>
      <c r="K121" s="172">
        <f>IF($G$109&lt;&gt;"","Point Deleted",$F$109)</f>
        <v>8.1034846551401638E-7</v>
      </c>
      <c r="L121" s="53"/>
      <c r="M121" s="172">
        <f t="shared" ref="M121:M126" si="8">IFERROR(AVERAGE(J121:L121),"")</f>
        <v>2.4533236510627696E-6</v>
      </c>
      <c r="N121" s="175">
        <f t="shared" ref="N121:N126" si="9">IFERROR(STDEV(J121:L121),"")</f>
        <v>2.323517790045499E-6</v>
      </c>
    </row>
    <row r="122" spans="1:22" ht="66.75" thickTop="1" thickBot="1" x14ac:dyDescent="0.3">
      <c r="C122" s="75"/>
      <c r="E122" s="17" t="s">
        <v>12</v>
      </c>
      <c r="F122" s="18">
        <v>4</v>
      </c>
      <c r="H122" s="84" t="s">
        <v>262</v>
      </c>
      <c r="I122" s="52"/>
      <c r="J122" s="72">
        <f>IFERROR(IF(ISTEXT($J$118),NA(),($J$118 * $I$118) / ($F$124 * 3600)),"")</f>
        <v>3.2037081951993781E-6</v>
      </c>
      <c r="K122" s="61">
        <f>IFERROR(IF(ISTEXT($K$118),NA(),($K$118 * $I$118) / ($F$124 * 3600)),"")</f>
        <v>2.9270509653354231E-6</v>
      </c>
      <c r="L122" s="52"/>
      <c r="M122" s="61">
        <f t="shared" si="8"/>
        <v>3.0653795802674006E-6</v>
      </c>
      <c r="N122" s="68">
        <f t="shared" si="9"/>
        <v>1.95626203301088E-7</v>
      </c>
      <c r="P122" s="85" t="s">
        <v>268</v>
      </c>
      <c r="Q122" s="86" t="s">
        <v>269</v>
      </c>
      <c r="R122" s="87" t="s">
        <v>242</v>
      </c>
      <c r="S122" s="87" t="s">
        <v>270</v>
      </c>
      <c r="T122" s="87" t="s">
        <v>271</v>
      </c>
      <c r="U122" s="87" t="s">
        <v>272</v>
      </c>
      <c r="V122" s="87" t="s">
        <v>264</v>
      </c>
    </row>
    <row r="123" spans="1:22" ht="18.75" thickTop="1" x14ac:dyDescent="0.35">
      <c r="C123" s="75"/>
      <c r="E123" s="19" t="s">
        <v>253</v>
      </c>
      <c r="F123" s="20">
        <v>0.11</v>
      </c>
      <c r="H123" s="82" t="s">
        <v>263</v>
      </c>
      <c r="I123" s="26"/>
      <c r="J123" s="137">
        <f>IFERROR(IF(ISTEXT($J$119),NA(),$J$119),"")</f>
        <v>10.689471598432297</v>
      </c>
      <c r="K123" s="130">
        <f>IFERROR(IF(ISTEXT($K$119),NA(),$K$119),"")</f>
        <v>10.933096589207395</v>
      </c>
      <c r="L123" s="26"/>
      <c r="M123" s="130">
        <f t="shared" si="8"/>
        <v>10.811284093819847</v>
      </c>
      <c r="N123" s="142">
        <f t="shared" si="9"/>
        <v>0.1722688830435819</v>
      </c>
      <c r="Q123" s="88"/>
      <c r="R123" s="88" t="s">
        <v>256</v>
      </c>
      <c r="S123" s="124">
        <f>$J$114</f>
        <v>0.90868520733020974</v>
      </c>
      <c r="T123" s="125">
        <f>$K$114</f>
        <v>1.1173751776892091</v>
      </c>
      <c r="U123" s="88" t="str">
        <f>$L$114</f>
        <v/>
      </c>
      <c r="V123" s="123">
        <f>$M$113</f>
        <v>0.76989400672685138</v>
      </c>
    </row>
    <row r="124" spans="1:22" x14ac:dyDescent="0.25">
      <c r="C124" s="75"/>
      <c r="E124" s="19" t="s">
        <v>254</v>
      </c>
      <c r="F124" s="21">
        <v>2</v>
      </c>
      <c r="H124" s="82" t="s">
        <v>264</v>
      </c>
      <c r="I124" s="26"/>
      <c r="J124" s="110">
        <f>IFERROR(IF(OR(ISTEXT($J$117),ISTEXT($J$118),ISTEXT($J$119)),NA(),(($J$117 * $I$117) + ($J$118 * $I$118)) / $J$119 / $I$119),"")</f>
        <v>0.85074659937199082</v>
      </c>
      <c r="K124" s="104">
        <f>IFERROR(IF(OR(ISTEXT($K$117),ISTEXT($K$118),ISTEXT($K$119)),NA(),(($K$117 * $I$117) + ($K$118 * $I$118)) / $K$119 / $I$119),"")</f>
        <v>0.83925985195684649</v>
      </c>
      <c r="L124" s="26" t="str">
        <f>IFERROR(IF(OR(ISTEXT($L$117),ISTEXT($L$118),ISTEXT($L$119)),NA(),(($L$117 * $I$117) + ($L$118 * $I$118)) / $L$119 / $I$119),"")</f>
        <v/>
      </c>
      <c r="M124" s="104">
        <f t="shared" si="8"/>
        <v>0.84500322566441866</v>
      </c>
      <c r="N124" s="143">
        <f t="shared" si="9"/>
        <v>8.1223569910256008E-3</v>
      </c>
      <c r="P124" s="89" t="str">
        <f>$B$106</f>
        <v>Ranitidine</v>
      </c>
      <c r="Q124" s="94">
        <f>$F$125</f>
        <v>10</v>
      </c>
      <c r="R124" s="88" t="s">
        <v>267</v>
      </c>
      <c r="S124" s="125">
        <f>$J$125</f>
        <v>2.7246080115531024</v>
      </c>
      <c r="T124" s="125">
        <f>$K$125</f>
        <v>2.43385339306246</v>
      </c>
      <c r="U124" s="88" t="str">
        <f>$L$125</f>
        <v/>
      </c>
      <c r="V124" s="123">
        <f>$M$124</f>
        <v>0.84500322566441866</v>
      </c>
    </row>
    <row r="125" spans="1:22" ht="18.75" thickBot="1" x14ac:dyDescent="0.4">
      <c r="C125" s="75"/>
      <c r="E125" s="22" t="s">
        <v>255</v>
      </c>
      <c r="F125" s="23">
        <v>10</v>
      </c>
      <c r="H125" s="83" t="s">
        <v>266</v>
      </c>
      <c r="I125" s="53"/>
      <c r="J125" s="176">
        <f>IFERROR($J$122 / $J$119 / $F$123 * 1000000,"")</f>
        <v>2.7246080115531024</v>
      </c>
      <c r="K125" s="117">
        <f>IFERROR($K$122 / $K$119 / $F$123 * 1000000,"")</f>
        <v>2.43385339306246</v>
      </c>
      <c r="L125" s="53" t="str">
        <f>IFERROR($L$122 / $L$119 / $F$123 * 1000000,"")</f>
        <v/>
      </c>
      <c r="M125" s="117">
        <f t="shared" si="8"/>
        <v>2.5792307023077812</v>
      </c>
      <c r="N125" s="144">
        <f t="shared" si="9"/>
        <v>0.20559456239604079</v>
      </c>
      <c r="P125" s="90"/>
      <c r="Q125" s="96"/>
      <c r="R125" s="97" t="s">
        <v>238</v>
      </c>
      <c r="S125" s="99">
        <f>$J$126</f>
        <v>2.9984069175707395</v>
      </c>
      <c r="T125" s="99">
        <f>$K$126</f>
        <v>2.1781881696135379</v>
      </c>
      <c r="U125" s="97" t="str">
        <f>$L$126</f>
        <v/>
      </c>
      <c r="V125" s="97"/>
    </row>
    <row r="126" spans="1:22" ht="15.75" thickBot="1" x14ac:dyDescent="0.3">
      <c r="H126" s="59" t="s">
        <v>238</v>
      </c>
      <c r="I126" s="60"/>
      <c r="J126" s="63">
        <f>IFERROR($J$125 / $J$114,"")</f>
        <v>2.9984069175707395</v>
      </c>
      <c r="K126" s="63">
        <f>IFERROR($K$125 / $K$114,"")</f>
        <v>2.1781881696135379</v>
      </c>
      <c r="L126" s="60" t="str">
        <f>IFERROR($L$125 / $L$114,"")</f>
        <v/>
      </c>
      <c r="M126" s="63">
        <f t="shared" si="8"/>
        <v>2.5882975435921387</v>
      </c>
      <c r="N126" s="71">
        <f t="shared" si="9"/>
        <v>0.57998223873687782</v>
      </c>
      <c r="P126" s="91"/>
      <c r="Q126" s="100"/>
      <c r="R126" s="88"/>
      <c r="S126" s="88"/>
      <c r="T126" s="88"/>
      <c r="U126" s="88"/>
      <c r="V126" s="88"/>
    </row>
    <row r="127" spans="1:22" ht="15.75" thickTop="1" x14ac:dyDescent="0.25"/>
    <row r="131" spans="1:18" ht="15.75" thickBot="1" x14ac:dyDescent="0.3">
      <c r="H131" s="75" t="s">
        <v>256</v>
      </c>
    </row>
    <row r="132" spans="1:18" ht="15.75" thickTop="1" x14ac:dyDescent="0.25">
      <c r="A132" s="1" t="s">
        <v>23</v>
      </c>
      <c r="B132" s="1" t="s">
        <v>20</v>
      </c>
      <c r="C132" s="1" t="s">
        <v>21</v>
      </c>
      <c r="D132" s="1">
        <v>2.8769999999999998</v>
      </c>
      <c r="E132" s="1">
        <v>101225.531</v>
      </c>
      <c r="F132" s="1">
        <v>2.8421683458494279E-5</v>
      </c>
      <c r="H132" s="76" t="s">
        <v>257</v>
      </c>
      <c r="I132" s="32">
        <v>7.4999999999999997E-2</v>
      </c>
      <c r="J132" s="165">
        <f>($F$140 - $M$136) * $F$148</f>
        <v>2.4522680094882707</v>
      </c>
      <c r="K132" s="165">
        <f>($F$141 - $M$136) * $F$148</f>
        <v>2.0857223182952445</v>
      </c>
      <c r="L132" s="34"/>
      <c r="M132" s="168">
        <f>IFERROR(AVERAGE(J132:L132),"")</f>
        <v>2.2689951638917574</v>
      </c>
      <c r="N132" s="132">
        <f>IFERROR(STDEV(J132:L132),"")</f>
        <v>0.25918694385729907</v>
      </c>
      <c r="P132" s="1" t="s">
        <v>256</v>
      </c>
      <c r="Q132" s="15">
        <f>$M$140</f>
        <v>0.31633145558226994</v>
      </c>
      <c r="R132" s="15">
        <f>$N$140</f>
        <v>0.20485008498681773</v>
      </c>
    </row>
    <row r="133" spans="1:18" x14ac:dyDescent="0.25">
      <c r="A133" s="1" t="s">
        <v>25</v>
      </c>
      <c r="B133" s="1" t="s">
        <v>20</v>
      </c>
      <c r="C133" s="1" t="s">
        <v>21</v>
      </c>
      <c r="D133" s="1">
        <v>2.4489999999999998</v>
      </c>
      <c r="E133" s="1">
        <v>100985.69500000001</v>
      </c>
      <c r="F133" s="1">
        <v>2.4250959504710047E-5</v>
      </c>
      <c r="H133" s="77" t="s">
        <v>258</v>
      </c>
      <c r="I133" s="28">
        <v>0.25</v>
      </c>
      <c r="J133" s="112">
        <f>($F$136 - $M$136) * $F$148</f>
        <v>4.9226482594872745E-3</v>
      </c>
      <c r="K133" s="112">
        <f>($F$137 - $M$136) * $F$148</f>
        <v>1.8348525709925001E-3</v>
      </c>
      <c r="L133" s="26"/>
      <c r="M133" s="177">
        <f>IFERROR(AVERAGE(J133:L133),"")</f>
        <v>3.3787504152398874E-3</v>
      </c>
      <c r="N133" s="42">
        <f>IFERROR(STDEV(J133:L133),"")</f>
        <v>2.1834012702532392E-3</v>
      </c>
      <c r="P133" s="1" t="s">
        <v>267</v>
      </c>
      <c r="Q133" s="14">
        <f>$M$151</f>
        <v>5.7827699714842495</v>
      </c>
      <c r="R133" s="24">
        <f>$N$151</f>
        <v>8.8062535495161721E-3</v>
      </c>
    </row>
    <row r="134" spans="1:18" x14ac:dyDescent="0.25">
      <c r="A134" s="1" t="s">
        <v>26</v>
      </c>
      <c r="B134" s="1" t="s">
        <v>20</v>
      </c>
      <c r="C134" s="1" t="s">
        <v>21</v>
      </c>
      <c r="D134" s="1">
        <v>1.454</v>
      </c>
      <c r="E134" s="1">
        <v>95940.266000000003</v>
      </c>
      <c r="F134" s="1">
        <v>1.5155263380237031E-5</v>
      </c>
      <c r="H134" s="77" t="s">
        <v>259</v>
      </c>
      <c r="I134" s="30">
        <v>7.4999999999999997E-2</v>
      </c>
      <c r="J134" s="113">
        <f>($F$138 - $M$136) * $F$148</f>
        <v>3.3693099440635055</v>
      </c>
      <c r="K134" s="113">
        <f>($F$139 - $M$136) * $F$148</f>
        <v>3.3775445022561597</v>
      </c>
      <c r="L134" s="26"/>
      <c r="M134" s="115">
        <f>IFERROR(AVERAGE(J134:L134),"")</f>
        <v>3.3734272231598323</v>
      </c>
      <c r="N134" s="42">
        <f>IFERROR(STDEV(J134:L134),"")</f>
        <v>5.822711938101007E-3</v>
      </c>
    </row>
    <row r="135" spans="1:18" x14ac:dyDescent="0.25">
      <c r="A135" s="1" t="s">
        <v>28</v>
      </c>
      <c r="B135" s="1" t="s">
        <v>20</v>
      </c>
      <c r="C135" s="1" t="s">
        <v>21</v>
      </c>
      <c r="D135" s="1">
        <v>0.39500000000000002</v>
      </c>
      <c r="E135" s="1">
        <v>93786.812999999995</v>
      </c>
      <c r="F135" s="1">
        <v>4.2116795247110068E-6</v>
      </c>
      <c r="H135" s="77" t="s">
        <v>260</v>
      </c>
      <c r="I135" s="26"/>
      <c r="J135" s="26"/>
      <c r="K135" s="26"/>
      <c r="L135" s="26"/>
      <c r="M135" s="26"/>
      <c r="N135" s="35"/>
    </row>
    <row r="136" spans="1:18" ht="15.75" thickBot="1" x14ac:dyDescent="0.3">
      <c r="A136" s="1" t="s">
        <v>31</v>
      </c>
      <c r="B136" s="1" t="s">
        <v>20</v>
      </c>
      <c r="C136" s="1" t="s">
        <v>21</v>
      </c>
      <c r="D136" s="1">
        <v>141.03899999999999</v>
      </c>
      <c r="E136" s="1">
        <v>112203.008</v>
      </c>
      <c r="F136" s="1">
        <v>1.2569983863534209E-3</v>
      </c>
      <c r="H136" s="78" t="s">
        <v>261</v>
      </c>
      <c r="I136" s="27"/>
      <c r="J136" s="164">
        <f>IF($G$132&lt;&gt;"","Point Deleted",$F$132)</f>
        <v>2.8421683458494279E-5</v>
      </c>
      <c r="K136" s="164">
        <f>IF($G$133&lt;&gt;"","Point Deleted",$F$133)</f>
        <v>2.4250959504710047E-5</v>
      </c>
      <c r="L136" s="27"/>
      <c r="M136" s="164">
        <f>IFERROR(AVERAGE(J136:L136),"")</f>
        <v>2.6336321481602163E-5</v>
      </c>
      <c r="N136" s="107">
        <f>IFERROR(STDEV(J136:L136),"")</f>
        <v>2.949147190177999E-6</v>
      </c>
    </row>
    <row r="137" spans="1:18" x14ac:dyDescent="0.25">
      <c r="A137" s="1" t="s">
        <v>32</v>
      </c>
      <c r="B137" s="1" t="s">
        <v>20</v>
      </c>
      <c r="C137" s="1" t="s">
        <v>21</v>
      </c>
      <c r="D137" s="1">
        <v>54.265000000000001</v>
      </c>
      <c r="E137" s="1">
        <v>111875.18799999999</v>
      </c>
      <c r="F137" s="1">
        <v>4.8504946422972718E-4</v>
      </c>
      <c r="H137" s="79" t="s">
        <v>262</v>
      </c>
      <c r="I137" s="25"/>
      <c r="J137" s="48">
        <f>IFERROR(IF(ISTEXT($J$133),NA(),($J$133 * $I$133) / ($F$150 * 3600)),"")</f>
        <v>1.7092528678775259E-7</v>
      </c>
      <c r="K137" s="37">
        <f>IFERROR(IF(ISTEXT($K$133),NA(),($K$133 * $I$133) / ($F$150 * 3600)),"")</f>
        <v>6.3710158715017367E-8</v>
      </c>
      <c r="L137" s="25"/>
      <c r="M137" s="37">
        <f>IFERROR(AVERAGE(J137:L137),"")</f>
        <v>1.1731772275138497E-7</v>
      </c>
      <c r="N137" s="44">
        <f>IFERROR(STDEV(J137:L137),"")</f>
        <v>7.5812544106015258E-8</v>
      </c>
    </row>
    <row r="138" spans="1:18" ht="18" x14ac:dyDescent="0.35">
      <c r="A138" s="1" t="s">
        <v>159</v>
      </c>
      <c r="B138" s="1" t="s">
        <v>20</v>
      </c>
      <c r="C138" s="1" t="s">
        <v>21</v>
      </c>
      <c r="D138" s="1">
        <v>68433.179999999993</v>
      </c>
      <c r="E138" s="1">
        <v>81240.422000000006</v>
      </c>
      <c r="F138" s="1">
        <v>0.842353822337358</v>
      </c>
      <c r="H138" s="77" t="s">
        <v>263</v>
      </c>
      <c r="I138" s="26"/>
      <c r="J138" s="121">
        <f>IFERROR(IF(ISTEXT($J$134),NA(),$J$134),"")</f>
        <v>3.3693099440635055</v>
      </c>
      <c r="K138" s="115">
        <f>IFERROR(IF(ISTEXT($K$134),NA(),$K$134),"")</f>
        <v>3.3775445022561597</v>
      </c>
      <c r="L138" s="26"/>
      <c r="M138" s="115">
        <f>IFERROR(AVERAGE(J138:L138),"")</f>
        <v>3.3734272231598323</v>
      </c>
      <c r="N138" s="42">
        <f>IFERROR(STDEV(J138:L138),"")</f>
        <v>5.822711938101007E-3</v>
      </c>
    </row>
    <row r="139" spans="1:18" x14ac:dyDescent="0.25">
      <c r="A139" s="1" t="s">
        <v>160</v>
      </c>
      <c r="B139" s="1" t="s">
        <v>20</v>
      </c>
      <c r="C139" s="1" t="s">
        <v>21</v>
      </c>
      <c r="D139" s="1">
        <v>67319.358999999997</v>
      </c>
      <c r="E139" s="1">
        <v>79723.312999999995</v>
      </c>
      <c r="F139" s="1">
        <v>0.84441246188552155</v>
      </c>
      <c r="H139" s="77" t="s">
        <v>264</v>
      </c>
      <c r="I139" s="26"/>
      <c r="J139" s="110">
        <f>IFERROR(IF(OR(ISTEXT($J$132),ISTEXT($J$133),ISTEXT($J$134)),NA(),(($J$132 * $I$132) + ($J$133 * $I$133)) / $J$134 / $I$134),"")</f>
        <v>0.73269508534515659</v>
      </c>
      <c r="K139" s="104">
        <f>IFERROR(IF(OR(ISTEXT($K$132),ISTEXT($K$133),ISTEXT($K$134)),NA(),(($K$132 * $I$132) + ($K$133 * $I$133)) / $K$134 / $I$134),"")</f>
        <v>0.61933706340051564</v>
      </c>
      <c r="L139" s="26" t="str">
        <f>IFERROR(IF(OR(ISTEXT($L$132),ISTEXT($L$133),ISTEXT($L$134)),NA(),(($L$132 * $I$132) + ($L$133 * $I$133)) / $L$134 / $I$134),"")</f>
        <v/>
      </c>
      <c r="M139" s="104">
        <f>IFERROR(AVERAGE(J139:L139),"")</f>
        <v>0.67601607437283606</v>
      </c>
      <c r="N139" s="108">
        <f>IFERROR(STDEV(J139:L139),"")</f>
        <v>8.0156226018949076E-2</v>
      </c>
    </row>
    <row r="140" spans="1:18" ht="18.75" thickBot="1" x14ac:dyDescent="0.4">
      <c r="A140" s="1" t="s">
        <v>95</v>
      </c>
      <c r="B140" s="1" t="s">
        <v>20</v>
      </c>
      <c r="C140" s="1" t="s">
        <v>21</v>
      </c>
      <c r="D140" s="1">
        <v>52394.491999999998</v>
      </c>
      <c r="E140" s="1">
        <v>85459.241999999998</v>
      </c>
      <c r="F140" s="1">
        <v>0.61309333869354932</v>
      </c>
      <c r="H140" s="80" t="s">
        <v>266</v>
      </c>
      <c r="I140" s="36"/>
      <c r="J140" s="171">
        <f>IFERROR($J$137 / $J$134 / $F$149 * 1000000,"")</f>
        <v>0.46118233980308931</v>
      </c>
      <c r="K140" s="166">
        <f>IFERROR($K$137 / $K$134 / $F$149 * 1000000,"")</f>
        <v>0.17148057136145059</v>
      </c>
      <c r="L140" s="36" t="str">
        <f>IFERROR($L$137 / $L$134 / $F$149 * 1000000,"")</f>
        <v/>
      </c>
      <c r="M140" s="166">
        <f>IFERROR(AVERAGE(J140:L140),"")</f>
        <v>0.31633145558226994</v>
      </c>
      <c r="N140" s="154">
        <f>IFERROR(STDEV(J140:L140),"")</f>
        <v>0.20485008498681773</v>
      </c>
    </row>
    <row r="141" spans="1:18" ht="15.75" thickTop="1" x14ac:dyDescent="0.25">
      <c r="A141" s="1" t="s">
        <v>96</v>
      </c>
      <c r="B141" s="1" t="s">
        <v>20</v>
      </c>
      <c r="C141" s="1" t="s">
        <v>21</v>
      </c>
      <c r="D141" s="1">
        <v>44960.226999999999</v>
      </c>
      <c r="E141" s="1">
        <v>86220.406000000003</v>
      </c>
      <c r="F141" s="1">
        <v>0.52145691589529275</v>
      </c>
      <c r="H141" s="74"/>
    </row>
    <row r="142" spans="1:18" ht="15.75" thickBot="1" x14ac:dyDescent="0.3">
      <c r="A142" s="1" t="s">
        <v>61</v>
      </c>
      <c r="B142" s="1" t="s">
        <v>20</v>
      </c>
      <c r="C142" s="1" t="s">
        <v>21</v>
      </c>
      <c r="D142" s="1">
        <v>6018.7820000000002</v>
      </c>
      <c r="E142" s="1">
        <v>113660.352</v>
      </c>
      <c r="F142" s="1">
        <v>5.295410311592208E-2</v>
      </c>
      <c r="H142" s="75" t="s">
        <v>267</v>
      </c>
    </row>
    <row r="143" spans="1:18" ht="15.75" thickTop="1" x14ac:dyDescent="0.25">
      <c r="A143" s="1" t="s">
        <v>62</v>
      </c>
      <c r="B143" s="1" t="s">
        <v>20</v>
      </c>
      <c r="C143" s="1" t="s">
        <v>21</v>
      </c>
      <c r="D143" s="1">
        <v>6077.9080000000004</v>
      </c>
      <c r="E143" s="1">
        <v>115519.04700000001</v>
      </c>
      <c r="F143" s="1">
        <v>5.261390357557226E-2</v>
      </c>
      <c r="H143" s="81" t="s">
        <v>257</v>
      </c>
      <c r="I143" s="55">
        <v>0.25</v>
      </c>
      <c r="J143" s="173">
        <f>($F$146 - $M$147) * $F$148</f>
        <v>2.7254075366144228</v>
      </c>
      <c r="K143" s="173">
        <f>($F$147 - $M$147) * $F$148</f>
        <v>2.8138818496610205</v>
      </c>
      <c r="L143" s="57"/>
      <c r="M143" s="174">
        <f>IFERROR(AVERAGE(J143:L143),"")</f>
        <v>2.7696446931377219</v>
      </c>
      <c r="N143" s="118">
        <f>IFERROR(STDEV(J143:L143),"")</f>
        <v>6.2560786716070668E-2</v>
      </c>
    </row>
    <row r="144" spans="1:18" x14ac:dyDescent="0.25">
      <c r="A144" s="1" t="s">
        <v>189</v>
      </c>
      <c r="B144" s="1" t="s">
        <v>20</v>
      </c>
      <c r="C144" s="1" t="s">
        <v>21</v>
      </c>
      <c r="D144" s="1">
        <v>67560.054999999993</v>
      </c>
      <c r="E144" s="1">
        <v>78006.75</v>
      </c>
      <c r="F144" s="1">
        <v>0.86607960208571688</v>
      </c>
      <c r="H144" s="82" t="s">
        <v>258</v>
      </c>
      <c r="I144" s="30">
        <v>7.4999999999999997E-2</v>
      </c>
      <c r="J144" s="101">
        <f>($F$142 - $M$147) * $F$148</f>
        <v>0.21177767857787844</v>
      </c>
      <c r="K144" s="101">
        <f>($F$143 - $M$147) * $F$148</f>
        <v>0.21041688041647916</v>
      </c>
      <c r="L144" s="26"/>
      <c r="M144" s="28">
        <f>IFERROR(AVERAGE(J144:L144),"")</f>
        <v>0.2110972794971788</v>
      </c>
      <c r="N144" s="179">
        <f>IFERROR(STDEV(J144:L144),"")</f>
        <v>9.6222960775161639E-4</v>
      </c>
    </row>
    <row r="145" spans="1:22" x14ac:dyDescent="0.25">
      <c r="A145" s="1" t="s">
        <v>190</v>
      </c>
      <c r="B145" s="1" t="s">
        <v>20</v>
      </c>
      <c r="C145" s="1" t="s">
        <v>21</v>
      </c>
      <c r="D145" s="1">
        <v>69932.085999999996</v>
      </c>
      <c r="E145" s="1">
        <v>81092.922000000006</v>
      </c>
      <c r="F145" s="1">
        <v>0.86236978857414948</v>
      </c>
      <c r="H145" s="82" t="s">
        <v>259</v>
      </c>
      <c r="I145" s="28">
        <v>0.25</v>
      </c>
      <c r="J145" s="113">
        <f>($F$144 - $M$147) * $F$148</f>
        <v>3.4642796744570576</v>
      </c>
      <c r="K145" s="113">
        <f>($F$145 - $M$147) * $F$148</f>
        <v>3.449440420410788</v>
      </c>
      <c r="L145" s="26"/>
      <c r="M145" s="115">
        <f>IFERROR(AVERAGE(J145:L145),"")</f>
        <v>3.4568600474339228</v>
      </c>
      <c r="N145" s="119">
        <f>IFERROR(STDEV(J145:L145),"")</f>
        <v>1.0492937163867164E-2</v>
      </c>
    </row>
    <row r="146" spans="1:22" x14ac:dyDescent="0.25">
      <c r="A146" s="1" t="s">
        <v>125</v>
      </c>
      <c r="B146" s="1" t="s">
        <v>20</v>
      </c>
      <c r="C146" s="1" t="s">
        <v>21</v>
      </c>
      <c r="D146" s="1">
        <v>57104.141000000003</v>
      </c>
      <c r="E146" s="1">
        <v>83808.866999999998</v>
      </c>
      <c r="F146" s="1">
        <v>0.68136156762505817</v>
      </c>
      <c r="H146" s="82" t="s">
        <v>260</v>
      </c>
      <c r="I146" s="26"/>
      <c r="J146" s="26"/>
      <c r="K146" s="26"/>
      <c r="L146" s="26"/>
      <c r="M146" s="26"/>
      <c r="N146" s="58"/>
    </row>
    <row r="147" spans="1:22" ht="15.75" thickBot="1" x14ac:dyDescent="0.3">
      <c r="A147" s="1" t="s">
        <v>126</v>
      </c>
      <c r="B147" s="1" t="s">
        <v>20</v>
      </c>
      <c r="C147" s="1" t="s">
        <v>21</v>
      </c>
      <c r="D147" s="1">
        <v>59962.800999999999</v>
      </c>
      <c r="E147" s="1">
        <v>85237.375</v>
      </c>
      <c r="F147" s="1">
        <v>0.7034801458867076</v>
      </c>
      <c r="H147" s="83" t="s">
        <v>261</v>
      </c>
      <c r="I147" s="53"/>
      <c r="J147" s="172">
        <f>IF($G$134&lt;&gt;"","Point Deleted",$F$134)</f>
        <v>1.5155263380237031E-5</v>
      </c>
      <c r="K147" s="172">
        <f>IF($G$135&lt;&gt;"","Point Deleted",$F$135)</f>
        <v>4.2116795247110068E-6</v>
      </c>
      <c r="L147" s="53"/>
      <c r="M147" s="172">
        <f t="shared" ref="M147:M152" si="10">IFERROR(AVERAGE(J147:L147),"")</f>
        <v>9.6834714524740199E-6</v>
      </c>
      <c r="N147" s="175">
        <f t="shared" ref="N147:N152" si="11">IFERROR(STDEV(J147:L147),"")</f>
        <v>7.7382823547260743E-6</v>
      </c>
    </row>
    <row r="148" spans="1:22" ht="66.75" thickTop="1" thickBot="1" x14ac:dyDescent="0.3">
      <c r="C148" s="75"/>
      <c r="E148" s="17" t="s">
        <v>12</v>
      </c>
      <c r="F148" s="18">
        <v>4</v>
      </c>
      <c r="H148" s="84" t="s">
        <v>262</v>
      </c>
      <c r="I148" s="52"/>
      <c r="J148" s="72">
        <f>IFERROR(IF(ISTEXT($J$144),NA(),($J$144 * $I$144) / ($F$150 * 3600)),"")</f>
        <v>2.2060174851862333E-6</v>
      </c>
      <c r="K148" s="61">
        <f>IFERROR(IF(ISTEXT($K$144),NA(),($K$144 * $I$144) / ($F$150 * 3600)),"")</f>
        <v>2.1918425043383244E-6</v>
      </c>
      <c r="L148" s="52"/>
      <c r="M148" s="61">
        <f t="shared" si="10"/>
        <v>2.1989299947622788E-6</v>
      </c>
      <c r="N148" s="68">
        <f t="shared" si="11"/>
        <v>1.00232250807458E-8</v>
      </c>
      <c r="P148" s="85" t="s">
        <v>268</v>
      </c>
      <c r="Q148" s="86" t="s">
        <v>269</v>
      </c>
      <c r="R148" s="87" t="s">
        <v>242</v>
      </c>
      <c r="S148" s="87" t="s">
        <v>270</v>
      </c>
      <c r="T148" s="87" t="s">
        <v>271</v>
      </c>
      <c r="U148" s="87" t="s">
        <v>272</v>
      </c>
      <c r="V148" s="87" t="s">
        <v>264</v>
      </c>
    </row>
    <row r="149" spans="1:22" ht="18.75" thickTop="1" x14ac:dyDescent="0.35">
      <c r="C149" s="75"/>
      <c r="E149" s="19" t="s">
        <v>253</v>
      </c>
      <c r="F149" s="20">
        <v>0.11</v>
      </c>
      <c r="H149" s="82" t="s">
        <v>263</v>
      </c>
      <c r="I149" s="26"/>
      <c r="J149" s="121">
        <f>IFERROR(IF(ISTEXT($J$145),NA(),$J$145),"")</f>
        <v>3.4642796744570576</v>
      </c>
      <c r="K149" s="115">
        <f>IFERROR(IF(ISTEXT($K$145),NA(),$K$145),"")</f>
        <v>3.449440420410788</v>
      </c>
      <c r="L149" s="26"/>
      <c r="M149" s="115">
        <f t="shared" si="10"/>
        <v>3.4568600474339228</v>
      </c>
      <c r="N149" s="119">
        <f t="shared" si="11"/>
        <v>1.0492937163867164E-2</v>
      </c>
      <c r="Q149" s="88"/>
      <c r="R149" s="88" t="s">
        <v>256</v>
      </c>
      <c r="S149" s="124">
        <f>$J$140</f>
        <v>0.46118233980308931</v>
      </c>
      <c r="T149" s="124">
        <f>$K$140</f>
        <v>0.17148057136145059</v>
      </c>
      <c r="U149" s="88" t="str">
        <f>$L$140</f>
        <v/>
      </c>
      <c r="V149" s="123">
        <f>$M$139</f>
        <v>0.67601607437283606</v>
      </c>
    </row>
    <row r="150" spans="1:22" x14ac:dyDescent="0.25">
      <c r="C150" s="75"/>
      <c r="E150" s="19" t="s">
        <v>254</v>
      </c>
      <c r="F150" s="21">
        <v>2</v>
      </c>
      <c r="H150" s="82" t="s">
        <v>264</v>
      </c>
      <c r="I150" s="26"/>
      <c r="J150" s="110">
        <f>IFERROR(IF(OR(ISTEXT($J$143),ISTEXT($J$144),ISTEXT($J$145)),NA(),(($J$143 * $I$143) + ($J$144 * $I$144)) / $J$145 / $I$145),"")</f>
        <v>0.80505649146958247</v>
      </c>
      <c r="K150" s="104">
        <f>IFERROR(IF(OR(ISTEXT($K$143),ISTEXT($K$144),ISTEXT($K$145)),NA(),(($K$143 * $I$143) + ($K$144 * $I$144)) / $K$145 / $I$145),"")</f>
        <v>0.83405032792053457</v>
      </c>
      <c r="L150" s="26" t="str">
        <f>IFERROR(IF(OR(ISTEXT($L$143),ISTEXT($L$144),ISTEXT($L$145)),NA(),(($L$143 * $I$143) + ($L$144 * $I$144)) / $L$145 / $I$145),"")</f>
        <v/>
      </c>
      <c r="M150" s="104">
        <f t="shared" si="10"/>
        <v>0.81955340969505852</v>
      </c>
      <c r="N150" s="69">
        <f t="shared" si="11"/>
        <v>2.0501738367081936E-2</v>
      </c>
      <c r="P150" s="89" t="str">
        <f>$B$132</f>
        <v>Talinolol</v>
      </c>
      <c r="Q150" s="94">
        <f>$F$151</f>
        <v>10</v>
      </c>
      <c r="R150" s="88" t="s">
        <v>267</v>
      </c>
      <c r="S150" s="125">
        <f>$J$151</f>
        <v>5.7889969330859605</v>
      </c>
      <c r="T150" s="125">
        <f>$K$151</f>
        <v>5.7765430098825385</v>
      </c>
      <c r="U150" s="88" t="str">
        <f>$L$151</f>
        <v/>
      </c>
      <c r="V150" s="123">
        <f>$M$150</f>
        <v>0.81955340969505852</v>
      </c>
    </row>
    <row r="151" spans="1:22" ht="18.75" thickBot="1" x14ac:dyDescent="0.4">
      <c r="C151" s="75"/>
      <c r="E151" s="22" t="s">
        <v>255</v>
      </c>
      <c r="F151" s="23">
        <v>10</v>
      </c>
      <c r="H151" s="83" t="s">
        <v>266</v>
      </c>
      <c r="I151" s="53"/>
      <c r="J151" s="176">
        <f>IFERROR($J$148 / $J$145 / $F$149 * 1000000,"")</f>
        <v>5.7889969330859605</v>
      </c>
      <c r="K151" s="117">
        <f>IFERROR($K$148 / $K$145 / $F$149 * 1000000,"")</f>
        <v>5.7765430098825385</v>
      </c>
      <c r="L151" s="53" t="str">
        <f>IFERROR($L$148 / $L$145 / $F$149 * 1000000,"")</f>
        <v/>
      </c>
      <c r="M151" s="117">
        <f t="shared" si="10"/>
        <v>5.7827699714842495</v>
      </c>
      <c r="N151" s="180">
        <f t="shared" si="11"/>
        <v>8.8062535495161721E-3</v>
      </c>
      <c r="P151" s="90"/>
      <c r="Q151" s="96"/>
      <c r="R151" s="97" t="s">
        <v>238</v>
      </c>
      <c r="S151" s="182">
        <f>$J$152</f>
        <v>12.552512170257179</v>
      </c>
      <c r="T151" s="182">
        <f>$K$152</f>
        <v>33.686282731742317</v>
      </c>
      <c r="U151" s="97" t="str">
        <f>$L$152</f>
        <v/>
      </c>
      <c r="V151" s="97"/>
    </row>
    <row r="152" spans="1:22" ht="15.75" thickBot="1" x14ac:dyDescent="0.3">
      <c r="H152" s="59" t="s">
        <v>238</v>
      </c>
      <c r="I152" s="60"/>
      <c r="J152" s="178">
        <f>IFERROR($J$151 / $J$140,"")</f>
        <v>12.552512170257179</v>
      </c>
      <c r="K152" s="178">
        <f>IFERROR($K$151 / $K$140,"")</f>
        <v>33.686282731742317</v>
      </c>
      <c r="L152" s="60" t="str">
        <f>IFERROR($L$151 / $L$140,"")</f>
        <v/>
      </c>
      <c r="M152" s="178">
        <f t="shared" si="10"/>
        <v>23.119397450999749</v>
      </c>
      <c r="N152" s="181">
        <f t="shared" si="11"/>
        <v>14.943832476066765</v>
      </c>
      <c r="P152" s="91"/>
      <c r="Q152" s="100"/>
      <c r="R152" s="88"/>
      <c r="S152" s="88"/>
      <c r="T152" s="88"/>
      <c r="U152" s="88"/>
      <c r="V152" s="88"/>
    </row>
    <row r="153" spans="1:22" ht="15.75" thickTop="1" x14ac:dyDescent="0.25"/>
    <row r="157" spans="1:22" ht="15.75" thickBot="1" x14ac:dyDescent="0.3">
      <c r="H157" s="75" t="s">
        <v>256</v>
      </c>
    </row>
    <row r="158" spans="1:22" ht="15.75" thickTop="1" x14ac:dyDescent="0.25">
      <c r="A158" s="1" t="s">
        <v>23</v>
      </c>
      <c r="B158" s="1" t="s">
        <v>221</v>
      </c>
      <c r="C158" s="1" t="s">
        <v>222</v>
      </c>
      <c r="D158" s="1">
        <v>5.4740000000000002</v>
      </c>
      <c r="E158" s="1">
        <v>101225.531</v>
      </c>
      <c r="F158" s="1">
        <v>5.4077266337086443E-5</v>
      </c>
      <c r="H158" s="76" t="s">
        <v>257</v>
      </c>
      <c r="I158" s="32">
        <v>7.4999999999999997E-2</v>
      </c>
      <c r="J158" s="165">
        <f>($F$166 - $M$162) * $F$174</f>
        <v>4.2458572647071176</v>
      </c>
      <c r="K158" s="165">
        <f>($F$167 - $M$162) * $F$174</f>
        <v>4.2635246149537398</v>
      </c>
      <c r="L158" s="34"/>
      <c r="M158" s="168">
        <f>IFERROR(AVERAGE(J158:L158),"")</f>
        <v>4.2546909398304287</v>
      </c>
      <c r="N158" s="169">
        <f>IFERROR(STDEV(J158:L158),"")</f>
        <v>1.2492703164984414E-2</v>
      </c>
      <c r="P158" s="1" t="s">
        <v>256</v>
      </c>
      <c r="Q158" s="16">
        <f>$M$166</f>
        <v>49.821955305693095</v>
      </c>
      <c r="R158" s="14">
        <f>$N$166</f>
        <v>6.5857414440376871</v>
      </c>
    </row>
    <row r="159" spans="1:22" x14ac:dyDescent="0.25">
      <c r="A159" s="1" t="s">
        <v>25</v>
      </c>
      <c r="B159" s="1" t="s">
        <v>221</v>
      </c>
      <c r="C159" s="1" t="s">
        <v>222</v>
      </c>
      <c r="D159" s="1">
        <v>6.4039999999999999</v>
      </c>
      <c r="E159" s="1">
        <v>100985.69500000001</v>
      </c>
      <c r="F159" s="1">
        <v>6.341492228181426E-5</v>
      </c>
      <c r="H159" s="77" t="s">
        <v>258</v>
      </c>
      <c r="I159" s="28">
        <v>0.25</v>
      </c>
      <c r="J159" s="113">
        <f>($F$162 - $M$162) * $F$174</f>
        <v>1.1577429640518764</v>
      </c>
      <c r="K159" s="101">
        <f>($F$163 - $M$162) * $F$174</f>
        <v>0.9666792831512957</v>
      </c>
      <c r="L159" s="26"/>
      <c r="M159" s="115">
        <f>IFERROR(AVERAGE(J159:L159),"")</f>
        <v>1.0622111236015861</v>
      </c>
      <c r="N159" s="133">
        <f>IFERROR(STDEV(J159:L159),"")</f>
        <v>0.13510242440326325</v>
      </c>
      <c r="P159" s="1" t="s">
        <v>267</v>
      </c>
      <c r="Q159" s="16">
        <f>$M$177</f>
        <v>38.642767383435796</v>
      </c>
      <c r="R159" s="14">
        <f>$N$177</f>
        <v>7.8088642194349314</v>
      </c>
    </row>
    <row r="160" spans="1:22" x14ac:dyDescent="0.25">
      <c r="A160" s="1" t="s">
        <v>26</v>
      </c>
      <c r="B160" s="1" t="s">
        <v>221</v>
      </c>
      <c r="C160" s="1" t="s">
        <v>222</v>
      </c>
      <c r="D160" s="1">
        <v>1.083</v>
      </c>
      <c r="E160" s="1">
        <v>95940.266000000003</v>
      </c>
      <c r="F160" s="1">
        <v>1.1288273893257706E-5</v>
      </c>
      <c r="H160" s="77" t="s">
        <v>259</v>
      </c>
      <c r="I160" s="30">
        <v>7.4999999999999997E-2</v>
      </c>
      <c r="J160" s="113">
        <f>($F$164 - $M$162) * $F$174</f>
        <v>6.7081014498958682</v>
      </c>
      <c r="K160" s="113">
        <f>($F$165 - $M$162) * $F$174</f>
        <v>6.7560669749212856</v>
      </c>
      <c r="L160" s="26"/>
      <c r="M160" s="115">
        <f>IFERROR(AVERAGE(J160:L160),"")</f>
        <v>6.7320842124085765</v>
      </c>
      <c r="N160" s="106">
        <f>IFERROR(STDEV(J160:L160),"")</f>
        <v>3.3916748008645685E-2</v>
      </c>
    </row>
    <row r="161" spans="1:22" x14ac:dyDescent="0.25">
      <c r="A161" s="1" t="s">
        <v>28</v>
      </c>
      <c r="B161" s="1" t="s">
        <v>221</v>
      </c>
      <c r="C161" s="1" t="s">
        <v>222</v>
      </c>
      <c r="D161" s="1">
        <v>0.41</v>
      </c>
      <c r="E161" s="1">
        <v>93786.812999999995</v>
      </c>
      <c r="F161" s="1">
        <v>4.3716167218519303E-6</v>
      </c>
      <c r="H161" s="77" t="s">
        <v>260</v>
      </c>
      <c r="I161" s="26"/>
      <c r="J161" s="26"/>
      <c r="K161" s="26"/>
      <c r="L161" s="26"/>
      <c r="M161" s="26"/>
      <c r="N161" s="35"/>
    </row>
    <row r="162" spans="1:22" ht="15.75" thickBot="1" x14ac:dyDescent="0.3">
      <c r="A162" s="1" t="s">
        <v>35</v>
      </c>
      <c r="B162" s="1" t="s">
        <v>221</v>
      </c>
      <c r="C162" s="1" t="s">
        <v>222</v>
      </c>
      <c r="D162" s="1">
        <v>33376.586000000003</v>
      </c>
      <c r="E162" s="1">
        <v>115292.648</v>
      </c>
      <c r="F162" s="1">
        <v>0.28949448710727854</v>
      </c>
      <c r="H162" s="78" t="s">
        <v>261</v>
      </c>
      <c r="I162" s="27"/>
      <c r="J162" s="164">
        <f>IF($G$158&lt;&gt;"","Point Deleted",$F$158)</f>
        <v>5.4077266337086443E-5</v>
      </c>
      <c r="K162" s="164">
        <f>IF($G$159&lt;&gt;"","Point Deleted",$F$159)</f>
        <v>6.341492228181426E-5</v>
      </c>
      <c r="L162" s="27"/>
      <c r="M162" s="164">
        <f>IFERROR(AVERAGE(J162:L162),"")</f>
        <v>5.8746094309450355E-5</v>
      </c>
      <c r="N162" s="107">
        <f>IFERROR(STDEV(J162:L162),"")</f>
        <v>6.6027198389039176E-6</v>
      </c>
    </row>
    <row r="163" spans="1:22" x14ac:dyDescent="0.25">
      <c r="A163" s="1" t="s">
        <v>36</v>
      </c>
      <c r="B163" s="1" t="s">
        <v>221</v>
      </c>
      <c r="C163" s="1" t="s">
        <v>222</v>
      </c>
      <c r="D163" s="1">
        <v>26981.636999999999</v>
      </c>
      <c r="E163" s="1">
        <v>111619.56299999999</v>
      </c>
      <c r="F163" s="1">
        <v>0.24172856688213337</v>
      </c>
      <c r="H163" s="79" t="s">
        <v>262</v>
      </c>
      <c r="I163" s="25"/>
      <c r="J163" s="48">
        <f>IFERROR(IF(ISTEXT($J$159),NA(),($J$159 * $I$159) / ($F$176 * 3600)),"")</f>
        <v>4.0199408474023485E-5</v>
      </c>
      <c r="K163" s="37">
        <f>IFERROR(IF(ISTEXT($K$159),NA(),($K$159 * $I$159) / ($F$176 * 3600)),"")</f>
        <v>3.356525288719777E-5</v>
      </c>
      <c r="L163" s="25"/>
      <c r="M163" s="37">
        <f>IFERROR(AVERAGE(J163:L163),"")</f>
        <v>3.6882330680610624E-5</v>
      </c>
      <c r="N163" s="44">
        <f>IFERROR(STDEV(J163:L163),"")</f>
        <v>4.6910564028910828E-6</v>
      </c>
    </row>
    <row r="164" spans="1:22" ht="18" x14ac:dyDescent="0.35">
      <c r="A164" s="1" t="s">
        <v>163</v>
      </c>
      <c r="B164" s="1" t="s">
        <v>221</v>
      </c>
      <c r="C164" s="1" t="s">
        <v>222</v>
      </c>
      <c r="D164" s="1">
        <v>138475.25</v>
      </c>
      <c r="E164" s="1">
        <v>82569.054999999993</v>
      </c>
      <c r="F164" s="1">
        <v>1.6770841085682766</v>
      </c>
      <c r="H164" s="77" t="s">
        <v>263</v>
      </c>
      <c r="I164" s="26"/>
      <c r="J164" s="121">
        <f>IFERROR(IF(ISTEXT($J$160),NA(),$J$160),"")</f>
        <v>6.7081014498958682</v>
      </c>
      <c r="K164" s="115">
        <f>IFERROR(IF(ISTEXT($K$160),NA(),$K$160),"")</f>
        <v>6.7560669749212856</v>
      </c>
      <c r="L164" s="26"/>
      <c r="M164" s="115">
        <f>IFERROR(AVERAGE(J164:L164),"")</f>
        <v>6.7320842124085765</v>
      </c>
      <c r="N164" s="106">
        <f>IFERROR(STDEV(J164:L164),"")</f>
        <v>3.3916748008645685E-2</v>
      </c>
    </row>
    <row r="165" spans="1:22" x14ac:dyDescent="0.25">
      <c r="A165" s="1" t="s">
        <v>164</v>
      </c>
      <c r="B165" s="1" t="s">
        <v>221</v>
      </c>
      <c r="C165" s="1" t="s">
        <v>222</v>
      </c>
      <c r="D165" s="1">
        <v>139485.516</v>
      </c>
      <c r="E165" s="1">
        <v>82580.983999999997</v>
      </c>
      <c r="F165" s="1">
        <v>1.689075489824631</v>
      </c>
      <c r="H165" s="77" t="s">
        <v>264</v>
      </c>
      <c r="I165" s="26"/>
      <c r="J165" s="50">
        <f>IFERROR(IF(OR(ISTEXT($J$158),ISTEXT($J$159),ISTEXT($J$160)),NA(),(($J$158 * $I$158) + ($J$159 * $I$159)) / $J$160 / $I$160),"")</f>
        <v>1.2082405936688969</v>
      </c>
      <c r="K165" s="38">
        <f>IFERROR(IF(OR(ISTEXT($K$158),ISTEXT($K$159),ISTEXT($K$160)),NA(),(($K$158 * $I$158) + ($K$159 * $I$159)) / $K$160 / $I$160),"")</f>
        <v>1.1080098702265961</v>
      </c>
      <c r="L165" s="26" t="str">
        <f>IFERROR(IF(OR(ISTEXT($L$158),ISTEXT($L$159),ISTEXT($L$160)),NA(),(($L$158 * $I$158) + ($L$159 * $I$159)) / $L$160 / $I$160),"")</f>
        <v/>
      </c>
      <c r="M165" s="38">
        <f>IFERROR(AVERAGE(J165:L165),"")</f>
        <v>1.1581252319477464</v>
      </c>
      <c r="N165" s="108">
        <f>IFERROR(STDEV(J165:L165),"")</f>
        <v>7.087382422928433E-2</v>
      </c>
    </row>
    <row r="166" spans="1:22" ht="18.75" thickBot="1" x14ac:dyDescent="0.4">
      <c r="A166" s="1" t="s">
        <v>99</v>
      </c>
      <c r="B166" s="1" t="s">
        <v>221</v>
      </c>
      <c r="C166" s="1" t="s">
        <v>222</v>
      </c>
      <c r="D166" s="1">
        <v>92224.335999999996</v>
      </c>
      <c r="E166" s="1">
        <v>86879.258000000002</v>
      </c>
      <c r="F166" s="1">
        <v>1.0615230622710889</v>
      </c>
      <c r="H166" s="80" t="s">
        <v>266</v>
      </c>
      <c r="I166" s="36"/>
      <c r="J166" s="111">
        <f>IFERROR($J$163 / $J$160 / $F$175 * 1000000,"")</f>
        <v>54.478777739913426</v>
      </c>
      <c r="K166" s="46">
        <f>IFERROR($K$163 / $K$160 / $F$175 * 1000000,"")</f>
        <v>45.165132871472757</v>
      </c>
      <c r="L166" s="36" t="str">
        <f>IFERROR($L$163 / $L$160 / $F$175 * 1000000,"")</f>
        <v/>
      </c>
      <c r="M166" s="46">
        <f>IFERROR(AVERAGE(J166:L166),"")</f>
        <v>49.821955305693095</v>
      </c>
      <c r="N166" s="47">
        <f>IFERROR(STDEV(J166:L166),"")</f>
        <v>6.5857414440376871</v>
      </c>
    </row>
    <row r="167" spans="1:22" ht="15.75" thickTop="1" x14ac:dyDescent="0.25">
      <c r="A167" s="1" t="s">
        <v>100</v>
      </c>
      <c r="B167" s="1" t="s">
        <v>221</v>
      </c>
      <c r="C167" s="1" t="s">
        <v>222</v>
      </c>
      <c r="D167" s="1">
        <v>91650.57</v>
      </c>
      <c r="E167" s="1">
        <v>85980.991999999998</v>
      </c>
      <c r="F167" s="1">
        <v>1.0659398998327445</v>
      </c>
      <c r="H167" s="74"/>
    </row>
    <row r="168" spans="1:22" ht="15.75" thickBot="1" x14ac:dyDescent="0.3">
      <c r="A168" s="1" t="s">
        <v>67</v>
      </c>
      <c r="B168" s="1" t="s">
        <v>221</v>
      </c>
      <c r="C168" s="1" t="s">
        <v>222</v>
      </c>
      <c r="D168" s="1">
        <v>62856.512000000002</v>
      </c>
      <c r="E168" s="1">
        <v>117152.92200000001</v>
      </c>
      <c r="F168" s="1">
        <v>0.53653388175840799</v>
      </c>
      <c r="H168" s="75" t="s">
        <v>267</v>
      </c>
    </row>
    <row r="169" spans="1:22" ht="15.75" thickTop="1" x14ac:dyDescent="0.25">
      <c r="A169" s="1" t="s">
        <v>68</v>
      </c>
      <c r="B169" s="1" t="s">
        <v>221</v>
      </c>
      <c r="C169" s="1" t="s">
        <v>222</v>
      </c>
      <c r="D169" s="1">
        <v>68319.827999999994</v>
      </c>
      <c r="E169" s="1">
        <v>111947.391</v>
      </c>
      <c r="F169" s="1">
        <v>0.61028512937831658</v>
      </c>
      <c r="H169" s="81" t="s">
        <v>257</v>
      </c>
      <c r="I169" s="55">
        <v>0.25</v>
      </c>
      <c r="J169" s="173">
        <f>($F$172 - $M$173) * $F$174</f>
        <v>5.4787716113883187</v>
      </c>
      <c r="K169" s="173">
        <f>($F$173 - $M$173) * $F$174</f>
        <v>5.5998326550847173</v>
      </c>
      <c r="L169" s="57"/>
      <c r="M169" s="174">
        <f>IFERROR(AVERAGE(J169:L169),"")</f>
        <v>5.539302133236518</v>
      </c>
      <c r="N169" s="118">
        <f>IFERROR(STDEV(J169:L169),"")</f>
        <v>8.5603084935244378E-2</v>
      </c>
    </row>
    <row r="170" spans="1:22" x14ac:dyDescent="0.25">
      <c r="A170" s="1" t="s">
        <v>195</v>
      </c>
      <c r="B170" s="1" t="s">
        <v>221</v>
      </c>
      <c r="C170" s="1" t="s">
        <v>222</v>
      </c>
      <c r="D170" s="1">
        <v>123431.258</v>
      </c>
      <c r="E170" s="1">
        <v>80463.766000000003</v>
      </c>
      <c r="F170" s="1">
        <v>1.5339980234084494</v>
      </c>
      <c r="H170" s="82" t="s">
        <v>258</v>
      </c>
      <c r="I170" s="30">
        <v>7.4999999999999997E-2</v>
      </c>
      <c r="J170" s="113">
        <f>($F$168 - $M$173) * $F$174</f>
        <v>2.1461042072524017</v>
      </c>
      <c r="K170" s="113">
        <f>($F$169 - $M$173) * $F$174</f>
        <v>2.4411091977320361</v>
      </c>
      <c r="L170" s="26"/>
      <c r="M170" s="115">
        <f>IFERROR(AVERAGE(J170:L170),"")</f>
        <v>2.2936067024922187</v>
      </c>
      <c r="N170" s="142">
        <f>IFERROR(STDEV(J170:L170),"")</f>
        <v>0.20860002925202234</v>
      </c>
    </row>
    <row r="171" spans="1:22" x14ac:dyDescent="0.25">
      <c r="A171" s="1" t="s">
        <v>196</v>
      </c>
      <c r="B171" s="1" t="s">
        <v>221</v>
      </c>
      <c r="C171" s="1" t="s">
        <v>222</v>
      </c>
      <c r="D171" s="1">
        <v>106487.219</v>
      </c>
      <c r="E171" s="1">
        <v>81377.547000000006</v>
      </c>
      <c r="F171" s="1">
        <v>1.3085577401343886</v>
      </c>
      <c r="H171" s="82" t="s">
        <v>259</v>
      </c>
      <c r="I171" s="28">
        <v>0.25</v>
      </c>
      <c r="J171" s="113">
        <f>($F$170 - $M$173) * $F$174</f>
        <v>6.1359607738525677</v>
      </c>
      <c r="K171" s="113">
        <f>($F$171 - $M$173) * $F$174</f>
        <v>5.2341996407563247</v>
      </c>
      <c r="L171" s="26"/>
      <c r="M171" s="115">
        <f>IFERROR(AVERAGE(J171:L171),"")</f>
        <v>5.6850802073044466</v>
      </c>
      <c r="N171" s="142">
        <f>IFERROR(STDEV(J171:L171),"")</f>
        <v>0.63764141222281823</v>
      </c>
    </row>
    <row r="172" spans="1:22" x14ac:dyDescent="0.25">
      <c r="A172" s="1" t="s">
        <v>131</v>
      </c>
      <c r="B172" s="1" t="s">
        <v>221</v>
      </c>
      <c r="C172" s="1" t="s">
        <v>222</v>
      </c>
      <c r="D172" s="1">
        <v>113802.977</v>
      </c>
      <c r="E172" s="1">
        <v>83086.016000000003</v>
      </c>
      <c r="F172" s="1">
        <v>1.3697007327923871</v>
      </c>
      <c r="H172" s="82" t="s">
        <v>260</v>
      </c>
      <c r="I172" s="26"/>
      <c r="J172" s="26"/>
      <c r="K172" s="26"/>
      <c r="L172" s="26"/>
      <c r="M172" s="26"/>
      <c r="N172" s="58"/>
    </row>
    <row r="173" spans="1:22" ht="15.75" thickBot="1" x14ac:dyDescent="0.3">
      <c r="A173" s="1" t="s">
        <v>132</v>
      </c>
      <c r="B173" s="1" t="s">
        <v>221</v>
      </c>
      <c r="C173" s="1" t="s">
        <v>222</v>
      </c>
      <c r="D173" s="1">
        <v>116216.875</v>
      </c>
      <c r="E173" s="1">
        <v>83014.070000000007</v>
      </c>
      <c r="F173" s="1">
        <v>1.3999659937164868</v>
      </c>
      <c r="H173" s="83" t="s">
        <v>261</v>
      </c>
      <c r="I173" s="53"/>
      <c r="J173" s="172">
        <f>IF($G$160&lt;&gt;"","Point Deleted",$F$160)</f>
        <v>1.1288273893257706E-5</v>
      </c>
      <c r="K173" s="172">
        <f>IF($G$161&lt;&gt;"","Point Deleted",$F$161)</f>
        <v>4.3716167218519303E-6</v>
      </c>
      <c r="L173" s="53"/>
      <c r="M173" s="172">
        <f t="shared" ref="M173:M178" si="12">IFERROR(AVERAGE(J173:L173),"")</f>
        <v>7.8299453075548179E-6</v>
      </c>
      <c r="N173" s="175">
        <f t="shared" ref="N173:N178" si="13">IFERROR(STDEV(J173:L173),"")</f>
        <v>4.8908151890435889E-6</v>
      </c>
    </row>
    <row r="174" spans="1:22" ht="66.75" thickTop="1" thickBot="1" x14ac:dyDescent="0.3">
      <c r="C174" s="75"/>
      <c r="E174" s="17" t="s">
        <v>12</v>
      </c>
      <c r="F174" s="18">
        <v>4</v>
      </c>
      <c r="H174" s="84" t="s">
        <v>262</v>
      </c>
      <c r="I174" s="52"/>
      <c r="J174" s="72">
        <f>IFERROR(IF(ISTEXT($J$170),NA(),($J$170 * $I$170) / ($F$176 * 3600)),"")</f>
        <v>2.2355252158879184E-5</v>
      </c>
      <c r="K174" s="61">
        <f>IFERROR(IF(ISTEXT($K$170),NA(),($K$170 * $I$170) / ($F$176 * 3600)),"")</f>
        <v>2.5428220809708711E-5</v>
      </c>
      <c r="L174" s="52"/>
      <c r="M174" s="61">
        <f t="shared" si="12"/>
        <v>2.3891736484293946E-5</v>
      </c>
      <c r="N174" s="68">
        <f t="shared" si="13"/>
        <v>2.1729169713752346E-6</v>
      </c>
      <c r="P174" s="85" t="s">
        <v>268</v>
      </c>
      <c r="Q174" s="86" t="s">
        <v>269</v>
      </c>
      <c r="R174" s="87" t="s">
        <v>242</v>
      </c>
      <c r="S174" s="87" t="s">
        <v>270</v>
      </c>
      <c r="T174" s="87" t="s">
        <v>271</v>
      </c>
      <c r="U174" s="87" t="s">
        <v>272</v>
      </c>
      <c r="V174" s="87" t="s">
        <v>264</v>
      </c>
    </row>
    <row r="175" spans="1:22" ht="18.75" thickTop="1" x14ac:dyDescent="0.35">
      <c r="C175" s="75"/>
      <c r="E175" s="19" t="s">
        <v>253</v>
      </c>
      <c r="F175" s="20">
        <v>0.11</v>
      </c>
      <c r="H175" s="82" t="s">
        <v>263</v>
      </c>
      <c r="I175" s="26"/>
      <c r="J175" s="121">
        <f>IFERROR(IF(ISTEXT($J$171),NA(),$J$171),"")</f>
        <v>6.1359607738525677</v>
      </c>
      <c r="K175" s="115">
        <f>IFERROR(IF(ISTEXT($K$171),NA(),$K$171),"")</f>
        <v>5.2341996407563247</v>
      </c>
      <c r="L175" s="26"/>
      <c r="M175" s="115">
        <f t="shared" si="12"/>
        <v>5.6850802073044466</v>
      </c>
      <c r="N175" s="142">
        <f t="shared" si="13"/>
        <v>0.63764141222281823</v>
      </c>
      <c r="Q175" s="88"/>
      <c r="R175" s="88" t="s">
        <v>256</v>
      </c>
      <c r="S175" s="95">
        <f>$J$166</f>
        <v>54.478777739913426</v>
      </c>
      <c r="T175" s="95">
        <f>$K$166</f>
        <v>45.165132871472757</v>
      </c>
      <c r="U175" s="88" t="str">
        <f>$L$166</f>
        <v/>
      </c>
      <c r="V175" s="93">
        <f>$M$165</f>
        <v>1.1581252319477464</v>
      </c>
    </row>
    <row r="176" spans="1:22" x14ac:dyDescent="0.25">
      <c r="C176" s="75"/>
      <c r="E176" s="19" t="s">
        <v>254</v>
      </c>
      <c r="F176" s="21">
        <v>2</v>
      </c>
      <c r="H176" s="82" t="s">
        <v>264</v>
      </c>
      <c r="I176" s="26"/>
      <c r="J176" s="110">
        <f>IFERROR(IF(OR(ISTEXT($J$169),ISTEXT($J$170),ISTEXT($J$171)),NA(),(($J$169 * $I$169) + ($J$170 * $I$170)) / $J$171 / $I$171),"")</f>
        <v>0.99782301406725893</v>
      </c>
      <c r="K176" s="38">
        <f>IFERROR(IF(OR(ISTEXT($K$169),ISTEXT($K$170),ISTEXT($K$171)),NA(),(($K$169 * $I$169) + ($K$170 * $I$170)) / $K$171 / $I$171),"")</f>
        <v>1.2097676529375465</v>
      </c>
      <c r="L176" s="26" t="str">
        <f>IFERROR(IF(OR(ISTEXT($L$169),ISTEXT($L$170),ISTEXT($L$171)),NA(),(($L$169 * $I$169) + ($L$170 * $I$170)) / $L$171 / $I$171),"")</f>
        <v/>
      </c>
      <c r="M176" s="38">
        <f t="shared" si="12"/>
        <v>1.1037953335024027</v>
      </c>
      <c r="N176" s="183">
        <f t="shared" si="13"/>
        <v>0.14986749138131428</v>
      </c>
      <c r="P176" s="89" t="str">
        <f>$B$158</f>
        <v>Warfarin</v>
      </c>
      <c r="Q176" s="94">
        <f>$F$177</f>
        <v>10</v>
      </c>
      <c r="R176" s="88" t="s">
        <v>267</v>
      </c>
      <c r="S176" s="95">
        <f>$J$177</f>
        <v>33.12106654050833</v>
      </c>
      <c r="T176" s="95">
        <f>$K$177</f>
        <v>44.164468226363255</v>
      </c>
      <c r="U176" s="88" t="str">
        <f>$L$177</f>
        <v/>
      </c>
      <c r="V176" s="93">
        <f>$M$176</f>
        <v>1.1037953335024027</v>
      </c>
    </row>
    <row r="177" spans="3:22" ht="18.75" thickBot="1" x14ac:dyDescent="0.4">
      <c r="C177" s="75"/>
      <c r="E177" s="22" t="s">
        <v>255</v>
      </c>
      <c r="F177" s="23">
        <v>10</v>
      </c>
      <c r="H177" s="83" t="s">
        <v>266</v>
      </c>
      <c r="I177" s="53"/>
      <c r="J177" s="73">
        <f>IFERROR($J$174 / $J$171 / $F$175 * 1000000,"")</f>
        <v>33.12106654050833</v>
      </c>
      <c r="K177" s="54">
        <f>IFERROR($K$174 / $K$171 / $F$175 * 1000000,"")</f>
        <v>44.164468226363255</v>
      </c>
      <c r="L177" s="53" t="str">
        <f>IFERROR($L$174 / $L$171 / $F$175 * 1000000,"")</f>
        <v/>
      </c>
      <c r="M177" s="54">
        <f t="shared" si="12"/>
        <v>38.642767383435796</v>
      </c>
      <c r="N177" s="70">
        <f t="shared" si="13"/>
        <v>7.8088642194349314</v>
      </c>
      <c r="P177" s="90"/>
      <c r="Q177" s="96"/>
      <c r="R177" s="97" t="s">
        <v>238</v>
      </c>
      <c r="S177" s="98">
        <f>$J$178</f>
        <v>0.60796273181148219</v>
      </c>
      <c r="T177" s="98">
        <f>$K$178</f>
        <v>0.97784431083249301</v>
      </c>
      <c r="U177" s="97" t="str">
        <f>$L$178</f>
        <v/>
      </c>
      <c r="V177" s="97"/>
    </row>
    <row r="178" spans="3:22" ht="15.75" thickBot="1" x14ac:dyDescent="0.3">
      <c r="H178" s="59" t="s">
        <v>238</v>
      </c>
      <c r="I178" s="60"/>
      <c r="J178" s="62">
        <f>IFERROR($J$177 / $J$166,"")</f>
        <v>0.60796273181148219</v>
      </c>
      <c r="K178" s="62">
        <f>IFERROR($K$177 / $K$166,"")</f>
        <v>0.97784431083249301</v>
      </c>
      <c r="L178" s="60" t="str">
        <f>IFERROR($L$177 / $L$166,"")</f>
        <v/>
      </c>
      <c r="M178" s="62">
        <f t="shared" si="12"/>
        <v>0.7929035213219876</v>
      </c>
      <c r="N178" s="71">
        <f t="shared" si="13"/>
        <v>0.26154577276174468</v>
      </c>
      <c r="P178" s="91"/>
      <c r="Q178" s="100"/>
      <c r="R178" s="88"/>
      <c r="S178" s="88"/>
      <c r="T178" s="88"/>
      <c r="U178" s="88"/>
      <c r="V178" s="88"/>
    </row>
    <row r="179" spans="3:22" ht="15.75" thickTop="1" x14ac:dyDescent="0.25"/>
  </sheetData>
  <sortState ref="A2:X113">
    <sortCondition ref="K2:K113"/>
    <sortCondition ref="B2:B113"/>
    <sortCondition ref="G2:G113"/>
    <sortCondition ref="H2:H113"/>
    <sortCondition descending="1" ref="I2:I113"/>
    <sortCondition ref="J2:J113"/>
  </sortState>
  <conditionalFormatting sqref="J6">
    <cfRule type="expression" dxfId="111" priority="112">
      <formula>ISTEXT($J$6)</formula>
    </cfRule>
  </conditionalFormatting>
  <conditionalFormatting sqref="K6">
    <cfRule type="expression" dxfId="110" priority="111">
      <formula>ISTEXT($K$6)</formula>
    </cfRule>
  </conditionalFormatting>
  <conditionalFormatting sqref="J17">
    <cfRule type="expression" dxfId="109" priority="110">
      <formula>ISTEXT($J$17)</formula>
    </cfRule>
  </conditionalFormatting>
  <conditionalFormatting sqref="K17">
    <cfRule type="expression" dxfId="108" priority="109">
      <formula>ISTEXT($K$17)</formula>
    </cfRule>
  </conditionalFormatting>
  <conditionalFormatting sqref="J3">
    <cfRule type="expression" dxfId="107" priority="108">
      <formula>ISTEXT($J$3)</formula>
    </cfRule>
  </conditionalFormatting>
  <conditionalFormatting sqref="K3">
    <cfRule type="expression" dxfId="106" priority="107">
      <formula>ISTEXT($K$3)</formula>
    </cfRule>
  </conditionalFormatting>
  <conditionalFormatting sqref="J4">
    <cfRule type="expression" dxfId="105" priority="106">
      <formula>ISTEXT($J$4)</formula>
    </cfRule>
  </conditionalFormatting>
  <conditionalFormatting sqref="K4">
    <cfRule type="expression" dxfId="104" priority="105">
      <formula>ISTEXT($K$4)</formula>
    </cfRule>
  </conditionalFormatting>
  <conditionalFormatting sqref="J2">
    <cfRule type="expression" dxfId="103" priority="104">
      <formula>ISTEXT($J$2)</formula>
    </cfRule>
  </conditionalFormatting>
  <conditionalFormatting sqref="K2">
    <cfRule type="expression" dxfId="102" priority="103">
      <formula>ISTEXT($K$2)</formula>
    </cfRule>
  </conditionalFormatting>
  <conditionalFormatting sqref="J14">
    <cfRule type="expression" dxfId="101" priority="102">
      <formula>ISTEXT($J$14)</formula>
    </cfRule>
  </conditionalFormatting>
  <conditionalFormatting sqref="K14">
    <cfRule type="expression" dxfId="100" priority="101">
      <formula>ISTEXT($K$14)</formula>
    </cfRule>
  </conditionalFormatting>
  <conditionalFormatting sqref="J15">
    <cfRule type="expression" dxfId="99" priority="100">
      <formula>ISTEXT($J$15)</formula>
    </cfRule>
  </conditionalFormatting>
  <conditionalFormatting sqref="K15">
    <cfRule type="expression" dxfId="98" priority="99">
      <formula>ISTEXT($K$15)</formula>
    </cfRule>
  </conditionalFormatting>
  <conditionalFormatting sqref="J13">
    <cfRule type="expression" dxfId="97" priority="98">
      <formula>ISTEXT($J$13)</formula>
    </cfRule>
  </conditionalFormatting>
  <conditionalFormatting sqref="K13">
    <cfRule type="expression" dxfId="96" priority="97">
      <formula>ISTEXT($K$13)</formula>
    </cfRule>
  </conditionalFormatting>
  <conditionalFormatting sqref="J32">
    <cfRule type="expression" dxfId="95" priority="96">
      <formula>ISTEXT($J$32)</formula>
    </cfRule>
  </conditionalFormatting>
  <conditionalFormatting sqref="K32">
    <cfRule type="expression" dxfId="94" priority="95">
      <formula>ISTEXT($K$32)</formula>
    </cfRule>
  </conditionalFormatting>
  <conditionalFormatting sqref="J43">
    <cfRule type="expression" dxfId="93" priority="94">
      <formula>ISTEXT($J$43)</formula>
    </cfRule>
  </conditionalFormatting>
  <conditionalFormatting sqref="K43">
    <cfRule type="expression" dxfId="92" priority="93">
      <formula>ISTEXT($K$43)</formula>
    </cfRule>
  </conditionalFormatting>
  <conditionalFormatting sqref="J29">
    <cfRule type="expression" dxfId="91" priority="92">
      <formula>ISTEXT($J$29)</formula>
    </cfRule>
  </conditionalFormatting>
  <conditionalFormatting sqref="K29">
    <cfRule type="expression" dxfId="90" priority="91">
      <formula>ISTEXT($K$29)</formula>
    </cfRule>
  </conditionalFormatting>
  <conditionalFormatting sqref="J30">
    <cfRule type="expression" dxfId="89" priority="90">
      <formula>ISTEXT($J$30)</formula>
    </cfRule>
  </conditionalFormatting>
  <conditionalFormatting sqref="K30">
    <cfRule type="expression" dxfId="88" priority="89">
      <formula>ISTEXT($K$30)</formula>
    </cfRule>
  </conditionalFormatting>
  <conditionalFormatting sqref="J28">
    <cfRule type="expression" dxfId="87" priority="88">
      <formula>ISTEXT($J$28)</formula>
    </cfRule>
  </conditionalFormatting>
  <conditionalFormatting sqref="K28">
    <cfRule type="expression" dxfId="86" priority="87">
      <formula>ISTEXT($K$28)</formula>
    </cfRule>
  </conditionalFormatting>
  <conditionalFormatting sqref="J40">
    <cfRule type="expression" dxfId="85" priority="86">
      <formula>ISTEXT($J$40)</formula>
    </cfRule>
  </conditionalFormatting>
  <conditionalFormatting sqref="K40">
    <cfRule type="expression" dxfId="84" priority="85">
      <formula>ISTEXT($K$40)</formula>
    </cfRule>
  </conditionalFormatting>
  <conditionalFormatting sqref="J41">
    <cfRule type="expression" dxfId="83" priority="84">
      <formula>ISTEXT($J$41)</formula>
    </cfRule>
  </conditionalFormatting>
  <conditionalFormatting sqref="K41">
    <cfRule type="expression" dxfId="82" priority="83">
      <formula>ISTEXT($K$41)</formula>
    </cfRule>
  </conditionalFormatting>
  <conditionalFormatting sqref="J39">
    <cfRule type="expression" dxfId="81" priority="82">
      <formula>ISTEXT($J$39)</formula>
    </cfRule>
  </conditionalFormatting>
  <conditionalFormatting sqref="K39">
    <cfRule type="expression" dxfId="80" priority="81">
      <formula>ISTEXT($K$39)</formula>
    </cfRule>
  </conditionalFormatting>
  <conditionalFormatting sqref="J58">
    <cfRule type="expression" dxfId="79" priority="80">
      <formula>ISTEXT($J$58)</formula>
    </cfRule>
  </conditionalFormatting>
  <conditionalFormatting sqref="K58">
    <cfRule type="expression" dxfId="78" priority="79">
      <formula>ISTEXT($K$58)</formula>
    </cfRule>
  </conditionalFormatting>
  <conditionalFormatting sqref="J69">
    <cfRule type="expression" dxfId="77" priority="78">
      <formula>ISTEXT($J$69)</formula>
    </cfRule>
  </conditionalFormatting>
  <conditionalFormatting sqref="K69">
    <cfRule type="expression" dxfId="76" priority="77">
      <formula>ISTEXT($K$69)</formula>
    </cfRule>
  </conditionalFormatting>
  <conditionalFormatting sqref="J55">
    <cfRule type="expression" dxfId="75" priority="76">
      <formula>ISTEXT($J$55)</formula>
    </cfRule>
  </conditionalFormatting>
  <conditionalFormatting sqref="K55">
    <cfRule type="expression" dxfId="74" priority="75">
      <formula>ISTEXT($K$55)</formula>
    </cfRule>
  </conditionalFormatting>
  <conditionalFormatting sqref="J56">
    <cfRule type="expression" dxfId="73" priority="74">
      <formula>ISTEXT($J$56)</formula>
    </cfRule>
  </conditionalFormatting>
  <conditionalFormatting sqref="K56">
    <cfRule type="expression" dxfId="72" priority="73">
      <formula>ISTEXT($K$56)</formula>
    </cfRule>
  </conditionalFormatting>
  <conditionalFormatting sqref="J54">
    <cfRule type="expression" dxfId="71" priority="72">
      <formula>ISTEXT($J$54)</formula>
    </cfRule>
  </conditionalFormatting>
  <conditionalFormatting sqref="K54">
    <cfRule type="expression" dxfId="70" priority="71">
      <formula>ISTEXT($K$54)</formula>
    </cfRule>
  </conditionalFormatting>
  <conditionalFormatting sqref="J66">
    <cfRule type="expression" dxfId="69" priority="70">
      <formula>ISTEXT($J$66)</formula>
    </cfRule>
  </conditionalFormatting>
  <conditionalFormatting sqref="K66">
    <cfRule type="expression" dxfId="68" priority="69">
      <formula>ISTEXT($K$66)</formula>
    </cfRule>
  </conditionalFormatting>
  <conditionalFormatting sqref="J67">
    <cfRule type="expression" dxfId="67" priority="68">
      <formula>ISTEXT($J$67)</formula>
    </cfRule>
  </conditionalFormatting>
  <conditionalFormatting sqref="K67">
    <cfRule type="expression" dxfId="66" priority="67">
      <formula>ISTEXT($K$67)</formula>
    </cfRule>
  </conditionalFormatting>
  <conditionalFormatting sqref="J65">
    <cfRule type="expression" dxfId="65" priority="66">
      <formula>ISTEXT($J$65)</formula>
    </cfRule>
  </conditionalFormatting>
  <conditionalFormatting sqref="K65">
    <cfRule type="expression" dxfId="64" priority="65">
      <formula>ISTEXT($K$65)</formula>
    </cfRule>
  </conditionalFormatting>
  <conditionalFormatting sqref="J84">
    <cfRule type="expression" dxfId="63" priority="64">
      <formula>ISTEXT($J$84)</formula>
    </cfRule>
  </conditionalFormatting>
  <conditionalFormatting sqref="K84">
    <cfRule type="expression" dxfId="62" priority="63">
      <formula>ISTEXT($K$84)</formula>
    </cfRule>
  </conditionalFormatting>
  <conditionalFormatting sqref="J95">
    <cfRule type="expression" dxfId="61" priority="62">
      <formula>ISTEXT($J$95)</formula>
    </cfRule>
  </conditionalFormatting>
  <conditionalFormatting sqref="K95">
    <cfRule type="expression" dxfId="60" priority="61">
      <formula>ISTEXT($K$95)</formula>
    </cfRule>
  </conditionalFormatting>
  <conditionalFormatting sqref="J81">
    <cfRule type="expression" dxfId="59" priority="60">
      <formula>ISTEXT($J$81)</formula>
    </cfRule>
  </conditionalFormatting>
  <conditionalFormatting sqref="K81">
    <cfRule type="expression" dxfId="58" priority="59">
      <formula>ISTEXT($K$81)</formula>
    </cfRule>
  </conditionalFormatting>
  <conditionalFormatting sqref="J82">
    <cfRule type="expression" dxfId="57" priority="58">
      <formula>ISTEXT($J$82)</formula>
    </cfRule>
  </conditionalFormatting>
  <conditionalFormatting sqref="K82">
    <cfRule type="expression" dxfId="56" priority="57">
      <formula>ISTEXT($K$82)</formula>
    </cfRule>
  </conditionalFormatting>
  <conditionalFormatting sqref="J80">
    <cfRule type="expression" dxfId="55" priority="56">
      <formula>ISTEXT($J$80)</formula>
    </cfRule>
  </conditionalFormatting>
  <conditionalFormatting sqref="K80">
    <cfRule type="expression" dxfId="54" priority="55">
      <formula>ISTEXT($K$80)</formula>
    </cfRule>
  </conditionalFormatting>
  <conditionalFormatting sqref="J92">
    <cfRule type="expression" dxfId="53" priority="54">
      <formula>ISTEXT($J$92)</formula>
    </cfRule>
  </conditionalFormatting>
  <conditionalFormatting sqref="K92">
    <cfRule type="expression" dxfId="52" priority="53">
      <formula>ISTEXT($K$92)</formula>
    </cfRule>
  </conditionalFormatting>
  <conditionalFormatting sqref="J93">
    <cfRule type="expression" dxfId="51" priority="52">
      <formula>ISTEXT($J$93)</formula>
    </cfRule>
  </conditionalFormatting>
  <conditionalFormatting sqref="K93">
    <cfRule type="expression" dxfId="50" priority="51">
      <formula>ISTEXT($K$93)</formula>
    </cfRule>
  </conditionalFormatting>
  <conditionalFormatting sqref="J91">
    <cfRule type="expression" dxfId="49" priority="50">
      <formula>ISTEXT($J$91)</formula>
    </cfRule>
  </conditionalFormatting>
  <conditionalFormatting sqref="K91">
    <cfRule type="expression" dxfId="48" priority="49">
      <formula>ISTEXT($K$91)</formula>
    </cfRule>
  </conditionalFormatting>
  <conditionalFormatting sqref="J110">
    <cfRule type="expression" dxfId="47" priority="48">
      <formula>ISTEXT($J$110)</formula>
    </cfRule>
  </conditionalFormatting>
  <conditionalFormatting sqref="K110">
    <cfRule type="expression" dxfId="46" priority="47">
      <formula>ISTEXT($K$110)</formula>
    </cfRule>
  </conditionalFormatting>
  <conditionalFormatting sqref="J121">
    <cfRule type="expression" dxfId="45" priority="46">
      <formula>ISTEXT($J$121)</formula>
    </cfRule>
  </conditionalFormatting>
  <conditionalFormatting sqref="K121">
    <cfRule type="expression" dxfId="44" priority="45">
      <formula>ISTEXT($K$121)</formula>
    </cfRule>
  </conditionalFormatting>
  <conditionalFormatting sqref="J107">
    <cfRule type="expression" dxfId="43" priority="44">
      <formula>ISTEXT($J$107)</formula>
    </cfRule>
  </conditionalFormatting>
  <conditionalFormatting sqref="K107">
    <cfRule type="expression" dxfId="42" priority="43">
      <formula>ISTEXT($K$107)</formula>
    </cfRule>
  </conditionalFormatting>
  <conditionalFormatting sqref="J108">
    <cfRule type="expression" dxfId="41" priority="42">
      <formula>ISTEXT($J$108)</formula>
    </cfRule>
  </conditionalFormatting>
  <conditionalFormatting sqref="K108">
    <cfRule type="expression" dxfId="40" priority="41">
      <formula>ISTEXT($K$108)</formula>
    </cfRule>
  </conditionalFormatting>
  <conditionalFormatting sqref="J106">
    <cfRule type="expression" dxfId="39" priority="40">
      <formula>ISTEXT($J$106)</formula>
    </cfRule>
  </conditionalFormatting>
  <conditionalFormatting sqref="K106">
    <cfRule type="expression" dxfId="38" priority="39">
      <formula>ISTEXT($K$106)</formula>
    </cfRule>
  </conditionalFormatting>
  <conditionalFormatting sqref="J118">
    <cfRule type="expression" dxfId="37" priority="38">
      <formula>ISTEXT($J$118)</formula>
    </cfRule>
  </conditionalFormatting>
  <conditionalFormatting sqref="K118">
    <cfRule type="expression" dxfId="36" priority="37">
      <formula>ISTEXT($K$118)</formula>
    </cfRule>
  </conditionalFormatting>
  <conditionalFormatting sqref="J119">
    <cfRule type="expression" dxfId="35" priority="36">
      <formula>ISTEXT($J$119)</formula>
    </cfRule>
  </conditionalFormatting>
  <conditionalFormatting sqref="K119">
    <cfRule type="expression" dxfId="34" priority="35">
      <formula>ISTEXT($K$119)</formula>
    </cfRule>
  </conditionalFormatting>
  <conditionalFormatting sqref="J117">
    <cfRule type="expression" dxfId="33" priority="34">
      <formula>ISTEXT($J$117)</formula>
    </cfRule>
  </conditionalFormatting>
  <conditionalFormatting sqref="K117">
    <cfRule type="expression" dxfId="32" priority="33">
      <formula>ISTEXT($K$117)</formula>
    </cfRule>
  </conditionalFormatting>
  <conditionalFormatting sqref="J136">
    <cfRule type="expression" dxfId="31" priority="32">
      <formula>ISTEXT($J$136)</formula>
    </cfRule>
  </conditionalFormatting>
  <conditionalFormatting sqref="K136">
    <cfRule type="expression" dxfId="30" priority="31">
      <formula>ISTEXT($K$136)</formula>
    </cfRule>
  </conditionalFormatting>
  <conditionalFormatting sqref="J147">
    <cfRule type="expression" dxfId="29" priority="30">
      <formula>ISTEXT($J$147)</formula>
    </cfRule>
  </conditionalFormatting>
  <conditionalFormatting sqref="K147">
    <cfRule type="expression" dxfId="28" priority="29">
      <formula>ISTEXT($K$147)</formula>
    </cfRule>
  </conditionalFormatting>
  <conditionalFormatting sqref="J133">
    <cfRule type="expression" dxfId="27" priority="28">
      <formula>ISTEXT($J$133)</formula>
    </cfRule>
  </conditionalFormatting>
  <conditionalFormatting sqref="K133">
    <cfRule type="expression" dxfId="26" priority="27">
      <formula>ISTEXT($K$133)</formula>
    </cfRule>
  </conditionalFormatting>
  <conditionalFormatting sqref="J134">
    <cfRule type="expression" dxfId="25" priority="26">
      <formula>ISTEXT($J$134)</formula>
    </cfRule>
  </conditionalFormatting>
  <conditionalFormatting sqref="K134">
    <cfRule type="expression" dxfId="24" priority="25">
      <formula>ISTEXT($K$134)</formula>
    </cfRule>
  </conditionalFormatting>
  <conditionalFormatting sqref="J132">
    <cfRule type="expression" dxfId="23" priority="24">
      <formula>ISTEXT($J$132)</formula>
    </cfRule>
  </conditionalFormatting>
  <conditionalFormatting sqref="K132">
    <cfRule type="expression" dxfId="22" priority="23">
      <formula>ISTEXT($K$132)</formula>
    </cfRule>
  </conditionalFormatting>
  <conditionalFormatting sqref="J144">
    <cfRule type="expression" dxfId="21" priority="22">
      <formula>ISTEXT($J$144)</formula>
    </cfRule>
  </conditionalFormatting>
  <conditionalFormatting sqref="K144">
    <cfRule type="expression" dxfId="20" priority="21">
      <formula>ISTEXT($K$144)</formula>
    </cfRule>
  </conditionalFormatting>
  <conditionalFormatting sqref="J145">
    <cfRule type="expression" dxfId="19" priority="20">
      <formula>ISTEXT($J$145)</formula>
    </cfRule>
  </conditionalFormatting>
  <conditionalFormatting sqref="K145">
    <cfRule type="expression" dxfId="18" priority="19">
      <formula>ISTEXT($K$145)</formula>
    </cfRule>
  </conditionalFormatting>
  <conditionalFormatting sqref="J143">
    <cfRule type="expression" dxfId="17" priority="18">
      <formula>ISTEXT($J$143)</formula>
    </cfRule>
  </conditionalFormatting>
  <conditionalFormatting sqref="K143">
    <cfRule type="expression" dxfId="16" priority="17">
      <formula>ISTEXT($K$143)</formula>
    </cfRule>
  </conditionalFormatting>
  <conditionalFormatting sqref="J162">
    <cfRule type="expression" dxfId="15" priority="16">
      <formula>ISTEXT($J$162)</formula>
    </cfRule>
  </conditionalFormatting>
  <conditionalFormatting sqref="K162">
    <cfRule type="expression" dxfId="14" priority="15">
      <formula>ISTEXT($K$162)</formula>
    </cfRule>
  </conditionalFormatting>
  <conditionalFormatting sqref="J173">
    <cfRule type="expression" dxfId="13" priority="14">
      <formula>ISTEXT($J$173)</formula>
    </cfRule>
  </conditionalFormatting>
  <conditionalFormatting sqref="K173">
    <cfRule type="expression" dxfId="12" priority="13">
      <formula>ISTEXT($K$173)</formula>
    </cfRule>
  </conditionalFormatting>
  <conditionalFormatting sqref="J159">
    <cfRule type="expression" dxfId="11" priority="12">
      <formula>ISTEXT($J$159)</formula>
    </cfRule>
  </conditionalFormatting>
  <conditionalFormatting sqref="K159">
    <cfRule type="expression" dxfId="10" priority="11">
      <formula>ISTEXT($K$159)</formula>
    </cfRule>
  </conditionalFormatting>
  <conditionalFormatting sqref="J160">
    <cfRule type="expression" dxfId="9" priority="10">
      <formula>ISTEXT($J$160)</formula>
    </cfRule>
  </conditionalFormatting>
  <conditionalFormatting sqref="K160">
    <cfRule type="expression" dxfId="8" priority="9">
      <formula>ISTEXT($K$160)</formula>
    </cfRule>
  </conditionalFormatting>
  <conditionalFormatting sqref="J158">
    <cfRule type="expression" dxfId="7" priority="8">
      <formula>ISTEXT($J$158)</formula>
    </cfRule>
  </conditionalFormatting>
  <conditionalFormatting sqref="K158">
    <cfRule type="expression" dxfId="6" priority="7">
      <formula>ISTEXT($K$158)</formula>
    </cfRule>
  </conditionalFormatting>
  <conditionalFormatting sqref="J170">
    <cfRule type="expression" dxfId="5" priority="6">
      <formula>ISTEXT($J$170)</formula>
    </cfRule>
  </conditionalFormatting>
  <conditionalFormatting sqref="K170">
    <cfRule type="expression" dxfId="4" priority="5">
      <formula>ISTEXT($K$170)</formula>
    </cfRule>
  </conditionalFormatting>
  <conditionalFormatting sqref="J171">
    <cfRule type="expression" dxfId="3" priority="4">
      <formula>ISTEXT($J$171)</formula>
    </cfRule>
  </conditionalFormatting>
  <conditionalFormatting sqref="K171">
    <cfRule type="expression" dxfId="2" priority="3">
      <formula>ISTEXT($K$171)</formula>
    </cfRule>
  </conditionalFormatting>
  <conditionalFormatting sqref="J169">
    <cfRule type="expression" dxfId="1" priority="2">
      <formula>ISTEXT($J$169)</formula>
    </cfRule>
  </conditionalFormatting>
  <conditionalFormatting sqref="K169">
    <cfRule type="expression" dxfId="0" priority="1">
      <formula>ISTEXT($K$169)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387"/>
  <sheetViews>
    <sheetView workbookViewId="0">
      <selection activeCell="A2" sqref="A2:S1387"/>
    </sheetView>
  </sheetViews>
  <sheetFormatPr defaultRowHeight="15" x14ac:dyDescent="0.25"/>
  <cols>
    <col min="1" max="1" width="67" bestFit="1" customWidth="1"/>
    <col min="19" max="19" width="19.42578125" bestFit="1" customWidth="1"/>
  </cols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25">
      <c r="A2" t="s">
        <v>19</v>
      </c>
      <c r="F2">
        <v>0</v>
      </c>
      <c r="G2" t="s">
        <v>225</v>
      </c>
      <c r="H2">
        <v>0</v>
      </c>
      <c r="I2">
        <v>0.86</v>
      </c>
      <c r="N2">
        <v>81.486000000000004</v>
      </c>
      <c r="O2">
        <v>0</v>
      </c>
    </row>
    <row r="3" spans="1:19" x14ac:dyDescent="0.25">
      <c r="A3" t="s">
        <v>22</v>
      </c>
      <c r="F3">
        <v>0</v>
      </c>
      <c r="G3" t="s">
        <v>225</v>
      </c>
      <c r="H3">
        <v>0</v>
      </c>
      <c r="I3">
        <v>0.86</v>
      </c>
      <c r="N3">
        <v>37.616999999999997</v>
      </c>
      <c r="O3">
        <v>0</v>
      </c>
    </row>
    <row r="4" spans="1:19" x14ac:dyDescent="0.25">
      <c r="A4" s="2" t="s">
        <v>23</v>
      </c>
      <c r="B4" s="2"/>
      <c r="C4" s="2"/>
      <c r="D4" s="2"/>
      <c r="E4" s="2"/>
      <c r="F4" s="2">
        <v>0.65523148148148147</v>
      </c>
      <c r="G4" s="2" t="s">
        <v>225</v>
      </c>
      <c r="H4" s="2">
        <v>0</v>
      </c>
      <c r="I4" s="2">
        <v>0.86</v>
      </c>
      <c r="J4" s="2" t="s">
        <v>226</v>
      </c>
      <c r="K4" s="2" t="s">
        <v>27</v>
      </c>
      <c r="L4" s="2">
        <v>357.50900000000001</v>
      </c>
      <c r="M4" s="2">
        <v>1</v>
      </c>
      <c r="N4" s="2">
        <v>101225.531</v>
      </c>
      <c r="O4" s="2">
        <v>3.531806615072239E-3</v>
      </c>
      <c r="P4" s="2">
        <v>0.34</v>
      </c>
      <c r="Q4" s="2"/>
      <c r="R4" s="2"/>
      <c r="S4" s="2"/>
    </row>
    <row r="5" spans="1:19" x14ac:dyDescent="0.25">
      <c r="A5" s="2" t="s">
        <v>25</v>
      </c>
      <c r="B5" s="2"/>
      <c r="C5" s="2"/>
      <c r="D5" s="2"/>
      <c r="E5" s="2"/>
      <c r="F5" s="2">
        <v>0.65708333333333335</v>
      </c>
      <c r="G5" s="2" t="s">
        <v>225</v>
      </c>
      <c r="H5" s="2">
        <v>0</v>
      </c>
      <c r="I5" s="2">
        <v>0.86</v>
      </c>
      <c r="J5" s="2" t="s">
        <v>226</v>
      </c>
      <c r="K5" s="2" t="s">
        <v>27</v>
      </c>
      <c r="L5" s="2">
        <v>381.178</v>
      </c>
      <c r="M5" s="2">
        <v>1</v>
      </c>
      <c r="N5" s="2">
        <v>100985.69500000001</v>
      </c>
      <c r="O5" s="2">
        <v>3.7745742107335102E-3</v>
      </c>
      <c r="P5" s="2">
        <v>0.35</v>
      </c>
      <c r="Q5" s="2"/>
      <c r="R5" s="2"/>
      <c r="S5" s="2"/>
    </row>
    <row r="6" spans="1:19" x14ac:dyDescent="0.25">
      <c r="A6" s="2" t="s">
        <v>26</v>
      </c>
      <c r="B6" s="2"/>
      <c r="C6" s="2"/>
      <c r="D6" s="2"/>
      <c r="E6" s="2"/>
      <c r="F6" s="2">
        <v>0</v>
      </c>
      <c r="G6" s="2" t="s">
        <v>225</v>
      </c>
      <c r="H6" s="2">
        <v>0</v>
      </c>
      <c r="I6" s="2">
        <v>0.85</v>
      </c>
      <c r="J6" s="2"/>
      <c r="K6" s="2"/>
      <c r="L6" s="2"/>
      <c r="M6" s="2"/>
      <c r="N6" s="2">
        <v>95940.266000000003</v>
      </c>
      <c r="O6" s="2">
        <v>0</v>
      </c>
      <c r="P6" s="2"/>
      <c r="Q6" s="2"/>
      <c r="R6" s="2"/>
      <c r="S6" s="2"/>
    </row>
    <row r="7" spans="1:19" x14ac:dyDescent="0.25">
      <c r="A7" s="2" t="s">
        <v>28</v>
      </c>
      <c r="B7" s="2"/>
      <c r="C7" s="2"/>
      <c r="D7" s="2"/>
      <c r="E7" s="2"/>
      <c r="F7" s="2">
        <v>0</v>
      </c>
      <c r="G7" s="2" t="s">
        <v>225</v>
      </c>
      <c r="H7" s="2">
        <v>0</v>
      </c>
      <c r="I7" s="2">
        <v>0.85</v>
      </c>
      <c r="J7" s="2"/>
      <c r="K7" s="2"/>
      <c r="L7" s="2"/>
      <c r="M7" s="2"/>
      <c r="N7" s="2">
        <v>93786.812999999995</v>
      </c>
      <c r="O7" s="2">
        <v>0</v>
      </c>
      <c r="P7" s="2"/>
      <c r="Q7" s="2"/>
      <c r="R7" s="2"/>
      <c r="S7" s="2"/>
    </row>
    <row r="8" spans="1:19" x14ac:dyDescent="0.25">
      <c r="A8" t="s">
        <v>29</v>
      </c>
      <c r="F8">
        <v>0.6626967592592593</v>
      </c>
      <c r="G8" t="s">
        <v>225</v>
      </c>
      <c r="H8">
        <v>0</v>
      </c>
      <c r="I8">
        <v>0.86</v>
      </c>
      <c r="J8" t="s">
        <v>226</v>
      </c>
      <c r="K8" t="s">
        <v>27</v>
      </c>
      <c r="L8">
        <v>554.69899999999996</v>
      </c>
      <c r="M8">
        <v>1</v>
      </c>
      <c r="N8">
        <v>110901.508</v>
      </c>
      <c r="O8">
        <v>5.0017263967231168E-3</v>
      </c>
      <c r="P8">
        <v>0.35</v>
      </c>
    </row>
    <row r="9" spans="1:19" x14ac:dyDescent="0.25">
      <c r="A9" t="s">
        <v>30</v>
      </c>
      <c r="F9">
        <v>0.66468749999999999</v>
      </c>
      <c r="G9" t="s">
        <v>225</v>
      </c>
      <c r="H9">
        <v>0</v>
      </c>
      <c r="I9">
        <v>0.86</v>
      </c>
      <c r="J9" t="s">
        <v>226</v>
      </c>
      <c r="K9" t="s">
        <v>27</v>
      </c>
      <c r="L9">
        <v>555.40200000000004</v>
      </c>
      <c r="M9">
        <v>1</v>
      </c>
      <c r="N9">
        <v>107494.43</v>
      </c>
      <c r="O9">
        <v>5.1667979447865353E-3</v>
      </c>
      <c r="P9">
        <v>0.35</v>
      </c>
    </row>
    <row r="10" spans="1:19" x14ac:dyDescent="0.25">
      <c r="A10" t="s">
        <v>31</v>
      </c>
      <c r="F10">
        <v>0.66664351851851855</v>
      </c>
      <c r="G10" t="s">
        <v>225</v>
      </c>
      <c r="H10">
        <v>0</v>
      </c>
      <c r="I10">
        <v>0.86</v>
      </c>
      <c r="J10" t="s">
        <v>226</v>
      </c>
      <c r="K10" t="s">
        <v>27</v>
      </c>
      <c r="L10">
        <v>633.63699999999994</v>
      </c>
      <c r="M10">
        <v>1</v>
      </c>
      <c r="N10">
        <v>112203.008</v>
      </c>
      <c r="O10">
        <v>5.6472371934984129E-3</v>
      </c>
      <c r="P10">
        <v>0.35</v>
      </c>
    </row>
    <row r="11" spans="1:19" x14ac:dyDescent="0.25">
      <c r="A11" t="s">
        <v>32</v>
      </c>
      <c r="F11">
        <v>0.66863425925925923</v>
      </c>
      <c r="G11" t="s">
        <v>225</v>
      </c>
      <c r="H11">
        <v>0</v>
      </c>
      <c r="I11">
        <v>0.86</v>
      </c>
      <c r="J11" t="s">
        <v>226</v>
      </c>
      <c r="K11" t="s">
        <v>27</v>
      </c>
      <c r="L11">
        <v>591.27300000000002</v>
      </c>
      <c r="M11">
        <v>1</v>
      </c>
      <c r="N11">
        <v>111875.18799999999</v>
      </c>
      <c r="O11">
        <v>5.2851129063577534E-3</v>
      </c>
      <c r="P11">
        <v>0.35</v>
      </c>
    </row>
    <row r="12" spans="1:19" x14ac:dyDescent="0.25">
      <c r="A12" t="s">
        <v>33</v>
      </c>
      <c r="F12">
        <v>0.6705902777777778</v>
      </c>
      <c r="G12" t="s">
        <v>225</v>
      </c>
      <c r="H12">
        <v>0</v>
      </c>
      <c r="I12">
        <v>0.86</v>
      </c>
      <c r="J12" t="s">
        <v>226</v>
      </c>
      <c r="K12" t="s">
        <v>27</v>
      </c>
      <c r="L12">
        <v>605.40099999999995</v>
      </c>
      <c r="M12">
        <v>1</v>
      </c>
      <c r="N12">
        <v>110901.81299999999</v>
      </c>
      <c r="O12">
        <v>5.4588918217234189E-3</v>
      </c>
      <c r="P12">
        <v>0.35</v>
      </c>
    </row>
    <row r="13" spans="1:19" x14ac:dyDescent="0.25">
      <c r="A13" t="s">
        <v>34</v>
      </c>
      <c r="F13">
        <v>0.6725578703703704</v>
      </c>
      <c r="G13" t="s">
        <v>225</v>
      </c>
      <c r="H13">
        <v>0</v>
      </c>
      <c r="I13">
        <v>0.86</v>
      </c>
      <c r="J13" t="s">
        <v>226</v>
      </c>
      <c r="K13" t="s">
        <v>27</v>
      </c>
      <c r="L13">
        <v>616.86199999999997</v>
      </c>
      <c r="M13">
        <v>1</v>
      </c>
      <c r="N13">
        <v>110473.492</v>
      </c>
      <c r="O13">
        <v>5.5838010443265427E-3</v>
      </c>
      <c r="P13">
        <v>0.35</v>
      </c>
    </row>
    <row r="14" spans="1:19" x14ac:dyDescent="0.25">
      <c r="A14" t="s">
        <v>35</v>
      </c>
      <c r="F14">
        <v>0.67451388888888886</v>
      </c>
      <c r="G14" t="s">
        <v>225</v>
      </c>
      <c r="H14">
        <v>0</v>
      </c>
      <c r="I14">
        <v>0.86</v>
      </c>
      <c r="J14" t="s">
        <v>226</v>
      </c>
      <c r="K14" t="s">
        <v>27</v>
      </c>
      <c r="L14">
        <v>639.68700000000001</v>
      </c>
      <c r="M14">
        <v>1</v>
      </c>
      <c r="N14">
        <v>115292.648</v>
      </c>
      <c r="O14">
        <v>5.5483763370583698E-3</v>
      </c>
      <c r="P14">
        <v>0.35</v>
      </c>
    </row>
    <row r="15" spans="1:19" x14ac:dyDescent="0.25">
      <c r="A15" t="s">
        <v>36</v>
      </c>
      <c r="F15">
        <v>0.67648148148148157</v>
      </c>
      <c r="G15" t="s">
        <v>225</v>
      </c>
      <c r="H15">
        <v>0</v>
      </c>
      <c r="I15">
        <v>0.86</v>
      </c>
      <c r="J15" t="s">
        <v>226</v>
      </c>
      <c r="K15" t="s">
        <v>27</v>
      </c>
      <c r="L15">
        <v>646.14800000000002</v>
      </c>
      <c r="M15">
        <v>1</v>
      </c>
      <c r="N15">
        <v>111619.56299999999</v>
      </c>
      <c r="O15">
        <v>5.7888418717425014E-3</v>
      </c>
      <c r="P15">
        <v>0.35</v>
      </c>
    </row>
    <row r="16" spans="1:19" x14ac:dyDescent="0.25">
      <c r="A16" t="s">
        <v>37</v>
      </c>
      <c r="F16">
        <v>0.67843749999999992</v>
      </c>
      <c r="G16" t="s">
        <v>225</v>
      </c>
      <c r="H16">
        <v>0</v>
      </c>
      <c r="I16">
        <v>0.86</v>
      </c>
      <c r="J16" t="s">
        <v>226</v>
      </c>
      <c r="K16" t="s">
        <v>27</v>
      </c>
      <c r="L16">
        <v>643.70899999999995</v>
      </c>
      <c r="M16">
        <v>1</v>
      </c>
      <c r="N16">
        <v>113838.43799999999</v>
      </c>
      <c r="O16">
        <v>5.6545839112795973E-3</v>
      </c>
      <c r="P16">
        <v>0.35</v>
      </c>
    </row>
    <row r="17" spans="1:19" x14ac:dyDescent="0.25">
      <c r="A17" t="s">
        <v>38</v>
      </c>
      <c r="F17">
        <v>0.68040509259259263</v>
      </c>
      <c r="G17" t="s">
        <v>225</v>
      </c>
      <c r="H17">
        <v>0</v>
      </c>
      <c r="I17">
        <v>0.86</v>
      </c>
      <c r="J17" t="s">
        <v>226</v>
      </c>
      <c r="K17" t="s">
        <v>27</v>
      </c>
      <c r="L17">
        <v>617.53899999999999</v>
      </c>
      <c r="M17">
        <v>1</v>
      </c>
      <c r="N17">
        <v>115682.109</v>
      </c>
      <c r="O17">
        <v>5.3382411968301855E-3</v>
      </c>
      <c r="P17">
        <v>0.35</v>
      </c>
    </row>
    <row r="18" spans="1:19" x14ac:dyDescent="0.25">
      <c r="A18" t="s">
        <v>39</v>
      </c>
      <c r="F18">
        <v>0.68228009259259259</v>
      </c>
      <c r="G18" t="s">
        <v>225</v>
      </c>
      <c r="H18">
        <v>0</v>
      </c>
      <c r="I18">
        <v>0.86</v>
      </c>
      <c r="J18" t="s">
        <v>226</v>
      </c>
      <c r="K18" t="s">
        <v>27</v>
      </c>
      <c r="L18">
        <v>636.30999999999995</v>
      </c>
      <c r="M18">
        <v>1</v>
      </c>
      <c r="N18">
        <v>114083.766</v>
      </c>
      <c r="O18">
        <v>5.5775683281703717E-3</v>
      </c>
      <c r="P18">
        <v>0.35</v>
      </c>
    </row>
    <row r="19" spans="1:19" x14ac:dyDescent="0.25">
      <c r="A19" t="s">
        <v>40</v>
      </c>
      <c r="F19">
        <v>0.68425925925925923</v>
      </c>
      <c r="G19" t="s">
        <v>225</v>
      </c>
      <c r="H19">
        <v>0</v>
      </c>
      <c r="I19">
        <v>0.86</v>
      </c>
      <c r="J19" t="s">
        <v>226</v>
      </c>
      <c r="K19" t="s">
        <v>27</v>
      </c>
      <c r="L19">
        <v>551.572</v>
      </c>
      <c r="M19">
        <v>1</v>
      </c>
      <c r="N19">
        <v>112092.19500000001</v>
      </c>
      <c r="O19">
        <v>4.9206994296079219E-3</v>
      </c>
      <c r="P19">
        <v>0.35</v>
      </c>
    </row>
    <row r="20" spans="1:19" x14ac:dyDescent="0.25">
      <c r="A20" t="s">
        <v>41</v>
      </c>
      <c r="F20">
        <v>0.6862152777777778</v>
      </c>
      <c r="G20" t="s">
        <v>225</v>
      </c>
      <c r="H20">
        <v>0</v>
      </c>
      <c r="I20">
        <v>0.86</v>
      </c>
      <c r="J20" t="s">
        <v>226</v>
      </c>
      <c r="K20" t="s">
        <v>27</v>
      </c>
      <c r="L20">
        <v>621.745</v>
      </c>
      <c r="M20">
        <v>1</v>
      </c>
      <c r="N20">
        <v>109805.56299999999</v>
      </c>
      <c r="O20">
        <v>5.6622358923654904E-3</v>
      </c>
      <c r="P20">
        <v>0.36</v>
      </c>
    </row>
    <row r="21" spans="1:19" x14ac:dyDescent="0.25">
      <c r="A21" t="s">
        <v>42</v>
      </c>
      <c r="F21">
        <v>0.68817129629629636</v>
      </c>
      <c r="G21" t="s">
        <v>225</v>
      </c>
      <c r="H21">
        <v>0</v>
      </c>
      <c r="I21">
        <v>0.86</v>
      </c>
      <c r="J21" t="s">
        <v>226</v>
      </c>
      <c r="K21" t="s">
        <v>27</v>
      </c>
      <c r="L21">
        <v>587.23199999999997</v>
      </c>
      <c r="M21">
        <v>1</v>
      </c>
      <c r="N21">
        <v>105521.125</v>
      </c>
      <c r="O21">
        <v>5.5650657628981874E-3</v>
      </c>
      <c r="P21">
        <v>0.35</v>
      </c>
    </row>
    <row r="22" spans="1:19" x14ac:dyDescent="0.25">
      <c r="A22" t="s">
        <v>43</v>
      </c>
      <c r="F22">
        <v>0.69003472222222229</v>
      </c>
      <c r="G22" t="s">
        <v>225</v>
      </c>
      <c r="H22">
        <v>0</v>
      </c>
      <c r="I22">
        <v>0.86</v>
      </c>
      <c r="J22" t="s">
        <v>226</v>
      </c>
      <c r="K22" t="s">
        <v>27</v>
      </c>
      <c r="L22">
        <v>613.57000000000005</v>
      </c>
      <c r="M22">
        <v>1</v>
      </c>
      <c r="N22">
        <v>117415.531</v>
      </c>
      <c r="O22">
        <v>5.2256289672615803E-3</v>
      </c>
      <c r="P22">
        <v>0.35</v>
      </c>
    </row>
    <row r="23" spans="1:19" x14ac:dyDescent="0.25">
      <c r="A23" t="s">
        <v>44</v>
      </c>
      <c r="F23">
        <v>0.6918981481481481</v>
      </c>
      <c r="G23" t="s">
        <v>225</v>
      </c>
      <c r="H23">
        <v>0</v>
      </c>
      <c r="I23">
        <v>0.86</v>
      </c>
      <c r="J23" t="s">
        <v>226</v>
      </c>
      <c r="K23" t="s">
        <v>27</v>
      </c>
      <c r="L23">
        <v>584.40700000000004</v>
      </c>
      <c r="M23">
        <v>1</v>
      </c>
      <c r="N23">
        <v>118949.492</v>
      </c>
      <c r="O23">
        <v>4.9130684812004081E-3</v>
      </c>
      <c r="P23">
        <v>0.36</v>
      </c>
    </row>
    <row r="24" spans="1:19" x14ac:dyDescent="0.25">
      <c r="A24" t="s">
        <v>45</v>
      </c>
      <c r="F24">
        <v>0.69377314814814817</v>
      </c>
      <c r="G24" t="s">
        <v>225</v>
      </c>
      <c r="H24">
        <v>0</v>
      </c>
      <c r="I24">
        <v>0.86</v>
      </c>
      <c r="J24" t="s">
        <v>226</v>
      </c>
      <c r="K24" t="s">
        <v>27</v>
      </c>
      <c r="L24">
        <v>591.995</v>
      </c>
      <c r="M24">
        <v>1</v>
      </c>
      <c r="N24">
        <v>115439.04700000001</v>
      </c>
      <c r="O24">
        <v>5.1282041508883902E-3</v>
      </c>
      <c r="P24">
        <v>0.35</v>
      </c>
    </row>
    <row r="25" spans="1:19" x14ac:dyDescent="0.25">
      <c r="A25" t="s">
        <v>46</v>
      </c>
      <c r="F25">
        <v>0.69563657407407409</v>
      </c>
      <c r="G25" t="s">
        <v>225</v>
      </c>
      <c r="H25">
        <v>0</v>
      </c>
      <c r="I25">
        <v>0.86</v>
      </c>
      <c r="J25" t="s">
        <v>226</v>
      </c>
      <c r="K25" t="s">
        <v>27</v>
      </c>
      <c r="L25">
        <v>555.94799999999998</v>
      </c>
      <c r="M25">
        <v>1</v>
      </c>
      <c r="N25">
        <v>120355.344</v>
      </c>
      <c r="O25">
        <v>4.6192215611132311E-3</v>
      </c>
      <c r="P25">
        <v>0.35</v>
      </c>
    </row>
    <row r="26" spans="1:19" x14ac:dyDescent="0.25">
      <c r="A26" s="2" t="s">
        <v>47</v>
      </c>
      <c r="B26" s="2"/>
      <c r="C26" s="2"/>
      <c r="D26" s="2"/>
      <c r="E26" s="2"/>
      <c r="F26" s="2">
        <v>0.69751157407407405</v>
      </c>
      <c r="G26" s="2" t="s">
        <v>225</v>
      </c>
      <c r="H26" s="2">
        <v>0</v>
      </c>
      <c r="I26" s="2">
        <v>0.86</v>
      </c>
      <c r="J26" s="2" t="s">
        <v>226</v>
      </c>
      <c r="K26" s="2" t="s">
        <v>27</v>
      </c>
      <c r="L26" s="2">
        <v>631.79499999999996</v>
      </c>
      <c r="M26" s="2">
        <v>1</v>
      </c>
      <c r="N26" s="2">
        <v>119755.094</v>
      </c>
      <c r="O26" s="2">
        <v>5.2757254735234897E-3</v>
      </c>
      <c r="P26" s="2">
        <v>0.35</v>
      </c>
      <c r="Q26" s="2"/>
      <c r="R26" s="2"/>
      <c r="S26" s="2"/>
    </row>
    <row r="27" spans="1:19" x14ac:dyDescent="0.25">
      <c r="A27" s="2" t="s">
        <v>48</v>
      </c>
      <c r="B27" s="2"/>
      <c r="C27" s="2"/>
      <c r="D27" s="2"/>
      <c r="E27" s="2"/>
      <c r="F27" s="2">
        <v>0.69938657407407412</v>
      </c>
      <c r="G27" s="2" t="s">
        <v>225</v>
      </c>
      <c r="H27" s="2">
        <v>0</v>
      </c>
      <c r="I27" s="2">
        <v>0.86</v>
      </c>
      <c r="J27" s="2" t="s">
        <v>226</v>
      </c>
      <c r="K27" s="2" t="s">
        <v>27</v>
      </c>
      <c r="L27" s="2">
        <v>593.24</v>
      </c>
      <c r="M27" s="2">
        <v>1</v>
      </c>
      <c r="N27" s="2">
        <v>120245.961</v>
      </c>
      <c r="O27" s="2">
        <v>4.9335544833809435E-3</v>
      </c>
      <c r="P27" s="2">
        <v>0.35</v>
      </c>
      <c r="Q27" s="2"/>
      <c r="R27" s="2"/>
      <c r="S27" s="2"/>
    </row>
    <row r="28" spans="1:19" x14ac:dyDescent="0.25">
      <c r="A28" t="s">
        <v>49</v>
      </c>
      <c r="F28">
        <v>0.70124999999999993</v>
      </c>
      <c r="G28" t="s">
        <v>225</v>
      </c>
      <c r="H28">
        <v>0</v>
      </c>
      <c r="I28">
        <v>0.86</v>
      </c>
      <c r="J28" t="s">
        <v>226</v>
      </c>
      <c r="K28" t="s">
        <v>27</v>
      </c>
      <c r="L28">
        <v>582.36199999999997</v>
      </c>
      <c r="M28">
        <v>1</v>
      </c>
      <c r="N28">
        <v>117114.414</v>
      </c>
      <c r="O28">
        <v>4.972590308140892E-3</v>
      </c>
      <c r="P28">
        <v>0.35</v>
      </c>
    </row>
    <row r="29" spans="1:19" x14ac:dyDescent="0.25">
      <c r="A29" t="s">
        <v>50</v>
      </c>
      <c r="F29">
        <v>0.703125</v>
      </c>
      <c r="G29" t="s">
        <v>225</v>
      </c>
      <c r="H29">
        <v>0</v>
      </c>
      <c r="I29">
        <v>0.86</v>
      </c>
      <c r="J29" t="s">
        <v>226</v>
      </c>
      <c r="K29" t="s">
        <v>27</v>
      </c>
      <c r="L29">
        <v>633.42899999999997</v>
      </c>
      <c r="M29">
        <v>1</v>
      </c>
      <c r="N29">
        <v>115817.31299999999</v>
      </c>
      <c r="O29">
        <v>5.46920821760042E-3</v>
      </c>
      <c r="P29">
        <v>0.35</v>
      </c>
    </row>
    <row r="30" spans="1:19" x14ac:dyDescent="0.25">
      <c r="A30" t="s">
        <v>51</v>
      </c>
      <c r="F30">
        <v>0.70498842592592592</v>
      </c>
      <c r="G30" t="s">
        <v>225</v>
      </c>
      <c r="H30">
        <v>0</v>
      </c>
      <c r="I30">
        <v>0.86</v>
      </c>
      <c r="J30" t="s">
        <v>226</v>
      </c>
      <c r="K30" t="s">
        <v>27</v>
      </c>
      <c r="L30">
        <v>597.57299999999998</v>
      </c>
      <c r="M30">
        <v>1</v>
      </c>
      <c r="N30">
        <v>118291.25</v>
      </c>
      <c r="O30">
        <v>5.0517092346221721E-3</v>
      </c>
      <c r="P30">
        <v>0.35</v>
      </c>
    </row>
    <row r="31" spans="1:19" x14ac:dyDescent="0.25">
      <c r="A31" t="s">
        <v>52</v>
      </c>
      <c r="F31">
        <v>0.70686342592592588</v>
      </c>
      <c r="G31" t="s">
        <v>225</v>
      </c>
      <c r="H31">
        <v>0</v>
      </c>
      <c r="I31">
        <v>0.86</v>
      </c>
      <c r="J31" t="s">
        <v>226</v>
      </c>
      <c r="K31" t="s">
        <v>27</v>
      </c>
      <c r="L31">
        <v>605.76099999999997</v>
      </c>
      <c r="M31">
        <v>1</v>
      </c>
      <c r="N31">
        <v>118831.18</v>
      </c>
      <c r="O31">
        <v>5.0976603951925752E-3</v>
      </c>
      <c r="P31">
        <v>0.35</v>
      </c>
    </row>
    <row r="32" spans="1:19" x14ac:dyDescent="0.25">
      <c r="A32" t="s">
        <v>53</v>
      </c>
      <c r="F32">
        <v>0.7087268518518518</v>
      </c>
      <c r="G32" t="s">
        <v>225</v>
      </c>
      <c r="H32">
        <v>0</v>
      </c>
      <c r="I32">
        <v>0.86</v>
      </c>
      <c r="J32" t="s">
        <v>226</v>
      </c>
      <c r="K32" t="s">
        <v>27</v>
      </c>
      <c r="L32">
        <v>658.35599999999999</v>
      </c>
      <c r="M32">
        <v>1</v>
      </c>
      <c r="N32">
        <v>118848.914</v>
      </c>
      <c r="O32">
        <v>5.5394363973742325E-3</v>
      </c>
      <c r="P32">
        <v>0.35</v>
      </c>
    </row>
    <row r="33" spans="1:16" x14ac:dyDescent="0.25">
      <c r="A33" t="s">
        <v>54</v>
      </c>
      <c r="F33">
        <v>0.7106365740740741</v>
      </c>
      <c r="G33" t="s">
        <v>225</v>
      </c>
      <c r="H33">
        <v>0</v>
      </c>
      <c r="I33">
        <v>0.86</v>
      </c>
      <c r="J33" t="s">
        <v>226</v>
      </c>
      <c r="K33" t="s">
        <v>27</v>
      </c>
      <c r="L33">
        <v>607.98699999999997</v>
      </c>
      <c r="M33">
        <v>1</v>
      </c>
      <c r="N33">
        <v>115702.79700000001</v>
      </c>
      <c r="O33">
        <v>5.2547303588520852E-3</v>
      </c>
      <c r="P33">
        <v>0.35</v>
      </c>
    </row>
    <row r="34" spans="1:16" x14ac:dyDescent="0.25">
      <c r="A34" t="s">
        <v>55</v>
      </c>
      <c r="F34">
        <v>0.71247685185185183</v>
      </c>
      <c r="G34" t="s">
        <v>225</v>
      </c>
      <c r="H34">
        <v>0</v>
      </c>
      <c r="I34">
        <v>0.86</v>
      </c>
      <c r="J34" t="s">
        <v>226</v>
      </c>
      <c r="K34" t="s">
        <v>27</v>
      </c>
      <c r="L34">
        <v>662.52300000000002</v>
      </c>
      <c r="M34">
        <v>1</v>
      </c>
      <c r="N34">
        <v>115619.141</v>
      </c>
      <c r="O34">
        <v>5.7302190127843967E-3</v>
      </c>
      <c r="P34">
        <v>0.35</v>
      </c>
    </row>
    <row r="35" spans="1:16" x14ac:dyDescent="0.25">
      <c r="A35" t="s">
        <v>56</v>
      </c>
      <c r="F35">
        <v>0.71434027777777775</v>
      </c>
      <c r="G35" t="s">
        <v>225</v>
      </c>
      <c r="H35">
        <v>0</v>
      </c>
      <c r="I35">
        <v>0.86</v>
      </c>
      <c r="J35" t="s">
        <v>226</v>
      </c>
      <c r="K35" t="s">
        <v>27</v>
      </c>
      <c r="L35">
        <v>590.13800000000003</v>
      </c>
      <c r="M35">
        <v>1</v>
      </c>
      <c r="N35">
        <v>117289.30499999999</v>
      </c>
      <c r="O35">
        <v>5.0314732447259373E-3</v>
      </c>
      <c r="P35">
        <v>0.35</v>
      </c>
    </row>
    <row r="36" spans="1:16" x14ac:dyDescent="0.25">
      <c r="A36" t="s">
        <v>57</v>
      </c>
      <c r="F36">
        <v>0.71621527777777771</v>
      </c>
      <c r="G36" t="s">
        <v>225</v>
      </c>
      <c r="H36">
        <v>0</v>
      </c>
      <c r="I36">
        <v>0.86</v>
      </c>
      <c r="J36" t="s">
        <v>226</v>
      </c>
      <c r="K36" t="s">
        <v>27</v>
      </c>
      <c r="L36">
        <v>718.375</v>
      </c>
      <c r="M36">
        <v>1</v>
      </c>
      <c r="N36">
        <v>123942.023</v>
      </c>
      <c r="O36">
        <v>5.796056757924631E-3</v>
      </c>
      <c r="P36">
        <v>0.35</v>
      </c>
    </row>
    <row r="37" spans="1:16" x14ac:dyDescent="0.25">
      <c r="A37" t="s">
        <v>58</v>
      </c>
      <c r="F37">
        <v>0.71809027777777779</v>
      </c>
      <c r="G37" t="s">
        <v>225</v>
      </c>
      <c r="H37">
        <v>0</v>
      </c>
      <c r="I37">
        <v>0.86</v>
      </c>
      <c r="J37" t="s">
        <v>226</v>
      </c>
      <c r="K37" t="s">
        <v>27</v>
      </c>
      <c r="L37">
        <v>710.31700000000001</v>
      </c>
      <c r="M37">
        <v>1</v>
      </c>
      <c r="N37">
        <v>117239.648</v>
      </c>
      <c r="O37">
        <v>6.0586756452902348E-3</v>
      </c>
      <c r="P37">
        <v>0.36</v>
      </c>
    </row>
    <row r="38" spans="1:16" x14ac:dyDescent="0.25">
      <c r="A38" t="s">
        <v>59</v>
      </c>
      <c r="F38">
        <v>0.71995370370370371</v>
      </c>
      <c r="G38" t="s">
        <v>225</v>
      </c>
      <c r="H38">
        <v>0</v>
      </c>
      <c r="I38">
        <v>0.86</v>
      </c>
      <c r="J38" t="s">
        <v>226</v>
      </c>
      <c r="K38" t="s">
        <v>27</v>
      </c>
      <c r="L38">
        <v>80.98</v>
      </c>
      <c r="M38">
        <v>1</v>
      </c>
      <c r="N38">
        <v>209.88499999999999</v>
      </c>
      <c r="O38">
        <v>0.3858303356600043</v>
      </c>
      <c r="P38">
        <v>0.33</v>
      </c>
    </row>
    <row r="39" spans="1:16" x14ac:dyDescent="0.25">
      <c r="A39" t="s">
        <v>60</v>
      </c>
      <c r="F39">
        <v>0.72182870370370367</v>
      </c>
      <c r="G39" t="s">
        <v>225</v>
      </c>
      <c r="H39">
        <v>0</v>
      </c>
      <c r="I39">
        <v>0.87</v>
      </c>
      <c r="J39" t="s">
        <v>226</v>
      </c>
      <c r="K39" t="s">
        <v>27</v>
      </c>
      <c r="L39">
        <v>54.226999999999997</v>
      </c>
      <c r="M39">
        <v>1</v>
      </c>
      <c r="N39">
        <v>3.3149999999999999</v>
      </c>
      <c r="O39">
        <v>16.358069381598792</v>
      </c>
      <c r="P39">
        <v>0.32</v>
      </c>
    </row>
    <row r="40" spans="1:16" x14ac:dyDescent="0.25">
      <c r="A40" t="s">
        <v>61</v>
      </c>
      <c r="F40">
        <v>0.72369212962962959</v>
      </c>
      <c r="G40" t="s">
        <v>225</v>
      </c>
      <c r="H40">
        <v>0</v>
      </c>
      <c r="I40">
        <v>0.86</v>
      </c>
      <c r="J40" t="s">
        <v>226</v>
      </c>
      <c r="K40" t="s">
        <v>27</v>
      </c>
      <c r="L40">
        <v>836.00400000000002</v>
      </c>
      <c r="M40">
        <v>1</v>
      </c>
      <c r="N40">
        <v>113660.352</v>
      </c>
      <c r="O40">
        <v>7.3552825175132314E-3</v>
      </c>
      <c r="P40">
        <v>0.35</v>
      </c>
    </row>
    <row r="41" spans="1:16" x14ac:dyDescent="0.25">
      <c r="A41" t="s">
        <v>62</v>
      </c>
      <c r="F41">
        <v>0.72556712962962966</v>
      </c>
      <c r="G41" t="s">
        <v>225</v>
      </c>
      <c r="H41">
        <v>0</v>
      </c>
      <c r="I41">
        <v>0.86</v>
      </c>
      <c r="J41" t="s">
        <v>226</v>
      </c>
      <c r="K41" t="s">
        <v>27</v>
      </c>
      <c r="L41">
        <v>831.94100000000003</v>
      </c>
      <c r="M41">
        <v>1</v>
      </c>
      <c r="N41">
        <v>115519.04700000001</v>
      </c>
      <c r="O41">
        <v>7.2017647444754286E-3</v>
      </c>
      <c r="P41">
        <v>0.35</v>
      </c>
    </row>
    <row r="42" spans="1:16" x14ac:dyDescent="0.25">
      <c r="A42" t="s">
        <v>63</v>
      </c>
      <c r="F42">
        <v>0.72746527777777781</v>
      </c>
      <c r="G42" t="s">
        <v>225</v>
      </c>
      <c r="H42">
        <v>0</v>
      </c>
      <c r="I42">
        <v>0.86</v>
      </c>
      <c r="J42" t="s">
        <v>226</v>
      </c>
      <c r="K42" t="s">
        <v>27</v>
      </c>
      <c r="L42">
        <v>763.95</v>
      </c>
      <c r="M42">
        <v>1</v>
      </c>
      <c r="N42">
        <v>114009.516</v>
      </c>
      <c r="O42">
        <v>6.7007564526455846E-3</v>
      </c>
      <c r="P42">
        <v>0.35</v>
      </c>
    </row>
    <row r="43" spans="1:16" x14ac:dyDescent="0.25">
      <c r="A43" t="s">
        <v>64</v>
      </c>
      <c r="F43">
        <v>0.72931712962962969</v>
      </c>
      <c r="G43" t="s">
        <v>225</v>
      </c>
      <c r="H43">
        <v>0</v>
      </c>
      <c r="I43">
        <v>0.86</v>
      </c>
      <c r="J43" t="s">
        <v>226</v>
      </c>
      <c r="K43" t="s">
        <v>27</v>
      </c>
      <c r="L43">
        <v>838.56</v>
      </c>
      <c r="M43">
        <v>1</v>
      </c>
      <c r="N43">
        <v>113238.109</v>
      </c>
      <c r="O43">
        <v>7.4052808494002665E-3</v>
      </c>
      <c r="P43">
        <v>0.35</v>
      </c>
    </row>
    <row r="44" spans="1:16" x14ac:dyDescent="0.25">
      <c r="A44" t="s">
        <v>65</v>
      </c>
      <c r="F44">
        <v>0.73129629629629633</v>
      </c>
      <c r="G44" t="s">
        <v>225</v>
      </c>
      <c r="H44">
        <v>0</v>
      </c>
      <c r="I44">
        <v>0.86</v>
      </c>
      <c r="J44" t="s">
        <v>226</v>
      </c>
      <c r="K44" t="s">
        <v>27</v>
      </c>
      <c r="L44">
        <v>872.14200000000005</v>
      </c>
      <c r="M44">
        <v>1</v>
      </c>
      <c r="N44">
        <v>116292.07799999999</v>
      </c>
      <c r="O44">
        <v>7.4995822157378602E-3</v>
      </c>
      <c r="P44">
        <v>0.35</v>
      </c>
    </row>
    <row r="45" spans="1:16" x14ac:dyDescent="0.25">
      <c r="A45" t="s">
        <v>66</v>
      </c>
      <c r="F45">
        <v>0.73326388888888883</v>
      </c>
      <c r="G45" t="s">
        <v>225</v>
      </c>
      <c r="H45">
        <v>0</v>
      </c>
      <c r="I45">
        <v>0.86</v>
      </c>
      <c r="J45" t="s">
        <v>226</v>
      </c>
      <c r="K45" t="s">
        <v>27</v>
      </c>
      <c r="L45">
        <v>901.43200000000002</v>
      </c>
      <c r="M45">
        <v>1</v>
      </c>
      <c r="N45">
        <v>119564.148</v>
      </c>
      <c r="O45">
        <v>7.5393168861956844E-3</v>
      </c>
      <c r="P45">
        <v>0.35</v>
      </c>
    </row>
    <row r="46" spans="1:16" x14ac:dyDescent="0.25">
      <c r="A46" t="s">
        <v>67</v>
      </c>
      <c r="F46">
        <v>0.73523148148148154</v>
      </c>
      <c r="G46" t="s">
        <v>225</v>
      </c>
      <c r="H46">
        <v>0</v>
      </c>
      <c r="I46">
        <v>0.86</v>
      </c>
      <c r="J46" t="s">
        <v>226</v>
      </c>
      <c r="K46" t="s">
        <v>27</v>
      </c>
      <c r="L46">
        <v>875.62599999999998</v>
      </c>
      <c r="M46">
        <v>1</v>
      </c>
      <c r="N46">
        <v>117152.92200000001</v>
      </c>
      <c r="O46">
        <v>7.4742139167472063E-3</v>
      </c>
      <c r="P46">
        <v>0.35</v>
      </c>
    </row>
    <row r="47" spans="1:16" x14ac:dyDescent="0.25">
      <c r="A47" t="s">
        <v>68</v>
      </c>
      <c r="F47">
        <v>0.7371875</v>
      </c>
      <c r="G47" t="s">
        <v>225</v>
      </c>
      <c r="H47">
        <v>0</v>
      </c>
      <c r="I47">
        <v>0.86</v>
      </c>
      <c r="J47" t="s">
        <v>226</v>
      </c>
      <c r="K47" t="s">
        <v>27</v>
      </c>
      <c r="L47">
        <v>837.35400000000004</v>
      </c>
      <c r="M47">
        <v>1</v>
      </c>
      <c r="N47">
        <v>111947.391</v>
      </c>
      <c r="O47">
        <v>7.4798884772580366E-3</v>
      </c>
      <c r="P47">
        <v>0.35</v>
      </c>
    </row>
    <row r="48" spans="1:16" x14ac:dyDescent="0.25">
      <c r="A48" t="s">
        <v>69</v>
      </c>
      <c r="F48">
        <v>0.73916666666666664</v>
      </c>
      <c r="G48" t="s">
        <v>225</v>
      </c>
      <c r="H48">
        <v>0</v>
      </c>
      <c r="I48">
        <v>0.86</v>
      </c>
      <c r="J48" t="s">
        <v>226</v>
      </c>
      <c r="K48" t="s">
        <v>27</v>
      </c>
      <c r="L48">
        <v>835.74400000000003</v>
      </c>
      <c r="M48">
        <v>1</v>
      </c>
      <c r="N48">
        <v>120969.641</v>
      </c>
      <c r="O48">
        <v>6.9087086073108209E-3</v>
      </c>
      <c r="P48">
        <v>0.35</v>
      </c>
    </row>
    <row r="49" spans="1:19" x14ac:dyDescent="0.25">
      <c r="A49" t="s">
        <v>70</v>
      </c>
      <c r="F49">
        <v>0.74113425925925924</v>
      </c>
      <c r="G49" t="s">
        <v>225</v>
      </c>
      <c r="H49">
        <v>0</v>
      </c>
      <c r="I49">
        <v>0.86</v>
      </c>
      <c r="J49" t="s">
        <v>226</v>
      </c>
      <c r="K49" t="s">
        <v>27</v>
      </c>
      <c r="L49">
        <v>822.73400000000004</v>
      </c>
      <c r="M49">
        <v>1</v>
      </c>
      <c r="N49">
        <v>110966.523</v>
      </c>
      <c r="O49">
        <v>7.4142541169826513E-3</v>
      </c>
      <c r="P49">
        <v>0.35</v>
      </c>
    </row>
    <row r="50" spans="1:19" x14ac:dyDescent="0.25">
      <c r="A50" t="s">
        <v>71</v>
      </c>
      <c r="F50">
        <v>0.74307870370370377</v>
      </c>
      <c r="G50" t="s">
        <v>225</v>
      </c>
      <c r="H50">
        <v>0</v>
      </c>
      <c r="I50">
        <v>0.86</v>
      </c>
      <c r="J50" t="s">
        <v>226</v>
      </c>
      <c r="K50" t="s">
        <v>27</v>
      </c>
      <c r="L50">
        <v>882.52499999999998</v>
      </c>
      <c r="M50">
        <v>1</v>
      </c>
      <c r="N50">
        <v>120331.281</v>
      </c>
      <c r="O50">
        <v>7.3341278565795366E-3</v>
      </c>
      <c r="P50">
        <v>0.35</v>
      </c>
    </row>
    <row r="51" spans="1:19" x14ac:dyDescent="0.25">
      <c r="A51" t="s">
        <v>72</v>
      </c>
      <c r="F51">
        <v>0.74506944444444445</v>
      </c>
      <c r="G51" t="s">
        <v>225</v>
      </c>
      <c r="H51">
        <v>0</v>
      </c>
      <c r="I51">
        <v>0.86</v>
      </c>
      <c r="J51" t="s">
        <v>226</v>
      </c>
      <c r="K51" t="s">
        <v>27</v>
      </c>
      <c r="L51">
        <v>939.11699999999996</v>
      </c>
      <c r="M51">
        <v>1</v>
      </c>
      <c r="N51">
        <v>123456.898</v>
      </c>
      <c r="O51">
        <v>7.606841053142287E-3</v>
      </c>
      <c r="P51">
        <v>0.35</v>
      </c>
    </row>
    <row r="52" spans="1:19" x14ac:dyDescent="0.25">
      <c r="A52" t="s">
        <v>73</v>
      </c>
      <c r="F52">
        <v>0.74703703703703705</v>
      </c>
      <c r="G52" t="s">
        <v>225</v>
      </c>
      <c r="H52">
        <v>0</v>
      </c>
      <c r="I52">
        <v>0.86</v>
      </c>
      <c r="J52" t="s">
        <v>226</v>
      </c>
      <c r="K52" t="s">
        <v>27</v>
      </c>
      <c r="L52">
        <v>868.41200000000003</v>
      </c>
      <c r="M52">
        <v>1</v>
      </c>
      <c r="N52">
        <v>119898.906</v>
      </c>
      <c r="O52">
        <v>7.24286842116808E-3</v>
      </c>
      <c r="P52">
        <v>0.35</v>
      </c>
    </row>
    <row r="53" spans="1:19" x14ac:dyDescent="0.25">
      <c r="A53" t="s">
        <v>74</v>
      </c>
      <c r="F53">
        <v>0.74900462962962966</v>
      </c>
      <c r="G53" t="s">
        <v>225</v>
      </c>
      <c r="H53">
        <v>0</v>
      </c>
      <c r="I53">
        <v>0.86</v>
      </c>
      <c r="J53" t="s">
        <v>226</v>
      </c>
      <c r="K53" t="s">
        <v>27</v>
      </c>
      <c r="L53">
        <v>827.04600000000005</v>
      </c>
      <c r="M53">
        <v>1</v>
      </c>
      <c r="N53">
        <v>114464.43</v>
      </c>
      <c r="O53">
        <v>7.2253537627365999E-3</v>
      </c>
      <c r="P53">
        <v>0.35</v>
      </c>
    </row>
    <row r="54" spans="1:19" x14ac:dyDescent="0.25">
      <c r="A54" t="s">
        <v>75</v>
      </c>
      <c r="F54">
        <v>0.75096064814814811</v>
      </c>
      <c r="G54" t="s">
        <v>225</v>
      </c>
      <c r="H54">
        <v>0</v>
      </c>
      <c r="I54">
        <v>0.86</v>
      </c>
      <c r="J54" t="s">
        <v>226</v>
      </c>
      <c r="K54" t="s">
        <v>27</v>
      </c>
      <c r="L54">
        <v>736.25800000000004</v>
      </c>
      <c r="M54">
        <v>1</v>
      </c>
      <c r="N54">
        <v>118488.594</v>
      </c>
      <c r="O54">
        <v>6.2137457720192043E-3</v>
      </c>
      <c r="P54">
        <v>0.34</v>
      </c>
    </row>
    <row r="55" spans="1:19" x14ac:dyDescent="0.25">
      <c r="A55" t="s">
        <v>76</v>
      </c>
      <c r="F55">
        <v>0.75292824074074083</v>
      </c>
      <c r="G55" t="s">
        <v>225</v>
      </c>
      <c r="H55">
        <v>0</v>
      </c>
      <c r="I55">
        <v>0.86</v>
      </c>
      <c r="J55" t="s">
        <v>226</v>
      </c>
      <c r="K55" t="s">
        <v>27</v>
      </c>
      <c r="L55">
        <v>848.69500000000005</v>
      </c>
      <c r="M55">
        <v>1</v>
      </c>
      <c r="N55">
        <v>120484.242</v>
      </c>
      <c r="O55">
        <v>7.0440331939839902E-3</v>
      </c>
      <c r="P55">
        <v>0.35</v>
      </c>
    </row>
    <row r="56" spans="1:19" x14ac:dyDescent="0.25">
      <c r="A56" t="s">
        <v>77</v>
      </c>
      <c r="F56">
        <v>0.7547800925925926</v>
      </c>
      <c r="G56" t="s">
        <v>225</v>
      </c>
      <c r="H56">
        <v>0</v>
      </c>
      <c r="I56">
        <v>0.85</v>
      </c>
      <c r="J56" t="s">
        <v>226</v>
      </c>
      <c r="K56" t="s">
        <v>27</v>
      </c>
      <c r="L56">
        <v>863.47</v>
      </c>
      <c r="M56">
        <v>1</v>
      </c>
      <c r="N56">
        <v>120868.19500000001</v>
      </c>
      <c r="O56">
        <v>7.1438975323491836E-3</v>
      </c>
      <c r="P56">
        <v>0.35</v>
      </c>
    </row>
    <row r="57" spans="1:19" x14ac:dyDescent="0.25">
      <c r="A57" t="s">
        <v>78</v>
      </c>
      <c r="F57">
        <v>0.75665509259259256</v>
      </c>
      <c r="G57" t="s">
        <v>225</v>
      </c>
      <c r="H57">
        <v>0</v>
      </c>
      <c r="I57">
        <v>0.85</v>
      </c>
      <c r="J57" t="s">
        <v>226</v>
      </c>
      <c r="K57" t="s">
        <v>27</v>
      </c>
      <c r="L57">
        <v>935.18</v>
      </c>
      <c r="M57">
        <v>1</v>
      </c>
      <c r="N57">
        <v>124093.773</v>
      </c>
      <c r="O57">
        <v>7.5360751582595519E-3</v>
      </c>
      <c r="P57">
        <v>0.35</v>
      </c>
    </row>
    <row r="58" spans="1:19" x14ac:dyDescent="0.25">
      <c r="A58" s="2" t="s">
        <v>79</v>
      </c>
      <c r="B58" s="2"/>
      <c r="C58" s="2"/>
      <c r="D58" s="2"/>
      <c r="E58" s="2"/>
      <c r="F58" s="2">
        <v>0.75864583333333335</v>
      </c>
      <c r="G58" s="2" t="s">
        <v>225</v>
      </c>
      <c r="H58" s="2">
        <v>0</v>
      </c>
      <c r="I58" s="2">
        <v>0.86</v>
      </c>
      <c r="J58" s="2" t="s">
        <v>226</v>
      </c>
      <c r="K58" s="2" t="s">
        <v>27</v>
      </c>
      <c r="L58" s="2">
        <v>818.37300000000005</v>
      </c>
      <c r="M58" s="2">
        <v>1</v>
      </c>
      <c r="N58" s="2">
        <v>120933.44500000001</v>
      </c>
      <c r="O58" s="2">
        <v>6.7671354272591834E-3</v>
      </c>
      <c r="P58" s="2">
        <v>0.35</v>
      </c>
      <c r="Q58" s="2"/>
      <c r="R58" s="2"/>
      <c r="S58" s="2"/>
    </row>
    <row r="59" spans="1:19" x14ac:dyDescent="0.25">
      <c r="A59" s="2" t="s">
        <v>80</v>
      </c>
      <c r="B59" s="2"/>
      <c r="C59" s="2"/>
      <c r="D59" s="2"/>
      <c r="E59" s="2"/>
      <c r="F59" s="2">
        <v>0.76061342592592596</v>
      </c>
      <c r="G59" s="2" t="s">
        <v>225</v>
      </c>
      <c r="H59" s="2">
        <v>0</v>
      </c>
      <c r="I59" s="2">
        <v>0.86</v>
      </c>
      <c r="J59" s="2" t="s">
        <v>226</v>
      </c>
      <c r="K59" s="2" t="s">
        <v>27</v>
      </c>
      <c r="L59" s="2">
        <v>861.35799999999995</v>
      </c>
      <c r="M59" s="2">
        <v>1</v>
      </c>
      <c r="N59" s="2">
        <v>118392.31299999999</v>
      </c>
      <c r="O59" s="2">
        <v>7.2754554596800554E-3</v>
      </c>
      <c r="P59" s="2">
        <v>0.35</v>
      </c>
      <c r="Q59" s="2"/>
      <c r="R59" s="2"/>
      <c r="S59" s="2"/>
    </row>
    <row r="60" spans="1:19" x14ac:dyDescent="0.25">
      <c r="A60" t="s">
        <v>81</v>
      </c>
      <c r="F60">
        <v>0.76258101851851856</v>
      </c>
      <c r="G60" t="s">
        <v>225</v>
      </c>
      <c r="H60">
        <v>0</v>
      </c>
      <c r="I60">
        <v>0.86</v>
      </c>
      <c r="J60" t="s">
        <v>226</v>
      </c>
      <c r="K60" t="s">
        <v>27</v>
      </c>
      <c r="L60">
        <v>813.697</v>
      </c>
      <c r="M60">
        <v>1</v>
      </c>
      <c r="N60">
        <v>115258.281</v>
      </c>
      <c r="O60">
        <v>7.0597703951527785E-3</v>
      </c>
      <c r="P60">
        <v>0.35</v>
      </c>
    </row>
    <row r="61" spans="1:19" x14ac:dyDescent="0.25">
      <c r="A61" t="s">
        <v>82</v>
      </c>
      <c r="F61">
        <v>0.76454861111111105</v>
      </c>
      <c r="G61" t="s">
        <v>225</v>
      </c>
      <c r="H61">
        <v>0</v>
      </c>
      <c r="I61">
        <v>0.85</v>
      </c>
      <c r="J61" t="s">
        <v>226</v>
      </c>
      <c r="K61" t="s">
        <v>27</v>
      </c>
      <c r="L61">
        <v>855.81899999999996</v>
      </c>
      <c r="M61">
        <v>1</v>
      </c>
      <c r="N61">
        <v>114999.148</v>
      </c>
      <c r="O61">
        <v>7.4419594830389523E-3</v>
      </c>
      <c r="P61">
        <v>0.34</v>
      </c>
    </row>
    <row r="62" spans="1:19" x14ac:dyDescent="0.25">
      <c r="A62" t="s">
        <v>83</v>
      </c>
      <c r="F62">
        <v>0.38540509259259265</v>
      </c>
      <c r="G62" t="s">
        <v>225</v>
      </c>
      <c r="H62">
        <v>0</v>
      </c>
      <c r="I62">
        <v>0.85</v>
      </c>
      <c r="J62" t="s">
        <v>226</v>
      </c>
      <c r="K62" t="s">
        <v>27</v>
      </c>
      <c r="L62">
        <v>426.84500000000003</v>
      </c>
      <c r="M62">
        <v>1</v>
      </c>
      <c r="N62">
        <v>55215.141000000003</v>
      </c>
      <c r="O62">
        <v>7.7305788280066148E-3</v>
      </c>
      <c r="P62">
        <v>0.35</v>
      </c>
    </row>
    <row r="63" spans="1:19" x14ac:dyDescent="0.25">
      <c r="A63" t="s">
        <v>84</v>
      </c>
      <c r="F63">
        <v>0.38807870370370368</v>
      </c>
      <c r="G63" t="s">
        <v>225</v>
      </c>
      <c r="H63">
        <v>0</v>
      </c>
      <c r="I63">
        <v>0.86</v>
      </c>
      <c r="J63" t="s">
        <v>226</v>
      </c>
      <c r="K63" t="s">
        <v>27</v>
      </c>
      <c r="L63">
        <v>410.37900000000002</v>
      </c>
      <c r="M63">
        <v>1</v>
      </c>
      <c r="N63">
        <v>78189.125</v>
      </c>
      <c r="O63">
        <v>5.2485431957449329E-3</v>
      </c>
      <c r="P63">
        <v>0.35</v>
      </c>
    </row>
    <row r="64" spans="1:19" x14ac:dyDescent="0.25">
      <c r="A64" t="s">
        <v>85</v>
      </c>
      <c r="F64">
        <v>0.38995370370370369</v>
      </c>
      <c r="G64" t="s">
        <v>225</v>
      </c>
      <c r="H64">
        <v>0</v>
      </c>
      <c r="I64">
        <v>0.86</v>
      </c>
      <c r="J64" t="s">
        <v>226</v>
      </c>
      <c r="K64" t="s">
        <v>27</v>
      </c>
      <c r="L64">
        <v>452.68900000000002</v>
      </c>
      <c r="M64">
        <v>1</v>
      </c>
      <c r="N64">
        <v>98311.702999999994</v>
      </c>
      <c r="O64">
        <v>4.6046298272343026E-3</v>
      </c>
      <c r="P64">
        <v>0.35</v>
      </c>
    </row>
    <row r="65" spans="1:16" x14ac:dyDescent="0.25">
      <c r="A65" t="s">
        <v>86</v>
      </c>
      <c r="F65">
        <v>0.39181712962962961</v>
      </c>
      <c r="G65" t="s">
        <v>225</v>
      </c>
      <c r="H65">
        <v>0</v>
      </c>
      <c r="I65">
        <v>0.85</v>
      </c>
      <c r="J65" t="s">
        <v>226</v>
      </c>
      <c r="K65" t="s">
        <v>27</v>
      </c>
      <c r="L65">
        <v>484.34300000000002</v>
      </c>
      <c r="M65">
        <v>1</v>
      </c>
      <c r="N65">
        <v>82892.577999999994</v>
      </c>
      <c r="O65">
        <v>5.843020107300801E-3</v>
      </c>
      <c r="P65">
        <v>0.34</v>
      </c>
    </row>
    <row r="66" spans="1:16" x14ac:dyDescent="0.25">
      <c r="A66" t="s">
        <v>87</v>
      </c>
      <c r="F66">
        <v>0.39369212962962963</v>
      </c>
      <c r="G66" t="s">
        <v>225</v>
      </c>
      <c r="H66">
        <v>0</v>
      </c>
      <c r="I66">
        <v>0.85</v>
      </c>
      <c r="J66" t="s">
        <v>226</v>
      </c>
      <c r="K66" t="s">
        <v>27</v>
      </c>
      <c r="L66">
        <v>377.86700000000002</v>
      </c>
      <c r="M66">
        <v>1</v>
      </c>
      <c r="N66">
        <v>80402.695000000007</v>
      </c>
      <c r="O66">
        <v>4.6996807756257419E-3</v>
      </c>
      <c r="P66">
        <v>0.35</v>
      </c>
    </row>
    <row r="67" spans="1:16" x14ac:dyDescent="0.25">
      <c r="A67" t="s">
        <v>88</v>
      </c>
      <c r="F67">
        <v>0.3955555555555556</v>
      </c>
      <c r="G67" t="s">
        <v>225</v>
      </c>
      <c r="H67">
        <v>0</v>
      </c>
      <c r="I67">
        <v>0.85</v>
      </c>
      <c r="J67" t="s">
        <v>226</v>
      </c>
      <c r="K67" t="s">
        <v>27</v>
      </c>
      <c r="L67">
        <v>406.041</v>
      </c>
      <c r="M67">
        <v>1</v>
      </c>
      <c r="N67">
        <v>74213.108999999997</v>
      </c>
      <c r="O67">
        <v>5.4712840557589364E-3</v>
      </c>
      <c r="P67">
        <v>0.35</v>
      </c>
    </row>
    <row r="68" spans="1:16" x14ac:dyDescent="0.25">
      <c r="A68" t="s">
        <v>89</v>
      </c>
      <c r="F68">
        <v>0.39743055555555556</v>
      </c>
      <c r="G68" t="s">
        <v>225</v>
      </c>
      <c r="H68">
        <v>0</v>
      </c>
      <c r="I68">
        <v>0.86</v>
      </c>
      <c r="J68" t="s">
        <v>226</v>
      </c>
      <c r="K68" t="s">
        <v>27</v>
      </c>
      <c r="L68">
        <v>455.29599999999999</v>
      </c>
      <c r="M68">
        <v>1</v>
      </c>
      <c r="N68">
        <v>79356.687999999995</v>
      </c>
      <c r="O68">
        <v>5.7373362154428623E-3</v>
      </c>
      <c r="P68">
        <v>0.34</v>
      </c>
    </row>
    <row r="69" spans="1:16" x14ac:dyDescent="0.25">
      <c r="A69" t="s">
        <v>90</v>
      </c>
      <c r="F69">
        <v>0.39930555555555558</v>
      </c>
      <c r="G69" t="s">
        <v>225</v>
      </c>
      <c r="H69">
        <v>0</v>
      </c>
      <c r="I69">
        <v>0.85</v>
      </c>
      <c r="J69" t="s">
        <v>226</v>
      </c>
      <c r="K69" t="s">
        <v>27</v>
      </c>
      <c r="L69">
        <v>497.73399999999998</v>
      </c>
      <c r="M69">
        <v>1</v>
      </c>
      <c r="N69">
        <v>80031.358999999997</v>
      </c>
      <c r="O69">
        <v>6.2192371367828453E-3</v>
      </c>
      <c r="P69">
        <v>0.35</v>
      </c>
    </row>
    <row r="70" spans="1:16" x14ac:dyDescent="0.25">
      <c r="A70" t="s">
        <v>91</v>
      </c>
      <c r="F70">
        <v>0.40116898148148145</v>
      </c>
      <c r="G70" t="s">
        <v>225</v>
      </c>
      <c r="H70">
        <v>0</v>
      </c>
      <c r="I70">
        <v>0.87</v>
      </c>
      <c r="J70" t="s">
        <v>226</v>
      </c>
      <c r="K70" t="s">
        <v>27</v>
      </c>
      <c r="L70">
        <v>15.137</v>
      </c>
      <c r="M70">
        <v>1</v>
      </c>
      <c r="N70">
        <v>104.651</v>
      </c>
      <c r="O70">
        <v>0.14464266944415247</v>
      </c>
      <c r="P70">
        <v>0.44</v>
      </c>
    </row>
    <row r="71" spans="1:16" x14ac:dyDescent="0.25">
      <c r="A71" t="s">
        <v>92</v>
      </c>
      <c r="F71">
        <v>0.4031481481481482</v>
      </c>
      <c r="G71" t="s">
        <v>225</v>
      </c>
      <c r="H71">
        <v>0</v>
      </c>
      <c r="I71">
        <v>0.85</v>
      </c>
      <c r="J71" t="s">
        <v>226</v>
      </c>
      <c r="M71">
        <v>1</v>
      </c>
      <c r="N71">
        <v>54.768000000000001</v>
      </c>
      <c r="O71">
        <v>0</v>
      </c>
    </row>
    <row r="72" spans="1:16" x14ac:dyDescent="0.25">
      <c r="A72" t="s">
        <v>93</v>
      </c>
      <c r="F72">
        <v>0.40502314814814816</v>
      </c>
      <c r="G72" t="s">
        <v>225</v>
      </c>
      <c r="H72">
        <v>0</v>
      </c>
      <c r="I72">
        <v>0.86</v>
      </c>
      <c r="J72" t="s">
        <v>226</v>
      </c>
      <c r="K72" t="s">
        <v>27</v>
      </c>
      <c r="L72">
        <v>788.00400000000002</v>
      </c>
      <c r="M72">
        <v>1</v>
      </c>
      <c r="N72">
        <v>86940.445000000007</v>
      </c>
      <c r="O72">
        <v>9.0637217235315509E-3</v>
      </c>
      <c r="P72">
        <v>0.35</v>
      </c>
    </row>
    <row r="73" spans="1:16" x14ac:dyDescent="0.25">
      <c r="A73" t="s">
        <v>94</v>
      </c>
      <c r="F73">
        <v>0.40701388888888884</v>
      </c>
      <c r="G73" t="s">
        <v>225</v>
      </c>
      <c r="H73">
        <v>0</v>
      </c>
      <c r="I73">
        <v>0.85</v>
      </c>
      <c r="J73" t="s">
        <v>226</v>
      </c>
      <c r="K73" t="s">
        <v>27</v>
      </c>
      <c r="L73">
        <v>825.279</v>
      </c>
      <c r="M73">
        <v>1</v>
      </c>
      <c r="N73">
        <v>85609.616999999998</v>
      </c>
      <c r="O73">
        <v>9.6400267740947843E-3</v>
      </c>
      <c r="P73">
        <v>0.35</v>
      </c>
    </row>
    <row r="74" spans="1:16" x14ac:dyDescent="0.25">
      <c r="A74" t="s">
        <v>95</v>
      </c>
      <c r="F74">
        <v>0.40896990740740741</v>
      </c>
      <c r="G74" t="s">
        <v>225</v>
      </c>
      <c r="H74">
        <v>0</v>
      </c>
      <c r="I74">
        <v>0.85</v>
      </c>
      <c r="J74" t="s">
        <v>226</v>
      </c>
      <c r="K74" t="s">
        <v>27</v>
      </c>
      <c r="L74">
        <v>867.57600000000002</v>
      </c>
      <c r="M74">
        <v>1</v>
      </c>
      <c r="N74">
        <v>85459.241999999998</v>
      </c>
      <c r="O74">
        <v>1.0151927160786191E-2</v>
      </c>
      <c r="P74">
        <v>0.34</v>
      </c>
    </row>
    <row r="75" spans="1:16" x14ac:dyDescent="0.25">
      <c r="A75" t="s">
        <v>96</v>
      </c>
      <c r="F75">
        <v>0.41090277777777778</v>
      </c>
      <c r="G75" t="s">
        <v>225</v>
      </c>
      <c r="H75">
        <v>0</v>
      </c>
      <c r="I75">
        <v>0.85</v>
      </c>
      <c r="J75" t="s">
        <v>226</v>
      </c>
      <c r="K75" t="s">
        <v>27</v>
      </c>
      <c r="L75">
        <v>850.55600000000004</v>
      </c>
      <c r="M75">
        <v>1</v>
      </c>
      <c r="N75">
        <v>86220.406000000003</v>
      </c>
      <c r="O75">
        <v>9.8649036748910696E-3</v>
      </c>
      <c r="P75">
        <v>0.34</v>
      </c>
    </row>
    <row r="76" spans="1:16" x14ac:dyDescent="0.25">
      <c r="A76" t="s">
        <v>97</v>
      </c>
      <c r="F76">
        <v>0.4127662037037037</v>
      </c>
      <c r="G76" t="s">
        <v>225</v>
      </c>
      <c r="H76">
        <v>0</v>
      </c>
      <c r="I76">
        <v>0.85</v>
      </c>
      <c r="J76" t="s">
        <v>226</v>
      </c>
      <c r="K76" t="s">
        <v>27</v>
      </c>
      <c r="L76">
        <v>970.94200000000001</v>
      </c>
      <c r="M76">
        <v>1</v>
      </c>
      <c r="N76">
        <v>87941.781000000003</v>
      </c>
      <c r="O76">
        <v>1.104073614338104E-2</v>
      </c>
      <c r="P76">
        <v>0.35</v>
      </c>
    </row>
    <row r="77" spans="1:16" x14ac:dyDescent="0.25">
      <c r="A77" t="s">
        <v>98</v>
      </c>
      <c r="F77">
        <v>0.41465277777777776</v>
      </c>
      <c r="G77" t="s">
        <v>225</v>
      </c>
      <c r="H77">
        <v>0</v>
      </c>
      <c r="I77">
        <v>0.85</v>
      </c>
      <c r="J77" t="s">
        <v>226</v>
      </c>
      <c r="K77" t="s">
        <v>27</v>
      </c>
      <c r="L77">
        <v>949.72</v>
      </c>
      <c r="M77">
        <v>1</v>
      </c>
      <c r="N77">
        <v>93537.976999999999</v>
      </c>
      <c r="O77">
        <v>1.0153309174090863E-2</v>
      </c>
      <c r="P77">
        <v>0.35</v>
      </c>
    </row>
    <row r="78" spans="1:16" x14ac:dyDescent="0.25">
      <c r="A78" t="s">
        <v>99</v>
      </c>
      <c r="F78">
        <v>0.41651620370370374</v>
      </c>
      <c r="G78" t="s">
        <v>225</v>
      </c>
      <c r="H78">
        <v>0</v>
      </c>
      <c r="I78">
        <v>0.86</v>
      </c>
      <c r="J78" t="s">
        <v>226</v>
      </c>
      <c r="K78" t="s">
        <v>27</v>
      </c>
      <c r="L78">
        <v>955.51099999999997</v>
      </c>
      <c r="M78">
        <v>1</v>
      </c>
      <c r="N78">
        <v>86879.258000000002</v>
      </c>
      <c r="O78">
        <v>1.0998148718074916E-2</v>
      </c>
      <c r="P78">
        <v>0.34</v>
      </c>
    </row>
    <row r="79" spans="1:16" x14ac:dyDescent="0.25">
      <c r="A79" t="s">
        <v>100</v>
      </c>
      <c r="F79">
        <v>0.41849537037037038</v>
      </c>
      <c r="G79" t="s">
        <v>225</v>
      </c>
      <c r="H79">
        <v>0</v>
      </c>
      <c r="I79">
        <v>0.85</v>
      </c>
      <c r="J79" t="s">
        <v>226</v>
      </c>
      <c r="K79" t="s">
        <v>27</v>
      </c>
      <c r="L79">
        <v>921.68100000000004</v>
      </c>
      <c r="M79">
        <v>1</v>
      </c>
      <c r="N79">
        <v>85980.991999999998</v>
      </c>
      <c r="O79">
        <v>1.0719590208961535E-2</v>
      </c>
      <c r="P79">
        <v>0.34</v>
      </c>
    </row>
    <row r="80" spans="1:16" x14ac:dyDescent="0.25">
      <c r="A80" t="s">
        <v>101</v>
      </c>
      <c r="F80">
        <v>0.42046296296296298</v>
      </c>
      <c r="G80" t="s">
        <v>225</v>
      </c>
      <c r="H80">
        <v>0</v>
      </c>
      <c r="I80">
        <v>0.85</v>
      </c>
      <c r="J80" t="s">
        <v>226</v>
      </c>
      <c r="K80" t="s">
        <v>27</v>
      </c>
      <c r="L80">
        <v>880.06100000000004</v>
      </c>
      <c r="M80">
        <v>1</v>
      </c>
      <c r="N80">
        <v>82045.156000000003</v>
      </c>
      <c r="O80">
        <v>1.0726544294705223E-2</v>
      </c>
      <c r="P80">
        <v>0.35</v>
      </c>
    </row>
    <row r="81" spans="1:19" x14ac:dyDescent="0.25">
      <c r="A81" t="s">
        <v>102</v>
      </c>
      <c r="F81">
        <v>0.4223263888888889</v>
      </c>
      <c r="G81" t="s">
        <v>225</v>
      </c>
      <c r="H81">
        <v>0</v>
      </c>
      <c r="I81">
        <v>0.85</v>
      </c>
      <c r="J81" t="s">
        <v>226</v>
      </c>
      <c r="K81" t="s">
        <v>27</v>
      </c>
      <c r="L81">
        <v>852.16200000000003</v>
      </c>
      <c r="M81">
        <v>1</v>
      </c>
      <c r="N81">
        <v>86455.312999999995</v>
      </c>
      <c r="O81">
        <v>9.8566758991434113E-3</v>
      </c>
      <c r="P81">
        <v>0.34</v>
      </c>
    </row>
    <row r="82" spans="1:19" x14ac:dyDescent="0.25">
      <c r="A82" t="s">
        <v>103</v>
      </c>
      <c r="F82">
        <v>0.42429398148148145</v>
      </c>
      <c r="G82" t="s">
        <v>225</v>
      </c>
      <c r="H82">
        <v>0</v>
      </c>
      <c r="I82">
        <v>0.85</v>
      </c>
      <c r="J82" t="s">
        <v>226</v>
      </c>
      <c r="K82" t="s">
        <v>27</v>
      </c>
      <c r="L82">
        <v>926.66</v>
      </c>
      <c r="M82">
        <v>1</v>
      </c>
      <c r="N82">
        <v>85804.358999999997</v>
      </c>
      <c r="O82">
        <v>1.0799684430950647E-2</v>
      </c>
      <c r="P82">
        <v>0.34</v>
      </c>
    </row>
    <row r="83" spans="1:19" x14ac:dyDescent="0.25">
      <c r="A83" t="s">
        <v>104</v>
      </c>
      <c r="F83">
        <v>0.42614583333333328</v>
      </c>
      <c r="G83" t="s">
        <v>225</v>
      </c>
      <c r="H83">
        <v>0</v>
      </c>
      <c r="I83">
        <v>0.85</v>
      </c>
      <c r="J83" t="s">
        <v>226</v>
      </c>
      <c r="K83" t="s">
        <v>27</v>
      </c>
      <c r="L83">
        <v>915.404</v>
      </c>
      <c r="M83">
        <v>1</v>
      </c>
      <c r="N83">
        <v>86476.241999999998</v>
      </c>
      <c r="O83">
        <v>1.0585612635664718E-2</v>
      </c>
      <c r="P83">
        <v>0.35</v>
      </c>
    </row>
    <row r="84" spans="1:19" x14ac:dyDescent="0.25">
      <c r="A84" t="s">
        <v>105</v>
      </c>
      <c r="F84">
        <v>0.42802083333333335</v>
      </c>
      <c r="G84" t="s">
        <v>225</v>
      </c>
      <c r="H84">
        <v>0</v>
      </c>
      <c r="I84">
        <v>0.85</v>
      </c>
      <c r="J84" t="s">
        <v>226</v>
      </c>
      <c r="K84" t="s">
        <v>27</v>
      </c>
      <c r="L84">
        <v>994.71600000000001</v>
      </c>
      <c r="M84">
        <v>1</v>
      </c>
      <c r="N84">
        <v>81312.297000000006</v>
      </c>
      <c r="O84">
        <v>1.2233278811444719E-2</v>
      </c>
      <c r="P84">
        <v>0.34</v>
      </c>
    </row>
    <row r="85" spans="1:19" x14ac:dyDescent="0.25">
      <c r="A85" t="s">
        <v>106</v>
      </c>
      <c r="F85">
        <v>0.43</v>
      </c>
      <c r="G85" t="s">
        <v>225</v>
      </c>
      <c r="H85">
        <v>0</v>
      </c>
      <c r="I85">
        <v>0.85</v>
      </c>
      <c r="J85" t="s">
        <v>226</v>
      </c>
      <c r="K85" t="s">
        <v>27</v>
      </c>
      <c r="L85">
        <v>941.52700000000004</v>
      </c>
      <c r="M85">
        <v>1</v>
      </c>
      <c r="N85">
        <v>84202.343999999997</v>
      </c>
      <c r="O85">
        <v>1.1181719596784623E-2</v>
      </c>
      <c r="P85">
        <v>0.34</v>
      </c>
    </row>
    <row r="86" spans="1:19" x14ac:dyDescent="0.25">
      <c r="A86" t="s">
        <v>107</v>
      </c>
      <c r="F86">
        <v>0.4319675925925926</v>
      </c>
      <c r="G86" t="s">
        <v>225</v>
      </c>
      <c r="H86">
        <v>0</v>
      </c>
      <c r="I86">
        <v>0.86</v>
      </c>
      <c r="J86" t="s">
        <v>226</v>
      </c>
      <c r="K86" t="s">
        <v>27</v>
      </c>
      <c r="L86">
        <v>961.96900000000005</v>
      </c>
      <c r="M86">
        <v>1</v>
      </c>
      <c r="N86">
        <v>83752.375</v>
      </c>
      <c r="O86">
        <v>1.1485871296187123E-2</v>
      </c>
      <c r="P86">
        <v>0.35</v>
      </c>
    </row>
    <row r="87" spans="1:19" x14ac:dyDescent="0.25">
      <c r="A87" t="s">
        <v>108</v>
      </c>
      <c r="F87">
        <v>0.4339351851851852</v>
      </c>
      <c r="G87" t="s">
        <v>225</v>
      </c>
      <c r="H87">
        <v>0</v>
      </c>
      <c r="I87">
        <v>0.85</v>
      </c>
      <c r="J87" t="s">
        <v>226</v>
      </c>
      <c r="K87" t="s">
        <v>27</v>
      </c>
      <c r="L87">
        <v>950.39700000000005</v>
      </c>
      <c r="M87">
        <v>1</v>
      </c>
      <c r="N87">
        <v>87009.906000000003</v>
      </c>
      <c r="O87">
        <v>1.0922859748865836E-2</v>
      </c>
      <c r="P87">
        <v>0.34</v>
      </c>
    </row>
    <row r="88" spans="1:19" x14ac:dyDescent="0.25">
      <c r="A88" t="s">
        <v>109</v>
      </c>
      <c r="F88">
        <v>0.43590277777777775</v>
      </c>
      <c r="G88" t="s">
        <v>225</v>
      </c>
      <c r="H88">
        <v>0</v>
      </c>
      <c r="I88">
        <v>0.85</v>
      </c>
      <c r="J88" t="s">
        <v>226</v>
      </c>
      <c r="K88" t="s">
        <v>27</v>
      </c>
      <c r="L88">
        <v>973.34100000000001</v>
      </c>
      <c r="M88">
        <v>1</v>
      </c>
      <c r="N88">
        <v>84301.804999999993</v>
      </c>
      <c r="O88">
        <v>1.1545909366946534E-2</v>
      </c>
      <c r="P88">
        <v>0.34</v>
      </c>
    </row>
    <row r="89" spans="1:19" x14ac:dyDescent="0.25">
      <c r="A89" t="s">
        <v>110</v>
      </c>
      <c r="F89">
        <v>0.43787037037037035</v>
      </c>
      <c r="G89" t="s">
        <v>225</v>
      </c>
      <c r="H89">
        <v>0</v>
      </c>
      <c r="I89">
        <v>0.85</v>
      </c>
      <c r="J89" t="s">
        <v>226</v>
      </c>
      <c r="K89" t="s">
        <v>27</v>
      </c>
      <c r="L89">
        <v>949.76900000000001</v>
      </c>
      <c r="M89">
        <v>1</v>
      </c>
      <c r="N89">
        <v>87135.851999999999</v>
      </c>
      <c r="O89">
        <v>1.0899864730765473E-2</v>
      </c>
      <c r="P89">
        <v>0.35</v>
      </c>
    </row>
    <row r="90" spans="1:19" x14ac:dyDescent="0.25">
      <c r="A90" s="2" t="s">
        <v>111</v>
      </c>
      <c r="B90" s="2"/>
      <c r="C90" s="2"/>
      <c r="D90" s="2"/>
      <c r="E90" s="2"/>
      <c r="F90" s="2">
        <v>0.43983796296296296</v>
      </c>
      <c r="G90" s="2" t="s">
        <v>225</v>
      </c>
      <c r="H90" s="2">
        <v>0</v>
      </c>
      <c r="I90" s="2">
        <v>0.85</v>
      </c>
      <c r="J90" s="2" t="s">
        <v>226</v>
      </c>
      <c r="K90" s="2" t="s">
        <v>27</v>
      </c>
      <c r="L90" s="2">
        <v>930.36199999999997</v>
      </c>
      <c r="M90" s="2">
        <v>1</v>
      </c>
      <c r="N90" s="2">
        <v>88461.593999999997</v>
      </c>
      <c r="O90" s="2">
        <v>1.0517129049245936E-2</v>
      </c>
      <c r="P90" s="2">
        <v>0.35</v>
      </c>
      <c r="Q90" s="2"/>
      <c r="R90" s="2"/>
      <c r="S90" s="2"/>
    </row>
    <row r="91" spans="1:19" x14ac:dyDescent="0.25">
      <c r="A91" s="2" t="s">
        <v>112</v>
      </c>
      <c r="B91" s="2"/>
      <c r="C91" s="2"/>
      <c r="D91" s="2"/>
      <c r="E91" s="2"/>
      <c r="F91" s="2">
        <v>0.44180555555555556</v>
      </c>
      <c r="G91" s="2" t="s">
        <v>225</v>
      </c>
      <c r="H91" s="2">
        <v>0</v>
      </c>
      <c r="I91" s="2">
        <v>0.85</v>
      </c>
      <c r="J91" s="2" t="s">
        <v>226</v>
      </c>
      <c r="K91" s="2" t="s">
        <v>27</v>
      </c>
      <c r="L91" s="2">
        <v>867.053</v>
      </c>
      <c r="M91" s="2">
        <v>1</v>
      </c>
      <c r="N91" s="2">
        <v>96436.241999999998</v>
      </c>
      <c r="O91" s="2">
        <v>8.9909455409927733E-3</v>
      </c>
      <c r="P91" s="2">
        <v>0.35</v>
      </c>
      <c r="Q91" s="2"/>
      <c r="R91" s="2"/>
      <c r="S91" s="2"/>
    </row>
    <row r="92" spans="1:19" x14ac:dyDescent="0.25">
      <c r="A92" t="s">
        <v>113</v>
      </c>
      <c r="F92">
        <v>0.44377314814814817</v>
      </c>
      <c r="G92" t="s">
        <v>225</v>
      </c>
      <c r="H92">
        <v>0</v>
      </c>
      <c r="I92">
        <v>0.85</v>
      </c>
      <c r="J92" t="s">
        <v>226</v>
      </c>
      <c r="K92" t="s">
        <v>27</v>
      </c>
      <c r="L92">
        <v>964.13</v>
      </c>
      <c r="M92">
        <v>1</v>
      </c>
      <c r="N92">
        <v>86018.039000000004</v>
      </c>
      <c r="O92">
        <v>1.120846291322684E-2</v>
      </c>
      <c r="P92">
        <v>0.35</v>
      </c>
    </row>
    <row r="93" spans="1:19" x14ac:dyDescent="0.25">
      <c r="A93" t="s">
        <v>114</v>
      </c>
      <c r="F93">
        <v>0.44574074074074077</v>
      </c>
      <c r="G93" t="s">
        <v>225</v>
      </c>
      <c r="H93">
        <v>0</v>
      </c>
      <c r="I93">
        <v>0.85</v>
      </c>
      <c r="J93" t="s">
        <v>226</v>
      </c>
      <c r="K93" t="s">
        <v>27</v>
      </c>
      <c r="L93">
        <v>906.46500000000003</v>
      </c>
      <c r="M93">
        <v>1</v>
      </c>
      <c r="N93">
        <v>85403.312999999995</v>
      </c>
      <c r="O93">
        <v>1.0613932506341997E-2</v>
      </c>
      <c r="P93">
        <v>0.36</v>
      </c>
    </row>
    <row r="94" spans="1:19" x14ac:dyDescent="0.25">
      <c r="A94" t="s">
        <v>115</v>
      </c>
      <c r="F94">
        <v>0.44769675925925928</v>
      </c>
      <c r="G94" t="s">
        <v>225</v>
      </c>
      <c r="H94">
        <v>0</v>
      </c>
      <c r="I94">
        <v>0.85</v>
      </c>
      <c r="J94" t="s">
        <v>226</v>
      </c>
      <c r="K94" t="s">
        <v>27</v>
      </c>
      <c r="L94">
        <v>900.21299999999997</v>
      </c>
      <c r="M94">
        <v>1</v>
      </c>
      <c r="N94">
        <v>90109.843999999997</v>
      </c>
      <c r="O94">
        <v>9.9901737705816018E-3</v>
      </c>
      <c r="P94">
        <v>0.35</v>
      </c>
    </row>
    <row r="95" spans="1:19" x14ac:dyDescent="0.25">
      <c r="A95" t="s">
        <v>116</v>
      </c>
      <c r="F95">
        <v>0.44966435185185188</v>
      </c>
      <c r="G95" t="s">
        <v>225</v>
      </c>
      <c r="H95">
        <v>0</v>
      </c>
      <c r="I95">
        <v>0.85</v>
      </c>
      <c r="J95" t="s">
        <v>226</v>
      </c>
      <c r="K95" t="s">
        <v>27</v>
      </c>
      <c r="L95">
        <v>896.58900000000006</v>
      </c>
      <c r="M95">
        <v>1</v>
      </c>
      <c r="N95">
        <v>88435.773000000001</v>
      </c>
      <c r="O95">
        <v>1.0138306813917938E-2</v>
      </c>
      <c r="P95">
        <v>0.34</v>
      </c>
    </row>
    <row r="96" spans="1:19" x14ac:dyDescent="0.25">
      <c r="A96" t="s">
        <v>117</v>
      </c>
      <c r="F96">
        <v>0.45163194444444449</v>
      </c>
      <c r="G96" t="s">
        <v>225</v>
      </c>
      <c r="H96">
        <v>0</v>
      </c>
      <c r="I96">
        <v>0.85</v>
      </c>
      <c r="J96" t="s">
        <v>226</v>
      </c>
      <c r="K96" t="s">
        <v>27</v>
      </c>
      <c r="L96">
        <v>964.56399999999996</v>
      </c>
      <c r="M96">
        <v>1</v>
      </c>
      <c r="N96">
        <v>84868.437999999995</v>
      </c>
      <c r="O96">
        <v>1.1365403001761386E-2</v>
      </c>
      <c r="P96">
        <v>0.35</v>
      </c>
    </row>
    <row r="97" spans="1:16" x14ac:dyDescent="0.25">
      <c r="A97" t="s">
        <v>118</v>
      </c>
      <c r="F97">
        <v>0.45359953703703698</v>
      </c>
      <c r="G97" t="s">
        <v>225</v>
      </c>
      <c r="H97">
        <v>0</v>
      </c>
      <c r="I97">
        <v>0.86</v>
      </c>
      <c r="J97" t="s">
        <v>226</v>
      </c>
      <c r="K97" t="s">
        <v>27</v>
      </c>
      <c r="L97">
        <v>974.91</v>
      </c>
      <c r="M97">
        <v>1</v>
      </c>
      <c r="N97">
        <v>85751.210999999996</v>
      </c>
      <c r="O97">
        <v>1.1369052269127721E-2</v>
      </c>
      <c r="P97">
        <v>0.34</v>
      </c>
    </row>
    <row r="98" spans="1:16" x14ac:dyDescent="0.25">
      <c r="A98" t="s">
        <v>119</v>
      </c>
      <c r="F98">
        <v>0.45555555555555555</v>
      </c>
      <c r="G98" t="s">
        <v>225</v>
      </c>
      <c r="H98">
        <v>0</v>
      </c>
      <c r="I98">
        <v>0.85</v>
      </c>
      <c r="J98" t="s">
        <v>226</v>
      </c>
      <c r="K98" t="s">
        <v>27</v>
      </c>
      <c r="L98">
        <v>786.92499999999995</v>
      </c>
      <c r="M98">
        <v>1</v>
      </c>
      <c r="N98">
        <v>86068.866999999998</v>
      </c>
      <c r="O98">
        <v>9.1429691993040879E-3</v>
      </c>
      <c r="P98">
        <v>0.36</v>
      </c>
    </row>
    <row r="99" spans="1:16" x14ac:dyDescent="0.25">
      <c r="A99" t="s">
        <v>120</v>
      </c>
      <c r="F99">
        <v>0.45753472222222219</v>
      </c>
      <c r="G99" t="s">
        <v>225</v>
      </c>
      <c r="H99">
        <v>0</v>
      </c>
      <c r="I99">
        <v>0.85</v>
      </c>
      <c r="J99" t="s">
        <v>226</v>
      </c>
      <c r="K99" t="s">
        <v>27</v>
      </c>
      <c r="L99">
        <v>765.32100000000003</v>
      </c>
      <c r="M99">
        <v>1</v>
      </c>
      <c r="N99">
        <v>86854.266000000003</v>
      </c>
      <c r="O99">
        <v>8.8115533668778005E-3</v>
      </c>
      <c r="P99">
        <v>0.34</v>
      </c>
    </row>
    <row r="100" spans="1:16" x14ac:dyDescent="0.25">
      <c r="A100" t="s">
        <v>121</v>
      </c>
      <c r="F100">
        <v>0.45950231481481479</v>
      </c>
      <c r="G100" t="s">
        <v>225</v>
      </c>
      <c r="H100">
        <v>0</v>
      </c>
      <c r="I100">
        <v>0.86</v>
      </c>
      <c r="J100" t="s">
        <v>226</v>
      </c>
      <c r="K100" t="s">
        <v>27</v>
      </c>
      <c r="L100">
        <v>1000.633</v>
      </c>
      <c r="M100">
        <v>1</v>
      </c>
      <c r="N100">
        <v>83449.437999999995</v>
      </c>
      <c r="O100">
        <v>1.199088962109008E-2</v>
      </c>
      <c r="P100">
        <v>0.35</v>
      </c>
    </row>
    <row r="101" spans="1:16" x14ac:dyDescent="0.25">
      <c r="A101" t="s">
        <v>122</v>
      </c>
      <c r="F101">
        <v>0.4614583333333333</v>
      </c>
      <c r="G101" t="s">
        <v>225</v>
      </c>
      <c r="H101">
        <v>0</v>
      </c>
      <c r="I101">
        <v>0.85</v>
      </c>
      <c r="J101" t="s">
        <v>226</v>
      </c>
      <c r="K101" t="s">
        <v>27</v>
      </c>
      <c r="L101">
        <v>872.20100000000002</v>
      </c>
      <c r="M101">
        <v>1</v>
      </c>
      <c r="N101">
        <v>84800.164000000004</v>
      </c>
      <c r="O101">
        <v>1.0285369259427376E-2</v>
      </c>
      <c r="P101">
        <v>0.35</v>
      </c>
    </row>
    <row r="102" spans="1:16" x14ac:dyDescent="0.25">
      <c r="A102" t="s">
        <v>123</v>
      </c>
      <c r="F102">
        <v>0.46342592592592591</v>
      </c>
      <c r="G102" t="s">
        <v>225</v>
      </c>
      <c r="H102">
        <v>0</v>
      </c>
      <c r="I102">
        <v>0.85</v>
      </c>
      <c r="J102" t="s">
        <v>226</v>
      </c>
      <c r="K102" t="s">
        <v>27</v>
      </c>
      <c r="L102">
        <v>52.265000000000001</v>
      </c>
      <c r="M102">
        <v>1</v>
      </c>
      <c r="N102">
        <v>48.820999999999998</v>
      </c>
      <c r="O102">
        <v>1.0705434136949263</v>
      </c>
      <c r="P102">
        <v>0.32</v>
      </c>
    </row>
    <row r="103" spans="1:16" x14ac:dyDescent="0.25">
      <c r="A103" t="s">
        <v>124</v>
      </c>
      <c r="F103">
        <v>0.46538194444444447</v>
      </c>
      <c r="G103" t="s">
        <v>225</v>
      </c>
      <c r="H103">
        <v>0</v>
      </c>
      <c r="I103">
        <v>0.85</v>
      </c>
      <c r="J103" t="s">
        <v>226</v>
      </c>
      <c r="K103" t="s">
        <v>27</v>
      </c>
      <c r="L103">
        <v>32.723999999999997</v>
      </c>
      <c r="M103">
        <v>1</v>
      </c>
      <c r="N103">
        <v>108.077</v>
      </c>
      <c r="O103">
        <v>0.30278412613229455</v>
      </c>
      <c r="P103">
        <v>0.33</v>
      </c>
    </row>
    <row r="104" spans="1:16" x14ac:dyDescent="0.25">
      <c r="A104" t="s">
        <v>125</v>
      </c>
      <c r="F104">
        <v>0.46722222222222221</v>
      </c>
      <c r="G104" t="s">
        <v>225</v>
      </c>
      <c r="H104">
        <v>0</v>
      </c>
      <c r="I104">
        <v>0.85</v>
      </c>
      <c r="J104" t="s">
        <v>226</v>
      </c>
      <c r="K104" t="s">
        <v>27</v>
      </c>
      <c r="L104">
        <v>961.495</v>
      </c>
      <c r="M104">
        <v>1</v>
      </c>
      <c r="N104">
        <v>83808.866999999998</v>
      </c>
      <c r="O104">
        <v>1.1472473431719343E-2</v>
      </c>
      <c r="P104">
        <v>0.35</v>
      </c>
    </row>
    <row r="105" spans="1:16" x14ac:dyDescent="0.25">
      <c r="A105" t="s">
        <v>126</v>
      </c>
      <c r="F105">
        <v>0.46921296296296294</v>
      </c>
      <c r="G105" t="s">
        <v>225</v>
      </c>
      <c r="H105">
        <v>0</v>
      </c>
      <c r="I105">
        <v>0.85</v>
      </c>
      <c r="J105" t="s">
        <v>226</v>
      </c>
      <c r="K105" t="s">
        <v>27</v>
      </c>
      <c r="L105">
        <v>1058.422</v>
      </c>
      <c r="M105">
        <v>1</v>
      </c>
      <c r="N105">
        <v>85237.375</v>
      </c>
      <c r="O105">
        <v>1.2417346263889521E-2</v>
      </c>
      <c r="P105">
        <v>0.34</v>
      </c>
    </row>
    <row r="106" spans="1:16" x14ac:dyDescent="0.25">
      <c r="A106" t="s">
        <v>127</v>
      </c>
      <c r="F106">
        <v>0.47106481481481483</v>
      </c>
      <c r="G106" t="s">
        <v>225</v>
      </c>
      <c r="H106">
        <v>0</v>
      </c>
      <c r="I106">
        <v>0.85</v>
      </c>
      <c r="J106" t="s">
        <v>226</v>
      </c>
      <c r="K106" t="s">
        <v>27</v>
      </c>
      <c r="L106">
        <v>1027.915</v>
      </c>
      <c r="M106">
        <v>1</v>
      </c>
      <c r="N106">
        <v>85078.641000000003</v>
      </c>
      <c r="O106">
        <v>1.2081939578701075E-2</v>
      </c>
      <c r="P106">
        <v>0.34</v>
      </c>
    </row>
    <row r="107" spans="1:16" x14ac:dyDescent="0.25">
      <c r="A107" t="s">
        <v>128</v>
      </c>
      <c r="F107">
        <v>0.47292824074074075</v>
      </c>
      <c r="G107" t="s">
        <v>225</v>
      </c>
      <c r="H107">
        <v>0</v>
      </c>
      <c r="I107">
        <v>0.85</v>
      </c>
      <c r="J107" t="s">
        <v>226</v>
      </c>
      <c r="K107" t="s">
        <v>27</v>
      </c>
      <c r="L107">
        <v>1059.769</v>
      </c>
      <c r="M107">
        <v>1</v>
      </c>
      <c r="N107">
        <v>85329.452999999994</v>
      </c>
      <c r="O107">
        <v>1.2419732726987012E-2</v>
      </c>
      <c r="P107">
        <v>0.35</v>
      </c>
    </row>
    <row r="108" spans="1:16" x14ac:dyDescent="0.25">
      <c r="A108" t="s">
        <v>129</v>
      </c>
      <c r="F108">
        <v>0.47480324074074076</v>
      </c>
      <c r="G108" t="s">
        <v>225</v>
      </c>
      <c r="H108">
        <v>0</v>
      </c>
      <c r="I108">
        <v>0.85</v>
      </c>
      <c r="J108" t="s">
        <v>226</v>
      </c>
      <c r="K108" t="s">
        <v>27</v>
      </c>
      <c r="L108">
        <v>1054.0170000000001</v>
      </c>
      <c r="M108">
        <v>1</v>
      </c>
      <c r="N108">
        <v>90051.664000000004</v>
      </c>
      <c r="O108">
        <v>1.1704581050273541E-2</v>
      </c>
      <c r="P108">
        <v>0.34</v>
      </c>
    </row>
    <row r="109" spans="1:16" x14ac:dyDescent="0.25">
      <c r="A109" t="s">
        <v>130</v>
      </c>
      <c r="F109">
        <v>0.47667824074074078</v>
      </c>
      <c r="G109" t="s">
        <v>225</v>
      </c>
      <c r="H109">
        <v>0</v>
      </c>
      <c r="I109">
        <v>0.85</v>
      </c>
      <c r="J109" t="s">
        <v>226</v>
      </c>
      <c r="K109" t="s">
        <v>27</v>
      </c>
      <c r="L109">
        <v>998.03800000000001</v>
      </c>
      <c r="M109">
        <v>1</v>
      </c>
      <c r="N109">
        <v>85405.758000000002</v>
      </c>
      <c r="O109">
        <v>1.1685839729916101E-2</v>
      </c>
      <c r="P109">
        <v>0.35</v>
      </c>
    </row>
    <row r="110" spans="1:16" x14ac:dyDescent="0.25">
      <c r="A110" t="s">
        <v>131</v>
      </c>
      <c r="F110">
        <v>0.47855324074074074</v>
      </c>
      <c r="G110" t="s">
        <v>225</v>
      </c>
      <c r="H110">
        <v>0</v>
      </c>
      <c r="I110">
        <v>0.85</v>
      </c>
      <c r="J110" t="s">
        <v>226</v>
      </c>
      <c r="K110" t="s">
        <v>27</v>
      </c>
      <c r="L110">
        <v>1046.8630000000001</v>
      </c>
      <c r="M110">
        <v>1</v>
      </c>
      <c r="N110">
        <v>83086.016000000003</v>
      </c>
      <c r="O110">
        <v>1.2599749637772981E-2</v>
      </c>
      <c r="P110">
        <v>0.35</v>
      </c>
    </row>
    <row r="111" spans="1:16" x14ac:dyDescent="0.25">
      <c r="A111" t="s">
        <v>132</v>
      </c>
      <c r="F111">
        <v>0.48041666666666666</v>
      </c>
      <c r="G111" t="s">
        <v>225</v>
      </c>
      <c r="H111">
        <v>0</v>
      </c>
      <c r="I111">
        <v>0.86</v>
      </c>
      <c r="J111" t="s">
        <v>226</v>
      </c>
      <c r="K111" t="s">
        <v>27</v>
      </c>
      <c r="L111">
        <v>1044.4780000000001</v>
      </c>
      <c r="M111">
        <v>1</v>
      </c>
      <c r="N111">
        <v>83014.070000000007</v>
      </c>
      <c r="O111">
        <v>1.2581939423039973E-2</v>
      </c>
      <c r="P111">
        <v>0.35</v>
      </c>
    </row>
    <row r="112" spans="1:16" x14ac:dyDescent="0.25">
      <c r="A112" t="s">
        <v>133</v>
      </c>
      <c r="F112">
        <v>0.48230324074074077</v>
      </c>
      <c r="G112" t="s">
        <v>225</v>
      </c>
      <c r="H112">
        <v>0</v>
      </c>
      <c r="I112">
        <v>0.86</v>
      </c>
      <c r="J112" t="s">
        <v>226</v>
      </c>
      <c r="K112" t="s">
        <v>27</v>
      </c>
      <c r="L112">
        <v>988.11199999999997</v>
      </c>
      <c r="M112">
        <v>1</v>
      </c>
      <c r="N112">
        <v>82167.266000000003</v>
      </c>
      <c r="O112">
        <v>1.2025616137696487E-2</v>
      </c>
      <c r="P112">
        <v>0.35</v>
      </c>
    </row>
    <row r="113" spans="1:19" x14ac:dyDescent="0.25">
      <c r="A113" t="s">
        <v>134</v>
      </c>
      <c r="F113">
        <v>0.4841550925925926</v>
      </c>
      <c r="G113" t="s">
        <v>225</v>
      </c>
      <c r="H113">
        <v>0</v>
      </c>
      <c r="I113">
        <v>0.85</v>
      </c>
      <c r="J113" t="s">
        <v>226</v>
      </c>
      <c r="K113" t="s">
        <v>27</v>
      </c>
      <c r="L113">
        <v>1008.851</v>
      </c>
      <c r="M113">
        <v>1</v>
      </c>
      <c r="N113">
        <v>83417.883000000002</v>
      </c>
      <c r="O113">
        <v>1.2093941535294056E-2</v>
      </c>
      <c r="P113">
        <v>0.35</v>
      </c>
    </row>
    <row r="114" spans="1:19" x14ac:dyDescent="0.25">
      <c r="A114" t="s">
        <v>135</v>
      </c>
      <c r="F114">
        <v>0.48603009259259261</v>
      </c>
      <c r="G114" t="s">
        <v>225</v>
      </c>
      <c r="H114">
        <v>0</v>
      </c>
      <c r="I114">
        <v>0.85</v>
      </c>
      <c r="J114" t="s">
        <v>226</v>
      </c>
      <c r="K114" t="s">
        <v>27</v>
      </c>
      <c r="L114">
        <v>1082.569</v>
      </c>
      <c r="M114">
        <v>1</v>
      </c>
      <c r="N114">
        <v>84251.233999999997</v>
      </c>
      <c r="O114">
        <v>1.2849295477381376E-2</v>
      </c>
      <c r="P114">
        <v>0.35</v>
      </c>
    </row>
    <row r="115" spans="1:19" x14ac:dyDescent="0.25">
      <c r="A115" t="s">
        <v>136</v>
      </c>
      <c r="F115">
        <v>0.48789351851851853</v>
      </c>
      <c r="G115" t="s">
        <v>225</v>
      </c>
      <c r="H115">
        <v>0</v>
      </c>
      <c r="I115">
        <v>0.85</v>
      </c>
      <c r="J115" t="s">
        <v>226</v>
      </c>
      <c r="K115" t="s">
        <v>27</v>
      </c>
      <c r="L115">
        <v>1073.7</v>
      </c>
      <c r="M115">
        <v>1</v>
      </c>
      <c r="N115">
        <v>85308.608999999997</v>
      </c>
      <c r="O115">
        <v>1.2586068540866727E-2</v>
      </c>
      <c r="P115">
        <v>0.35</v>
      </c>
    </row>
    <row r="116" spans="1:19" x14ac:dyDescent="0.25">
      <c r="A116" t="s">
        <v>137</v>
      </c>
      <c r="F116">
        <v>0.48976851851851855</v>
      </c>
      <c r="G116" t="s">
        <v>225</v>
      </c>
      <c r="H116">
        <v>0</v>
      </c>
      <c r="I116">
        <v>0.85</v>
      </c>
      <c r="J116" t="s">
        <v>226</v>
      </c>
      <c r="K116" t="s">
        <v>27</v>
      </c>
      <c r="L116">
        <v>1106.1790000000001</v>
      </c>
      <c r="M116">
        <v>1</v>
      </c>
      <c r="N116">
        <v>84172.116999999998</v>
      </c>
      <c r="O116">
        <v>1.3141869771435119E-2</v>
      </c>
      <c r="P116">
        <v>0.34</v>
      </c>
    </row>
    <row r="117" spans="1:19" x14ac:dyDescent="0.25">
      <c r="A117" t="s">
        <v>138</v>
      </c>
      <c r="F117">
        <v>0.49164351851851856</v>
      </c>
      <c r="G117" t="s">
        <v>225</v>
      </c>
      <c r="H117">
        <v>0</v>
      </c>
      <c r="I117">
        <v>0.85</v>
      </c>
      <c r="J117" t="s">
        <v>226</v>
      </c>
      <c r="K117" t="s">
        <v>27</v>
      </c>
      <c r="L117">
        <v>1096.7439999999999</v>
      </c>
      <c r="M117">
        <v>1</v>
      </c>
      <c r="N117">
        <v>82786.016000000003</v>
      </c>
      <c r="O117">
        <v>1.3247937912605916E-2</v>
      </c>
      <c r="P117">
        <v>0.34</v>
      </c>
    </row>
    <row r="118" spans="1:19" x14ac:dyDescent="0.25">
      <c r="A118" t="s">
        <v>139</v>
      </c>
      <c r="F118">
        <v>0.49353009259259256</v>
      </c>
      <c r="G118" t="s">
        <v>225</v>
      </c>
      <c r="H118">
        <v>0</v>
      </c>
      <c r="I118">
        <v>0.85</v>
      </c>
      <c r="J118" t="s">
        <v>226</v>
      </c>
      <c r="K118" t="s">
        <v>27</v>
      </c>
      <c r="L118">
        <v>1065.354</v>
      </c>
      <c r="M118">
        <v>1</v>
      </c>
      <c r="N118">
        <v>84114.585999999996</v>
      </c>
      <c r="O118">
        <v>1.2665508452957256E-2</v>
      </c>
      <c r="P118">
        <v>0.35</v>
      </c>
    </row>
    <row r="119" spans="1:19" x14ac:dyDescent="0.25">
      <c r="A119" t="s">
        <v>140</v>
      </c>
      <c r="F119">
        <v>0.49538194444444444</v>
      </c>
      <c r="G119" t="s">
        <v>225</v>
      </c>
      <c r="H119">
        <v>0</v>
      </c>
      <c r="I119">
        <v>0.85</v>
      </c>
      <c r="J119" t="s">
        <v>226</v>
      </c>
      <c r="K119" t="s">
        <v>27</v>
      </c>
      <c r="L119">
        <v>1076.393</v>
      </c>
      <c r="M119">
        <v>1</v>
      </c>
      <c r="N119">
        <v>82948.483999999997</v>
      </c>
      <c r="O119">
        <v>1.2976644636446882E-2</v>
      </c>
      <c r="P119">
        <v>0.34</v>
      </c>
    </row>
    <row r="120" spans="1:19" x14ac:dyDescent="0.25">
      <c r="A120" t="s">
        <v>141</v>
      </c>
      <c r="F120">
        <v>0.49726851851851855</v>
      </c>
      <c r="G120" t="s">
        <v>225</v>
      </c>
      <c r="H120">
        <v>0</v>
      </c>
      <c r="I120">
        <v>0.85</v>
      </c>
      <c r="J120" t="s">
        <v>226</v>
      </c>
      <c r="K120" t="s">
        <v>27</v>
      </c>
      <c r="L120">
        <v>1072.3440000000001</v>
      </c>
      <c r="M120">
        <v>1</v>
      </c>
      <c r="N120">
        <v>84148.991999999998</v>
      </c>
      <c r="O120">
        <v>1.2743396854949849E-2</v>
      </c>
      <c r="P120">
        <v>0.34</v>
      </c>
    </row>
    <row r="121" spans="1:19" x14ac:dyDescent="0.25">
      <c r="A121" t="s">
        <v>142</v>
      </c>
      <c r="F121">
        <v>0.49912037037037038</v>
      </c>
      <c r="G121" t="s">
        <v>225</v>
      </c>
      <c r="H121">
        <v>0</v>
      </c>
      <c r="I121">
        <v>0.86</v>
      </c>
      <c r="J121" t="s">
        <v>226</v>
      </c>
      <c r="K121" t="s">
        <v>27</v>
      </c>
      <c r="L121">
        <v>1137.1320000000001</v>
      </c>
      <c r="M121">
        <v>1</v>
      </c>
      <c r="N121">
        <v>87653.937999999995</v>
      </c>
      <c r="O121">
        <v>1.2972971048944773E-2</v>
      </c>
      <c r="P121">
        <v>0.34</v>
      </c>
    </row>
    <row r="122" spans="1:19" x14ac:dyDescent="0.25">
      <c r="A122" s="2" t="s">
        <v>143</v>
      </c>
      <c r="B122" s="2"/>
      <c r="C122" s="2"/>
      <c r="D122" s="2"/>
      <c r="E122" s="2"/>
      <c r="F122" s="2">
        <v>0.50100694444444438</v>
      </c>
      <c r="G122" s="2" t="s">
        <v>225</v>
      </c>
      <c r="H122" s="2">
        <v>0</v>
      </c>
      <c r="I122" s="2">
        <v>0.85</v>
      </c>
      <c r="J122" s="2" t="s">
        <v>226</v>
      </c>
      <c r="K122" s="2" t="s">
        <v>27</v>
      </c>
      <c r="L122" s="2">
        <v>1104.751</v>
      </c>
      <c r="M122" s="2">
        <v>1</v>
      </c>
      <c r="N122" s="2">
        <v>87204.741999999998</v>
      </c>
      <c r="O122" s="2">
        <v>1.2668473923126795E-2</v>
      </c>
      <c r="P122" s="2">
        <v>0.34</v>
      </c>
      <c r="Q122" s="2"/>
      <c r="R122" s="2"/>
      <c r="S122" s="2"/>
    </row>
    <row r="123" spans="1:19" x14ac:dyDescent="0.25">
      <c r="A123" s="2" t="s">
        <v>144</v>
      </c>
      <c r="B123" s="2"/>
      <c r="C123" s="2"/>
      <c r="D123" s="2"/>
      <c r="E123" s="2"/>
      <c r="F123" s="2">
        <v>0.50298611111111113</v>
      </c>
      <c r="G123" s="2" t="s">
        <v>225</v>
      </c>
      <c r="H123" s="2">
        <v>0</v>
      </c>
      <c r="I123" s="2">
        <v>0.85</v>
      </c>
      <c r="J123" s="2" t="s">
        <v>226</v>
      </c>
      <c r="K123" s="2" t="s">
        <v>27</v>
      </c>
      <c r="L123" s="2">
        <v>1106.4169999999999</v>
      </c>
      <c r="M123" s="2">
        <v>1</v>
      </c>
      <c r="N123" s="2">
        <v>86631.726999999999</v>
      </c>
      <c r="O123" s="2">
        <v>1.2771498829753215E-2</v>
      </c>
      <c r="P123" s="2">
        <v>0.34</v>
      </c>
      <c r="Q123" s="2"/>
      <c r="R123" s="2"/>
      <c r="S123" s="2"/>
    </row>
    <row r="124" spans="1:19" x14ac:dyDescent="0.25">
      <c r="A124" t="s">
        <v>145</v>
      </c>
      <c r="F124">
        <v>0.50496527777777778</v>
      </c>
      <c r="G124" t="s">
        <v>225</v>
      </c>
      <c r="H124">
        <v>0</v>
      </c>
      <c r="I124">
        <v>0.85</v>
      </c>
      <c r="J124" t="s">
        <v>226</v>
      </c>
      <c r="K124" t="s">
        <v>27</v>
      </c>
      <c r="L124">
        <v>1112.799</v>
      </c>
      <c r="M124">
        <v>1</v>
      </c>
      <c r="N124">
        <v>79832.25</v>
      </c>
      <c r="O124">
        <v>1.3939216294166831E-2</v>
      </c>
      <c r="P124">
        <v>0.35</v>
      </c>
    </row>
    <row r="125" spans="1:19" x14ac:dyDescent="0.25">
      <c r="A125" t="s">
        <v>146</v>
      </c>
      <c r="F125">
        <v>0.50692129629629623</v>
      </c>
      <c r="G125" t="s">
        <v>225</v>
      </c>
      <c r="H125">
        <v>0</v>
      </c>
      <c r="I125">
        <v>0.85</v>
      </c>
      <c r="J125" t="s">
        <v>226</v>
      </c>
      <c r="K125" t="s">
        <v>27</v>
      </c>
      <c r="L125">
        <v>1101.354</v>
      </c>
      <c r="M125">
        <v>1</v>
      </c>
      <c r="N125">
        <v>86690.491999999998</v>
      </c>
      <c r="O125">
        <v>1.2704438221437249E-2</v>
      </c>
      <c r="P125">
        <v>0.35</v>
      </c>
    </row>
    <row r="126" spans="1:19" x14ac:dyDescent="0.25">
      <c r="A126" t="s">
        <v>147</v>
      </c>
      <c r="F126">
        <v>0.5088773148148148</v>
      </c>
      <c r="G126" t="s">
        <v>225</v>
      </c>
      <c r="H126">
        <v>0</v>
      </c>
      <c r="I126">
        <v>0.85</v>
      </c>
      <c r="J126" t="s">
        <v>226</v>
      </c>
      <c r="K126" t="s">
        <v>27</v>
      </c>
      <c r="L126">
        <v>1063.9480000000001</v>
      </c>
      <c r="M126">
        <v>1</v>
      </c>
      <c r="N126">
        <v>88469.531000000003</v>
      </c>
      <c r="O126">
        <v>1.2026151692835357E-2</v>
      </c>
      <c r="P126">
        <v>0.35</v>
      </c>
    </row>
    <row r="127" spans="1:19" x14ac:dyDescent="0.25">
      <c r="A127" t="s">
        <v>148</v>
      </c>
      <c r="F127">
        <v>0.51083333333333336</v>
      </c>
      <c r="G127" t="s">
        <v>225</v>
      </c>
      <c r="H127">
        <v>0</v>
      </c>
      <c r="I127">
        <v>0.85</v>
      </c>
      <c r="J127" t="s">
        <v>226</v>
      </c>
      <c r="K127" t="s">
        <v>27</v>
      </c>
      <c r="L127">
        <v>1024.626</v>
      </c>
      <c r="M127">
        <v>1</v>
      </c>
      <c r="N127">
        <v>80173.179999999993</v>
      </c>
      <c r="O127">
        <v>1.2780159150479002E-2</v>
      </c>
      <c r="P127">
        <v>0.34</v>
      </c>
    </row>
    <row r="128" spans="1:19" x14ac:dyDescent="0.25">
      <c r="A128" t="s">
        <v>149</v>
      </c>
      <c r="F128">
        <v>0.5128125</v>
      </c>
      <c r="G128" t="s">
        <v>225</v>
      </c>
      <c r="H128">
        <v>0</v>
      </c>
      <c r="I128">
        <v>0.85</v>
      </c>
      <c r="J128" t="s">
        <v>226</v>
      </c>
      <c r="K128" t="s">
        <v>27</v>
      </c>
      <c r="L128">
        <v>1096.2260000000001</v>
      </c>
      <c r="M128">
        <v>1</v>
      </c>
      <c r="N128">
        <v>84536.241999999998</v>
      </c>
      <c r="O128">
        <v>1.2967526992742357E-2</v>
      </c>
      <c r="P128">
        <v>0.34</v>
      </c>
    </row>
    <row r="129" spans="1:16" x14ac:dyDescent="0.25">
      <c r="A129" t="s">
        <v>150</v>
      </c>
      <c r="F129">
        <v>0.51466435185185189</v>
      </c>
      <c r="G129" t="s">
        <v>225</v>
      </c>
      <c r="H129">
        <v>0</v>
      </c>
      <c r="I129">
        <v>0.85</v>
      </c>
      <c r="J129" t="s">
        <v>226</v>
      </c>
      <c r="K129" t="s">
        <v>27</v>
      </c>
      <c r="L129">
        <v>1113.6769999999999</v>
      </c>
      <c r="M129">
        <v>1</v>
      </c>
      <c r="N129">
        <v>87388.93</v>
      </c>
      <c r="O129">
        <v>1.2743913903053853E-2</v>
      </c>
      <c r="P129">
        <v>0.35</v>
      </c>
    </row>
    <row r="130" spans="1:16" x14ac:dyDescent="0.25">
      <c r="A130" t="s">
        <v>151</v>
      </c>
      <c r="F130">
        <v>0.51653935185185185</v>
      </c>
      <c r="G130" t="s">
        <v>225</v>
      </c>
      <c r="H130">
        <v>0</v>
      </c>
      <c r="I130">
        <v>0.85</v>
      </c>
      <c r="J130" t="s">
        <v>226</v>
      </c>
      <c r="K130" t="s">
        <v>27</v>
      </c>
      <c r="L130">
        <v>919.53599999999994</v>
      </c>
      <c r="M130">
        <v>1</v>
      </c>
      <c r="N130">
        <v>87142.672000000006</v>
      </c>
      <c r="O130">
        <v>1.0552074877850887E-2</v>
      </c>
      <c r="P130">
        <v>0.35</v>
      </c>
    </row>
    <row r="131" spans="1:16" x14ac:dyDescent="0.25">
      <c r="A131" t="s">
        <v>152</v>
      </c>
      <c r="F131">
        <v>0.51849537037037041</v>
      </c>
      <c r="G131" t="s">
        <v>225</v>
      </c>
      <c r="H131">
        <v>0</v>
      </c>
      <c r="I131">
        <v>0.85</v>
      </c>
      <c r="J131" t="s">
        <v>226</v>
      </c>
      <c r="K131" t="s">
        <v>27</v>
      </c>
      <c r="L131">
        <v>899.51300000000003</v>
      </c>
      <c r="M131">
        <v>1</v>
      </c>
      <c r="N131">
        <v>87144.093999999997</v>
      </c>
      <c r="O131">
        <v>1.0322133821254714E-2</v>
      </c>
      <c r="P131">
        <v>0.34</v>
      </c>
    </row>
    <row r="132" spans="1:16" x14ac:dyDescent="0.25">
      <c r="A132" t="s">
        <v>153</v>
      </c>
      <c r="F132">
        <v>0.52037037037037037</v>
      </c>
      <c r="G132" t="s">
        <v>225</v>
      </c>
      <c r="H132">
        <v>0</v>
      </c>
      <c r="I132">
        <v>0.85</v>
      </c>
      <c r="J132" t="s">
        <v>226</v>
      </c>
      <c r="K132" t="s">
        <v>27</v>
      </c>
      <c r="L132">
        <v>1091.299</v>
      </c>
      <c r="M132">
        <v>1</v>
      </c>
      <c r="N132">
        <v>86344.483999999997</v>
      </c>
      <c r="O132">
        <v>1.2638896539123449E-2</v>
      </c>
      <c r="P132">
        <v>0.34</v>
      </c>
    </row>
    <row r="133" spans="1:16" x14ac:dyDescent="0.25">
      <c r="A133" t="s">
        <v>154</v>
      </c>
      <c r="F133">
        <v>0.52223379629629629</v>
      </c>
      <c r="G133" t="s">
        <v>225</v>
      </c>
      <c r="H133">
        <v>0</v>
      </c>
      <c r="I133">
        <v>0.85</v>
      </c>
      <c r="J133" t="s">
        <v>226</v>
      </c>
      <c r="K133" t="s">
        <v>27</v>
      </c>
      <c r="L133">
        <v>1052.058</v>
      </c>
      <c r="M133">
        <v>1</v>
      </c>
      <c r="N133">
        <v>86244.25</v>
      </c>
      <c r="O133">
        <v>1.2198587152186958E-2</v>
      </c>
      <c r="P133">
        <v>0.34</v>
      </c>
    </row>
    <row r="134" spans="1:16" x14ac:dyDescent="0.25">
      <c r="A134" t="s">
        <v>155</v>
      </c>
      <c r="F134">
        <v>0.52409722222222221</v>
      </c>
      <c r="G134" t="s">
        <v>225</v>
      </c>
      <c r="H134">
        <v>0</v>
      </c>
      <c r="I134">
        <v>0.85</v>
      </c>
      <c r="J134" t="s">
        <v>226</v>
      </c>
      <c r="K134" t="s">
        <v>27</v>
      </c>
      <c r="L134">
        <v>38.006999999999998</v>
      </c>
      <c r="M134">
        <v>1</v>
      </c>
      <c r="N134">
        <v>93.081999999999994</v>
      </c>
      <c r="O134">
        <v>0.40831739756343871</v>
      </c>
      <c r="P134">
        <v>0.33</v>
      </c>
    </row>
    <row r="135" spans="1:16" x14ac:dyDescent="0.25">
      <c r="A135" t="s">
        <v>156</v>
      </c>
      <c r="F135">
        <v>0.52598379629629632</v>
      </c>
      <c r="G135" t="s">
        <v>225</v>
      </c>
      <c r="H135">
        <v>0</v>
      </c>
      <c r="I135">
        <v>0.86</v>
      </c>
      <c r="J135" t="s">
        <v>226</v>
      </c>
      <c r="K135" t="s">
        <v>27</v>
      </c>
      <c r="L135">
        <v>38.356999999999999</v>
      </c>
      <c r="M135">
        <v>1</v>
      </c>
      <c r="N135">
        <v>106.667</v>
      </c>
      <c r="O135">
        <v>0.35959575126327731</v>
      </c>
      <c r="P135">
        <v>0.47</v>
      </c>
    </row>
    <row r="136" spans="1:16" x14ac:dyDescent="0.25">
      <c r="A136" t="s">
        <v>157</v>
      </c>
      <c r="F136">
        <v>0.52795138888888882</v>
      </c>
      <c r="G136" t="s">
        <v>225</v>
      </c>
      <c r="H136">
        <v>0</v>
      </c>
      <c r="I136">
        <v>0.86</v>
      </c>
      <c r="J136" t="s">
        <v>226</v>
      </c>
      <c r="K136" t="s">
        <v>27</v>
      </c>
      <c r="L136">
        <v>1117.8530000000001</v>
      </c>
      <c r="M136">
        <v>1</v>
      </c>
      <c r="N136">
        <v>77598.648000000001</v>
      </c>
      <c r="O136">
        <v>1.440557314864558E-2</v>
      </c>
      <c r="P136">
        <v>0.35</v>
      </c>
    </row>
    <row r="137" spans="1:16" x14ac:dyDescent="0.25">
      <c r="A137" t="s">
        <v>158</v>
      </c>
      <c r="F137">
        <v>0.52990740740740738</v>
      </c>
      <c r="G137" t="s">
        <v>225</v>
      </c>
      <c r="H137">
        <v>0</v>
      </c>
      <c r="I137">
        <v>0.85</v>
      </c>
      <c r="J137" t="s">
        <v>226</v>
      </c>
      <c r="K137" t="s">
        <v>27</v>
      </c>
      <c r="L137">
        <v>1194.1790000000001</v>
      </c>
      <c r="M137">
        <v>1</v>
      </c>
      <c r="N137">
        <v>76582.883000000002</v>
      </c>
      <c r="O137">
        <v>1.5593288646498201E-2</v>
      </c>
      <c r="P137">
        <v>0.34</v>
      </c>
    </row>
    <row r="138" spans="1:16" x14ac:dyDescent="0.25">
      <c r="A138" t="s">
        <v>159</v>
      </c>
      <c r="F138">
        <v>0.5317708333333333</v>
      </c>
      <c r="G138" t="s">
        <v>225</v>
      </c>
      <c r="H138">
        <v>0</v>
      </c>
      <c r="I138">
        <v>0.85</v>
      </c>
      <c r="J138" t="s">
        <v>226</v>
      </c>
      <c r="K138" t="s">
        <v>27</v>
      </c>
      <c r="L138">
        <v>1201.0899999999999</v>
      </c>
      <c r="M138">
        <v>1</v>
      </c>
      <c r="N138">
        <v>81240.422000000006</v>
      </c>
      <c r="O138">
        <v>1.4784388983109908E-2</v>
      </c>
      <c r="P138">
        <v>0.35</v>
      </c>
    </row>
    <row r="139" spans="1:16" x14ac:dyDescent="0.25">
      <c r="A139" t="s">
        <v>160</v>
      </c>
      <c r="F139">
        <v>0.53363425925925922</v>
      </c>
      <c r="G139" t="s">
        <v>225</v>
      </c>
      <c r="H139">
        <v>0</v>
      </c>
      <c r="I139">
        <v>0.85</v>
      </c>
      <c r="J139" t="s">
        <v>226</v>
      </c>
      <c r="K139" t="s">
        <v>27</v>
      </c>
      <c r="L139">
        <v>1225.3989999999999</v>
      </c>
      <c r="M139">
        <v>1</v>
      </c>
      <c r="N139">
        <v>79723.312999999995</v>
      </c>
      <c r="O139">
        <v>1.5370648231841543E-2</v>
      </c>
      <c r="P139">
        <v>0.35</v>
      </c>
    </row>
    <row r="140" spans="1:16" x14ac:dyDescent="0.25">
      <c r="A140" t="s">
        <v>161</v>
      </c>
      <c r="F140">
        <v>0.5355092592592593</v>
      </c>
      <c r="G140" t="s">
        <v>225</v>
      </c>
      <c r="H140">
        <v>0</v>
      </c>
      <c r="I140">
        <v>0.85</v>
      </c>
      <c r="J140" t="s">
        <v>226</v>
      </c>
      <c r="K140" t="s">
        <v>27</v>
      </c>
      <c r="L140">
        <v>1240.673</v>
      </c>
      <c r="M140">
        <v>1</v>
      </c>
      <c r="N140">
        <v>82403.797000000006</v>
      </c>
      <c r="O140">
        <v>1.5056017382305817E-2</v>
      </c>
      <c r="P140">
        <v>0.34</v>
      </c>
    </row>
    <row r="141" spans="1:16" x14ac:dyDescent="0.25">
      <c r="A141" t="s">
        <v>162</v>
      </c>
      <c r="F141">
        <v>0.53738425925925926</v>
      </c>
      <c r="G141" t="s">
        <v>225</v>
      </c>
      <c r="H141">
        <v>0</v>
      </c>
      <c r="I141">
        <v>0.86</v>
      </c>
      <c r="J141" t="s">
        <v>226</v>
      </c>
      <c r="K141" t="s">
        <v>27</v>
      </c>
      <c r="L141">
        <v>1301.5709999999999</v>
      </c>
      <c r="M141">
        <v>1</v>
      </c>
      <c r="N141">
        <v>77816.023000000001</v>
      </c>
      <c r="O141">
        <v>1.6726259577670783E-2</v>
      </c>
      <c r="P141">
        <v>0.34</v>
      </c>
    </row>
    <row r="142" spans="1:16" x14ac:dyDescent="0.25">
      <c r="A142" t="s">
        <v>163</v>
      </c>
      <c r="F142">
        <v>0.53924768518518518</v>
      </c>
      <c r="G142" t="s">
        <v>225</v>
      </c>
      <c r="H142">
        <v>0</v>
      </c>
      <c r="I142">
        <v>0.85</v>
      </c>
      <c r="J142" t="s">
        <v>226</v>
      </c>
      <c r="K142" t="s">
        <v>27</v>
      </c>
      <c r="L142">
        <v>1247.857</v>
      </c>
      <c r="M142">
        <v>1</v>
      </c>
      <c r="N142">
        <v>82569.054999999993</v>
      </c>
      <c r="O142">
        <v>1.5112889447505487E-2</v>
      </c>
      <c r="P142">
        <v>0.35</v>
      </c>
    </row>
    <row r="143" spans="1:16" x14ac:dyDescent="0.25">
      <c r="A143" t="s">
        <v>164</v>
      </c>
      <c r="F143">
        <v>0.54112268518518525</v>
      </c>
      <c r="G143" t="s">
        <v>225</v>
      </c>
      <c r="H143">
        <v>0</v>
      </c>
      <c r="I143">
        <v>0.85</v>
      </c>
      <c r="J143" t="s">
        <v>226</v>
      </c>
      <c r="K143" t="s">
        <v>27</v>
      </c>
      <c r="L143">
        <v>1224.92</v>
      </c>
      <c r="M143">
        <v>1</v>
      </c>
      <c r="N143">
        <v>82580.983999999997</v>
      </c>
      <c r="O143">
        <v>1.4832954763532488E-2</v>
      </c>
      <c r="P143">
        <v>0.35</v>
      </c>
    </row>
    <row r="144" spans="1:16" x14ac:dyDescent="0.25">
      <c r="A144" t="s">
        <v>165</v>
      </c>
      <c r="F144">
        <v>0.54298611111111106</v>
      </c>
      <c r="G144" t="s">
        <v>225</v>
      </c>
      <c r="H144">
        <v>0</v>
      </c>
      <c r="I144">
        <v>0.85</v>
      </c>
      <c r="J144" t="s">
        <v>226</v>
      </c>
      <c r="K144" t="s">
        <v>27</v>
      </c>
      <c r="L144">
        <v>1203.7909999999999</v>
      </c>
      <c r="M144">
        <v>1</v>
      </c>
      <c r="N144">
        <v>82733.391000000003</v>
      </c>
      <c r="O144">
        <v>1.4550243685768904E-2</v>
      </c>
      <c r="P144">
        <v>0.35</v>
      </c>
    </row>
    <row r="145" spans="1:19" x14ac:dyDescent="0.25">
      <c r="A145" t="s">
        <v>166</v>
      </c>
      <c r="F145">
        <v>0.54487268518518517</v>
      </c>
      <c r="G145" t="s">
        <v>225</v>
      </c>
      <c r="H145">
        <v>0</v>
      </c>
      <c r="I145">
        <v>0.85</v>
      </c>
      <c r="J145" t="s">
        <v>226</v>
      </c>
      <c r="K145" t="s">
        <v>27</v>
      </c>
      <c r="L145">
        <v>1076.5630000000001</v>
      </c>
      <c r="M145">
        <v>1</v>
      </c>
      <c r="N145">
        <v>79460.172000000006</v>
      </c>
      <c r="O145">
        <v>1.3548460479043513E-2</v>
      </c>
      <c r="P145">
        <v>0.34</v>
      </c>
    </row>
    <row r="146" spans="1:19" x14ac:dyDescent="0.25">
      <c r="A146" t="s">
        <v>167</v>
      </c>
      <c r="F146">
        <v>0.54673611111111109</v>
      </c>
      <c r="G146" t="s">
        <v>225</v>
      </c>
      <c r="H146">
        <v>0</v>
      </c>
      <c r="I146">
        <v>0.85</v>
      </c>
      <c r="J146" t="s">
        <v>226</v>
      </c>
      <c r="K146" t="s">
        <v>27</v>
      </c>
      <c r="L146">
        <v>1118.1030000000001</v>
      </c>
      <c r="M146">
        <v>1</v>
      </c>
      <c r="N146">
        <v>80189.133000000002</v>
      </c>
      <c r="O146">
        <v>1.3943323218122337E-2</v>
      </c>
      <c r="P146">
        <v>0.34</v>
      </c>
    </row>
    <row r="147" spans="1:19" x14ac:dyDescent="0.25">
      <c r="A147" t="s">
        <v>168</v>
      </c>
      <c r="F147">
        <v>0.54859953703703701</v>
      </c>
      <c r="G147" t="s">
        <v>225</v>
      </c>
      <c r="H147">
        <v>0</v>
      </c>
      <c r="I147">
        <v>0.85</v>
      </c>
      <c r="J147" t="s">
        <v>226</v>
      </c>
      <c r="K147" t="s">
        <v>27</v>
      </c>
      <c r="L147">
        <v>1158.577</v>
      </c>
      <c r="M147">
        <v>1</v>
      </c>
      <c r="N147">
        <v>79237.797000000006</v>
      </c>
      <c r="O147">
        <v>1.4621519576067971E-2</v>
      </c>
      <c r="P147">
        <v>0.34</v>
      </c>
    </row>
    <row r="148" spans="1:19" x14ac:dyDescent="0.25">
      <c r="A148" t="s">
        <v>169</v>
      </c>
      <c r="F148">
        <v>0.55048611111111112</v>
      </c>
      <c r="G148" t="s">
        <v>225</v>
      </c>
      <c r="H148">
        <v>0</v>
      </c>
      <c r="I148">
        <v>0.85</v>
      </c>
      <c r="J148" t="s">
        <v>226</v>
      </c>
      <c r="K148" t="s">
        <v>27</v>
      </c>
      <c r="L148">
        <v>1207.26</v>
      </c>
      <c r="M148">
        <v>1</v>
      </c>
      <c r="N148">
        <v>79373.164000000004</v>
      </c>
      <c r="O148">
        <v>1.5209926619531003E-2</v>
      </c>
      <c r="P148">
        <v>0.35</v>
      </c>
    </row>
    <row r="149" spans="1:19" x14ac:dyDescent="0.25">
      <c r="A149" t="s">
        <v>170</v>
      </c>
      <c r="F149">
        <v>0.55234953703703704</v>
      </c>
      <c r="G149" t="s">
        <v>225</v>
      </c>
      <c r="H149">
        <v>0</v>
      </c>
      <c r="I149">
        <v>0.85</v>
      </c>
      <c r="J149" t="s">
        <v>226</v>
      </c>
      <c r="K149" t="s">
        <v>27</v>
      </c>
      <c r="L149">
        <v>1185.153</v>
      </c>
      <c r="M149">
        <v>1</v>
      </c>
      <c r="N149">
        <v>80237.577999999994</v>
      </c>
      <c r="O149">
        <v>1.4770548034239021E-2</v>
      </c>
      <c r="P149">
        <v>0.35</v>
      </c>
    </row>
    <row r="150" spans="1:19" x14ac:dyDescent="0.25">
      <c r="A150" t="s">
        <v>171</v>
      </c>
      <c r="F150">
        <v>0.55421296296296296</v>
      </c>
      <c r="G150" t="s">
        <v>225</v>
      </c>
      <c r="H150">
        <v>0</v>
      </c>
      <c r="I150">
        <v>0.85</v>
      </c>
      <c r="J150" t="s">
        <v>226</v>
      </c>
      <c r="K150" t="s">
        <v>27</v>
      </c>
      <c r="L150">
        <v>1142.1579999999999</v>
      </c>
      <c r="M150">
        <v>1</v>
      </c>
      <c r="N150">
        <v>76179.664000000004</v>
      </c>
      <c r="O150">
        <v>1.4992951399733135E-2</v>
      </c>
      <c r="P150">
        <v>0.34</v>
      </c>
    </row>
    <row r="151" spans="1:19" x14ac:dyDescent="0.25">
      <c r="A151" t="s">
        <v>172</v>
      </c>
      <c r="F151">
        <v>0.55621527777777779</v>
      </c>
      <c r="G151" t="s">
        <v>225</v>
      </c>
      <c r="H151">
        <v>0</v>
      </c>
      <c r="I151">
        <v>0.85</v>
      </c>
      <c r="J151" t="s">
        <v>226</v>
      </c>
      <c r="K151" t="s">
        <v>27</v>
      </c>
      <c r="L151">
        <v>1146.8920000000001</v>
      </c>
      <c r="M151">
        <v>1</v>
      </c>
      <c r="N151">
        <v>78758.741999999998</v>
      </c>
      <c r="O151">
        <v>1.4562091405675322E-2</v>
      </c>
      <c r="P151">
        <v>0.35</v>
      </c>
    </row>
    <row r="152" spans="1:19" x14ac:dyDescent="0.25">
      <c r="A152" t="s">
        <v>173</v>
      </c>
      <c r="F152">
        <v>0.55815972222222221</v>
      </c>
      <c r="G152" t="s">
        <v>225</v>
      </c>
      <c r="H152">
        <v>0</v>
      </c>
      <c r="I152">
        <v>0.85</v>
      </c>
      <c r="J152" t="s">
        <v>226</v>
      </c>
      <c r="K152" t="s">
        <v>27</v>
      </c>
      <c r="L152">
        <v>1100.818</v>
      </c>
      <c r="M152">
        <v>1</v>
      </c>
      <c r="N152">
        <v>76535.437999999995</v>
      </c>
      <c r="O152">
        <v>1.4383114917301447E-2</v>
      </c>
      <c r="P152">
        <v>0.35</v>
      </c>
    </row>
    <row r="153" spans="1:19" x14ac:dyDescent="0.25">
      <c r="A153" t="s">
        <v>174</v>
      </c>
      <c r="F153">
        <v>0.56003472222222228</v>
      </c>
      <c r="G153" t="s">
        <v>225</v>
      </c>
      <c r="H153">
        <v>0</v>
      </c>
      <c r="I153">
        <v>0.85</v>
      </c>
      <c r="J153" t="s">
        <v>226</v>
      </c>
      <c r="K153" t="s">
        <v>27</v>
      </c>
      <c r="L153">
        <v>1108.491</v>
      </c>
      <c r="M153">
        <v>1</v>
      </c>
      <c r="N153">
        <v>79696.898000000001</v>
      </c>
      <c r="O153">
        <v>1.3908834946122996E-2</v>
      </c>
      <c r="P153">
        <v>0.35</v>
      </c>
    </row>
    <row r="154" spans="1:19" x14ac:dyDescent="0.25">
      <c r="A154" s="2" t="s">
        <v>175</v>
      </c>
      <c r="B154" s="2"/>
      <c r="C154" s="2"/>
      <c r="D154" s="2"/>
      <c r="E154" s="2"/>
      <c r="F154" s="2">
        <v>0.56200231481481489</v>
      </c>
      <c r="G154" s="2" t="s">
        <v>225</v>
      </c>
      <c r="H154" s="2">
        <v>0</v>
      </c>
      <c r="I154" s="2">
        <v>0.85</v>
      </c>
      <c r="J154" s="2" t="s">
        <v>226</v>
      </c>
      <c r="K154" s="2" t="s">
        <v>27</v>
      </c>
      <c r="L154" s="2">
        <v>1111.1210000000001</v>
      </c>
      <c r="M154" s="2">
        <v>1</v>
      </c>
      <c r="N154" s="2">
        <v>81888.945000000007</v>
      </c>
      <c r="O154" s="2">
        <v>1.356863249367787E-2</v>
      </c>
      <c r="P154" s="2">
        <v>0.35</v>
      </c>
      <c r="Q154" s="2"/>
      <c r="R154" s="2"/>
      <c r="S154" s="2"/>
    </row>
    <row r="155" spans="1:19" x14ac:dyDescent="0.25">
      <c r="A155" s="2" t="s">
        <v>176</v>
      </c>
      <c r="B155" s="2"/>
      <c r="C155" s="2"/>
      <c r="D155" s="2"/>
      <c r="E155" s="2"/>
      <c r="F155" s="2">
        <v>0.56396990740740738</v>
      </c>
      <c r="G155" s="2" t="s">
        <v>225</v>
      </c>
      <c r="H155" s="2">
        <v>0</v>
      </c>
      <c r="I155" s="2">
        <v>0.85</v>
      </c>
      <c r="J155" s="2" t="s">
        <v>226</v>
      </c>
      <c r="K155" s="2" t="s">
        <v>27</v>
      </c>
      <c r="L155" s="2">
        <v>1132.711</v>
      </c>
      <c r="M155" s="2">
        <v>1</v>
      </c>
      <c r="N155" s="2">
        <v>80283.141000000003</v>
      </c>
      <c r="O155" s="2">
        <v>1.4108952214512882E-2</v>
      </c>
      <c r="P155" s="2">
        <v>0.34</v>
      </c>
      <c r="Q155" s="2"/>
      <c r="R155" s="2"/>
      <c r="S155" s="2"/>
    </row>
    <row r="156" spans="1:19" x14ac:dyDescent="0.25">
      <c r="A156" t="s">
        <v>177</v>
      </c>
      <c r="F156">
        <v>0.56581018518518522</v>
      </c>
      <c r="G156" t="s">
        <v>225</v>
      </c>
      <c r="H156">
        <v>0</v>
      </c>
      <c r="I156">
        <v>0.86</v>
      </c>
      <c r="J156" t="s">
        <v>226</v>
      </c>
      <c r="K156" t="s">
        <v>27</v>
      </c>
      <c r="L156">
        <v>1146.893</v>
      </c>
      <c r="M156">
        <v>1</v>
      </c>
      <c r="N156">
        <v>77920.398000000001</v>
      </c>
      <c r="O156">
        <v>1.4718777488790547E-2</v>
      </c>
      <c r="P156">
        <v>0.34</v>
      </c>
    </row>
    <row r="157" spans="1:19" x14ac:dyDescent="0.25">
      <c r="A157" t="s">
        <v>178</v>
      </c>
      <c r="F157">
        <v>0.56781249999999994</v>
      </c>
      <c r="G157" t="s">
        <v>225</v>
      </c>
      <c r="H157">
        <v>0</v>
      </c>
      <c r="I157">
        <v>0.86</v>
      </c>
      <c r="J157" t="s">
        <v>226</v>
      </c>
      <c r="K157" t="s">
        <v>27</v>
      </c>
      <c r="L157">
        <v>1090.1780000000001</v>
      </c>
      <c r="M157">
        <v>1</v>
      </c>
      <c r="N157">
        <v>78458.289000000004</v>
      </c>
      <c r="O157">
        <v>1.3895000947573557E-2</v>
      </c>
      <c r="P157">
        <v>0.35</v>
      </c>
    </row>
    <row r="158" spans="1:19" x14ac:dyDescent="0.25">
      <c r="A158" t="s">
        <v>179</v>
      </c>
      <c r="F158">
        <v>0.56967592592592597</v>
      </c>
      <c r="G158" t="s">
        <v>225</v>
      </c>
      <c r="H158">
        <v>0</v>
      </c>
      <c r="I158">
        <v>0.85</v>
      </c>
      <c r="J158" t="s">
        <v>226</v>
      </c>
      <c r="K158" t="s">
        <v>27</v>
      </c>
      <c r="L158">
        <v>1144.5840000000001</v>
      </c>
      <c r="M158">
        <v>1</v>
      </c>
      <c r="N158">
        <v>81069.625</v>
      </c>
      <c r="O158">
        <v>1.4118530830751963E-2</v>
      </c>
      <c r="P158">
        <v>0.35</v>
      </c>
    </row>
    <row r="159" spans="1:19" x14ac:dyDescent="0.25">
      <c r="A159" t="s">
        <v>180</v>
      </c>
      <c r="F159">
        <v>0.57153935185185178</v>
      </c>
      <c r="G159" t="s">
        <v>225</v>
      </c>
      <c r="H159">
        <v>0</v>
      </c>
      <c r="I159">
        <v>0.85</v>
      </c>
      <c r="J159" t="s">
        <v>226</v>
      </c>
      <c r="K159" t="s">
        <v>27</v>
      </c>
      <c r="L159">
        <v>1030.3340000000001</v>
      </c>
      <c r="M159">
        <v>1</v>
      </c>
      <c r="N159">
        <v>81783.843999999997</v>
      </c>
      <c r="O159">
        <v>1.2598258404190443E-2</v>
      </c>
      <c r="P159">
        <v>0.34</v>
      </c>
    </row>
    <row r="160" spans="1:19" x14ac:dyDescent="0.25">
      <c r="A160" t="s">
        <v>181</v>
      </c>
      <c r="F160">
        <v>0.57351851851851854</v>
      </c>
      <c r="G160" t="s">
        <v>225</v>
      </c>
      <c r="H160">
        <v>0</v>
      </c>
      <c r="I160">
        <v>0.85</v>
      </c>
      <c r="J160" t="s">
        <v>226</v>
      </c>
      <c r="K160" t="s">
        <v>27</v>
      </c>
      <c r="L160">
        <v>1183.434</v>
      </c>
      <c r="M160">
        <v>1</v>
      </c>
      <c r="N160">
        <v>82280.218999999997</v>
      </c>
      <c r="O160">
        <v>1.4382970954416152E-2</v>
      </c>
      <c r="P160">
        <v>0.35</v>
      </c>
    </row>
    <row r="161" spans="1:16" x14ac:dyDescent="0.25">
      <c r="A161" t="s">
        <v>182</v>
      </c>
      <c r="F161">
        <v>0.57548611111111114</v>
      </c>
      <c r="G161" t="s">
        <v>225</v>
      </c>
      <c r="H161">
        <v>0</v>
      </c>
      <c r="I161">
        <v>0.85</v>
      </c>
      <c r="J161" t="s">
        <v>226</v>
      </c>
      <c r="K161" t="s">
        <v>27</v>
      </c>
      <c r="L161">
        <v>1200.2560000000001</v>
      </c>
      <c r="M161">
        <v>1</v>
      </c>
      <c r="N161">
        <v>82015.625</v>
      </c>
      <c r="O161">
        <v>1.4634479710421033E-2</v>
      </c>
      <c r="P161">
        <v>0.35</v>
      </c>
    </row>
    <row r="162" spans="1:16" x14ac:dyDescent="0.25">
      <c r="A162" t="s">
        <v>183</v>
      </c>
      <c r="F162">
        <v>0.57743055555555556</v>
      </c>
      <c r="G162" t="s">
        <v>225</v>
      </c>
      <c r="H162">
        <v>0</v>
      </c>
      <c r="I162">
        <v>0.85</v>
      </c>
      <c r="J162" t="s">
        <v>226</v>
      </c>
      <c r="K162" t="s">
        <v>27</v>
      </c>
      <c r="L162">
        <v>999.84199999999998</v>
      </c>
      <c r="M162">
        <v>1</v>
      </c>
      <c r="N162">
        <v>83588.202999999994</v>
      </c>
      <c r="O162">
        <v>1.1961520455225003E-2</v>
      </c>
      <c r="P162">
        <v>0.34</v>
      </c>
    </row>
    <row r="163" spans="1:16" x14ac:dyDescent="0.25">
      <c r="A163" t="s">
        <v>184</v>
      </c>
      <c r="F163">
        <v>0.57929398148148148</v>
      </c>
      <c r="G163" t="s">
        <v>225</v>
      </c>
      <c r="H163">
        <v>0</v>
      </c>
      <c r="I163">
        <v>0.85</v>
      </c>
      <c r="J163" t="s">
        <v>226</v>
      </c>
      <c r="K163" t="s">
        <v>27</v>
      </c>
      <c r="L163">
        <v>913.25699999999995</v>
      </c>
      <c r="M163">
        <v>1</v>
      </c>
      <c r="N163">
        <v>80724.952999999994</v>
      </c>
      <c r="O163">
        <v>1.1313193331930463E-2</v>
      </c>
      <c r="P163">
        <v>0.34</v>
      </c>
    </row>
    <row r="164" spans="1:16" x14ac:dyDescent="0.25">
      <c r="A164" t="s">
        <v>185</v>
      </c>
      <c r="F164">
        <v>0.5811574074074074</v>
      </c>
      <c r="G164" t="s">
        <v>225</v>
      </c>
      <c r="H164">
        <v>0</v>
      </c>
      <c r="I164">
        <v>0.85</v>
      </c>
      <c r="J164" t="s">
        <v>226</v>
      </c>
      <c r="K164" t="s">
        <v>27</v>
      </c>
      <c r="L164">
        <v>1176.261</v>
      </c>
      <c r="M164">
        <v>1</v>
      </c>
      <c r="N164">
        <v>85890</v>
      </c>
      <c r="O164">
        <v>1.369497031086273E-2</v>
      </c>
      <c r="P164">
        <v>0.34</v>
      </c>
    </row>
    <row r="165" spans="1:16" x14ac:dyDescent="0.25">
      <c r="A165" t="s">
        <v>186</v>
      </c>
      <c r="F165">
        <v>0.58302083333333332</v>
      </c>
      <c r="G165" t="s">
        <v>225</v>
      </c>
      <c r="H165">
        <v>0</v>
      </c>
      <c r="I165">
        <v>0.85</v>
      </c>
      <c r="J165" t="s">
        <v>226</v>
      </c>
      <c r="K165" t="s">
        <v>27</v>
      </c>
      <c r="L165">
        <v>1142.797</v>
      </c>
      <c r="M165">
        <v>1</v>
      </c>
      <c r="N165">
        <v>87285.202999999994</v>
      </c>
      <c r="O165">
        <v>1.3092677346468452E-2</v>
      </c>
      <c r="P165">
        <v>0.34</v>
      </c>
    </row>
    <row r="166" spans="1:16" x14ac:dyDescent="0.25">
      <c r="A166" t="s">
        <v>187</v>
      </c>
      <c r="F166">
        <v>0.58489583333333328</v>
      </c>
      <c r="G166" t="s">
        <v>225</v>
      </c>
      <c r="H166">
        <v>0</v>
      </c>
      <c r="I166">
        <v>0.86</v>
      </c>
      <c r="J166" t="s">
        <v>226</v>
      </c>
      <c r="K166" t="s">
        <v>27</v>
      </c>
      <c r="L166">
        <v>76.349000000000004</v>
      </c>
      <c r="M166">
        <v>1</v>
      </c>
      <c r="N166">
        <v>266.41899999999998</v>
      </c>
      <c r="O166">
        <v>0.28657490644436023</v>
      </c>
      <c r="P166">
        <v>0.34</v>
      </c>
    </row>
    <row r="167" spans="1:16" x14ac:dyDescent="0.25">
      <c r="A167" t="s">
        <v>188</v>
      </c>
      <c r="F167">
        <v>0.58678240740740739</v>
      </c>
      <c r="G167" t="s">
        <v>225</v>
      </c>
      <c r="H167">
        <v>0</v>
      </c>
      <c r="I167">
        <v>0.86</v>
      </c>
      <c r="J167" t="s">
        <v>226</v>
      </c>
      <c r="K167" t="s">
        <v>27</v>
      </c>
      <c r="L167">
        <v>56.844999999999999</v>
      </c>
      <c r="M167">
        <v>1</v>
      </c>
      <c r="N167">
        <v>109.754</v>
      </c>
      <c r="O167">
        <v>0.51793100934817859</v>
      </c>
      <c r="P167">
        <v>0.33</v>
      </c>
    </row>
    <row r="168" spans="1:16" x14ac:dyDescent="0.25">
      <c r="A168" t="s">
        <v>189</v>
      </c>
      <c r="F168">
        <v>0.58876157407407403</v>
      </c>
      <c r="G168" t="s">
        <v>225</v>
      </c>
      <c r="H168">
        <v>0</v>
      </c>
      <c r="I168">
        <v>0.85</v>
      </c>
      <c r="J168" t="s">
        <v>226</v>
      </c>
      <c r="K168" t="s">
        <v>27</v>
      </c>
      <c r="L168">
        <v>1188.905</v>
      </c>
      <c r="M168">
        <v>1</v>
      </c>
      <c r="N168">
        <v>78006.75</v>
      </c>
      <c r="O168">
        <v>1.5241052857605271E-2</v>
      </c>
      <c r="P168">
        <v>0.35</v>
      </c>
    </row>
    <row r="169" spans="1:16" x14ac:dyDescent="0.25">
      <c r="A169" t="s">
        <v>190</v>
      </c>
      <c r="F169">
        <v>0.5907175925925926</v>
      </c>
      <c r="G169" t="s">
        <v>225</v>
      </c>
      <c r="H169">
        <v>0</v>
      </c>
      <c r="I169">
        <v>0.85</v>
      </c>
      <c r="J169" t="s">
        <v>226</v>
      </c>
      <c r="K169" t="s">
        <v>27</v>
      </c>
      <c r="L169">
        <v>1171.7449999999999</v>
      </c>
      <c r="M169">
        <v>1</v>
      </c>
      <c r="N169">
        <v>81092.922000000006</v>
      </c>
      <c r="O169">
        <v>1.4449411503509514E-2</v>
      </c>
      <c r="P169">
        <v>0.35</v>
      </c>
    </row>
    <row r="170" spans="1:16" x14ac:dyDescent="0.25">
      <c r="A170" t="s">
        <v>191</v>
      </c>
      <c r="F170">
        <v>0.59258101851851852</v>
      </c>
      <c r="G170" t="s">
        <v>225</v>
      </c>
      <c r="H170">
        <v>0</v>
      </c>
      <c r="I170">
        <v>0.85</v>
      </c>
      <c r="J170" t="s">
        <v>226</v>
      </c>
      <c r="K170" t="s">
        <v>27</v>
      </c>
      <c r="L170">
        <v>1174.182</v>
      </c>
      <c r="M170">
        <v>1</v>
      </c>
      <c r="N170">
        <v>78620.616999999998</v>
      </c>
      <c r="O170">
        <v>1.4934784854206882E-2</v>
      </c>
      <c r="P170">
        <v>0.34</v>
      </c>
    </row>
    <row r="171" spans="1:16" x14ac:dyDescent="0.25">
      <c r="A171" t="s">
        <v>192</v>
      </c>
      <c r="F171">
        <v>0.59444444444444444</v>
      </c>
      <c r="G171" t="s">
        <v>225</v>
      </c>
      <c r="H171">
        <v>0</v>
      </c>
      <c r="I171">
        <v>0.85</v>
      </c>
      <c r="J171" t="s">
        <v>226</v>
      </c>
      <c r="K171" t="s">
        <v>27</v>
      </c>
      <c r="L171">
        <v>1154.8610000000001</v>
      </c>
      <c r="M171">
        <v>1</v>
      </c>
      <c r="N171">
        <v>76617.766000000003</v>
      </c>
      <c r="O171">
        <v>1.5073018443268107E-2</v>
      </c>
      <c r="P171">
        <v>0.34</v>
      </c>
    </row>
    <row r="172" spans="1:16" x14ac:dyDescent="0.25">
      <c r="A172" t="s">
        <v>193</v>
      </c>
      <c r="F172">
        <v>0.59630787037037036</v>
      </c>
      <c r="G172" t="s">
        <v>225</v>
      </c>
      <c r="H172">
        <v>0</v>
      </c>
      <c r="I172">
        <v>0.86</v>
      </c>
      <c r="J172" t="s">
        <v>226</v>
      </c>
      <c r="K172" t="s">
        <v>27</v>
      </c>
      <c r="L172">
        <v>1151.53</v>
      </c>
      <c r="M172">
        <v>1</v>
      </c>
      <c r="N172">
        <v>79449.320000000007</v>
      </c>
      <c r="O172">
        <v>1.4493893717403747E-2</v>
      </c>
      <c r="P172">
        <v>0.35</v>
      </c>
    </row>
    <row r="173" spans="1:16" x14ac:dyDescent="0.25">
      <c r="A173" t="s">
        <v>194</v>
      </c>
      <c r="F173">
        <v>0.59819444444444447</v>
      </c>
      <c r="G173" t="s">
        <v>225</v>
      </c>
      <c r="H173">
        <v>0</v>
      </c>
      <c r="I173">
        <v>0.85</v>
      </c>
      <c r="J173" t="s">
        <v>226</v>
      </c>
      <c r="K173" t="s">
        <v>27</v>
      </c>
      <c r="L173">
        <v>1153.182</v>
      </c>
      <c r="M173">
        <v>1</v>
      </c>
      <c r="N173">
        <v>81529.766000000003</v>
      </c>
      <c r="O173">
        <v>1.414430651009105E-2</v>
      </c>
      <c r="P173">
        <v>0.34</v>
      </c>
    </row>
    <row r="174" spans="1:16" x14ac:dyDescent="0.25">
      <c r="A174" t="s">
        <v>195</v>
      </c>
      <c r="F174">
        <v>0.60005787037037039</v>
      </c>
      <c r="G174" t="s">
        <v>225</v>
      </c>
      <c r="H174">
        <v>0</v>
      </c>
      <c r="I174">
        <v>0.85</v>
      </c>
      <c r="J174" t="s">
        <v>226</v>
      </c>
      <c r="K174" t="s">
        <v>27</v>
      </c>
      <c r="L174">
        <v>1174.441</v>
      </c>
      <c r="M174">
        <v>1</v>
      </c>
      <c r="N174">
        <v>80463.766000000003</v>
      </c>
      <c r="O174">
        <v>1.4595898978926738E-2</v>
      </c>
      <c r="P174">
        <v>0.35</v>
      </c>
    </row>
    <row r="175" spans="1:16" x14ac:dyDescent="0.25">
      <c r="A175" t="s">
        <v>196</v>
      </c>
      <c r="F175">
        <v>0.60192129629629632</v>
      </c>
      <c r="G175" t="s">
        <v>225</v>
      </c>
      <c r="H175">
        <v>0</v>
      </c>
      <c r="I175">
        <v>0.85</v>
      </c>
      <c r="J175" t="s">
        <v>226</v>
      </c>
      <c r="K175" t="s">
        <v>27</v>
      </c>
      <c r="L175">
        <v>1151.5</v>
      </c>
      <c r="M175">
        <v>1</v>
      </c>
      <c r="N175">
        <v>81377.547000000006</v>
      </c>
      <c r="O175">
        <v>1.4150094742963927E-2</v>
      </c>
      <c r="P175">
        <v>0.35</v>
      </c>
    </row>
    <row r="176" spans="1:16" x14ac:dyDescent="0.25">
      <c r="A176" t="s">
        <v>197</v>
      </c>
      <c r="F176">
        <v>0.60380787037037031</v>
      </c>
      <c r="G176" t="s">
        <v>225</v>
      </c>
      <c r="H176">
        <v>0</v>
      </c>
      <c r="I176">
        <v>0.85</v>
      </c>
      <c r="J176" t="s">
        <v>226</v>
      </c>
      <c r="K176" t="s">
        <v>27</v>
      </c>
      <c r="L176">
        <v>1128.096</v>
      </c>
      <c r="M176">
        <v>1</v>
      </c>
      <c r="N176">
        <v>79696.797000000006</v>
      </c>
      <c r="O176">
        <v>1.4154847402462109E-2</v>
      </c>
      <c r="P176">
        <v>0.34</v>
      </c>
    </row>
    <row r="177" spans="1:19" x14ac:dyDescent="0.25">
      <c r="A177" t="s">
        <v>198</v>
      </c>
      <c r="F177">
        <v>0.60577546296296292</v>
      </c>
      <c r="G177" t="s">
        <v>225</v>
      </c>
      <c r="H177">
        <v>0</v>
      </c>
      <c r="I177">
        <v>0.86</v>
      </c>
      <c r="J177" t="s">
        <v>226</v>
      </c>
      <c r="K177" t="s">
        <v>27</v>
      </c>
      <c r="L177">
        <v>1108.57</v>
      </c>
      <c r="M177">
        <v>1</v>
      </c>
      <c r="N177">
        <v>80965.358999999997</v>
      </c>
      <c r="O177">
        <v>1.3691904954068072E-2</v>
      </c>
      <c r="P177">
        <v>0.35</v>
      </c>
    </row>
    <row r="178" spans="1:19" x14ac:dyDescent="0.25">
      <c r="A178" t="s">
        <v>199</v>
      </c>
      <c r="F178">
        <v>0.60774305555555552</v>
      </c>
      <c r="G178" t="s">
        <v>225</v>
      </c>
      <c r="H178">
        <v>0</v>
      </c>
      <c r="I178">
        <v>0.85</v>
      </c>
      <c r="J178" t="s">
        <v>226</v>
      </c>
      <c r="K178" t="s">
        <v>27</v>
      </c>
      <c r="L178">
        <v>1176.979</v>
      </c>
      <c r="M178">
        <v>1</v>
      </c>
      <c r="N178">
        <v>79312.156000000003</v>
      </c>
      <c r="O178">
        <v>1.4839831109874255E-2</v>
      </c>
      <c r="P178">
        <v>0.35</v>
      </c>
    </row>
    <row r="179" spans="1:19" x14ac:dyDescent="0.25">
      <c r="A179" t="s">
        <v>200</v>
      </c>
      <c r="F179">
        <v>0.60971064814814813</v>
      </c>
      <c r="G179" t="s">
        <v>225</v>
      </c>
      <c r="H179">
        <v>0</v>
      </c>
      <c r="I179">
        <v>0.85</v>
      </c>
      <c r="J179" t="s">
        <v>226</v>
      </c>
      <c r="K179" t="s">
        <v>27</v>
      </c>
      <c r="L179">
        <v>1246.9169999999999</v>
      </c>
      <c r="M179">
        <v>1</v>
      </c>
      <c r="N179">
        <v>78685.695000000007</v>
      </c>
      <c r="O179">
        <v>1.584680671626526E-2</v>
      </c>
      <c r="P179">
        <v>0.35</v>
      </c>
    </row>
    <row r="180" spans="1:19" x14ac:dyDescent="0.25">
      <c r="A180" t="s">
        <v>201</v>
      </c>
      <c r="F180">
        <v>0.61165509259259265</v>
      </c>
      <c r="G180" t="s">
        <v>225</v>
      </c>
      <c r="H180">
        <v>0</v>
      </c>
      <c r="I180">
        <v>0.85</v>
      </c>
      <c r="J180" t="s">
        <v>226</v>
      </c>
      <c r="K180" t="s">
        <v>27</v>
      </c>
      <c r="L180">
        <v>1154.116</v>
      </c>
      <c r="M180">
        <v>1</v>
      </c>
      <c r="N180">
        <v>77538.351999999999</v>
      </c>
      <c r="O180">
        <v>1.4884453566926468E-2</v>
      </c>
      <c r="P180">
        <v>0.34</v>
      </c>
    </row>
    <row r="181" spans="1:19" x14ac:dyDescent="0.25">
      <c r="A181" t="s">
        <v>202</v>
      </c>
      <c r="F181">
        <v>0.61353009259259261</v>
      </c>
      <c r="G181" t="s">
        <v>225</v>
      </c>
      <c r="H181">
        <v>0</v>
      </c>
      <c r="I181">
        <v>0.85</v>
      </c>
      <c r="J181" t="s">
        <v>226</v>
      </c>
      <c r="K181" t="s">
        <v>27</v>
      </c>
      <c r="L181">
        <v>1153.742</v>
      </c>
      <c r="M181">
        <v>1</v>
      </c>
      <c r="N181">
        <v>76484.452999999994</v>
      </c>
      <c r="O181">
        <v>1.5084660408043973E-2</v>
      </c>
      <c r="P181">
        <v>0.35</v>
      </c>
    </row>
    <row r="182" spans="1:19" x14ac:dyDescent="0.25">
      <c r="A182" t="s">
        <v>203</v>
      </c>
      <c r="F182">
        <v>0.61539351851851853</v>
      </c>
      <c r="G182" t="s">
        <v>225</v>
      </c>
      <c r="H182">
        <v>0</v>
      </c>
      <c r="I182">
        <v>0.85</v>
      </c>
      <c r="J182" t="s">
        <v>226</v>
      </c>
      <c r="K182" t="s">
        <v>27</v>
      </c>
      <c r="L182">
        <v>1124.922</v>
      </c>
      <c r="M182">
        <v>1</v>
      </c>
      <c r="N182">
        <v>77630.75</v>
      </c>
      <c r="O182">
        <v>1.449067540890691E-2</v>
      </c>
      <c r="P182">
        <v>0.34</v>
      </c>
    </row>
    <row r="183" spans="1:19" x14ac:dyDescent="0.25">
      <c r="A183" t="s">
        <v>204</v>
      </c>
      <c r="F183">
        <v>0.61725694444444446</v>
      </c>
      <c r="G183" t="s">
        <v>225</v>
      </c>
      <c r="H183">
        <v>0</v>
      </c>
      <c r="I183">
        <v>0.86</v>
      </c>
      <c r="J183" t="s">
        <v>226</v>
      </c>
      <c r="K183" t="s">
        <v>27</v>
      </c>
      <c r="L183">
        <v>1163.758</v>
      </c>
      <c r="M183">
        <v>1</v>
      </c>
      <c r="N183">
        <v>74698.75</v>
      </c>
      <c r="O183">
        <v>1.5579350390736125E-2</v>
      </c>
      <c r="P183">
        <v>0.35</v>
      </c>
    </row>
    <row r="184" spans="1:19" x14ac:dyDescent="0.25">
      <c r="A184" t="s">
        <v>205</v>
      </c>
      <c r="F184">
        <v>0.61913194444444442</v>
      </c>
      <c r="G184" t="s">
        <v>225</v>
      </c>
      <c r="H184">
        <v>0</v>
      </c>
      <c r="I184">
        <v>0.86</v>
      </c>
      <c r="J184" t="s">
        <v>226</v>
      </c>
      <c r="K184" t="s">
        <v>27</v>
      </c>
      <c r="L184">
        <v>1059.732</v>
      </c>
      <c r="M184">
        <v>1</v>
      </c>
      <c r="N184">
        <v>73690.656000000003</v>
      </c>
      <c r="O184">
        <v>1.4380819190970425E-2</v>
      </c>
      <c r="P184">
        <v>0.35</v>
      </c>
    </row>
    <row r="185" spans="1:19" x14ac:dyDescent="0.25">
      <c r="A185" t="s">
        <v>206</v>
      </c>
      <c r="F185">
        <v>0.62100694444444449</v>
      </c>
      <c r="G185" t="s">
        <v>225</v>
      </c>
      <c r="H185">
        <v>0</v>
      </c>
      <c r="I185">
        <v>0.85</v>
      </c>
      <c r="J185" t="s">
        <v>226</v>
      </c>
      <c r="K185" t="s">
        <v>27</v>
      </c>
      <c r="L185">
        <v>1156.232</v>
      </c>
      <c r="M185">
        <v>1</v>
      </c>
      <c r="N185">
        <v>75456.952999999994</v>
      </c>
      <c r="O185">
        <v>1.5323067709876915E-2</v>
      </c>
      <c r="P185">
        <v>0.35</v>
      </c>
    </row>
    <row r="186" spans="1:19" x14ac:dyDescent="0.25">
      <c r="A186" s="2" t="s">
        <v>207</v>
      </c>
      <c r="B186" s="2"/>
      <c r="C186" s="2"/>
      <c r="D186" s="2"/>
      <c r="E186" s="2"/>
      <c r="F186" s="2">
        <v>0.62288194444444445</v>
      </c>
      <c r="G186" s="2" t="s">
        <v>225</v>
      </c>
      <c r="H186" s="2">
        <v>0</v>
      </c>
      <c r="I186" s="2">
        <v>0.85</v>
      </c>
      <c r="J186" s="2" t="s">
        <v>226</v>
      </c>
      <c r="K186" s="2" t="s">
        <v>27</v>
      </c>
      <c r="L186" s="2">
        <v>1110.7380000000001</v>
      </c>
      <c r="M186" s="2">
        <v>1</v>
      </c>
      <c r="N186" s="2">
        <v>79055.422000000006</v>
      </c>
      <c r="O186" s="2">
        <v>1.4050117903361517E-2</v>
      </c>
      <c r="P186" s="2">
        <v>0.35</v>
      </c>
      <c r="Q186" s="2"/>
      <c r="R186" s="2"/>
      <c r="S186" s="2"/>
    </row>
    <row r="187" spans="1:19" x14ac:dyDescent="0.25">
      <c r="A187" s="2" t="s">
        <v>208</v>
      </c>
      <c r="B187" s="2"/>
      <c r="C187" s="2"/>
      <c r="D187" s="2"/>
      <c r="E187" s="2"/>
      <c r="F187" s="2">
        <v>0.62475694444444441</v>
      </c>
      <c r="G187" s="2" t="s">
        <v>225</v>
      </c>
      <c r="H187" s="2">
        <v>0</v>
      </c>
      <c r="I187" s="2">
        <v>0.85</v>
      </c>
      <c r="J187" s="2" t="s">
        <v>226</v>
      </c>
      <c r="K187" s="2" t="s">
        <v>27</v>
      </c>
      <c r="L187" s="2">
        <v>1146.663</v>
      </c>
      <c r="M187" s="2">
        <v>1</v>
      </c>
      <c r="N187" s="2">
        <v>79091.718999999997</v>
      </c>
      <c r="O187" s="2">
        <v>1.449788946931347E-2</v>
      </c>
      <c r="P187" s="2">
        <v>0.34</v>
      </c>
      <c r="Q187" s="2"/>
      <c r="R187" s="2"/>
      <c r="S187" s="2"/>
    </row>
    <row r="188" spans="1:19" x14ac:dyDescent="0.25">
      <c r="A188" t="s">
        <v>209</v>
      </c>
      <c r="F188">
        <v>0.62672453703703701</v>
      </c>
      <c r="G188" t="s">
        <v>225</v>
      </c>
      <c r="H188">
        <v>0</v>
      </c>
      <c r="I188">
        <v>0.85</v>
      </c>
      <c r="J188" t="s">
        <v>226</v>
      </c>
      <c r="K188" t="s">
        <v>27</v>
      </c>
      <c r="L188">
        <v>1136.1669999999999</v>
      </c>
      <c r="M188">
        <v>1</v>
      </c>
      <c r="N188">
        <v>77321.656000000003</v>
      </c>
      <c r="O188">
        <v>1.4694033454224001E-2</v>
      </c>
      <c r="P188">
        <v>0.35</v>
      </c>
    </row>
    <row r="189" spans="1:19" x14ac:dyDescent="0.25">
      <c r="A189" t="s">
        <v>210</v>
      </c>
      <c r="F189">
        <v>0.62858796296296293</v>
      </c>
      <c r="G189" t="s">
        <v>225</v>
      </c>
      <c r="H189">
        <v>0</v>
      </c>
      <c r="I189">
        <v>0.85</v>
      </c>
      <c r="J189" t="s">
        <v>226</v>
      </c>
      <c r="K189" t="s">
        <v>27</v>
      </c>
      <c r="L189">
        <v>1147.778</v>
      </c>
      <c r="M189">
        <v>1</v>
      </c>
      <c r="N189">
        <v>73440.116999999998</v>
      </c>
      <c r="O189">
        <v>1.5628760504289501E-2</v>
      </c>
      <c r="P189">
        <v>0.34</v>
      </c>
    </row>
    <row r="190" spans="1:19" x14ac:dyDescent="0.25">
      <c r="A190" t="s">
        <v>211</v>
      </c>
      <c r="F190">
        <v>0.63056712962962969</v>
      </c>
      <c r="G190" t="s">
        <v>225</v>
      </c>
      <c r="H190">
        <v>0</v>
      </c>
      <c r="I190">
        <v>0.85</v>
      </c>
      <c r="J190" t="s">
        <v>226</v>
      </c>
      <c r="K190" t="s">
        <v>27</v>
      </c>
      <c r="L190">
        <v>1044.5029999999999</v>
      </c>
      <c r="M190">
        <v>1</v>
      </c>
      <c r="N190">
        <v>77216.827999999994</v>
      </c>
      <c r="O190">
        <v>1.3526883026067841E-2</v>
      </c>
      <c r="P190">
        <v>0.34</v>
      </c>
    </row>
    <row r="191" spans="1:19" x14ac:dyDescent="0.25">
      <c r="A191" t="s">
        <v>212</v>
      </c>
      <c r="F191">
        <v>0.63240740740740742</v>
      </c>
      <c r="G191" t="s">
        <v>225</v>
      </c>
      <c r="H191">
        <v>0</v>
      </c>
      <c r="I191">
        <v>0.85</v>
      </c>
      <c r="J191" t="s">
        <v>226</v>
      </c>
      <c r="K191" t="s">
        <v>27</v>
      </c>
      <c r="L191">
        <v>1118.2719999999999</v>
      </c>
      <c r="M191">
        <v>1</v>
      </c>
      <c r="N191">
        <v>74267.241999999998</v>
      </c>
      <c r="O191">
        <v>1.5057405794064629E-2</v>
      </c>
      <c r="P191">
        <v>0.34</v>
      </c>
    </row>
    <row r="192" spans="1:19" x14ac:dyDescent="0.25">
      <c r="A192" t="s">
        <v>213</v>
      </c>
      <c r="F192">
        <v>0.63429398148148153</v>
      </c>
      <c r="G192" t="s">
        <v>225</v>
      </c>
      <c r="H192">
        <v>0</v>
      </c>
      <c r="I192">
        <v>0.86</v>
      </c>
      <c r="J192" t="s">
        <v>226</v>
      </c>
      <c r="K192" t="s">
        <v>27</v>
      </c>
      <c r="L192">
        <v>1133.5530000000001</v>
      </c>
      <c r="M192">
        <v>1</v>
      </c>
      <c r="N192">
        <v>77316.695000000007</v>
      </c>
      <c r="O192">
        <v>1.4661167293816686E-2</v>
      </c>
      <c r="P192">
        <v>0.35</v>
      </c>
    </row>
    <row r="193" spans="1:19" x14ac:dyDescent="0.25">
      <c r="A193" t="s">
        <v>214</v>
      </c>
      <c r="F193">
        <v>0.63615740740740734</v>
      </c>
      <c r="G193" t="s">
        <v>225</v>
      </c>
      <c r="H193">
        <v>0</v>
      </c>
      <c r="I193">
        <v>0.85</v>
      </c>
      <c r="J193" t="s">
        <v>226</v>
      </c>
      <c r="K193" t="s">
        <v>27</v>
      </c>
      <c r="L193">
        <v>1212.4639999999999</v>
      </c>
      <c r="M193">
        <v>1</v>
      </c>
      <c r="N193">
        <v>70950.452999999994</v>
      </c>
      <c r="O193">
        <v>1.7088883139336687E-2</v>
      </c>
      <c r="P193">
        <v>0.34</v>
      </c>
    </row>
    <row r="194" spans="1:19" x14ac:dyDescent="0.25">
      <c r="A194" t="s">
        <v>215</v>
      </c>
      <c r="F194">
        <v>0.63806712962962964</v>
      </c>
      <c r="G194" t="s">
        <v>225</v>
      </c>
      <c r="H194">
        <v>0</v>
      </c>
      <c r="I194">
        <v>0.85</v>
      </c>
      <c r="J194" t="s">
        <v>226</v>
      </c>
      <c r="K194" t="s">
        <v>27</v>
      </c>
      <c r="L194">
        <v>922.01099999999997</v>
      </c>
      <c r="M194">
        <v>1</v>
      </c>
      <c r="N194">
        <v>76658.133000000002</v>
      </c>
      <c r="O194">
        <v>1.2027569207822997E-2</v>
      </c>
      <c r="P194">
        <v>0.35</v>
      </c>
    </row>
    <row r="195" spans="1:19" x14ac:dyDescent="0.25">
      <c r="A195" t="s">
        <v>216</v>
      </c>
      <c r="F195">
        <v>0.6399421296296296</v>
      </c>
      <c r="G195" t="s">
        <v>225</v>
      </c>
      <c r="H195">
        <v>0</v>
      </c>
      <c r="I195">
        <v>0.85</v>
      </c>
      <c r="J195" t="s">
        <v>226</v>
      </c>
      <c r="K195" t="s">
        <v>27</v>
      </c>
      <c r="L195">
        <v>843.38599999999997</v>
      </c>
      <c r="M195">
        <v>1</v>
      </c>
      <c r="N195">
        <v>77482.891000000003</v>
      </c>
      <c r="O195">
        <v>1.0884802943142634E-2</v>
      </c>
      <c r="P195">
        <v>0.34</v>
      </c>
    </row>
    <row r="196" spans="1:19" x14ac:dyDescent="0.25">
      <c r="A196" t="s">
        <v>217</v>
      </c>
      <c r="F196">
        <v>0.64180555555555552</v>
      </c>
      <c r="G196" t="s">
        <v>225</v>
      </c>
      <c r="H196">
        <v>0</v>
      </c>
      <c r="I196">
        <v>0.85</v>
      </c>
      <c r="J196" t="s">
        <v>226</v>
      </c>
      <c r="K196" t="s">
        <v>27</v>
      </c>
      <c r="L196">
        <v>1174.953</v>
      </c>
      <c r="M196">
        <v>1</v>
      </c>
      <c r="N196">
        <v>81169.391000000003</v>
      </c>
      <c r="O196">
        <v>1.4475321121973183E-2</v>
      </c>
      <c r="P196">
        <v>0.34</v>
      </c>
    </row>
    <row r="197" spans="1:19" x14ac:dyDescent="0.25">
      <c r="A197" t="s">
        <v>218</v>
      </c>
      <c r="F197">
        <v>0.64368055555555559</v>
      </c>
      <c r="G197" t="s">
        <v>225</v>
      </c>
      <c r="H197">
        <v>0</v>
      </c>
      <c r="I197">
        <v>0.85</v>
      </c>
      <c r="J197" t="s">
        <v>226</v>
      </c>
      <c r="K197" t="s">
        <v>27</v>
      </c>
      <c r="L197">
        <v>1159.2850000000001</v>
      </c>
      <c r="M197">
        <v>1</v>
      </c>
      <c r="N197">
        <v>79876.843999999997</v>
      </c>
      <c r="O197">
        <v>1.451340516157599E-2</v>
      </c>
      <c r="P197">
        <v>0.34</v>
      </c>
    </row>
    <row r="198" spans="1:19" x14ac:dyDescent="0.25">
      <c r="A198" t="s">
        <v>219</v>
      </c>
      <c r="F198">
        <v>0.64554398148148151</v>
      </c>
      <c r="G198" t="s">
        <v>225</v>
      </c>
      <c r="H198">
        <v>0</v>
      </c>
      <c r="I198">
        <v>0.86</v>
      </c>
      <c r="J198" t="s">
        <v>226</v>
      </c>
      <c r="K198" t="s">
        <v>27</v>
      </c>
      <c r="L198">
        <v>95.344999999999999</v>
      </c>
      <c r="M198">
        <v>1</v>
      </c>
      <c r="N198">
        <v>199.23699999999999</v>
      </c>
      <c r="O198">
        <v>0.47855067080913688</v>
      </c>
      <c r="P198">
        <v>0.33</v>
      </c>
    </row>
    <row r="199" spans="1:19" x14ac:dyDescent="0.25">
      <c r="A199" t="s">
        <v>220</v>
      </c>
      <c r="F199">
        <v>0.64741898148148147</v>
      </c>
      <c r="G199" t="s">
        <v>225</v>
      </c>
      <c r="H199">
        <v>0</v>
      </c>
      <c r="I199">
        <v>0.85</v>
      </c>
      <c r="J199" t="s">
        <v>226</v>
      </c>
      <c r="K199" t="s">
        <v>27</v>
      </c>
      <c r="L199">
        <v>20.315000000000001</v>
      </c>
      <c r="M199">
        <v>1</v>
      </c>
      <c r="N199">
        <v>87.394999999999996</v>
      </c>
      <c r="O199">
        <v>0.23245036901424568</v>
      </c>
      <c r="P199">
        <v>0.46</v>
      </c>
    </row>
    <row r="200" spans="1:19" x14ac:dyDescent="0.25">
      <c r="A200" t="s">
        <v>19</v>
      </c>
      <c r="F200">
        <v>0</v>
      </c>
      <c r="G200" t="s">
        <v>229</v>
      </c>
      <c r="H200">
        <v>0</v>
      </c>
      <c r="I200">
        <v>0.86</v>
      </c>
      <c r="N200">
        <v>81.486000000000004</v>
      </c>
      <c r="O200">
        <v>0</v>
      </c>
    </row>
    <row r="201" spans="1:19" x14ac:dyDescent="0.25">
      <c r="A201" t="s">
        <v>22</v>
      </c>
      <c r="F201">
        <v>0</v>
      </c>
      <c r="G201" t="s">
        <v>229</v>
      </c>
      <c r="H201">
        <v>0</v>
      </c>
      <c r="I201">
        <v>0.86</v>
      </c>
      <c r="N201">
        <v>37.616999999999997</v>
      </c>
      <c r="O201">
        <v>0</v>
      </c>
    </row>
    <row r="202" spans="1:19" x14ac:dyDescent="0.25">
      <c r="A202" s="2" t="s">
        <v>23</v>
      </c>
      <c r="B202" s="2"/>
      <c r="C202" s="2"/>
      <c r="D202" s="2"/>
      <c r="E202" s="2"/>
      <c r="F202" s="2">
        <v>0.65523148148148147</v>
      </c>
      <c r="G202" s="2" t="s">
        <v>229</v>
      </c>
      <c r="H202" s="2">
        <v>0</v>
      </c>
      <c r="I202" s="2">
        <v>0.86</v>
      </c>
      <c r="J202" s="2" t="s">
        <v>230</v>
      </c>
      <c r="K202" s="2" t="s">
        <v>27</v>
      </c>
      <c r="L202" s="2">
        <v>24.391999999999999</v>
      </c>
      <c r="M202" s="2">
        <v>1</v>
      </c>
      <c r="N202" s="2">
        <v>101225.531</v>
      </c>
      <c r="O202" s="2">
        <v>2.4096687623204464E-4</v>
      </c>
      <c r="P202" s="2">
        <v>0.92</v>
      </c>
      <c r="Q202" s="2"/>
      <c r="R202" s="2"/>
      <c r="S202" s="2"/>
    </row>
    <row r="203" spans="1:19" x14ac:dyDescent="0.25">
      <c r="A203" s="2" t="s">
        <v>25</v>
      </c>
      <c r="B203" s="2"/>
      <c r="C203" s="2"/>
      <c r="D203" s="2"/>
      <c r="E203" s="2"/>
      <c r="F203" s="2">
        <v>0.65708333333333335</v>
      </c>
      <c r="G203" s="2" t="s">
        <v>229</v>
      </c>
      <c r="H203" s="2">
        <v>0</v>
      </c>
      <c r="I203" s="2">
        <v>0.86</v>
      </c>
      <c r="J203" s="2" t="s">
        <v>230</v>
      </c>
      <c r="K203" s="2" t="s">
        <v>27</v>
      </c>
      <c r="L203" s="2">
        <v>12.624000000000001</v>
      </c>
      <c r="M203" s="2">
        <v>1</v>
      </c>
      <c r="N203" s="2">
        <v>100985.69500000001</v>
      </c>
      <c r="O203" s="2">
        <v>1.2500780432317667E-4</v>
      </c>
      <c r="P203" s="2">
        <v>0.94</v>
      </c>
      <c r="Q203" s="2"/>
      <c r="R203" s="2"/>
      <c r="S203" s="2"/>
    </row>
    <row r="204" spans="1:19" x14ac:dyDescent="0.25">
      <c r="A204" s="2" t="s">
        <v>26</v>
      </c>
      <c r="B204" s="2"/>
      <c r="C204" s="2"/>
      <c r="D204" s="2"/>
      <c r="E204" s="2"/>
      <c r="F204" s="2">
        <v>0</v>
      </c>
      <c r="G204" s="2" t="s">
        <v>229</v>
      </c>
      <c r="H204" s="2">
        <v>0</v>
      </c>
      <c r="I204" s="2">
        <v>0.85</v>
      </c>
      <c r="J204" s="2"/>
      <c r="K204" s="2"/>
      <c r="L204" s="2"/>
      <c r="M204" s="2"/>
      <c r="N204" s="2">
        <v>95940.266000000003</v>
      </c>
      <c r="O204" s="2">
        <v>0</v>
      </c>
      <c r="P204" s="2"/>
      <c r="Q204" s="2"/>
      <c r="R204" s="2"/>
      <c r="S204" s="2"/>
    </row>
    <row r="205" spans="1:19" x14ac:dyDescent="0.25">
      <c r="A205" s="2" t="s">
        <v>28</v>
      </c>
      <c r="B205" s="2"/>
      <c r="C205" s="2"/>
      <c r="D205" s="2"/>
      <c r="E205" s="2"/>
      <c r="F205" s="2">
        <v>0</v>
      </c>
      <c r="G205" s="2" t="s">
        <v>229</v>
      </c>
      <c r="H205" s="2">
        <v>0</v>
      </c>
      <c r="I205" s="2">
        <v>0.85</v>
      </c>
      <c r="J205" s="2"/>
      <c r="K205" s="2"/>
      <c r="L205" s="2"/>
      <c r="M205" s="2"/>
      <c r="N205" s="2">
        <v>93786.812999999995</v>
      </c>
      <c r="O205" s="2">
        <v>0</v>
      </c>
      <c r="P205" s="2"/>
      <c r="Q205" s="2"/>
      <c r="R205" s="2"/>
      <c r="S205" s="2"/>
    </row>
    <row r="206" spans="1:19" x14ac:dyDescent="0.25">
      <c r="A206" t="s">
        <v>29</v>
      </c>
      <c r="F206">
        <v>0.6626967592592593</v>
      </c>
      <c r="G206" t="s">
        <v>229</v>
      </c>
      <c r="H206">
        <v>0</v>
      </c>
      <c r="I206">
        <v>0.86</v>
      </c>
      <c r="J206" t="s">
        <v>230</v>
      </c>
      <c r="M206">
        <v>1</v>
      </c>
      <c r="N206">
        <v>110901.508</v>
      </c>
      <c r="O206">
        <v>0</v>
      </c>
    </row>
    <row r="207" spans="1:19" x14ac:dyDescent="0.25">
      <c r="A207" t="s">
        <v>30</v>
      </c>
      <c r="F207">
        <v>0.66468749999999999</v>
      </c>
      <c r="G207" t="s">
        <v>229</v>
      </c>
      <c r="H207">
        <v>0</v>
      </c>
      <c r="I207">
        <v>0.86</v>
      </c>
      <c r="J207" t="s">
        <v>230</v>
      </c>
      <c r="K207" t="s">
        <v>27</v>
      </c>
      <c r="L207">
        <v>16.527000000000001</v>
      </c>
      <c r="M207">
        <v>1</v>
      </c>
      <c r="N207">
        <v>107494.43</v>
      </c>
      <c r="O207">
        <v>1.5374750114959446E-4</v>
      </c>
      <c r="P207">
        <v>0.94</v>
      </c>
    </row>
    <row r="208" spans="1:19" x14ac:dyDescent="0.25">
      <c r="A208" t="s">
        <v>31</v>
      </c>
      <c r="F208">
        <v>0.66664351851851855</v>
      </c>
      <c r="G208" t="s">
        <v>229</v>
      </c>
      <c r="H208">
        <v>0</v>
      </c>
      <c r="I208">
        <v>0.86</v>
      </c>
      <c r="J208" t="s">
        <v>230</v>
      </c>
      <c r="K208" t="s">
        <v>27</v>
      </c>
      <c r="L208">
        <v>33.582000000000001</v>
      </c>
      <c r="M208">
        <v>1</v>
      </c>
      <c r="N208">
        <v>112203.008</v>
      </c>
      <c r="O208">
        <v>2.9929678890605144E-4</v>
      </c>
      <c r="P208">
        <v>0.98</v>
      </c>
    </row>
    <row r="209" spans="1:16" x14ac:dyDescent="0.25">
      <c r="A209" t="s">
        <v>32</v>
      </c>
      <c r="F209">
        <v>0.66863425925925923</v>
      </c>
      <c r="G209" t="s">
        <v>229</v>
      </c>
      <c r="H209">
        <v>0</v>
      </c>
      <c r="I209">
        <v>0.86</v>
      </c>
      <c r="J209" t="s">
        <v>230</v>
      </c>
      <c r="K209" t="s">
        <v>27</v>
      </c>
      <c r="L209">
        <v>59.78</v>
      </c>
      <c r="M209">
        <v>1</v>
      </c>
      <c r="N209">
        <v>111875.18799999999</v>
      </c>
      <c r="O209">
        <v>5.3434547077587931E-4</v>
      </c>
      <c r="P209">
        <v>0.95</v>
      </c>
    </row>
    <row r="210" spans="1:16" x14ac:dyDescent="0.25">
      <c r="A210" t="s">
        <v>33</v>
      </c>
      <c r="F210">
        <v>0.6705902777777778</v>
      </c>
      <c r="G210" t="s">
        <v>229</v>
      </c>
      <c r="H210">
        <v>0</v>
      </c>
      <c r="I210">
        <v>0.86</v>
      </c>
      <c r="J210" t="s">
        <v>230</v>
      </c>
      <c r="K210" t="s">
        <v>27</v>
      </c>
      <c r="L210">
        <v>30.946000000000002</v>
      </c>
      <c r="M210">
        <v>1</v>
      </c>
      <c r="N210">
        <v>110901.81299999999</v>
      </c>
      <c r="O210">
        <v>2.7903962219265072E-4</v>
      </c>
      <c r="P210">
        <v>0.91</v>
      </c>
    </row>
    <row r="211" spans="1:16" x14ac:dyDescent="0.25">
      <c r="A211" t="s">
        <v>34</v>
      </c>
      <c r="F211">
        <v>0.6725578703703704</v>
      </c>
      <c r="G211" t="s">
        <v>229</v>
      </c>
      <c r="H211">
        <v>0</v>
      </c>
      <c r="I211">
        <v>0.86</v>
      </c>
      <c r="J211" t="s">
        <v>230</v>
      </c>
      <c r="K211" t="s">
        <v>27</v>
      </c>
      <c r="L211">
        <v>22.251999999999999</v>
      </c>
      <c r="M211">
        <v>1</v>
      </c>
      <c r="N211">
        <v>110473.492</v>
      </c>
      <c r="O211">
        <v>2.0142388546928524E-4</v>
      </c>
      <c r="P211">
        <v>0.98</v>
      </c>
    </row>
    <row r="212" spans="1:16" x14ac:dyDescent="0.25">
      <c r="A212" t="s">
        <v>35</v>
      </c>
      <c r="F212">
        <v>0.67451388888888886</v>
      </c>
      <c r="G212" t="s">
        <v>229</v>
      </c>
      <c r="H212">
        <v>0</v>
      </c>
      <c r="I212">
        <v>0.86</v>
      </c>
      <c r="J212" t="s">
        <v>230</v>
      </c>
      <c r="M212">
        <v>1</v>
      </c>
      <c r="N212">
        <v>115292.648</v>
      </c>
      <c r="O212">
        <v>0</v>
      </c>
    </row>
    <row r="213" spans="1:16" x14ac:dyDescent="0.25">
      <c r="A213" t="s">
        <v>36</v>
      </c>
      <c r="F213">
        <v>0.67648148148148157</v>
      </c>
      <c r="G213" t="s">
        <v>229</v>
      </c>
      <c r="H213">
        <v>0</v>
      </c>
      <c r="I213">
        <v>0.86</v>
      </c>
      <c r="J213" t="s">
        <v>230</v>
      </c>
      <c r="M213">
        <v>1</v>
      </c>
      <c r="N213">
        <v>111619.56299999999</v>
      </c>
      <c r="O213">
        <v>0</v>
      </c>
    </row>
    <row r="214" spans="1:16" x14ac:dyDescent="0.25">
      <c r="A214" t="s">
        <v>37</v>
      </c>
      <c r="F214">
        <v>0.67843749999999992</v>
      </c>
      <c r="G214" t="s">
        <v>229</v>
      </c>
      <c r="H214">
        <v>0</v>
      </c>
      <c r="I214">
        <v>0.86</v>
      </c>
      <c r="J214" t="s">
        <v>230</v>
      </c>
      <c r="M214">
        <v>1</v>
      </c>
      <c r="N214">
        <v>113838.43799999999</v>
      </c>
      <c r="O214">
        <v>0</v>
      </c>
    </row>
    <row r="215" spans="1:16" x14ac:dyDescent="0.25">
      <c r="A215" t="s">
        <v>38</v>
      </c>
      <c r="F215">
        <v>0.68040509259259263</v>
      </c>
      <c r="G215" t="s">
        <v>229</v>
      </c>
      <c r="H215">
        <v>0</v>
      </c>
      <c r="I215">
        <v>0.86</v>
      </c>
      <c r="J215" t="s">
        <v>230</v>
      </c>
      <c r="K215" t="s">
        <v>27</v>
      </c>
      <c r="L215">
        <v>33.716000000000001</v>
      </c>
      <c r="M215">
        <v>1</v>
      </c>
      <c r="N215">
        <v>115682.109</v>
      </c>
      <c r="O215">
        <v>2.9145388419569702E-4</v>
      </c>
      <c r="P215">
        <v>0.97</v>
      </c>
    </row>
    <row r="216" spans="1:16" x14ac:dyDescent="0.25">
      <c r="A216" t="s">
        <v>39</v>
      </c>
      <c r="F216">
        <v>0.68228009259259259</v>
      </c>
      <c r="G216" t="s">
        <v>229</v>
      </c>
      <c r="H216">
        <v>0</v>
      </c>
      <c r="I216">
        <v>0.86</v>
      </c>
      <c r="J216" t="s">
        <v>230</v>
      </c>
      <c r="M216">
        <v>1</v>
      </c>
      <c r="N216">
        <v>114083.766</v>
      </c>
      <c r="O216">
        <v>0</v>
      </c>
    </row>
    <row r="217" spans="1:16" x14ac:dyDescent="0.25">
      <c r="A217" t="s">
        <v>40</v>
      </c>
      <c r="F217">
        <v>0.68425925925925923</v>
      </c>
      <c r="G217" t="s">
        <v>229</v>
      </c>
      <c r="H217">
        <v>0</v>
      </c>
      <c r="I217">
        <v>0.86</v>
      </c>
      <c r="J217" t="s">
        <v>230</v>
      </c>
      <c r="M217">
        <v>1</v>
      </c>
      <c r="N217">
        <v>112092.19500000001</v>
      </c>
      <c r="O217">
        <v>0</v>
      </c>
    </row>
    <row r="218" spans="1:16" x14ac:dyDescent="0.25">
      <c r="A218" t="s">
        <v>41</v>
      </c>
      <c r="F218">
        <v>0.6862152777777778</v>
      </c>
      <c r="G218" t="s">
        <v>229</v>
      </c>
      <c r="H218">
        <v>0</v>
      </c>
      <c r="I218">
        <v>0.86</v>
      </c>
      <c r="J218" t="s">
        <v>230</v>
      </c>
      <c r="K218" t="s">
        <v>27</v>
      </c>
      <c r="L218">
        <v>5.6020000000000003</v>
      </c>
      <c r="M218">
        <v>1</v>
      </c>
      <c r="N218">
        <v>109805.56299999999</v>
      </c>
      <c r="O218">
        <v>5.1017451638584105E-5</v>
      </c>
      <c r="P218">
        <v>0.96</v>
      </c>
    </row>
    <row r="219" spans="1:16" x14ac:dyDescent="0.25">
      <c r="A219" t="s">
        <v>42</v>
      </c>
      <c r="F219">
        <v>0.68817129629629636</v>
      </c>
      <c r="G219" t="s">
        <v>229</v>
      </c>
      <c r="H219">
        <v>0</v>
      </c>
      <c r="I219">
        <v>0.86</v>
      </c>
      <c r="J219" t="s">
        <v>230</v>
      </c>
      <c r="K219" t="s">
        <v>27</v>
      </c>
      <c r="L219">
        <v>12.391</v>
      </c>
      <c r="M219">
        <v>1</v>
      </c>
      <c r="N219">
        <v>105521.125</v>
      </c>
      <c r="O219">
        <v>1.1742672379582762E-4</v>
      </c>
      <c r="P219">
        <v>0.96</v>
      </c>
    </row>
    <row r="220" spans="1:16" x14ac:dyDescent="0.25">
      <c r="A220" t="s">
        <v>43</v>
      </c>
      <c r="F220">
        <v>0.69003472222222229</v>
      </c>
      <c r="G220" t="s">
        <v>229</v>
      </c>
      <c r="H220">
        <v>0</v>
      </c>
      <c r="I220">
        <v>0.86</v>
      </c>
      <c r="J220" t="s">
        <v>230</v>
      </c>
      <c r="K220" t="s">
        <v>27</v>
      </c>
      <c r="L220">
        <v>26.899000000000001</v>
      </c>
      <c r="M220">
        <v>1</v>
      </c>
      <c r="N220">
        <v>117415.531</v>
      </c>
      <c r="O220">
        <v>2.2909235065333904E-4</v>
      </c>
      <c r="P220">
        <v>0.9</v>
      </c>
    </row>
    <row r="221" spans="1:16" x14ac:dyDescent="0.25">
      <c r="A221" t="s">
        <v>44</v>
      </c>
      <c r="F221">
        <v>0.6918981481481481</v>
      </c>
      <c r="G221" t="s">
        <v>229</v>
      </c>
      <c r="H221">
        <v>0</v>
      </c>
      <c r="I221">
        <v>0.86</v>
      </c>
      <c r="J221" t="s">
        <v>230</v>
      </c>
      <c r="M221">
        <v>1</v>
      </c>
      <c r="N221">
        <v>118949.492</v>
      </c>
      <c r="O221">
        <v>0</v>
      </c>
    </row>
    <row r="222" spans="1:16" x14ac:dyDescent="0.25">
      <c r="A222" t="s">
        <v>45</v>
      </c>
      <c r="F222">
        <v>0.69377314814814817</v>
      </c>
      <c r="G222" t="s">
        <v>229</v>
      </c>
      <c r="H222">
        <v>0</v>
      </c>
      <c r="I222">
        <v>0.86</v>
      </c>
      <c r="J222" t="s">
        <v>230</v>
      </c>
      <c r="K222" t="s">
        <v>27</v>
      </c>
      <c r="L222">
        <v>74.837000000000003</v>
      </c>
      <c r="M222">
        <v>1</v>
      </c>
      <c r="N222">
        <v>115439.04700000001</v>
      </c>
      <c r="O222">
        <v>6.4828151258040098E-4</v>
      </c>
      <c r="P222">
        <v>0.96</v>
      </c>
    </row>
    <row r="223" spans="1:16" x14ac:dyDescent="0.25">
      <c r="A223" t="s">
        <v>46</v>
      </c>
      <c r="F223">
        <v>0.69563657407407409</v>
      </c>
      <c r="G223" t="s">
        <v>229</v>
      </c>
      <c r="H223">
        <v>0</v>
      </c>
      <c r="I223">
        <v>0.86</v>
      </c>
      <c r="J223" t="s">
        <v>230</v>
      </c>
      <c r="M223">
        <v>1</v>
      </c>
      <c r="N223">
        <v>120355.344</v>
      </c>
      <c r="O223">
        <v>0</v>
      </c>
    </row>
    <row r="224" spans="1:16" x14ac:dyDescent="0.25">
      <c r="A224" t="s">
        <v>47</v>
      </c>
      <c r="F224">
        <v>0.69751157407407405</v>
      </c>
      <c r="G224" t="s">
        <v>229</v>
      </c>
      <c r="H224">
        <v>0</v>
      </c>
      <c r="I224">
        <v>0.86</v>
      </c>
      <c r="J224" t="s">
        <v>230</v>
      </c>
      <c r="M224">
        <v>1</v>
      </c>
      <c r="N224">
        <v>119755.094</v>
      </c>
      <c r="O224">
        <v>0</v>
      </c>
    </row>
    <row r="225" spans="1:19" x14ac:dyDescent="0.25">
      <c r="A225" t="s">
        <v>48</v>
      </c>
      <c r="F225">
        <v>0.69938657407407412</v>
      </c>
      <c r="G225" t="s">
        <v>229</v>
      </c>
      <c r="H225">
        <v>0</v>
      </c>
      <c r="I225">
        <v>0.86</v>
      </c>
      <c r="J225" t="s">
        <v>230</v>
      </c>
      <c r="K225" t="s">
        <v>27</v>
      </c>
      <c r="L225">
        <v>88.905000000000001</v>
      </c>
      <c r="M225">
        <v>1</v>
      </c>
      <c r="N225">
        <v>120245.961</v>
      </c>
      <c r="O225">
        <v>7.3935955320777883E-4</v>
      </c>
      <c r="P225">
        <v>0.99</v>
      </c>
    </row>
    <row r="226" spans="1:19" x14ac:dyDescent="0.25">
      <c r="A226" t="s">
        <v>49</v>
      </c>
      <c r="F226">
        <v>0.70124999999999993</v>
      </c>
      <c r="G226" t="s">
        <v>229</v>
      </c>
      <c r="H226">
        <v>0</v>
      </c>
      <c r="I226">
        <v>0.86</v>
      </c>
      <c r="J226" t="s">
        <v>230</v>
      </c>
      <c r="K226" t="s">
        <v>27</v>
      </c>
      <c r="L226">
        <v>14.584</v>
      </c>
      <c r="M226">
        <v>1</v>
      </c>
      <c r="N226">
        <v>117114.414</v>
      </c>
      <c r="O226">
        <v>1.2452779723595765E-4</v>
      </c>
      <c r="P226">
        <v>0.99</v>
      </c>
    </row>
    <row r="227" spans="1:19" x14ac:dyDescent="0.25">
      <c r="A227" t="s">
        <v>50</v>
      </c>
      <c r="F227">
        <v>0.703125</v>
      </c>
      <c r="G227" t="s">
        <v>229</v>
      </c>
      <c r="H227">
        <v>0</v>
      </c>
      <c r="I227">
        <v>0.86</v>
      </c>
      <c r="J227" t="s">
        <v>230</v>
      </c>
      <c r="M227">
        <v>1</v>
      </c>
      <c r="N227">
        <v>115817.31299999999</v>
      </c>
      <c r="O227">
        <v>0</v>
      </c>
    </row>
    <row r="228" spans="1:19" x14ac:dyDescent="0.25">
      <c r="A228" t="s">
        <v>51</v>
      </c>
      <c r="F228">
        <v>0.70498842592592592</v>
      </c>
      <c r="G228" t="s">
        <v>229</v>
      </c>
      <c r="H228">
        <v>0</v>
      </c>
      <c r="I228">
        <v>0.86</v>
      </c>
      <c r="J228" t="s">
        <v>230</v>
      </c>
      <c r="M228">
        <v>1</v>
      </c>
      <c r="N228">
        <v>118291.25</v>
      </c>
      <c r="O228">
        <v>0</v>
      </c>
    </row>
    <row r="229" spans="1:19" x14ac:dyDescent="0.25">
      <c r="A229" t="s">
        <v>52</v>
      </c>
      <c r="F229">
        <v>0.70686342592592588</v>
      </c>
      <c r="G229" t="s">
        <v>229</v>
      </c>
      <c r="H229">
        <v>0</v>
      </c>
      <c r="I229">
        <v>0.86</v>
      </c>
      <c r="J229" t="s">
        <v>230</v>
      </c>
      <c r="K229" t="s">
        <v>27</v>
      </c>
      <c r="L229">
        <v>57.447000000000003</v>
      </c>
      <c r="M229">
        <v>1</v>
      </c>
      <c r="N229">
        <v>118831.18</v>
      </c>
      <c r="O229">
        <v>4.8343372505431663E-4</v>
      </c>
      <c r="P229">
        <v>0.94</v>
      </c>
    </row>
    <row r="230" spans="1:19" x14ac:dyDescent="0.25">
      <c r="A230" t="s">
        <v>53</v>
      </c>
      <c r="F230">
        <v>0.7087268518518518</v>
      </c>
      <c r="G230" t="s">
        <v>229</v>
      </c>
      <c r="H230">
        <v>0</v>
      </c>
      <c r="I230">
        <v>0.86</v>
      </c>
      <c r="J230" t="s">
        <v>230</v>
      </c>
      <c r="K230" t="s">
        <v>27</v>
      </c>
      <c r="L230">
        <v>25.423999999999999</v>
      </c>
      <c r="M230">
        <v>1</v>
      </c>
      <c r="N230">
        <v>118848.914</v>
      </c>
      <c r="O230">
        <v>2.1391865642121053E-4</v>
      </c>
      <c r="P230">
        <v>0.96</v>
      </c>
    </row>
    <row r="231" spans="1:19" x14ac:dyDescent="0.25">
      <c r="A231" t="s">
        <v>54</v>
      </c>
      <c r="F231">
        <v>0.7106365740740741</v>
      </c>
      <c r="G231" t="s">
        <v>229</v>
      </c>
      <c r="H231">
        <v>0</v>
      </c>
      <c r="I231">
        <v>0.86</v>
      </c>
      <c r="J231" t="s">
        <v>230</v>
      </c>
      <c r="K231" t="s">
        <v>27</v>
      </c>
      <c r="L231">
        <v>9.8049999999999997</v>
      </c>
      <c r="M231">
        <v>1</v>
      </c>
      <c r="N231">
        <v>115702.79700000001</v>
      </c>
      <c r="O231">
        <v>8.4742981623858231E-5</v>
      </c>
      <c r="P231">
        <v>0.97</v>
      </c>
    </row>
    <row r="232" spans="1:19" x14ac:dyDescent="0.25">
      <c r="A232" t="s">
        <v>55</v>
      </c>
      <c r="F232">
        <v>0.71247685185185183</v>
      </c>
      <c r="G232" t="s">
        <v>229</v>
      </c>
      <c r="H232">
        <v>0</v>
      </c>
      <c r="I232">
        <v>0.86</v>
      </c>
      <c r="J232" t="s">
        <v>230</v>
      </c>
      <c r="K232" t="s">
        <v>27</v>
      </c>
      <c r="L232">
        <v>23.6</v>
      </c>
      <c r="M232">
        <v>1</v>
      </c>
      <c r="N232">
        <v>115619.141</v>
      </c>
      <c r="O232">
        <v>2.0411845128653916E-4</v>
      </c>
      <c r="P232">
        <v>0.97</v>
      </c>
    </row>
    <row r="233" spans="1:19" x14ac:dyDescent="0.25">
      <c r="A233" t="s">
        <v>56</v>
      </c>
      <c r="F233">
        <v>0.71434027777777775</v>
      </c>
      <c r="G233" t="s">
        <v>229</v>
      </c>
      <c r="H233">
        <v>0</v>
      </c>
      <c r="I233">
        <v>0.86</v>
      </c>
      <c r="J233" t="s">
        <v>230</v>
      </c>
      <c r="K233" t="s">
        <v>27</v>
      </c>
      <c r="L233">
        <v>17.427</v>
      </c>
      <c r="M233">
        <v>1</v>
      </c>
      <c r="N233">
        <v>117289.30499999999</v>
      </c>
      <c r="O233">
        <v>1.4858132205660185E-4</v>
      </c>
      <c r="P233">
        <v>0.9</v>
      </c>
    </row>
    <row r="234" spans="1:19" x14ac:dyDescent="0.25">
      <c r="A234" s="2" t="s">
        <v>57</v>
      </c>
      <c r="B234" s="2"/>
      <c r="C234" s="2"/>
      <c r="D234" s="2"/>
      <c r="E234" s="2"/>
      <c r="F234" s="2">
        <v>0.71621527777777771</v>
      </c>
      <c r="G234" s="2" t="s">
        <v>229</v>
      </c>
      <c r="H234" s="2">
        <v>0</v>
      </c>
      <c r="I234" s="2">
        <v>0.86</v>
      </c>
      <c r="J234" s="2" t="s">
        <v>230</v>
      </c>
      <c r="K234" s="2" t="s">
        <v>27</v>
      </c>
      <c r="L234" s="2">
        <v>2963.0059999999999</v>
      </c>
      <c r="M234" s="2">
        <v>1</v>
      </c>
      <c r="N234" s="2">
        <v>123942.023</v>
      </c>
      <c r="O234" s="2">
        <v>2.3906387263018934E-2</v>
      </c>
      <c r="P234" s="2">
        <v>0.92</v>
      </c>
      <c r="Q234" s="2"/>
      <c r="R234" s="2"/>
      <c r="S234" s="2"/>
    </row>
    <row r="235" spans="1:19" x14ac:dyDescent="0.25">
      <c r="A235" s="2" t="s">
        <v>58</v>
      </c>
      <c r="B235" s="2"/>
      <c r="C235" s="2"/>
      <c r="D235" s="2"/>
      <c r="E235" s="2"/>
      <c r="F235" s="2">
        <v>0.71809027777777779</v>
      </c>
      <c r="G235" s="2" t="s">
        <v>229</v>
      </c>
      <c r="H235" s="2">
        <v>0</v>
      </c>
      <c r="I235" s="2">
        <v>0.86</v>
      </c>
      <c r="J235" s="2" t="s">
        <v>230</v>
      </c>
      <c r="K235" s="2" t="s">
        <v>27</v>
      </c>
      <c r="L235" s="2">
        <v>2206.0650000000001</v>
      </c>
      <c r="M235" s="2">
        <v>1</v>
      </c>
      <c r="N235" s="2">
        <v>117239.648</v>
      </c>
      <c r="O235" s="2">
        <v>1.8816714632237722E-2</v>
      </c>
      <c r="P235" s="2">
        <v>0.92</v>
      </c>
      <c r="Q235" s="2"/>
      <c r="R235" s="2"/>
      <c r="S235" s="2"/>
    </row>
    <row r="236" spans="1:19" x14ac:dyDescent="0.25">
      <c r="A236" t="s">
        <v>59</v>
      </c>
      <c r="F236">
        <v>0.71995370370370371</v>
      </c>
      <c r="G236" t="s">
        <v>229</v>
      </c>
      <c r="H236">
        <v>0</v>
      </c>
      <c r="I236">
        <v>0.86</v>
      </c>
      <c r="J236" t="s">
        <v>230</v>
      </c>
      <c r="K236" t="s">
        <v>27</v>
      </c>
      <c r="L236">
        <v>40.752000000000002</v>
      </c>
      <c r="M236">
        <v>1</v>
      </c>
      <c r="N236">
        <v>209.88499999999999</v>
      </c>
      <c r="O236">
        <v>0.19416347047192511</v>
      </c>
      <c r="P236">
        <v>0.92</v>
      </c>
    </row>
    <row r="237" spans="1:19" x14ac:dyDescent="0.25">
      <c r="A237" t="s">
        <v>60</v>
      </c>
      <c r="F237">
        <v>0.72182870370370367</v>
      </c>
      <c r="G237" t="s">
        <v>229</v>
      </c>
      <c r="H237">
        <v>0</v>
      </c>
      <c r="I237">
        <v>0.87</v>
      </c>
      <c r="J237" t="s">
        <v>230</v>
      </c>
      <c r="K237" t="s">
        <v>27</v>
      </c>
      <c r="L237">
        <v>2.9580000000000002</v>
      </c>
      <c r="M237">
        <v>1</v>
      </c>
      <c r="N237">
        <v>3.3149999999999999</v>
      </c>
      <c r="O237">
        <v>0.89230769230769236</v>
      </c>
      <c r="P237">
        <v>1.01</v>
      </c>
    </row>
    <row r="238" spans="1:19" x14ac:dyDescent="0.25">
      <c r="A238" t="s">
        <v>61</v>
      </c>
      <c r="F238">
        <v>0.72369212962962959</v>
      </c>
      <c r="G238" t="s">
        <v>229</v>
      </c>
      <c r="H238">
        <v>0</v>
      </c>
      <c r="I238">
        <v>0.86</v>
      </c>
      <c r="J238" t="s">
        <v>230</v>
      </c>
      <c r="M238">
        <v>1</v>
      </c>
      <c r="N238">
        <v>113660.352</v>
      </c>
      <c r="O238">
        <v>0</v>
      </c>
    </row>
    <row r="239" spans="1:19" x14ac:dyDescent="0.25">
      <c r="A239" t="s">
        <v>62</v>
      </c>
      <c r="F239">
        <v>0.72556712962962966</v>
      </c>
      <c r="G239" t="s">
        <v>229</v>
      </c>
      <c r="H239">
        <v>0</v>
      </c>
      <c r="I239">
        <v>0.86</v>
      </c>
      <c r="J239" t="s">
        <v>230</v>
      </c>
      <c r="K239" t="s">
        <v>27</v>
      </c>
      <c r="L239">
        <v>31.449000000000002</v>
      </c>
      <c r="M239">
        <v>1</v>
      </c>
      <c r="N239">
        <v>115519.04700000001</v>
      </c>
      <c r="O239">
        <v>2.7224081929969523E-4</v>
      </c>
      <c r="P239">
        <v>0.98</v>
      </c>
    </row>
    <row r="240" spans="1:19" x14ac:dyDescent="0.25">
      <c r="A240" t="s">
        <v>63</v>
      </c>
      <c r="F240">
        <v>0.72746527777777781</v>
      </c>
      <c r="G240" t="s">
        <v>229</v>
      </c>
      <c r="H240">
        <v>0</v>
      </c>
      <c r="I240">
        <v>0.86</v>
      </c>
      <c r="J240" t="s">
        <v>230</v>
      </c>
      <c r="K240" t="s">
        <v>27</v>
      </c>
      <c r="L240">
        <v>1.427</v>
      </c>
      <c r="M240">
        <v>1</v>
      </c>
      <c r="N240">
        <v>114009.516</v>
      </c>
      <c r="O240">
        <v>1.2516499061359053E-5</v>
      </c>
      <c r="P240">
        <v>0.97</v>
      </c>
    </row>
    <row r="241" spans="1:16" x14ac:dyDescent="0.25">
      <c r="A241" t="s">
        <v>64</v>
      </c>
      <c r="F241">
        <v>0.72931712962962969</v>
      </c>
      <c r="G241" t="s">
        <v>229</v>
      </c>
      <c r="H241">
        <v>0</v>
      </c>
      <c r="I241">
        <v>0.86</v>
      </c>
      <c r="J241" t="s">
        <v>230</v>
      </c>
      <c r="K241" t="s">
        <v>27</v>
      </c>
      <c r="L241">
        <v>2.0190000000000001</v>
      </c>
      <c r="M241">
        <v>1</v>
      </c>
      <c r="N241">
        <v>113238.109</v>
      </c>
      <c r="O241">
        <v>1.7829686647275258E-5</v>
      </c>
      <c r="P241">
        <v>0.99</v>
      </c>
    </row>
    <row r="242" spans="1:16" x14ac:dyDescent="0.25">
      <c r="A242" t="s">
        <v>65</v>
      </c>
      <c r="F242">
        <v>0.73129629629629633</v>
      </c>
      <c r="G242" t="s">
        <v>229</v>
      </c>
      <c r="H242">
        <v>0</v>
      </c>
      <c r="I242">
        <v>0.86</v>
      </c>
      <c r="J242" t="s">
        <v>230</v>
      </c>
      <c r="K242" t="s">
        <v>27</v>
      </c>
      <c r="L242">
        <v>39.515999999999998</v>
      </c>
      <c r="M242">
        <v>1</v>
      </c>
      <c r="N242">
        <v>116292.07799999999</v>
      </c>
      <c r="O242">
        <v>3.3979958634843552E-4</v>
      </c>
      <c r="P242">
        <v>0.9</v>
      </c>
    </row>
    <row r="243" spans="1:16" x14ac:dyDescent="0.25">
      <c r="A243" t="s">
        <v>66</v>
      </c>
      <c r="F243">
        <v>0.73326388888888883</v>
      </c>
      <c r="G243" t="s">
        <v>229</v>
      </c>
      <c r="H243">
        <v>0</v>
      </c>
      <c r="I243">
        <v>0.86</v>
      </c>
      <c r="J243" t="s">
        <v>230</v>
      </c>
      <c r="K243" t="s">
        <v>27</v>
      </c>
      <c r="L243">
        <v>39.804000000000002</v>
      </c>
      <c r="M243">
        <v>1</v>
      </c>
      <c r="N243">
        <v>119564.148</v>
      </c>
      <c r="O243">
        <v>3.3290915935770313E-4</v>
      </c>
      <c r="P243">
        <v>0.92</v>
      </c>
    </row>
    <row r="244" spans="1:16" x14ac:dyDescent="0.25">
      <c r="A244" t="s">
        <v>67</v>
      </c>
      <c r="F244">
        <v>0.73523148148148154</v>
      </c>
      <c r="G244" t="s">
        <v>229</v>
      </c>
      <c r="H244">
        <v>0</v>
      </c>
      <c r="I244">
        <v>0.86</v>
      </c>
      <c r="J244" t="s">
        <v>230</v>
      </c>
      <c r="K244" t="s">
        <v>27</v>
      </c>
      <c r="L244">
        <v>5.8390000000000004</v>
      </c>
      <c r="M244">
        <v>1</v>
      </c>
      <c r="N244">
        <v>117152.92200000001</v>
      </c>
      <c r="O244">
        <v>4.9840839650589336E-5</v>
      </c>
      <c r="P244">
        <v>0.96</v>
      </c>
    </row>
    <row r="245" spans="1:16" x14ac:dyDescent="0.25">
      <c r="A245" t="s">
        <v>68</v>
      </c>
      <c r="F245">
        <v>0.7371875</v>
      </c>
      <c r="G245" t="s">
        <v>229</v>
      </c>
      <c r="H245">
        <v>0</v>
      </c>
      <c r="I245">
        <v>0.86</v>
      </c>
      <c r="J245" t="s">
        <v>230</v>
      </c>
      <c r="M245">
        <v>1</v>
      </c>
      <c r="N245">
        <v>111947.391</v>
      </c>
      <c r="O245">
        <v>0</v>
      </c>
    </row>
    <row r="246" spans="1:16" x14ac:dyDescent="0.25">
      <c r="A246" t="s">
        <v>69</v>
      </c>
      <c r="F246">
        <v>0.73916666666666664</v>
      </c>
      <c r="G246" t="s">
        <v>229</v>
      </c>
      <c r="H246">
        <v>0</v>
      </c>
      <c r="I246">
        <v>0.86</v>
      </c>
      <c r="J246" t="s">
        <v>230</v>
      </c>
      <c r="M246">
        <v>1</v>
      </c>
      <c r="N246">
        <v>120969.641</v>
      </c>
      <c r="O246">
        <v>0</v>
      </c>
    </row>
    <row r="247" spans="1:16" x14ac:dyDescent="0.25">
      <c r="A247" t="s">
        <v>70</v>
      </c>
      <c r="F247">
        <v>0.74113425925925924</v>
      </c>
      <c r="G247" t="s">
        <v>229</v>
      </c>
      <c r="H247">
        <v>0</v>
      </c>
      <c r="I247">
        <v>0.86</v>
      </c>
      <c r="J247" t="s">
        <v>230</v>
      </c>
      <c r="K247" t="s">
        <v>27</v>
      </c>
      <c r="L247">
        <v>10.282</v>
      </c>
      <c r="M247">
        <v>1</v>
      </c>
      <c r="N247">
        <v>110966.523</v>
      </c>
      <c r="O247">
        <v>9.2658575956281874E-5</v>
      </c>
      <c r="P247">
        <v>0.89</v>
      </c>
    </row>
    <row r="248" spans="1:16" x14ac:dyDescent="0.25">
      <c r="A248" t="s">
        <v>71</v>
      </c>
      <c r="F248">
        <v>0.74307870370370377</v>
      </c>
      <c r="G248" t="s">
        <v>229</v>
      </c>
      <c r="H248">
        <v>0</v>
      </c>
      <c r="I248">
        <v>0.86</v>
      </c>
      <c r="J248" t="s">
        <v>230</v>
      </c>
      <c r="K248" t="s">
        <v>27</v>
      </c>
      <c r="L248">
        <v>84.096999999999994</v>
      </c>
      <c r="M248">
        <v>1</v>
      </c>
      <c r="N248">
        <v>120331.281</v>
      </c>
      <c r="O248">
        <v>6.9887895567238238E-4</v>
      </c>
      <c r="P248">
        <v>1</v>
      </c>
    </row>
    <row r="249" spans="1:16" x14ac:dyDescent="0.25">
      <c r="A249" t="s">
        <v>72</v>
      </c>
      <c r="F249">
        <v>0.74506944444444445</v>
      </c>
      <c r="G249" t="s">
        <v>229</v>
      </c>
      <c r="H249">
        <v>0</v>
      </c>
      <c r="I249">
        <v>0.86</v>
      </c>
      <c r="J249" t="s">
        <v>230</v>
      </c>
      <c r="K249" t="s">
        <v>27</v>
      </c>
      <c r="L249">
        <v>18.045000000000002</v>
      </c>
      <c r="M249">
        <v>1</v>
      </c>
      <c r="N249">
        <v>123456.898</v>
      </c>
      <c r="O249">
        <v>1.4616437228157152E-4</v>
      </c>
      <c r="P249">
        <v>0.94</v>
      </c>
    </row>
    <row r="250" spans="1:16" x14ac:dyDescent="0.25">
      <c r="A250" t="s">
        <v>73</v>
      </c>
      <c r="F250">
        <v>0.74703703703703705</v>
      </c>
      <c r="G250" t="s">
        <v>229</v>
      </c>
      <c r="H250">
        <v>0</v>
      </c>
      <c r="I250">
        <v>0.86</v>
      </c>
      <c r="J250" t="s">
        <v>230</v>
      </c>
      <c r="M250">
        <v>1</v>
      </c>
      <c r="N250">
        <v>119898.906</v>
      </c>
      <c r="O250">
        <v>0</v>
      </c>
    </row>
    <row r="251" spans="1:16" x14ac:dyDescent="0.25">
      <c r="A251" t="s">
        <v>74</v>
      </c>
      <c r="F251">
        <v>0.74900462962962966</v>
      </c>
      <c r="G251" t="s">
        <v>229</v>
      </c>
      <c r="H251">
        <v>0</v>
      </c>
      <c r="I251">
        <v>0.86</v>
      </c>
      <c r="J251" t="s">
        <v>230</v>
      </c>
      <c r="M251">
        <v>1</v>
      </c>
      <c r="N251">
        <v>114464.43</v>
      </c>
      <c r="O251">
        <v>0</v>
      </c>
    </row>
    <row r="252" spans="1:16" x14ac:dyDescent="0.25">
      <c r="A252" t="s">
        <v>75</v>
      </c>
      <c r="F252">
        <v>0.75096064814814811</v>
      </c>
      <c r="G252" t="s">
        <v>229</v>
      </c>
      <c r="H252">
        <v>0</v>
      </c>
      <c r="I252">
        <v>0.86</v>
      </c>
      <c r="J252" t="s">
        <v>230</v>
      </c>
      <c r="K252" t="s">
        <v>27</v>
      </c>
      <c r="L252">
        <v>10.773</v>
      </c>
      <c r="M252">
        <v>1</v>
      </c>
      <c r="N252">
        <v>118488.594</v>
      </c>
      <c r="O252">
        <v>9.0920143756621845E-5</v>
      </c>
      <c r="P252">
        <v>0.98</v>
      </c>
    </row>
    <row r="253" spans="1:16" x14ac:dyDescent="0.25">
      <c r="A253" t="s">
        <v>76</v>
      </c>
      <c r="F253">
        <v>0.75292824074074083</v>
      </c>
      <c r="G253" t="s">
        <v>229</v>
      </c>
      <c r="H253">
        <v>0</v>
      </c>
      <c r="I253">
        <v>0.86</v>
      </c>
      <c r="J253" t="s">
        <v>230</v>
      </c>
      <c r="K253" t="s">
        <v>27</v>
      </c>
      <c r="L253">
        <v>37.622</v>
      </c>
      <c r="M253">
        <v>1</v>
      </c>
      <c r="N253">
        <v>120484.242</v>
      </c>
      <c r="O253">
        <v>3.1225660198783508E-4</v>
      </c>
      <c r="P253">
        <v>0.98</v>
      </c>
    </row>
    <row r="254" spans="1:16" x14ac:dyDescent="0.25">
      <c r="A254" t="s">
        <v>77</v>
      </c>
      <c r="F254">
        <v>0.7547800925925926</v>
      </c>
      <c r="G254" t="s">
        <v>229</v>
      </c>
      <c r="H254">
        <v>0</v>
      </c>
      <c r="I254">
        <v>0.85</v>
      </c>
      <c r="J254" t="s">
        <v>230</v>
      </c>
      <c r="M254">
        <v>1</v>
      </c>
      <c r="N254">
        <v>120868.19500000001</v>
      </c>
      <c r="O254">
        <v>0</v>
      </c>
    </row>
    <row r="255" spans="1:16" x14ac:dyDescent="0.25">
      <c r="A255" t="s">
        <v>78</v>
      </c>
      <c r="F255">
        <v>0.75665509259259256</v>
      </c>
      <c r="G255" t="s">
        <v>229</v>
      </c>
      <c r="H255">
        <v>0</v>
      </c>
      <c r="I255">
        <v>0.85</v>
      </c>
      <c r="J255" t="s">
        <v>230</v>
      </c>
      <c r="M255">
        <v>1</v>
      </c>
      <c r="N255">
        <v>124093.773</v>
      </c>
      <c r="O255">
        <v>0</v>
      </c>
    </row>
    <row r="256" spans="1:16" x14ac:dyDescent="0.25">
      <c r="A256" t="s">
        <v>79</v>
      </c>
      <c r="F256">
        <v>0.75864583333333335</v>
      </c>
      <c r="G256" t="s">
        <v>229</v>
      </c>
      <c r="H256">
        <v>0</v>
      </c>
      <c r="I256">
        <v>0.86</v>
      </c>
      <c r="J256" t="s">
        <v>230</v>
      </c>
      <c r="K256" t="s">
        <v>27</v>
      </c>
      <c r="L256">
        <v>4.3849999999999998</v>
      </c>
      <c r="M256">
        <v>1</v>
      </c>
      <c r="N256">
        <v>120933.44500000001</v>
      </c>
      <c r="O256">
        <v>3.6259613707357793E-5</v>
      </c>
      <c r="P256">
        <v>0.95</v>
      </c>
    </row>
    <row r="257" spans="1:19" x14ac:dyDescent="0.25">
      <c r="A257" t="s">
        <v>80</v>
      </c>
      <c r="F257">
        <v>0.76061342592592596</v>
      </c>
      <c r="G257" t="s">
        <v>229</v>
      </c>
      <c r="H257">
        <v>0</v>
      </c>
      <c r="I257">
        <v>0.86</v>
      </c>
      <c r="J257" t="s">
        <v>230</v>
      </c>
      <c r="K257" t="s">
        <v>27</v>
      </c>
      <c r="L257">
        <v>12.433999999999999</v>
      </c>
      <c r="M257">
        <v>1</v>
      </c>
      <c r="N257">
        <v>118392.31299999999</v>
      </c>
      <c r="O257">
        <v>1.050237104498499E-4</v>
      </c>
      <c r="P257">
        <v>0.96</v>
      </c>
    </row>
    <row r="258" spans="1:19" x14ac:dyDescent="0.25">
      <c r="A258" t="s">
        <v>81</v>
      </c>
      <c r="F258">
        <v>0.76258101851851856</v>
      </c>
      <c r="G258" t="s">
        <v>229</v>
      </c>
      <c r="H258">
        <v>0</v>
      </c>
      <c r="I258">
        <v>0.86</v>
      </c>
      <c r="J258" t="s">
        <v>230</v>
      </c>
      <c r="K258" t="s">
        <v>27</v>
      </c>
      <c r="L258">
        <v>25.126999999999999</v>
      </c>
      <c r="M258">
        <v>1</v>
      </c>
      <c r="N258">
        <v>115258.281</v>
      </c>
      <c r="O258">
        <v>2.1800602769704675E-4</v>
      </c>
      <c r="P258">
        <v>0.96</v>
      </c>
    </row>
    <row r="259" spans="1:19" x14ac:dyDescent="0.25">
      <c r="A259" t="s">
        <v>82</v>
      </c>
      <c r="F259">
        <v>0.76454861111111105</v>
      </c>
      <c r="G259" t="s">
        <v>229</v>
      </c>
      <c r="H259">
        <v>0</v>
      </c>
      <c r="I259">
        <v>0.85</v>
      </c>
      <c r="J259" t="s">
        <v>230</v>
      </c>
      <c r="K259" t="s">
        <v>27</v>
      </c>
      <c r="L259">
        <v>53.247</v>
      </c>
      <c r="M259">
        <v>1</v>
      </c>
      <c r="N259">
        <v>114999.148</v>
      </c>
      <c r="O259">
        <v>4.6302082168469633E-4</v>
      </c>
      <c r="P259">
        <v>1</v>
      </c>
    </row>
    <row r="260" spans="1:19" x14ac:dyDescent="0.25">
      <c r="A260" t="s">
        <v>83</v>
      </c>
      <c r="F260">
        <v>0.38540509259259265</v>
      </c>
      <c r="G260" t="s">
        <v>229</v>
      </c>
      <c r="H260">
        <v>0</v>
      </c>
      <c r="I260">
        <v>0.85</v>
      </c>
      <c r="J260" t="s">
        <v>230</v>
      </c>
      <c r="K260" t="s">
        <v>27</v>
      </c>
      <c r="L260">
        <v>466.80799999999999</v>
      </c>
      <c r="M260">
        <v>1</v>
      </c>
      <c r="N260">
        <v>55215.141000000003</v>
      </c>
      <c r="O260">
        <v>8.4543476942311891E-3</v>
      </c>
      <c r="P260">
        <v>0.91</v>
      </c>
    </row>
    <row r="261" spans="1:19" x14ac:dyDescent="0.25">
      <c r="A261" t="s">
        <v>84</v>
      </c>
      <c r="F261">
        <v>0.38807870370370368</v>
      </c>
      <c r="G261" t="s">
        <v>229</v>
      </c>
      <c r="H261">
        <v>0</v>
      </c>
      <c r="I261">
        <v>0.86</v>
      </c>
      <c r="J261" t="s">
        <v>230</v>
      </c>
      <c r="K261" t="s">
        <v>27</v>
      </c>
      <c r="L261">
        <v>86.215000000000003</v>
      </c>
      <c r="M261">
        <v>1</v>
      </c>
      <c r="N261">
        <v>78189.125</v>
      </c>
      <c r="O261">
        <v>1.1026469473855859E-3</v>
      </c>
      <c r="P261">
        <v>1.01</v>
      </c>
    </row>
    <row r="262" spans="1:19" x14ac:dyDescent="0.25">
      <c r="A262" t="s">
        <v>85</v>
      </c>
      <c r="F262">
        <v>0.38995370370370369</v>
      </c>
      <c r="G262" t="s">
        <v>229</v>
      </c>
      <c r="H262">
        <v>0</v>
      </c>
      <c r="I262">
        <v>0.86</v>
      </c>
      <c r="J262" t="s">
        <v>230</v>
      </c>
      <c r="K262" t="s">
        <v>27</v>
      </c>
      <c r="L262">
        <v>36.383000000000003</v>
      </c>
      <c r="M262">
        <v>1</v>
      </c>
      <c r="N262">
        <v>98311.702999999994</v>
      </c>
      <c r="O262">
        <v>3.7007801604250519E-4</v>
      </c>
      <c r="P262">
        <v>0.97</v>
      </c>
    </row>
    <row r="263" spans="1:19" x14ac:dyDescent="0.25">
      <c r="A263" t="s">
        <v>86</v>
      </c>
      <c r="F263">
        <v>0.39181712962962961</v>
      </c>
      <c r="G263" t="s">
        <v>229</v>
      </c>
      <c r="H263">
        <v>0</v>
      </c>
      <c r="I263">
        <v>0.85</v>
      </c>
      <c r="J263" t="s">
        <v>230</v>
      </c>
      <c r="K263" t="s">
        <v>27</v>
      </c>
      <c r="L263">
        <v>89.075000000000003</v>
      </c>
      <c r="M263">
        <v>1</v>
      </c>
      <c r="N263">
        <v>82892.577999999994</v>
      </c>
      <c r="O263">
        <v>1.0745835411223427E-3</v>
      </c>
      <c r="P263">
        <v>0.94</v>
      </c>
    </row>
    <row r="264" spans="1:19" x14ac:dyDescent="0.25">
      <c r="A264" t="s">
        <v>87</v>
      </c>
      <c r="F264">
        <v>0.39369212962962963</v>
      </c>
      <c r="G264" t="s">
        <v>229</v>
      </c>
      <c r="H264">
        <v>0</v>
      </c>
      <c r="I264">
        <v>0.85</v>
      </c>
      <c r="J264" t="s">
        <v>230</v>
      </c>
      <c r="K264" t="s">
        <v>27</v>
      </c>
      <c r="L264">
        <v>63.607999999999997</v>
      </c>
      <c r="M264">
        <v>1</v>
      </c>
      <c r="N264">
        <v>80402.695000000007</v>
      </c>
      <c r="O264">
        <v>7.9111776041835408E-4</v>
      </c>
      <c r="P264">
        <v>1.01</v>
      </c>
    </row>
    <row r="265" spans="1:19" x14ac:dyDescent="0.25">
      <c r="A265" t="s">
        <v>88</v>
      </c>
      <c r="F265">
        <v>0.3955555555555556</v>
      </c>
      <c r="G265" t="s">
        <v>229</v>
      </c>
      <c r="H265">
        <v>0</v>
      </c>
      <c r="I265">
        <v>0.85</v>
      </c>
      <c r="J265" t="s">
        <v>230</v>
      </c>
      <c r="K265" t="s">
        <v>27</v>
      </c>
      <c r="L265">
        <v>90.01</v>
      </c>
      <c r="M265">
        <v>1</v>
      </c>
      <c r="N265">
        <v>74213.108999999997</v>
      </c>
      <c r="O265">
        <v>1.2128584991635374E-3</v>
      </c>
      <c r="P265">
        <v>0.97</v>
      </c>
    </row>
    <row r="266" spans="1:19" x14ac:dyDescent="0.25">
      <c r="A266" s="2" t="s">
        <v>89</v>
      </c>
      <c r="B266" s="2"/>
      <c r="C266" s="2"/>
      <c r="D266" s="2"/>
      <c r="E266" s="2"/>
      <c r="F266" s="2">
        <v>0.39743055555555556</v>
      </c>
      <c r="G266" s="2" t="s">
        <v>229</v>
      </c>
      <c r="H266" s="2">
        <v>0</v>
      </c>
      <c r="I266" s="2">
        <v>0.86</v>
      </c>
      <c r="J266" s="2" t="s">
        <v>230</v>
      </c>
      <c r="K266" s="2" t="s">
        <v>27</v>
      </c>
      <c r="L266" s="2">
        <v>138.36799999999999</v>
      </c>
      <c r="M266" s="2">
        <v>1</v>
      </c>
      <c r="N266" s="2">
        <v>79356.687999999995</v>
      </c>
      <c r="O266" s="2">
        <v>1.7436211551570802E-3</v>
      </c>
      <c r="P266" s="2">
        <v>0.96</v>
      </c>
      <c r="Q266" s="2"/>
      <c r="R266" s="2"/>
      <c r="S266" s="2"/>
    </row>
    <row r="267" spans="1:19" x14ac:dyDescent="0.25">
      <c r="A267" s="2" t="s">
        <v>90</v>
      </c>
      <c r="B267" s="2"/>
      <c r="C267" s="2"/>
      <c r="D267" s="2"/>
      <c r="E267" s="2"/>
      <c r="F267" s="2">
        <v>0.39930555555555558</v>
      </c>
      <c r="G267" s="2" t="s">
        <v>229</v>
      </c>
      <c r="H267" s="2">
        <v>0</v>
      </c>
      <c r="I267" s="2">
        <v>0.85</v>
      </c>
      <c r="J267" s="2" t="s">
        <v>230</v>
      </c>
      <c r="K267" s="2" t="s">
        <v>27</v>
      </c>
      <c r="L267" s="2">
        <v>486.29199999999997</v>
      </c>
      <c r="M267" s="2">
        <v>1</v>
      </c>
      <c r="N267" s="2">
        <v>80031.358999999997</v>
      </c>
      <c r="O267" s="2">
        <v>6.0762681788272517E-3</v>
      </c>
      <c r="P267" s="2">
        <v>0.92</v>
      </c>
      <c r="Q267" s="2"/>
      <c r="R267" s="2"/>
      <c r="S267" s="2"/>
    </row>
    <row r="268" spans="1:19" x14ac:dyDescent="0.25">
      <c r="A268" t="s">
        <v>91</v>
      </c>
      <c r="F268">
        <v>0.40116898148148145</v>
      </c>
      <c r="G268" t="s">
        <v>229</v>
      </c>
      <c r="H268">
        <v>0</v>
      </c>
      <c r="I268">
        <v>0.87</v>
      </c>
      <c r="J268" t="s">
        <v>230</v>
      </c>
      <c r="M268">
        <v>1</v>
      </c>
      <c r="N268">
        <v>104.651</v>
      </c>
      <c r="O268">
        <v>0</v>
      </c>
    </row>
    <row r="269" spans="1:19" x14ac:dyDescent="0.25">
      <c r="A269" t="s">
        <v>92</v>
      </c>
      <c r="F269">
        <v>0.4031481481481482</v>
      </c>
      <c r="G269" t="s">
        <v>229</v>
      </c>
      <c r="H269">
        <v>0</v>
      </c>
      <c r="I269">
        <v>0.85</v>
      </c>
      <c r="J269" t="s">
        <v>230</v>
      </c>
      <c r="M269">
        <v>1</v>
      </c>
      <c r="N269">
        <v>54.768000000000001</v>
      </c>
      <c r="O269">
        <v>0</v>
      </c>
    </row>
    <row r="270" spans="1:19" x14ac:dyDescent="0.25">
      <c r="A270" t="s">
        <v>93</v>
      </c>
      <c r="F270">
        <v>0.40502314814814816</v>
      </c>
      <c r="G270" t="s">
        <v>229</v>
      </c>
      <c r="H270">
        <v>0</v>
      </c>
      <c r="I270">
        <v>0.86</v>
      </c>
      <c r="J270" t="s">
        <v>230</v>
      </c>
      <c r="M270">
        <v>1</v>
      </c>
      <c r="N270">
        <v>86940.445000000007</v>
      </c>
      <c r="O270">
        <v>0</v>
      </c>
    </row>
    <row r="271" spans="1:19" x14ac:dyDescent="0.25">
      <c r="A271" t="s">
        <v>94</v>
      </c>
      <c r="F271">
        <v>0.40701388888888884</v>
      </c>
      <c r="G271" t="s">
        <v>229</v>
      </c>
      <c r="H271">
        <v>0</v>
      </c>
      <c r="I271">
        <v>0.85</v>
      </c>
      <c r="J271" t="s">
        <v>230</v>
      </c>
      <c r="K271" t="s">
        <v>27</v>
      </c>
      <c r="L271">
        <v>33.631999999999998</v>
      </c>
      <c r="M271">
        <v>1</v>
      </c>
      <c r="N271">
        <v>85609.616999999998</v>
      </c>
      <c r="O271">
        <v>3.9285305995470112E-4</v>
      </c>
      <c r="P271">
        <v>0.92</v>
      </c>
    </row>
    <row r="272" spans="1:19" x14ac:dyDescent="0.25">
      <c r="A272" t="s">
        <v>95</v>
      </c>
      <c r="F272">
        <v>0.40896990740740741</v>
      </c>
      <c r="G272" t="s">
        <v>229</v>
      </c>
      <c r="H272">
        <v>0</v>
      </c>
      <c r="I272">
        <v>0.85</v>
      </c>
      <c r="J272" t="s">
        <v>230</v>
      </c>
      <c r="M272">
        <v>1</v>
      </c>
      <c r="N272">
        <v>85459.241999999998</v>
      </c>
      <c r="O272">
        <v>0</v>
      </c>
    </row>
    <row r="273" spans="1:16" x14ac:dyDescent="0.25">
      <c r="A273" t="s">
        <v>96</v>
      </c>
      <c r="F273">
        <v>0.41090277777777778</v>
      </c>
      <c r="G273" t="s">
        <v>229</v>
      </c>
      <c r="H273">
        <v>0</v>
      </c>
      <c r="I273">
        <v>0.85</v>
      </c>
      <c r="J273" t="s">
        <v>230</v>
      </c>
      <c r="M273">
        <v>1</v>
      </c>
      <c r="N273">
        <v>86220.406000000003</v>
      </c>
      <c r="O273">
        <v>0</v>
      </c>
    </row>
    <row r="274" spans="1:16" x14ac:dyDescent="0.25">
      <c r="A274" t="s">
        <v>97</v>
      </c>
      <c r="F274">
        <v>0.4127662037037037</v>
      </c>
      <c r="G274" t="s">
        <v>229</v>
      </c>
      <c r="H274">
        <v>0</v>
      </c>
      <c r="I274">
        <v>0.85</v>
      </c>
      <c r="J274" t="s">
        <v>230</v>
      </c>
      <c r="K274" t="s">
        <v>27</v>
      </c>
      <c r="L274">
        <v>25.315000000000001</v>
      </c>
      <c r="M274">
        <v>1</v>
      </c>
      <c r="N274">
        <v>87941.781000000003</v>
      </c>
      <c r="O274">
        <v>2.8786089742712851E-4</v>
      </c>
      <c r="P274">
        <v>0.94</v>
      </c>
    </row>
    <row r="275" spans="1:16" x14ac:dyDescent="0.25">
      <c r="A275" t="s">
        <v>98</v>
      </c>
      <c r="F275">
        <v>0.41465277777777776</v>
      </c>
      <c r="G275" t="s">
        <v>229</v>
      </c>
      <c r="H275">
        <v>0</v>
      </c>
      <c r="I275">
        <v>0.85</v>
      </c>
      <c r="J275" t="s">
        <v>230</v>
      </c>
      <c r="K275" t="s">
        <v>27</v>
      </c>
      <c r="L275">
        <v>32.695</v>
      </c>
      <c r="M275">
        <v>1</v>
      </c>
      <c r="N275">
        <v>93537.976999999999</v>
      </c>
      <c r="O275">
        <v>3.4953717247915251E-4</v>
      </c>
      <c r="P275">
        <v>0.96</v>
      </c>
    </row>
    <row r="276" spans="1:16" x14ac:dyDescent="0.25">
      <c r="A276" t="s">
        <v>99</v>
      </c>
      <c r="F276">
        <v>0.41651620370370374</v>
      </c>
      <c r="G276" t="s">
        <v>229</v>
      </c>
      <c r="H276">
        <v>0</v>
      </c>
      <c r="I276">
        <v>0.86</v>
      </c>
      <c r="J276" t="s">
        <v>230</v>
      </c>
      <c r="K276" t="s">
        <v>27</v>
      </c>
      <c r="L276">
        <v>3.2629999999999999</v>
      </c>
      <c r="M276">
        <v>1</v>
      </c>
      <c r="N276">
        <v>86879.258000000002</v>
      </c>
      <c r="O276">
        <v>3.7557871408155899E-5</v>
      </c>
      <c r="P276">
        <v>0.96</v>
      </c>
    </row>
    <row r="277" spans="1:16" x14ac:dyDescent="0.25">
      <c r="A277" t="s">
        <v>100</v>
      </c>
      <c r="F277">
        <v>0.41849537037037038</v>
      </c>
      <c r="G277" t="s">
        <v>229</v>
      </c>
      <c r="H277">
        <v>0</v>
      </c>
      <c r="I277">
        <v>0.85</v>
      </c>
      <c r="J277" t="s">
        <v>230</v>
      </c>
      <c r="M277">
        <v>1</v>
      </c>
      <c r="N277">
        <v>85980.991999999998</v>
      </c>
      <c r="O277">
        <v>0</v>
      </c>
    </row>
    <row r="278" spans="1:16" x14ac:dyDescent="0.25">
      <c r="A278" t="s">
        <v>101</v>
      </c>
      <c r="F278">
        <v>0.42046296296296298</v>
      </c>
      <c r="G278" t="s">
        <v>229</v>
      </c>
      <c r="H278">
        <v>0</v>
      </c>
      <c r="I278">
        <v>0.85</v>
      </c>
      <c r="J278" t="s">
        <v>230</v>
      </c>
      <c r="K278" t="s">
        <v>27</v>
      </c>
      <c r="L278">
        <v>37.125999999999998</v>
      </c>
      <c r="M278">
        <v>1</v>
      </c>
      <c r="N278">
        <v>82045.156000000003</v>
      </c>
      <c r="O278">
        <v>4.5250690973151417E-4</v>
      </c>
      <c r="P278">
        <v>0.94</v>
      </c>
    </row>
    <row r="279" spans="1:16" x14ac:dyDescent="0.25">
      <c r="A279" t="s">
        <v>102</v>
      </c>
      <c r="F279">
        <v>0.4223263888888889</v>
      </c>
      <c r="G279" t="s">
        <v>229</v>
      </c>
      <c r="H279">
        <v>0</v>
      </c>
      <c r="I279">
        <v>0.85</v>
      </c>
      <c r="J279" t="s">
        <v>230</v>
      </c>
      <c r="M279">
        <v>1</v>
      </c>
      <c r="N279">
        <v>86455.312999999995</v>
      </c>
      <c r="O279">
        <v>0</v>
      </c>
    </row>
    <row r="280" spans="1:16" x14ac:dyDescent="0.25">
      <c r="A280" t="s">
        <v>103</v>
      </c>
      <c r="F280">
        <v>0.42429398148148145</v>
      </c>
      <c r="G280" t="s">
        <v>229</v>
      </c>
      <c r="H280">
        <v>0</v>
      </c>
      <c r="I280">
        <v>0.85</v>
      </c>
      <c r="J280" t="s">
        <v>230</v>
      </c>
      <c r="M280">
        <v>1</v>
      </c>
      <c r="N280">
        <v>85804.358999999997</v>
      </c>
      <c r="O280">
        <v>0</v>
      </c>
    </row>
    <row r="281" spans="1:16" x14ac:dyDescent="0.25">
      <c r="A281" t="s">
        <v>104</v>
      </c>
      <c r="F281">
        <v>0.42614583333333328</v>
      </c>
      <c r="G281" t="s">
        <v>229</v>
      </c>
      <c r="H281">
        <v>0</v>
      </c>
      <c r="I281">
        <v>0.85</v>
      </c>
      <c r="J281" t="s">
        <v>230</v>
      </c>
      <c r="K281" t="s">
        <v>27</v>
      </c>
      <c r="L281">
        <v>8.4819999999999993</v>
      </c>
      <c r="M281">
        <v>1</v>
      </c>
      <c r="N281">
        <v>86476.241999999998</v>
      </c>
      <c r="O281">
        <v>9.8084743321755349E-5</v>
      </c>
      <c r="P281">
        <v>0.96</v>
      </c>
    </row>
    <row r="282" spans="1:16" x14ac:dyDescent="0.25">
      <c r="A282" t="s">
        <v>105</v>
      </c>
      <c r="F282">
        <v>0.42802083333333335</v>
      </c>
      <c r="G282" t="s">
        <v>229</v>
      </c>
      <c r="H282">
        <v>0</v>
      </c>
      <c r="I282">
        <v>0.85</v>
      </c>
      <c r="J282" t="s">
        <v>230</v>
      </c>
      <c r="M282">
        <v>1</v>
      </c>
      <c r="N282">
        <v>81312.297000000006</v>
      </c>
      <c r="O282">
        <v>0</v>
      </c>
    </row>
    <row r="283" spans="1:16" x14ac:dyDescent="0.25">
      <c r="A283" t="s">
        <v>106</v>
      </c>
      <c r="F283">
        <v>0.43</v>
      </c>
      <c r="G283" t="s">
        <v>229</v>
      </c>
      <c r="H283">
        <v>0</v>
      </c>
      <c r="I283">
        <v>0.85</v>
      </c>
      <c r="J283" t="s">
        <v>230</v>
      </c>
      <c r="M283">
        <v>1</v>
      </c>
      <c r="N283">
        <v>84202.343999999997</v>
      </c>
      <c r="O283">
        <v>0</v>
      </c>
    </row>
    <row r="284" spans="1:16" x14ac:dyDescent="0.25">
      <c r="A284" t="s">
        <v>107</v>
      </c>
      <c r="F284">
        <v>0.4319675925925926</v>
      </c>
      <c r="G284" t="s">
        <v>229</v>
      </c>
      <c r="H284">
        <v>0</v>
      </c>
      <c r="I284">
        <v>0.86</v>
      </c>
      <c r="J284" t="s">
        <v>230</v>
      </c>
      <c r="K284" t="s">
        <v>27</v>
      </c>
      <c r="L284">
        <v>31.076000000000001</v>
      </c>
      <c r="M284">
        <v>1</v>
      </c>
      <c r="N284">
        <v>83752.375</v>
      </c>
      <c r="O284">
        <v>3.7104619421240293E-4</v>
      </c>
      <c r="P284">
        <v>0.95</v>
      </c>
    </row>
    <row r="285" spans="1:16" x14ac:dyDescent="0.25">
      <c r="A285" t="s">
        <v>108</v>
      </c>
      <c r="F285">
        <v>0.4339351851851852</v>
      </c>
      <c r="G285" t="s">
        <v>229</v>
      </c>
      <c r="H285">
        <v>0</v>
      </c>
      <c r="I285">
        <v>0.85</v>
      </c>
      <c r="J285" t="s">
        <v>230</v>
      </c>
      <c r="K285" t="s">
        <v>27</v>
      </c>
      <c r="L285">
        <v>53.655000000000001</v>
      </c>
      <c r="M285">
        <v>1</v>
      </c>
      <c r="N285">
        <v>87009.906000000003</v>
      </c>
      <c r="O285">
        <v>6.1665392443936208E-4</v>
      </c>
      <c r="P285">
        <v>0.97</v>
      </c>
    </row>
    <row r="286" spans="1:16" x14ac:dyDescent="0.25">
      <c r="A286" t="s">
        <v>109</v>
      </c>
      <c r="F286">
        <v>0.43590277777777775</v>
      </c>
      <c r="G286" t="s">
        <v>229</v>
      </c>
      <c r="H286">
        <v>0</v>
      </c>
      <c r="I286">
        <v>0.85</v>
      </c>
      <c r="J286" t="s">
        <v>230</v>
      </c>
      <c r="K286" t="s">
        <v>27</v>
      </c>
      <c r="L286">
        <v>24.923999999999999</v>
      </c>
      <c r="M286">
        <v>1</v>
      </c>
      <c r="N286">
        <v>84301.804999999993</v>
      </c>
      <c r="O286">
        <v>2.9565203259882754E-4</v>
      </c>
      <c r="P286">
        <v>0.97</v>
      </c>
    </row>
    <row r="287" spans="1:16" x14ac:dyDescent="0.25">
      <c r="A287" t="s">
        <v>110</v>
      </c>
      <c r="F287">
        <v>0.43787037037037035</v>
      </c>
      <c r="G287" t="s">
        <v>229</v>
      </c>
      <c r="H287">
        <v>0</v>
      </c>
      <c r="I287">
        <v>0.85</v>
      </c>
      <c r="J287" t="s">
        <v>230</v>
      </c>
      <c r="M287">
        <v>1</v>
      </c>
      <c r="N287">
        <v>87135.851999999999</v>
      </c>
      <c r="O287">
        <v>0</v>
      </c>
    </row>
    <row r="288" spans="1:16" x14ac:dyDescent="0.25">
      <c r="A288" t="s">
        <v>111</v>
      </c>
      <c r="F288">
        <v>0.43983796296296296</v>
      </c>
      <c r="G288" t="s">
        <v>229</v>
      </c>
      <c r="H288">
        <v>0</v>
      </c>
      <c r="I288">
        <v>0.85</v>
      </c>
      <c r="J288" t="s">
        <v>230</v>
      </c>
      <c r="M288">
        <v>1</v>
      </c>
      <c r="N288">
        <v>88461.593999999997</v>
      </c>
      <c r="O288">
        <v>0</v>
      </c>
    </row>
    <row r="289" spans="1:19" x14ac:dyDescent="0.25">
      <c r="A289" t="s">
        <v>112</v>
      </c>
      <c r="F289">
        <v>0.44180555555555556</v>
      </c>
      <c r="G289" t="s">
        <v>229</v>
      </c>
      <c r="H289">
        <v>0</v>
      </c>
      <c r="I289">
        <v>0.85</v>
      </c>
      <c r="J289" t="s">
        <v>230</v>
      </c>
      <c r="K289" t="s">
        <v>27</v>
      </c>
      <c r="L289">
        <v>29.146000000000001</v>
      </c>
      <c r="M289">
        <v>1</v>
      </c>
      <c r="N289">
        <v>96436.241999999998</v>
      </c>
      <c r="O289">
        <v>3.022307733642296E-4</v>
      </c>
      <c r="P289">
        <v>0.95</v>
      </c>
    </row>
    <row r="290" spans="1:19" x14ac:dyDescent="0.25">
      <c r="A290" t="s">
        <v>113</v>
      </c>
      <c r="F290">
        <v>0.44377314814814817</v>
      </c>
      <c r="G290" t="s">
        <v>229</v>
      </c>
      <c r="H290">
        <v>0</v>
      </c>
      <c r="I290">
        <v>0.85</v>
      </c>
      <c r="J290" t="s">
        <v>230</v>
      </c>
      <c r="K290" t="s">
        <v>27</v>
      </c>
      <c r="L290">
        <v>18.321999999999999</v>
      </c>
      <c r="M290">
        <v>1</v>
      </c>
      <c r="N290">
        <v>86018.039000000004</v>
      </c>
      <c r="O290">
        <v>2.1300183325499898E-4</v>
      </c>
      <c r="P290">
        <v>0.91</v>
      </c>
    </row>
    <row r="291" spans="1:19" x14ac:dyDescent="0.25">
      <c r="A291" t="s">
        <v>114</v>
      </c>
      <c r="F291">
        <v>0.44574074074074077</v>
      </c>
      <c r="G291" t="s">
        <v>229</v>
      </c>
      <c r="H291">
        <v>0</v>
      </c>
      <c r="I291">
        <v>0.85</v>
      </c>
      <c r="J291" t="s">
        <v>230</v>
      </c>
      <c r="K291" t="s">
        <v>27</v>
      </c>
      <c r="L291">
        <v>25.119</v>
      </c>
      <c r="M291">
        <v>1</v>
      </c>
      <c r="N291">
        <v>85403.312999999995</v>
      </c>
      <c r="O291">
        <v>2.9412207931558818E-4</v>
      </c>
      <c r="P291">
        <v>0.96</v>
      </c>
    </row>
    <row r="292" spans="1:19" x14ac:dyDescent="0.25">
      <c r="A292" t="s">
        <v>115</v>
      </c>
      <c r="F292">
        <v>0.44769675925925928</v>
      </c>
      <c r="G292" t="s">
        <v>229</v>
      </c>
      <c r="H292">
        <v>0</v>
      </c>
      <c r="I292">
        <v>0.85</v>
      </c>
      <c r="J292" t="s">
        <v>230</v>
      </c>
      <c r="M292">
        <v>1</v>
      </c>
      <c r="N292">
        <v>90109.843999999997</v>
      </c>
      <c r="O292">
        <v>0</v>
      </c>
    </row>
    <row r="293" spans="1:19" x14ac:dyDescent="0.25">
      <c r="A293" t="s">
        <v>116</v>
      </c>
      <c r="F293">
        <v>0.44966435185185188</v>
      </c>
      <c r="G293" t="s">
        <v>229</v>
      </c>
      <c r="H293">
        <v>0</v>
      </c>
      <c r="I293">
        <v>0.85</v>
      </c>
      <c r="J293" t="s">
        <v>230</v>
      </c>
      <c r="M293">
        <v>1</v>
      </c>
      <c r="N293">
        <v>88435.773000000001</v>
      </c>
      <c r="O293">
        <v>0</v>
      </c>
    </row>
    <row r="294" spans="1:19" x14ac:dyDescent="0.25">
      <c r="A294" t="s">
        <v>117</v>
      </c>
      <c r="F294">
        <v>0.45163194444444449</v>
      </c>
      <c r="G294" t="s">
        <v>229</v>
      </c>
      <c r="H294">
        <v>0</v>
      </c>
      <c r="I294">
        <v>0.85</v>
      </c>
      <c r="J294" t="s">
        <v>230</v>
      </c>
      <c r="M294">
        <v>1</v>
      </c>
      <c r="N294">
        <v>84868.437999999995</v>
      </c>
      <c r="O294">
        <v>0</v>
      </c>
    </row>
    <row r="295" spans="1:19" x14ac:dyDescent="0.25">
      <c r="A295" t="s">
        <v>118</v>
      </c>
      <c r="F295">
        <v>0.45359953703703698</v>
      </c>
      <c r="G295" t="s">
        <v>229</v>
      </c>
      <c r="H295">
        <v>0</v>
      </c>
      <c r="I295">
        <v>0.86</v>
      </c>
      <c r="J295" t="s">
        <v>230</v>
      </c>
      <c r="M295">
        <v>1</v>
      </c>
      <c r="N295">
        <v>85751.210999999996</v>
      </c>
      <c r="O295">
        <v>0</v>
      </c>
    </row>
    <row r="296" spans="1:19" x14ac:dyDescent="0.25">
      <c r="A296" t="s">
        <v>119</v>
      </c>
      <c r="F296">
        <v>0.45555555555555555</v>
      </c>
      <c r="G296" t="s">
        <v>229</v>
      </c>
      <c r="H296">
        <v>0</v>
      </c>
      <c r="I296">
        <v>0.85</v>
      </c>
      <c r="J296" t="s">
        <v>230</v>
      </c>
      <c r="K296" t="s">
        <v>27</v>
      </c>
      <c r="L296">
        <v>50.49</v>
      </c>
      <c r="M296">
        <v>1</v>
      </c>
      <c r="N296">
        <v>86068.866999999998</v>
      </c>
      <c r="O296">
        <v>5.8662326762126433E-4</v>
      </c>
      <c r="P296">
        <v>0.97</v>
      </c>
    </row>
    <row r="297" spans="1:19" x14ac:dyDescent="0.25">
      <c r="A297" t="s">
        <v>120</v>
      </c>
      <c r="F297">
        <v>0.45753472222222219</v>
      </c>
      <c r="G297" t="s">
        <v>229</v>
      </c>
      <c r="H297">
        <v>0</v>
      </c>
      <c r="I297">
        <v>0.85</v>
      </c>
      <c r="J297" t="s">
        <v>230</v>
      </c>
      <c r="K297" t="s">
        <v>27</v>
      </c>
      <c r="L297">
        <v>19.289000000000001</v>
      </c>
      <c r="M297">
        <v>1</v>
      </c>
      <c r="N297">
        <v>86854.266000000003</v>
      </c>
      <c r="O297">
        <v>2.2208465845534865E-4</v>
      </c>
      <c r="P297">
        <v>0.96</v>
      </c>
    </row>
    <row r="298" spans="1:19" x14ac:dyDescent="0.25">
      <c r="A298" s="2" t="s">
        <v>121</v>
      </c>
      <c r="B298" s="2"/>
      <c r="C298" s="2"/>
      <c r="D298" s="2"/>
      <c r="E298" s="2"/>
      <c r="F298" s="2">
        <v>0.45950231481481479</v>
      </c>
      <c r="G298" s="2" t="s">
        <v>229</v>
      </c>
      <c r="H298" s="2">
        <v>0</v>
      </c>
      <c r="I298" s="2">
        <v>0.86</v>
      </c>
      <c r="J298" s="2" t="s">
        <v>230</v>
      </c>
      <c r="K298" s="2"/>
      <c r="L298" s="2">
        <v>43.063000000000002</v>
      </c>
      <c r="M298" s="2">
        <v>1</v>
      </c>
      <c r="N298" s="2">
        <v>83449.437999999995</v>
      </c>
      <c r="O298" s="2">
        <v>5.1603702831407928E-4</v>
      </c>
      <c r="P298" s="2"/>
      <c r="Q298" s="2"/>
      <c r="R298" s="2"/>
      <c r="S298" s="2"/>
    </row>
    <row r="299" spans="1:19" x14ac:dyDescent="0.25">
      <c r="A299" s="2" t="s">
        <v>122</v>
      </c>
      <c r="B299" s="2"/>
      <c r="C299" s="2"/>
      <c r="D299" s="2"/>
      <c r="E299" s="2"/>
      <c r="F299" s="2">
        <v>0.4614583333333333</v>
      </c>
      <c r="G299" s="2" t="s">
        <v>229</v>
      </c>
      <c r="H299" s="2">
        <v>0</v>
      </c>
      <c r="I299" s="2">
        <v>0.85</v>
      </c>
      <c r="J299" s="2" t="s">
        <v>230</v>
      </c>
      <c r="K299" s="2" t="s">
        <v>27</v>
      </c>
      <c r="L299" s="2">
        <v>144.495</v>
      </c>
      <c r="M299" s="2">
        <v>1</v>
      </c>
      <c r="N299" s="2">
        <v>84800.164000000004</v>
      </c>
      <c r="O299" s="2">
        <v>1.7039471763285741E-3</v>
      </c>
      <c r="P299" s="2">
        <v>0.92</v>
      </c>
      <c r="Q299" s="2"/>
      <c r="R299" s="2"/>
      <c r="S299" s="2"/>
    </row>
    <row r="300" spans="1:19" x14ac:dyDescent="0.25">
      <c r="A300" t="s">
        <v>123</v>
      </c>
      <c r="F300">
        <v>0.46342592592592591</v>
      </c>
      <c r="G300" t="s">
        <v>229</v>
      </c>
      <c r="H300">
        <v>0</v>
      </c>
      <c r="I300">
        <v>0.85</v>
      </c>
      <c r="J300" t="s">
        <v>230</v>
      </c>
      <c r="K300" t="s">
        <v>27</v>
      </c>
      <c r="L300">
        <v>39.802999999999997</v>
      </c>
      <c r="M300">
        <v>1</v>
      </c>
      <c r="N300">
        <v>48.820999999999998</v>
      </c>
      <c r="O300">
        <v>0.81528440630056731</v>
      </c>
      <c r="P300">
        <v>0.95</v>
      </c>
    </row>
    <row r="301" spans="1:19" x14ac:dyDescent="0.25">
      <c r="A301" t="s">
        <v>124</v>
      </c>
      <c r="F301">
        <v>0.46538194444444447</v>
      </c>
      <c r="G301" t="s">
        <v>229</v>
      </c>
      <c r="H301">
        <v>0</v>
      </c>
      <c r="I301">
        <v>0.85</v>
      </c>
      <c r="J301" t="s">
        <v>230</v>
      </c>
      <c r="K301" t="s">
        <v>27</v>
      </c>
      <c r="L301">
        <v>20.324000000000002</v>
      </c>
      <c r="M301">
        <v>1</v>
      </c>
      <c r="N301">
        <v>108.077</v>
      </c>
      <c r="O301">
        <v>0.18805111170739383</v>
      </c>
      <c r="P301">
        <v>0.96</v>
      </c>
    </row>
    <row r="302" spans="1:19" x14ac:dyDescent="0.25">
      <c r="A302" t="s">
        <v>125</v>
      </c>
      <c r="F302">
        <v>0.46722222222222221</v>
      </c>
      <c r="G302" t="s">
        <v>229</v>
      </c>
      <c r="H302">
        <v>0</v>
      </c>
      <c r="I302">
        <v>0.85</v>
      </c>
      <c r="J302" t="s">
        <v>230</v>
      </c>
      <c r="K302" t="s">
        <v>27</v>
      </c>
      <c r="L302">
        <v>36.722000000000001</v>
      </c>
      <c r="M302">
        <v>1</v>
      </c>
      <c r="N302">
        <v>83808.866999999998</v>
      </c>
      <c r="O302">
        <v>4.3816366113146477E-4</v>
      </c>
      <c r="P302">
        <v>0.95</v>
      </c>
    </row>
    <row r="303" spans="1:19" x14ac:dyDescent="0.25">
      <c r="A303" t="s">
        <v>126</v>
      </c>
      <c r="F303">
        <v>0.46921296296296294</v>
      </c>
      <c r="G303" t="s">
        <v>229</v>
      </c>
      <c r="H303">
        <v>0</v>
      </c>
      <c r="I303">
        <v>0.85</v>
      </c>
      <c r="J303" t="s">
        <v>230</v>
      </c>
      <c r="M303">
        <v>1</v>
      </c>
      <c r="N303">
        <v>85237.375</v>
      </c>
      <c r="O303">
        <v>0</v>
      </c>
    </row>
    <row r="304" spans="1:19" x14ac:dyDescent="0.25">
      <c r="A304" t="s">
        <v>127</v>
      </c>
      <c r="F304">
        <v>0.47106481481481483</v>
      </c>
      <c r="G304" t="s">
        <v>229</v>
      </c>
      <c r="H304">
        <v>0</v>
      </c>
      <c r="I304">
        <v>0.85</v>
      </c>
      <c r="J304" t="s">
        <v>230</v>
      </c>
      <c r="M304">
        <v>1</v>
      </c>
      <c r="N304">
        <v>85078.641000000003</v>
      </c>
      <c r="O304">
        <v>0</v>
      </c>
    </row>
    <row r="305" spans="1:16" x14ac:dyDescent="0.25">
      <c r="A305" t="s">
        <v>128</v>
      </c>
      <c r="F305">
        <v>0.47292824074074075</v>
      </c>
      <c r="G305" t="s">
        <v>229</v>
      </c>
      <c r="H305">
        <v>0</v>
      </c>
      <c r="I305">
        <v>0.85</v>
      </c>
      <c r="J305" t="s">
        <v>230</v>
      </c>
      <c r="M305">
        <v>1</v>
      </c>
      <c r="N305">
        <v>85329.452999999994</v>
      </c>
      <c r="O305">
        <v>0</v>
      </c>
    </row>
    <row r="306" spans="1:16" x14ac:dyDescent="0.25">
      <c r="A306" t="s">
        <v>129</v>
      </c>
      <c r="F306">
        <v>0.47480324074074076</v>
      </c>
      <c r="G306" t="s">
        <v>229</v>
      </c>
      <c r="H306">
        <v>0</v>
      </c>
      <c r="I306">
        <v>0.85</v>
      </c>
      <c r="J306" t="s">
        <v>230</v>
      </c>
      <c r="M306">
        <v>1</v>
      </c>
      <c r="N306">
        <v>90051.664000000004</v>
      </c>
      <c r="O306">
        <v>0</v>
      </c>
    </row>
    <row r="307" spans="1:16" x14ac:dyDescent="0.25">
      <c r="A307" t="s">
        <v>130</v>
      </c>
      <c r="F307">
        <v>0.47667824074074078</v>
      </c>
      <c r="G307" t="s">
        <v>229</v>
      </c>
      <c r="H307">
        <v>0</v>
      </c>
      <c r="I307">
        <v>0.85</v>
      </c>
      <c r="J307" t="s">
        <v>230</v>
      </c>
      <c r="M307">
        <v>1</v>
      </c>
      <c r="N307">
        <v>85405.758000000002</v>
      </c>
      <c r="O307">
        <v>0</v>
      </c>
    </row>
    <row r="308" spans="1:16" x14ac:dyDescent="0.25">
      <c r="A308" t="s">
        <v>131</v>
      </c>
      <c r="F308">
        <v>0.47855324074074074</v>
      </c>
      <c r="G308" t="s">
        <v>229</v>
      </c>
      <c r="H308">
        <v>0</v>
      </c>
      <c r="I308">
        <v>0.85</v>
      </c>
      <c r="J308" t="s">
        <v>230</v>
      </c>
      <c r="K308" t="s">
        <v>27</v>
      </c>
      <c r="L308">
        <v>5.181</v>
      </c>
      <c r="M308">
        <v>1</v>
      </c>
      <c r="N308">
        <v>83086.016000000003</v>
      </c>
      <c r="O308">
        <v>6.2357063792780723E-5</v>
      </c>
      <c r="P308">
        <v>0.92</v>
      </c>
    </row>
    <row r="309" spans="1:16" x14ac:dyDescent="0.25">
      <c r="A309" t="s">
        <v>132</v>
      </c>
      <c r="F309">
        <v>0.48041666666666666</v>
      </c>
      <c r="G309" t="s">
        <v>229</v>
      </c>
      <c r="H309">
        <v>0</v>
      </c>
      <c r="I309">
        <v>0.86</v>
      </c>
      <c r="J309" t="s">
        <v>230</v>
      </c>
      <c r="M309">
        <v>1</v>
      </c>
      <c r="N309">
        <v>83014.070000000007</v>
      </c>
      <c r="O309">
        <v>0</v>
      </c>
    </row>
    <row r="310" spans="1:16" x14ac:dyDescent="0.25">
      <c r="A310" t="s">
        <v>133</v>
      </c>
      <c r="F310">
        <v>0.48230324074074077</v>
      </c>
      <c r="G310" t="s">
        <v>229</v>
      </c>
      <c r="H310">
        <v>0</v>
      </c>
      <c r="I310">
        <v>0.86</v>
      </c>
      <c r="J310" t="s">
        <v>230</v>
      </c>
      <c r="K310" t="s">
        <v>27</v>
      </c>
      <c r="L310">
        <v>27.215</v>
      </c>
      <c r="M310">
        <v>1</v>
      </c>
      <c r="N310">
        <v>82167.266000000003</v>
      </c>
      <c r="O310">
        <v>3.3121462262112992E-4</v>
      </c>
      <c r="P310">
        <v>0.94</v>
      </c>
    </row>
    <row r="311" spans="1:16" x14ac:dyDescent="0.25">
      <c r="A311" t="s">
        <v>134</v>
      </c>
      <c r="F311">
        <v>0.4841550925925926</v>
      </c>
      <c r="G311" t="s">
        <v>229</v>
      </c>
      <c r="H311">
        <v>0</v>
      </c>
      <c r="I311">
        <v>0.85</v>
      </c>
      <c r="J311" t="s">
        <v>230</v>
      </c>
      <c r="K311" t="s">
        <v>27</v>
      </c>
      <c r="L311">
        <v>30.681000000000001</v>
      </c>
      <c r="M311">
        <v>1</v>
      </c>
      <c r="N311">
        <v>83417.883000000002</v>
      </c>
      <c r="O311">
        <v>3.6779883277546135E-4</v>
      </c>
      <c r="P311">
        <v>0.91</v>
      </c>
    </row>
    <row r="312" spans="1:16" x14ac:dyDescent="0.25">
      <c r="A312" t="s">
        <v>135</v>
      </c>
      <c r="F312">
        <v>0.48603009259259261</v>
      </c>
      <c r="G312" t="s">
        <v>229</v>
      </c>
      <c r="H312">
        <v>0</v>
      </c>
      <c r="I312">
        <v>0.85</v>
      </c>
      <c r="J312" t="s">
        <v>230</v>
      </c>
      <c r="K312" t="s">
        <v>27</v>
      </c>
      <c r="L312">
        <v>28.347000000000001</v>
      </c>
      <c r="M312">
        <v>1</v>
      </c>
      <c r="N312">
        <v>84251.233999999997</v>
      </c>
      <c r="O312">
        <v>3.3645797995077441E-4</v>
      </c>
      <c r="P312">
        <v>0.94</v>
      </c>
    </row>
    <row r="313" spans="1:16" x14ac:dyDescent="0.25">
      <c r="A313" t="s">
        <v>136</v>
      </c>
      <c r="F313">
        <v>0.48789351851851853</v>
      </c>
      <c r="G313" t="s">
        <v>229</v>
      </c>
      <c r="H313">
        <v>0</v>
      </c>
      <c r="I313">
        <v>0.85</v>
      </c>
      <c r="J313" t="s">
        <v>230</v>
      </c>
      <c r="K313" t="s">
        <v>27</v>
      </c>
      <c r="L313">
        <v>40.192999999999998</v>
      </c>
      <c r="M313">
        <v>1</v>
      </c>
      <c r="N313">
        <v>85308.608999999997</v>
      </c>
      <c r="O313">
        <v>4.7114822842791868E-4</v>
      </c>
      <c r="P313">
        <v>0.97</v>
      </c>
    </row>
    <row r="314" spans="1:16" x14ac:dyDescent="0.25">
      <c r="A314" t="s">
        <v>137</v>
      </c>
      <c r="F314">
        <v>0.48976851851851855</v>
      </c>
      <c r="G314" t="s">
        <v>229</v>
      </c>
      <c r="H314">
        <v>0</v>
      </c>
      <c r="I314">
        <v>0.85</v>
      </c>
      <c r="J314" t="s">
        <v>230</v>
      </c>
      <c r="K314" t="s">
        <v>27</v>
      </c>
      <c r="L314">
        <v>8.0500000000000007</v>
      </c>
      <c r="M314">
        <v>1</v>
      </c>
      <c r="N314">
        <v>84172.116999999998</v>
      </c>
      <c r="O314">
        <v>9.5637371221161049E-5</v>
      </c>
      <c r="P314">
        <v>0.97</v>
      </c>
    </row>
    <row r="315" spans="1:16" x14ac:dyDescent="0.25">
      <c r="A315" t="s">
        <v>138</v>
      </c>
      <c r="F315">
        <v>0.49164351851851856</v>
      </c>
      <c r="G315" t="s">
        <v>229</v>
      </c>
      <c r="H315">
        <v>0</v>
      </c>
      <c r="I315">
        <v>0.85</v>
      </c>
      <c r="J315" t="s">
        <v>230</v>
      </c>
      <c r="M315">
        <v>1</v>
      </c>
      <c r="N315">
        <v>82786.016000000003</v>
      </c>
      <c r="O315">
        <v>0</v>
      </c>
    </row>
    <row r="316" spans="1:16" x14ac:dyDescent="0.25">
      <c r="A316" t="s">
        <v>139</v>
      </c>
      <c r="F316">
        <v>0.49353009259259256</v>
      </c>
      <c r="G316" t="s">
        <v>229</v>
      </c>
      <c r="H316">
        <v>0</v>
      </c>
      <c r="I316">
        <v>0.85</v>
      </c>
      <c r="J316" t="s">
        <v>230</v>
      </c>
      <c r="K316" t="s">
        <v>27</v>
      </c>
      <c r="L316">
        <v>28.96</v>
      </c>
      <c r="M316">
        <v>1</v>
      </c>
      <c r="N316">
        <v>84114.585999999996</v>
      </c>
      <c r="O316">
        <v>3.4429224914689588E-4</v>
      </c>
      <c r="P316">
        <v>0.96</v>
      </c>
    </row>
    <row r="317" spans="1:16" x14ac:dyDescent="0.25">
      <c r="A317" t="s">
        <v>140</v>
      </c>
      <c r="F317">
        <v>0.49538194444444444</v>
      </c>
      <c r="G317" t="s">
        <v>229</v>
      </c>
      <c r="H317">
        <v>0</v>
      </c>
      <c r="I317">
        <v>0.85</v>
      </c>
      <c r="J317" t="s">
        <v>230</v>
      </c>
      <c r="M317">
        <v>1</v>
      </c>
      <c r="N317">
        <v>82948.483999999997</v>
      </c>
      <c r="O317">
        <v>0</v>
      </c>
    </row>
    <row r="318" spans="1:16" x14ac:dyDescent="0.25">
      <c r="A318" t="s">
        <v>141</v>
      </c>
      <c r="F318">
        <v>0.49726851851851855</v>
      </c>
      <c r="G318" t="s">
        <v>229</v>
      </c>
      <c r="H318">
        <v>0</v>
      </c>
      <c r="I318">
        <v>0.85</v>
      </c>
      <c r="J318" t="s">
        <v>230</v>
      </c>
      <c r="M318">
        <v>1</v>
      </c>
      <c r="N318">
        <v>84148.991999999998</v>
      </c>
      <c r="O318">
        <v>0</v>
      </c>
    </row>
    <row r="319" spans="1:16" x14ac:dyDescent="0.25">
      <c r="A319" t="s">
        <v>142</v>
      </c>
      <c r="F319">
        <v>0.49912037037037038</v>
      </c>
      <c r="G319" t="s">
        <v>229</v>
      </c>
      <c r="H319">
        <v>0</v>
      </c>
      <c r="I319">
        <v>0.86</v>
      </c>
      <c r="J319" t="s">
        <v>230</v>
      </c>
      <c r="M319">
        <v>1</v>
      </c>
      <c r="N319">
        <v>87653.937999999995</v>
      </c>
      <c r="O319">
        <v>0</v>
      </c>
    </row>
    <row r="320" spans="1:16" x14ac:dyDescent="0.25">
      <c r="A320" t="s">
        <v>143</v>
      </c>
      <c r="F320">
        <v>0.50100694444444438</v>
      </c>
      <c r="G320" t="s">
        <v>229</v>
      </c>
      <c r="H320">
        <v>0</v>
      </c>
      <c r="I320">
        <v>0.85</v>
      </c>
      <c r="J320" t="s">
        <v>230</v>
      </c>
      <c r="M320">
        <v>1</v>
      </c>
      <c r="N320">
        <v>87204.741999999998</v>
      </c>
      <c r="O320">
        <v>0</v>
      </c>
    </row>
    <row r="321" spans="1:19" x14ac:dyDescent="0.25">
      <c r="A321" t="s">
        <v>144</v>
      </c>
      <c r="F321">
        <v>0.50298611111111113</v>
      </c>
      <c r="G321" t="s">
        <v>229</v>
      </c>
      <c r="H321">
        <v>0</v>
      </c>
      <c r="I321">
        <v>0.85</v>
      </c>
      <c r="J321" t="s">
        <v>230</v>
      </c>
      <c r="M321">
        <v>1</v>
      </c>
      <c r="N321">
        <v>86631.726999999999</v>
      </c>
      <c r="O321">
        <v>0</v>
      </c>
    </row>
    <row r="322" spans="1:19" x14ac:dyDescent="0.25">
      <c r="A322" t="s">
        <v>145</v>
      </c>
      <c r="F322">
        <v>0.50496527777777778</v>
      </c>
      <c r="G322" t="s">
        <v>229</v>
      </c>
      <c r="H322">
        <v>0</v>
      </c>
      <c r="I322">
        <v>0.85</v>
      </c>
      <c r="J322" t="s">
        <v>230</v>
      </c>
      <c r="K322" t="s">
        <v>27</v>
      </c>
      <c r="L322">
        <v>23.254000000000001</v>
      </c>
      <c r="M322">
        <v>1</v>
      </c>
      <c r="N322">
        <v>79832.25</v>
      </c>
      <c r="O322">
        <v>2.9128578989067702E-4</v>
      </c>
      <c r="P322">
        <v>0.91</v>
      </c>
    </row>
    <row r="323" spans="1:19" x14ac:dyDescent="0.25">
      <c r="A323" t="s">
        <v>146</v>
      </c>
      <c r="F323">
        <v>0.50692129629629623</v>
      </c>
      <c r="G323" t="s">
        <v>229</v>
      </c>
      <c r="H323">
        <v>0</v>
      </c>
      <c r="I323">
        <v>0.85</v>
      </c>
      <c r="J323" t="s">
        <v>230</v>
      </c>
      <c r="K323" t="s">
        <v>27</v>
      </c>
      <c r="L323">
        <v>10.318</v>
      </c>
      <c r="M323">
        <v>1</v>
      </c>
      <c r="N323">
        <v>86690.491999999998</v>
      </c>
      <c r="O323">
        <v>1.1902112633067072E-4</v>
      </c>
      <c r="P323">
        <v>0.89</v>
      </c>
    </row>
    <row r="324" spans="1:19" x14ac:dyDescent="0.25">
      <c r="A324" t="s">
        <v>147</v>
      </c>
      <c r="F324">
        <v>0.5088773148148148</v>
      </c>
      <c r="G324" t="s">
        <v>229</v>
      </c>
      <c r="H324">
        <v>0</v>
      </c>
      <c r="I324">
        <v>0.85</v>
      </c>
      <c r="J324" t="s">
        <v>230</v>
      </c>
      <c r="M324">
        <v>1</v>
      </c>
      <c r="N324">
        <v>88469.531000000003</v>
      </c>
      <c r="O324">
        <v>0</v>
      </c>
    </row>
    <row r="325" spans="1:19" x14ac:dyDescent="0.25">
      <c r="A325" t="s">
        <v>148</v>
      </c>
      <c r="F325">
        <v>0.51083333333333336</v>
      </c>
      <c r="G325" t="s">
        <v>229</v>
      </c>
      <c r="H325">
        <v>0</v>
      </c>
      <c r="I325">
        <v>0.85</v>
      </c>
      <c r="J325" t="s">
        <v>230</v>
      </c>
      <c r="K325" t="s">
        <v>27</v>
      </c>
      <c r="L325">
        <v>16.038</v>
      </c>
      <c r="M325">
        <v>1</v>
      </c>
      <c r="N325">
        <v>80173.179999999993</v>
      </c>
      <c r="O325">
        <v>2.0004195916888918E-4</v>
      </c>
      <c r="P325">
        <v>1</v>
      </c>
    </row>
    <row r="326" spans="1:19" x14ac:dyDescent="0.25">
      <c r="A326" t="s">
        <v>149</v>
      </c>
      <c r="F326">
        <v>0.5128125</v>
      </c>
      <c r="G326" t="s">
        <v>229</v>
      </c>
      <c r="H326">
        <v>0</v>
      </c>
      <c r="I326">
        <v>0.85</v>
      </c>
      <c r="J326" t="s">
        <v>230</v>
      </c>
      <c r="K326" t="s">
        <v>27</v>
      </c>
      <c r="L326">
        <v>4.1749999999999998</v>
      </c>
      <c r="M326">
        <v>1</v>
      </c>
      <c r="N326">
        <v>84536.241999999998</v>
      </c>
      <c r="O326">
        <v>4.9387101924876193E-5</v>
      </c>
      <c r="P326">
        <v>0.91</v>
      </c>
    </row>
    <row r="327" spans="1:19" x14ac:dyDescent="0.25">
      <c r="A327" t="s">
        <v>150</v>
      </c>
      <c r="F327">
        <v>0.51466435185185189</v>
      </c>
      <c r="G327" t="s">
        <v>229</v>
      </c>
      <c r="H327">
        <v>0</v>
      </c>
      <c r="I327">
        <v>0.85</v>
      </c>
      <c r="J327" t="s">
        <v>230</v>
      </c>
      <c r="M327">
        <v>1</v>
      </c>
      <c r="N327">
        <v>87388.93</v>
      </c>
      <c r="O327">
        <v>0</v>
      </c>
    </row>
    <row r="328" spans="1:19" x14ac:dyDescent="0.25">
      <c r="A328" t="s">
        <v>151</v>
      </c>
      <c r="F328">
        <v>0.51653935185185185</v>
      </c>
      <c r="G328" t="s">
        <v>229</v>
      </c>
      <c r="H328">
        <v>0</v>
      </c>
      <c r="I328">
        <v>0.85</v>
      </c>
      <c r="J328" t="s">
        <v>230</v>
      </c>
      <c r="K328" t="s">
        <v>27</v>
      </c>
      <c r="L328">
        <v>71.736000000000004</v>
      </c>
      <c r="M328">
        <v>1</v>
      </c>
      <c r="N328">
        <v>87142.672000000006</v>
      </c>
      <c r="O328">
        <v>8.2320174896633879E-4</v>
      </c>
      <c r="P328">
        <v>0.95</v>
      </c>
    </row>
    <row r="329" spans="1:19" x14ac:dyDescent="0.25">
      <c r="A329" t="s">
        <v>152</v>
      </c>
      <c r="F329">
        <v>0.51849537037037041</v>
      </c>
      <c r="G329" t="s">
        <v>229</v>
      </c>
      <c r="H329">
        <v>0</v>
      </c>
      <c r="I329">
        <v>0.85</v>
      </c>
      <c r="J329" t="s">
        <v>230</v>
      </c>
      <c r="M329">
        <v>1</v>
      </c>
      <c r="N329">
        <v>87144.093999999997</v>
      </c>
      <c r="O329">
        <v>0</v>
      </c>
    </row>
    <row r="330" spans="1:19" x14ac:dyDescent="0.25">
      <c r="A330" s="2" t="s">
        <v>153</v>
      </c>
      <c r="B330" s="2"/>
      <c r="C330" s="2"/>
      <c r="D330" s="2"/>
      <c r="E330" s="2"/>
      <c r="F330" s="2">
        <v>0.52037037037037037</v>
      </c>
      <c r="G330" s="2" t="s">
        <v>229</v>
      </c>
      <c r="H330" s="2">
        <v>0</v>
      </c>
      <c r="I330" s="2">
        <v>0.85</v>
      </c>
      <c r="J330" s="2" t="s">
        <v>230</v>
      </c>
      <c r="K330" s="2" t="s">
        <v>27</v>
      </c>
      <c r="L330" s="2">
        <v>13989.188</v>
      </c>
      <c r="M330" s="2">
        <v>1</v>
      </c>
      <c r="N330" s="2">
        <v>86344.483999999997</v>
      </c>
      <c r="O330" s="2">
        <v>0.16201600092948612</v>
      </c>
      <c r="P330" s="2">
        <v>0.92</v>
      </c>
      <c r="Q330" s="2"/>
      <c r="R330" s="2"/>
      <c r="S330" s="2"/>
    </row>
    <row r="331" spans="1:19" x14ac:dyDescent="0.25">
      <c r="A331" s="2" t="s">
        <v>154</v>
      </c>
      <c r="B331" s="2"/>
      <c r="C331" s="2"/>
      <c r="D331" s="2"/>
      <c r="E331" s="2"/>
      <c r="F331" s="2">
        <v>0.52223379629629629</v>
      </c>
      <c r="G331" s="2" t="s">
        <v>229</v>
      </c>
      <c r="H331" s="2">
        <v>0</v>
      </c>
      <c r="I331" s="2">
        <v>0.85</v>
      </c>
      <c r="J331" s="2" t="s">
        <v>230</v>
      </c>
      <c r="K331" s="2" t="s">
        <v>27</v>
      </c>
      <c r="L331" s="2">
        <v>15363.119000000001</v>
      </c>
      <c r="M331" s="2">
        <v>1</v>
      </c>
      <c r="N331" s="2">
        <v>86244.25</v>
      </c>
      <c r="O331" s="2">
        <v>0.17813499450688017</v>
      </c>
      <c r="P331" s="2">
        <v>0.91</v>
      </c>
      <c r="Q331" s="2"/>
      <c r="R331" s="2"/>
      <c r="S331" s="2"/>
    </row>
    <row r="332" spans="1:19" x14ac:dyDescent="0.25">
      <c r="A332" t="s">
        <v>155</v>
      </c>
      <c r="F332">
        <v>0.52409722222222221</v>
      </c>
      <c r="G332" t="s">
        <v>229</v>
      </c>
      <c r="H332">
        <v>0</v>
      </c>
      <c r="I332">
        <v>0.85</v>
      </c>
      <c r="J332" t="s">
        <v>230</v>
      </c>
      <c r="K332" t="s">
        <v>27</v>
      </c>
      <c r="L332">
        <v>18.298999999999999</v>
      </c>
      <c r="M332">
        <v>1</v>
      </c>
      <c r="N332">
        <v>93.081999999999994</v>
      </c>
      <c r="O332">
        <v>0.19659010334973465</v>
      </c>
      <c r="P332">
        <v>0.97</v>
      </c>
    </row>
    <row r="333" spans="1:19" x14ac:dyDescent="0.25">
      <c r="A333" t="s">
        <v>156</v>
      </c>
      <c r="F333">
        <v>0.52598379629629632</v>
      </c>
      <c r="G333" t="s">
        <v>229</v>
      </c>
      <c r="H333">
        <v>0</v>
      </c>
      <c r="I333">
        <v>0.86</v>
      </c>
      <c r="J333" t="s">
        <v>230</v>
      </c>
      <c r="K333" t="s">
        <v>27</v>
      </c>
      <c r="L333">
        <v>12.448</v>
      </c>
      <c r="M333">
        <v>1</v>
      </c>
      <c r="N333">
        <v>106.667</v>
      </c>
      <c r="O333">
        <v>0.11669963531363965</v>
      </c>
      <c r="P333">
        <v>0.97</v>
      </c>
    </row>
    <row r="334" spans="1:19" x14ac:dyDescent="0.25">
      <c r="A334" t="s">
        <v>157</v>
      </c>
      <c r="F334">
        <v>0.52795138888888882</v>
      </c>
      <c r="G334" t="s">
        <v>229</v>
      </c>
      <c r="H334">
        <v>0</v>
      </c>
      <c r="I334">
        <v>0.86</v>
      </c>
      <c r="J334" t="s">
        <v>230</v>
      </c>
      <c r="M334">
        <v>1</v>
      </c>
      <c r="N334">
        <v>77598.648000000001</v>
      </c>
      <c r="O334">
        <v>0</v>
      </c>
    </row>
    <row r="335" spans="1:19" x14ac:dyDescent="0.25">
      <c r="A335" t="s">
        <v>158</v>
      </c>
      <c r="F335">
        <v>0.52990740740740738</v>
      </c>
      <c r="G335" t="s">
        <v>229</v>
      </c>
      <c r="H335">
        <v>0</v>
      </c>
      <c r="I335">
        <v>0.85</v>
      </c>
      <c r="J335" t="s">
        <v>230</v>
      </c>
      <c r="K335" t="s">
        <v>27</v>
      </c>
      <c r="L335">
        <v>19.321999999999999</v>
      </c>
      <c r="M335">
        <v>1</v>
      </c>
      <c r="N335">
        <v>76582.883000000002</v>
      </c>
      <c r="O335">
        <v>2.5230181005329871E-4</v>
      </c>
      <c r="P335">
        <v>0.92</v>
      </c>
    </row>
    <row r="336" spans="1:19" x14ac:dyDescent="0.25">
      <c r="A336" t="s">
        <v>159</v>
      </c>
      <c r="F336">
        <v>0.5317708333333333</v>
      </c>
      <c r="G336" t="s">
        <v>229</v>
      </c>
      <c r="H336">
        <v>0</v>
      </c>
      <c r="I336">
        <v>0.85</v>
      </c>
      <c r="J336" t="s">
        <v>230</v>
      </c>
      <c r="K336" t="s">
        <v>27</v>
      </c>
      <c r="L336">
        <v>25.652999999999999</v>
      </c>
      <c r="M336">
        <v>1</v>
      </c>
      <c r="N336">
        <v>81240.422000000006</v>
      </c>
      <c r="O336">
        <v>3.157664542904516E-4</v>
      </c>
      <c r="P336">
        <v>1.01</v>
      </c>
    </row>
    <row r="337" spans="1:16" x14ac:dyDescent="0.25">
      <c r="A337" t="s">
        <v>160</v>
      </c>
      <c r="F337">
        <v>0.53363425925925922</v>
      </c>
      <c r="G337" t="s">
        <v>229</v>
      </c>
      <c r="H337">
        <v>0</v>
      </c>
      <c r="I337">
        <v>0.85</v>
      </c>
      <c r="J337" t="s">
        <v>230</v>
      </c>
      <c r="M337">
        <v>1</v>
      </c>
      <c r="N337">
        <v>79723.312999999995</v>
      </c>
      <c r="O337">
        <v>0</v>
      </c>
    </row>
    <row r="338" spans="1:16" x14ac:dyDescent="0.25">
      <c r="A338" t="s">
        <v>161</v>
      </c>
      <c r="F338">
        <v>0.5355092592592593</v>
      </c>
      <c r="G338" t="s">
        <v>229</v>
      </c>
      <c r="H338">
        <v>0</v>
      </c>
      <c r="I338">
        <v>0.85</v>
      </c>
      <c r="J338" t="s">
        <v>230</v>
      </c>
      <c r="K338" t="s">
        <v>27</v>
      </c>
      <c r="L338">
        <v>16.096</v>
      </c>
      <c r="M338">
        <v>1</v>
      </c>
      <c r="N338">
        <v>82403.797000000006</v>
      </c>
      <c r="O338">
        <v>1.9533080496278587E-4</v>
      </c>
      <c r="P338">
        <v>0.97</v>
      </c>
    </row>
    <row r="339" spans="1:16" x14ac:dyDescent="0.25">
      <c r="A339" t="s">
        <v>162</v>
      </c>
      <c r="F339">
        <v>0.53738425925925926</v>
      </c>
      <c r="G339" t="s">
        <v>229</v>
      </c>
      <c r="H339">
        <v>0</v>
      </c>
      <c r="I339">
        <v>0.86</v>
      </c>
      <c r="J339" t="s">
        <v>230</v>
      </c>
      <c r="M339">
        <v>1</v>
      </c>
      <c r="N339">
        <v>77816.023000000001</v>
      </c>
      <c r="O339">
        <v>0</v>
      </c>
    </row>
    <row r="340" spans="1:16" x14ac:dyDescent="0.25">
      <c r="A340" t="s">
        <v>163</v>
      </c>
      <c r="F340">
        <v>0.53924768518518518</v>
      </c>
      <c r="G340" t="s">
        <v>229</v>
      </c>
      <c r="H340">
        <v>0</v>
      </c>
      <c r="I340">
        <v>0.85</v>
      </c>
      <c r="J340" t="s">
        <v>230</v>
      </c>
      <c r="K340" t="s">
        <v>27</v>
      </c>
      <c r="L340">
        <v>19.126000000000001</v>
      </c>
      <c r="M340">
        <v>1</v>
      </c>
      <c r="N340">
        <v>82569.054999999993</v>
      </c>
      <c r="O340">
        <v>2.3163641633054905E-4</v>
      </c>
      <c r="P340">
        <v>0.9</v>
      </c>
    </row>
    <row r="341" spans="1:16" x14ac:dyDescent="0.25">
      <c r="A341" t="s">
        <v>164</v>
      </c>
      <c r="F341">
        <v>0.54112268518518525</v>
      </c>
      <c r="G341" t="s">
        <v>229</v>
      </c>
      <c r="H341">
        <v>0</v>
      </c>
      <c r="I341">
        <v>0.85</v>
      </c>
      <c r="J341" t="s">
        <v>230</v>
      </c>
      <c r="M341">
        <v>1</v>
      </c>
      <c r="N341">
        <v>82580.983999999997</v>
      </c>
      <c r="O341">
        <v>0</v>
      </c>
    </row>
    <row r="342" spans="1:16" x14ac:dyDescent="0.25">
      <c r="A342" t="s">
        <v>165</v>
      </c>
      <c r="F342">
        <v>0.54298611111111106</v>
      </c>
      <c r="G342" t="s">
        <v>229</v>
      </c>
      <c r="H342">
        <v>0</v>
      </c>
      <c r="I342">
        <v>0.85</v>
      </c>
      <c r="J342" t="s">
        <v>230</v>
      </c>
      <c r="M342">
        <v>1</v>
      </c>
      <c r="N342">
        <v>82733.391000000003</v>
      </c>
      <c r="O342">
        <v>0</v>
      </c>
    </row>
    <row r="343" spans="1:16" x14ac:dyDescent="0.25">
      <c r="A343" t="s">
        <v>166</v>
      </c>
      <c r="F343">
        <v>0.54487268518518517</v>
      </c>
      <c r="G343" t="s">
        <v>229</v>
      </c>
      <c r="H343">
        <v>0</v>
      </c>
      <c r="I343">
        <v>0.85</v>
      </c>
      <c r="J343" t="s">
        <v>230</v>
      </c>
      <c r="M343">
        <v>1</v>
      </c>
      <c r="N343">
        <v>79460.172000000006</v>
      </c>
      <c r="O343">
        <v>0</v>
      </c>
    </row>
    <row r="344" spans="1:16" x14ac:dyDescent="0.25">
      <c r="A344" t="s">
        <v>167</v>
      </c>
      <c r="F344">
        <v>0.54673611111111109</v>
      </c>
      <c r="G344" t="s">
        <v>229</v>
      </c>
      <c r="H344">
        <v>0</v>
      </c>
      <c r="I344">
        <v>0.85</v>
      </c>
      <c r="J344" t="s">
        <v>230</v>
      </c>
      <c r="K344" t="s">
        <v>27</v>
      </c>
      <c r="L344">
        <v>27.79</v>
      </c>
      <c r="M344">
        <v>1</v>
      </c>
      <c r="N344">
        <v>80189.133000000002</v>
      </c>
      <c r="O344">
        <v>3.4655568604289558E-4</v>
      </c>
      <c r="P344">
        <v>0.96</v>
      </c>
    </row>
    <row r="345" spans="1:16" x14ac:dyDescent="0.25">
      <c r="A345" t="s">
        <v>168</v>
      </c>
      <c r="F345">
        <v>0.54859953703703701</v>
      </c>
      <c r="G345" t="s">
        <v>229</v>
      </c>
      <c r="H345">
        <v>0</v>
      </c>
      <c r="I345">
        <v>0.85</v>
      </c>
      <c r="J345" t="s">
        <v>230</v>
      </c>
      <c r="M345">
        <v>1</v>
      </c>
      <c r="N345">
        <v>79237.797000000006</v>
      </c>
      <c r="O345">
        <v>0</v>
      </c>
    </row>
    <row r="346" spans="1:16" x14ac:dyDescent="0.25">
      <c r="A346" t="s">
        <v>169</v>
      </c>
      <c r="F346">
        <v>0.55048611111111112</v>
      </c>
      <c r="G346" t="s">
        <v>229</v>
      </c>
      <c r="H346">
        <v>0</v>
      </c>
      <c r="I346">
        <v>0.85</v>
      </c>
      <c r="J346" t="s">
        <v>230</v>
      </c>
      <c r="M346">
        <v>1</v>
      </c>
      <c r="N346">
        <v>79373.164000000004</v>
      </c>
      <c r="O346">
        <v>0</v>
      </c>
    </row>
    <row r="347" spans="1:16" x14ac:dyDescent="0.25">
      <c r="A347" t="s">
        <v>170</v>
      </c>
      <c r="F347">
        <v>0.55234953703703704</v>
      </c>
      <c r="G347" t="s">
        <v>229</v>
      </c>
      <c r="H347">
        <v>0</v>
      </c>
      <c r="I347">
        <v>0.85</v>
      </c>
      <c r="J347" t="s">
        <v>230</v>
      </c>
      <c r="M347">
        <v>1</v>
      </c>
      <c r="N347">
        <v>80237.577999999994</v>
      </c>
      <c r="O347">
        <v>0</v>
      </c>
    </row>
    <row r="348" spans="1:16" x14ac:dyDescent="0.25">
      <c r="A348" t="s">
        <v>171</v>
      </c>
      <c r="F348">
        <v>0.55421296296296296</v>
      </c>
      <c r="G348" t="s">
        <v>229</v>
      </c>
      <c r="H348">
        <v>0</v>
      </c>
      <c r="I348">
        <v>0.85</v>
      </c>
      <c r="J348" t="s">
        <v>230</v>
      </c>
      <c r="M348">
        <v>1</v>
      </c>
      <c r="N348">
        <v>76179.664000000004</v>
      </c>
      <c r="O348">
        <v>0</v>
      </c>
    </row>
    <row r="349" spans="1:16" x14ac:dyDescent="0.25">
      <c r="A349" t="s">
        <v>172</v>
      </c>
      <c r="F349">
        <v>0.55621527777777779</v>
      </c>
      <c r="G349" t="s">
        <v>229</v>
      </c>
      <c r="H349">
        <v>0</v>
      </c>
      <c r="I349">
        <v>0.85</v>
      </c>
      <c r="J349" t="s">
        <v>230</v>
      </c>
      <c r="K349" t="s">
        <v>27</v>
      </c>
      <c r="L349">
        <v>29.896000000000001</v>
      </c>
      <c r="M349">
        <v>1</v>
      </c>
      <c r="N349">
        <v>78758.741999999998</v>
      </c>
      <c r="O349">
        <v>3.7958960797012222E-4</v>
      </c>
      <c r="P349">
        <v>0.99</v>
      </c>
    </row>
    <row r="350" spans="1:16" x14ac:dyDescent="0.25">
      <c r="A350" t="s">
        <v>173</v>
      </c>
      <c r="F350">
        <v>0.55815972222222221</v>
      </c>
      <c r="G350" t="s">
        <v>229</v>
      </c>
      <c r="H350">
        <v>0</v>
      </c>
      <c r="I350">
        <v>0.85</v>
      </c>
      <c r="J350" t="s">
        <v>230</v>
      </c>
      <c r="K350" t="s">
        <v>27</v>
      </c>
      <c r="L350">
        <v>8.8620000000000001</v>
      </c>
      <c r="M350">
        <v>1</v>
      </c>
      <c r="N350">
        <v>76535.437999999995</v>
      </c>
      <c r="O350">
        <v>1.1578949871561459E-4</v>
      </c>
      <c r="P350">
        <v>1</v>
      </c>
    </row>
    <row r="351" spans="1:16" x14ac:dyDescent="0.25">
      <c r="A351" t="s">
        <v>174</v>
      </c>
      <c r="F351">
        <v>0.56003472222222228</v>
      </c>
      <c r="G351" t="s">
        <v>229</v>
      </c>
      <c r="H351">
        <v>0</v>
      </c>
      <c r="I351">
        <v>0.85</v>
      </c>
      <c r="J351" t="s">
        <v>230</v>
      </c>
      <c r="K351" t="s">
        <v>27</v>
      </c>
      <c r="L351">
        <v>5.29</v>
      </c>
      <c r="M351">
        <v>1</v>
      </c>
      <c r="N351">
        <v>79696.898000000001</v>
      </c>
      <c r="O351">
        <v>6.6376485569112116E-5</v>
      </c>
      <c r="P351">
        <v>1.01</v>
      </c>
    </row>
    <row r="352" spans="1:16" x14ac:dyDescent="0.25">
      <c r="A352" t="s">
        <v>175</v>
      </c>
      <c r="F352">
        <v>0.56200231481481489</v>
      </c>
      <c r="G352" t="s">
        <v>229</v>
      </c>
      <c r="H352">
        <v>0</v>
      </c>
      <c r="I352">
        <v>0.85</v>
      </c>
      <c r="J352" t="s">
        <v>230</v>
      </c>
      <c r="M352">
        <v>1</v>
      </c>
      <c r="N352">
        <v>81888.945000000007</v>
      </c>
      <c r="O352">
        <v>0</v>
      </c>
    </row>
    <row r="353" spans="1:19" x14ac:dyDescent="0.25">
      <c r="A353" t="s">
        <v>176</v>
      </c>
      <c r="F353">
        <v>0.56396990740740738</v>
      </c>
      <c r="G353" t="s">
        <v>229</v>
      </c>
      <c r="H353">
        <v>0</v>
      </c>
      <c r="I353">
        <v>0.85</v>
      </c>
      <c r="J353" t="s">
        <v>230</v>
      </c>
      <c r="M353">
        <v>1</v>
      </c>
      <c r="N353">
        <v>80283.141000000003</v>
      </c>
      <c r="O353">
        <v>0</v>
      </c>
    </row>
    <row r="354" spans="1:19" x14ac:dyDescent="0.25">
      <c r="A354" t="s">
        <v>177</v>
      </c>
      <c r="F354">
        <v>0.56581018518518522</v>
      </c>
      <c r="G354" t="s">
        <v>229</v>
      </c>
      <c r="H354">
        <v>0</v>
      </c>
      <c r="I354">
        <v>0.86</v>
      </c>
      <c r="J354" t="s">
        <v>230</v>
      </c>
      <c r="M354">
        <v>1</v>
      </c>
      <c r="N354">
        <v>77920.398000000001</v>
      </c>
      <c r="O354">
        <v>0</v>
      </c>
    </row>
    <row r="355" spans="1:19" x14ac:dyDescent="0.25">
      <c r="A355" t="s">
        <v>178</v>
      </c>
      <c r="F355">
        <v>0.56781249999999994</v>
      </c>
      <c r="G355" t="s">
        <v>229</v>
      </c>
      <c r="H355">
        <v>0</v>
      </c>
      <c r="I355">
        <v>0.86</v>
      </c>
      <c r="J355" t="s">
        <v>230</v>
      </c>
      <c r="K355" t="s">
        <v>27</v>
      </c>
      <c r="L355">
        <v>11.563000000000001</v>
      </c>
      <c r="M355">
        <v>1</v>
      </c>
      <c r="N355">
        <v>78458.289000000004</v>
      </c>
      <c r="O355">
        <v>1.4737767223040003E-4</v>
      </c>
      <c r="P355">
        <v>0.93</v>
      </c>
    </row>
    <row r="356" spans="1:19" x14ac:dyDescent="0.25">
      <c r="A356" t="s">
        <v>179</v>
      </c>
      <c r="F356">
        <v>0.56967592592592597</v>
      </c>
      <c r="G356" t="s">
        <v>229</v>
      </c>
      <c r="H356">
        <v>0</v>
      </c>
      <c r="I356">
        <v>0.85</v>
      </c>
      <c r="J356" t="s">
        <v>230</v>
      </c>
      <c r="K356" t="s">
        <v>27</v>
      </c>
      <c r="L356">
        <v>1.0469999999999999</v>
      </c>
      <c r="M356">
        <v>1</v>
      </c>
      <c r="N356">
        <v>81069.625</v>
      </c>
      <c r="O356">
        <v>1.2914824757114639E-5</v>
      </c>
      <c r="P356">
        <v>0.93</v>
      </c>
    </row>
    <row r="357" spans="1:19" x14ac:dyDescent="0.25">
      <c r="A357" t="s">
        <v>180</v>
      </c>
      <c r="F357">
        <v>0.57153935185185178</v>
      </c>
      <c r="G357" t="s">
        <v>229</v>
      </c>
      <c r="H357">
        <v>0</v>
      </c>
      <c r="I357">
        <v>0.85</v>
      </c>
      <c r="J357" t="s">
        <v>230</v>
      </c>
      <c r="K357" t="s">
        <v>27</v>
      </c>
      <c r="L357">
        <v>21.565000000000001</v>
      </c>
      <c r="M357">
        <v>1</v>
      </c>
      <c r="N357">
        <v>81783.843999999997</v>
      </c>
      <c r="O357">
        <v>2.6368288582767033E-4</v>
      </c>
      <c r="P357">
        <v>0.94</v>
      </c>
    </row>
    <row r="358" spans="1:19" x14ac:dyDescent="0.25">
      <c r="A358" t="s">
        <v>181</v>
      </c>
      <c r="F358">
        <v>0.57351851851851854</v>
      </c>
      <c r="G358" t="s">
        <v>229</v>
      </c>
      <c r="H358">
        <v>0</v>
      </c>
      <c r="I358">
        <v>0.85</v>
      </c>
      <c r="J358" t="s">
        <v>230</v>
      </c>
      <c r="M358">
        <v>1</v>
      </c>
      <c r="N358">
        <v>82280.218999999997</v>
      </c>
      <c r="O358">
        <v>0</v>
      </c>
    </row>
    <row r="359" spans="1:19" x14ac:dyDescent="0.25">
      <c r="A359" t="s">
        <v>182</v>
      </c>
      <c r="F359">
        <v>0.57548611111111114</v>
      </c>
      <c r="G359" t="s">
        <v>229</v>
      </c>
      <c r="H359">
        <v>0</v>
      </c>
      <c r="I359">
        <v>0.85</v>
      </c>
      <c r="J359" t="s">
        <v>230</v>
      </c>
      <c r="M359">
        <v>1</v>
      </c>
      <c r="N359">
        <v>82015.625</v>
      </c>
      <c r="O359">
        <v>0</v>
      </c>
    </row>
    <row r="360" spans="1:19" x14ac:dyDescent="0.25">
      <c r="A360" t="s">
        <v>183</v>
      </c>
      <c r="F360">
        <v>0.57743055555555556</v>
      </c>
      <c r="G360" t="s">
        <v>229</v>
      </c>
      <c r="H360">
        <v>0</v>
      </c>
      <c r="I360">
        <v>0.85</v>
      </c>
      <c r="J360" t="s">
        <v>230</v>
      </c>
      <c r="M360">
        <v>1</v>
      </c>
      <c r="N360">
        <v>83588.202999999994</v>
      </c>
      <c r="O360">
        <v>0</v>
      </c>
    </row>
    <row r="361" spans="1:19" x14ac:dyDescent="0.25">
      <c r="A361" t="s">
        <v>184</v>
      </c>
      <c r="F361">
        <v>0.57929398148148148</v>
      </c>
      <c r="G361" t="s">
        <v>229</v>
      </c>
      <c r="H361">
        <v>0</v>
      </c>
      <c r="I361">
        <v>0.85</v>
      </c>
      <c r="J361" t="s">
        <v>230</v>
      </c>
      <c r="K361" t="s">
        <v>27</v>
      </c>
      <c r="L361">
        <v>26.405000000000001</v>
      </c>
      <c r="M361">
        <v>1</v>
      </c>
      <c r="N361">
        <v>80724.952999999994</v>
      </c>
      <c r="O361">
        <v>3.2709836325330537E-4</v>
      </c>
      <c r="P361">
        <v>0.98</v>
      </c>
    </row>
    <row r="362" spans="1:19" x14ac:dyDescent="0.25">
      <c r="A362" s="2" t="s">
        <v>185</v>
      </c>
      <c r="B362" s="2"/>
      <c r="C362" s="2"/>
      <c r="D362" s="2"/>
      <c r="E362" s="2"/>
      <c r="F362" s="2">
        <v>0.5811574074074074</v>
      </c>
      <c r="G362" s="2" t="s">
        <v>229</v>
      </c>
      <c r="H362" s="2">
        <v>0</v>
      </c>
      <c r="I362" s="2">
        <v>0.85</v>
      </c>
      <c r="J362" s="2" t="s">
        <v>230</v>
      </c>
      <c r="K362" s="2" t="s">
        <v>27</v>
      </c>
      <c r="L362" s="2">
        <v>15505.210999999999</v>
      </c>
      <c r="M362" s="2">
        <v>1</v>
      </c>
      <c r="N362" s="2">
        <v>85890</v>
      </c>
      <c r="O362" s="2">
        <v>0.18052405402258703</v>
      </c>
      <c r="P362" s="2">
        <v>0.91</v>
      </c>
      <c r="Q362" s="2"/>
      <c r="R362" s="2"/>
      <c r="S362" s="2"/>
    </row>
    <row r="363" spans="1:19" x14ac:dyDescent="0.25">
      <c r="A363" s="2" t="s">
        <v>186</v>
      </c>
      <c r="B363" s="2"/>
      <c r="C363" s="2"/>
      <c r="D363" s="2"/>
      <c r="E363" s="2"/>
      <c r="F363" s="2">
        <v>0.58302083333333332</v>
      </c>
      <c r="G363" s="2" t="s">
        <v>229</v>
      </c>
      <c r="H363" s="2">
        <v>0</v>
      </c>
      <c r="I363" s="2">
        <v>0.85</v>
      </c>
      <c r="J363" s="2" t="s">
        <v>230</v>
      </c>
      <c r="K363" s="2" t="s">
        <v>27</v>
      </c>
      <c r="L363" s="2">
        <v>16257.031999999999</v>
      </c>
      <c r="M363" s="2">
        <v>1</v>
      </c>
      <c r="N363" s="2">
        <v>87285.202999999994</v>
      </c>
      <c r="O363" s="2">
        <v>0.18625186676829977</v>
      </c>
      <c r="P363" s="2">
        <v>0.91</v>
      </c>
      <c r="Q363" s="2"/>
      <c r="R363" s="2"/>
      <c r="S363" s="2"/>
    </row>
    <row r="364" spans="1:19" x14ac:dyDescent="0.25">
      <c r="A364" t="s">
        <v>187</v>
      </c>
      <c r="F364">
        <v>0.58489583333333328</v>
      </c>
      <c r="G364" t="s">
        <v>229</v>
      </c>
      <c r="H364">
        <v>0</v>
      </c>
      <c r="I364">
        <v>0.86</v>
      </c>
      <c r="J364" t="s">
        <v>230</v>
      </c>
      <c r="K364" t="s">
        <v>27</v>
      </c>
      <c r="L364">
        <v>62.564999999999998</v>
      </c>
      <c r="M364">
        <v>1</v>
      </c>
      <c r="N364">
        <v>266.41899999999998</v>
      </c>
      <c r="O364">
        <v>0.2348368547288294</v>
      </c>
      <c r="P364">
        <v>0.92</v>
      </c>
    </row>
    <row r="365" spans="1:19" x14ac:dyDescent="0.25">
      <c r="A365" t="s">
        <v>188</v>
      </c>
      <c r="F365">
        <v>0.58678240740740739</v>
      </c>
      <c r="G365" t="s">
        <v>229</v>
      </c>
      <c r="H365">
        <v>0</v>
      </c>
      <c r="I365">
        <v>0.86</v>
      </c>
      <c r="J365" t="s">
        <v>230</v>
      </c>
      <c r="K365" t="s">
        <v>27</v>
      </c>
      <c r="L365">
        <v>39.216000000000001</v>
      </c>
      <c r="M365">
        <v>1</v>
      </c>
      <c r="N365">
        <v>109.754</v>
      </c>
      <c r="O365">
        <v>0.35730816188931608</v>
      </c>
      <c r="P365">
        <v>0.99</v>
      </c>
    </row>
    <row r="366" spans="1:19" x14ac:dyDescent="0.25">
      <c r="A366" t="s">
        <v>189</v>
      </c>
      <c r="F366">
        <v>0.58876157407407403</v>
      </c>
      <c r="G366" t="s">
        <v>229</v>
      </c>
      <c r="H366">
        <v>0</v>
      </c>
      <c r="I366">
        <v>0.85</v>
      </c>
      <c r="J366" t="s">
        <v>230</v>
      </c>
      <c r="K366" t="s">
        <v>27</v>
      </c>
      <c r="L366">
        <v>29.44</v>
      </c>
      <c r="M366">
        <v>1</v>
      </c>
      <c r="N366">
        <v>78006.75</v>
      </c>
      <c r="O366">
        <v>3.7740323754034108E-4</v>
      </c>
      <c r="P366">
        <v>0.91</v>
      </c>
    </row>
    <row r="367" spans="1:19" x14ac:dyDescent="0.25">
      <c r="A367" t="s">
        <v>190</v>
      </c>
      <c r="F367">
        <v>0.5907175925925926</v>
      </c>
      <c r="G367" t="s">
        <v>229</v>
      </c>
      <c r="H367">
        <v>0</v>
      </c>
      <c r="I367">
        <v>0.85</v>
      </c>
      <c r="J367" t="s">
        <v>230</v>
      </c>
      <c r="M367">
        <v>1</v>
      </c>
      <c r="N367">
        <v>81092.922000000006</v>
      </c>
      <c r="O367">
        <v>0</v>
      </c>
    </row>
    <row r="368" spans="1:19" x14ac:dyDescent="0.25">
      <c r="A368" t="s">
        <v>191</v>
      </c>
      <c r="F368">
        <v>0.59258101851851852</v>
      </c>
      <c r="G368" t="s">
        <v>229</v>
      </c>
      <c r="H368">
        <v>0</v>
      </c>
      <c r="I368">
        <v>0.85</v>
      </c>
      <c r="J368" t="s">
        <v>230</v>
      </c>
      <c r="K368" t="s">
        <v>27</v>
      </c>
      <c r="L368">
        <v>15.932</v>
      </c>
      <c r="M368">
        <v>1</v>
      </c>
      <c r="N368">
        <v>78620.616999999998</v>
      </c>
      <c r="O368">
        <v>2.0264404691710828E-4</v>
      </c>
      <c r="P368">
        <v>0.97</v>
      </c>
    </row>
    <row r="369" spans="1:16" x14ac:dyDescent="0.25">
      <c r="A369" t="s">
        <v>192</v>
      </c>
      <c r="F369">
        <v>0.59444444444444444</v>
      </c>
      <c r="G369" t="s">
        <v>229</v>
      </c>
      <c r="H369">
        <v>0</v>
      </c>
      <c r="I369">
        <v>0.85</v>
      </c>
      <c r="J369" t="s">
        <v>230</v>
      </c>
      <c r="K369" t="s">
        <v>27</v>
      </c>
      <c r="L369">
        <v>43.064999999999998</v>
      </c>
      <c r="M369">
        <v>1</v>
      </c>
      <c r="N369">
        <v>76617.766000000003</v>
      </c>
      <c r="O369">
        <v>5.6207590286566167E-4</v>
      </c>
      <c r="P369">
        <v>0.92</v>
      </c>
    </row>
    <row r="370" spans="1:16" x14ac:dyDescent="0.25">
      <c r="A370" t="s">
        <v>193</v>
      </c>
      <c r="F370">
        <v>0.59630787037037036</v>
      </c>
      <c r="G370" t="s">
        <v>229</v>
      </c>
      <c r="H370">
        <v>0</v>
      </c>
      <c r="I370">
        <v>0.86</v>
      </c>
      <c r="J370" t="s">
        <v>230</v>
      </c>
      <c r="K370" t="s">
        <v>27</v>
      </c>
      <c r="L370">
        <v>29.917999999999999</v>
      </c>
      <c r="M370">
        <v>1</v>
      </c>
      <c r="N370">
        <v>79449.320000000007</v>
      </c>
      <c r="O370">
        <v>3.7656709963030516E-4</v>
      </c>
      <c r="P370">
        <v>0.95</v>
      </c>
    </row>
    <row r="371" spans="1:16" x14ac:dyDescent="0.25">
      <c r="A371" t="s">
        <v>194</v>
      </c>
      <c r="F371">
        <v>0.59819444444444447</v>
      </c>
      <c r="G371" t="s">
        <v>229</v>
      </c>
      <c r="H371">
        <v>0</v>
      </c>
      <c r="I371">
        <v>0.85</v>
      </c>
      <c r="J371" t="s">
        <v>230</v>
      </c>
      <c r="K371" t="s">
        <v>27</v>
      </c>
      <c r="L371">
        <v>8.6829999999999998</v>
      </c>
      <c r="M371">
        <v>1</v>
      </c>
      <c r="N371">
        <v>81529.766000000003</v>
      </c>
      <c r="O371">
        <v>1.0650098026774663E-4</v>
      </c>
      <c r="P371">
        <v>0.97</v>
      </c>
    </row>
    <row r="372" spans="1:16" x14ac:dyDescent="0.25">
      <c r="A372" t="s">
        <v>195</v>
      </c>
      <c r="F372">
        <v>0.60005787037037039</v>
      </c>
      <c r="G372" t="s">
        <v>229</v>
      </c>
      <c r="H372">
        <v>0</v>
      </c>
      <c r="I372">
        <v>0.85</v>
      </c>
      <c r="J372" t="s">
        <v>230</v>
      </c>
      <c r="M372">
        <v>1</v>
      </c>
      <c r="N372">
        <v>80463.766000000003</v>
      </c>
      <c r="O372">
        <v>0</v>
      </c>
    </row>
    <row r="373" spans="1:16" x14ac:dyDescent="0.25">
      <c r="A373" t="s">
        <v>196</v>
      </c>
      <c r="F373">
        <v>0.60192129629629632</v>
      </c>
      <c r="G373" t="s">
        <v>229</v>
      </c>
      <c r="H373">
        <v>0</v>
      </c>
      <c r="I373">
        <v>0.85</v>
      </c>
      <c r="J373" t="s">
        <v>230</v>
      </c>
      <c r="K373" t="s">
        <v>27</v>
      </c>
      <c r="L373">
        <v>26.033000000000001</v>
      </c>
      <c r="M373">
        <v>1</v>
      </c>
      <c r="N373">
        <v>81377.547000000006</v>
      </c>
      <c r="O373">
        <v>3.1990396564792004E-4</v>
      </c>
      <c r="P373">
        <v>0.96</v>
      </c>
    </row>
    <row r="374" spans="1:16" x14ac:dyDescent="0.25">
      <c r="A374" t="s">
        <v>197</v>
      </c>
      <c r="F374">
        <v>0.60380787037037031</v>
      </c>
      <c r="G374" t="s">
        <v>229</v>
      </c>
      <c r="H374">
        <v>0</v>
      </c>
      <c r="I374">
        <v>0.85</v>
      </c>
      <c r="J374" t="s">
        <v>230</v>
      </c>
      <c r="M374">
        <v>1</v>
      </c>
      <c r="N374">
        <v>79696.797000000006</v>
      </c>
      <c r="O374">
        <v>0</v>
      </c>
    </row>
    <row r="375" spans="1:16" x14ac:dyDescent="0.25">
      <c r="A375" t="s">
        <v>198</v>
      </c>
      <c r="F375">
        <v>0.60577546296296292</v>
      </c>
      <c r="G375" t="s">
        <v>229</v>
      </c>
      <c r="H375">
        <v>0</v>
      </c>
      <c r="I375">
        <v>0.86</v>
      </c>
      <c r="J375" t="s">
        <v>230</v>
      </c>
      <c r="K375" t="s">
        <v>27</v>
      </c>
      <c r="L375">
        <v>30.734000000000002</v>
      </c>
      <c r="M375">
        <v>1</v>
      </c>
      <c r="N375">
        <v>80965.358999999997</v>
      </c>
      <c r="O375">
        <v>3.7959443865369635E-4</v>
      </c>
      <c r="P375">
        <v>0.92</v>
      </c>
    </row>
    <row r="376" spans="1:16" x14ac:dyDescent="0.25">
      <c r="A376" t="s">
        <v>199</v>
      </c>
      <c r="F376">
        <v>0.60774305555555552</v>
      </c>
      <c r="G376" t="s">
        <v>229</v>
      </c>
      <c r="H376">
        <v>0</v>
      </c>
      <c r="I376">
        <v>0.85</v>
      </c>
      <c r="J376" t="s">
        <v>230</v>
      </c>
      <c r="M376">
        <v>1</v>
      </c>
      <c r="N376">
        <v>79312.156000000003</v>
      </c>
      <c r="O376">
        <v>0</v>
      </c>
    </row>
    <row r="377" spans="1:16" x14ac:dyDescent="0.25">
      <c r="A377" t="s">
        <v>200</v>
      </c>
      <c r="F377">
        <v>0.60971064814814813</v>
      </c>
      <c r="G377" t="s">
        <v>229</v>
      </c>
      <c r="H377">
        <v>0</v>
      </c>
      <c r="I377">
        <v>0.85</v>
      </c>
      <c r="J377" t="s">
        <v>230</v>
      </c>
      <c r="K377" t="s">
        <v>27</v>
      </c>
      <c r="L377">
        <v>19.992999999999999</v>
      </c>
      <c r="M377">
        <v>1</v>
      </c>
      <c r="N377">
        <v>78685.695000000007</v>
      </c>
      <c r="O377">
        <v>2.5408684513748017E-4</v>
      </c>
      <c r="P377">
        <v>0.95</v>
      </c>
    </row>
    <row r="378" spans="1:16" x14ac:dyDescent="0.25">
      <c r="A378" t="s">
        <v>201</v>
      </c>
      <c r="F378">
        <v>0.61165509259259265</v>
      </c>
      <c r="G378" t="s">
        <v>229</v>
      </c>
      <c r="H378">
        <v>0</v>
      </c>
      <c r="I378">
        <v>0.85</v>
      </c>
      <c r="J378" t="s">
        <v>230</v>
      </c>
      <c r="M378">
        <v>1</v>
      </c>
      <c r="N378">
        <v>77538.351999999999</v>
      </c>
      <c r="O378">
        <v>0</v>
      </c>
    </row>
    <row r="379" spans="1:16" x14ac:dyDescent="0.25">
      <c r="A379" t="s">
        <v>202</v>
      </c>
      <c r="F379">
        <v>0.61353009259259261</v>
      </c>
      <c r="G379" t="s">
        <v>229</v>
      </c>
      <c r="H379">
        <v>0</v>
      </c>
      <c r="I379">
        <v>0.85</v>
      </c>
      <c r="J379" t="s">
        <v>230</v>
      </c>
      <c r="K379" t="s">
        <v>27</v>
      </c>
      <c r="L379">
        <v>20.372</v>
      </c>
      <c r="M379">
        <v>1</v>
      </c>
      <c r="N379">
        <v>76484.452999999994</v>
      </c>
      <c r="O379">
        <v>2.6635478454686736E-4</v>
      </c>
      <c r="P379">
        <v>0.94</v>
      </c>
    </row>
    <row r="380" spans="1:16" x14ac:dyDescent="0.25">
      <c r="A380" t="s">
        <v>203</v>
      </c>
      <c r="F380">
        <v>0.61539351851851853</v>
      </c>
      <c r="G380" t="s">
        <v>229</v>
      </c>
      <c r="H380">
        <v>0</v>
      </c>
      <c r="I380">
        <v>0.85</v>
      </c>
      <c r="J380" t="s">
        <v>230</v>
      </c>
      <c r="K380" t="s">
        <v>27</v>
      </c>
      <c r="L380">
        <v>21.106999999999999</v>
      </c>
      <c r="M380">
        <v>1</v>
      </c>
      <c r="N380">
        <v>77630.75</v>
      </c>
      <c r="O380">
        <v>2.7188968288983424E-4</v>
      </c>
      <c r="P380">
        <v>0.96</v>
      </c>
    </row>
    <row r="381" spans="1:16" x14ac:dyDescent="0.25">
      <c r="A381" t="s">
        <v>204</v>
      </c>
      <c r="F381">
        <v>0.61725694444444446</v>
      </c>
      <c r="G381" t="s">
        <v>229</v>
      </c>
      <c r="H381">
        <v>0</v>
      </c>
      <c r="I381">
        <v>0.86</v>
      </c>
      <c r="J381" t="s">
        <v>230</v>
      </c>
      <c r="K381" t="s">
        <v>27</v>
      </c>
      <c r="L381">
        <v>1.216</v>
      </c>
      <c r="M381">
        <v>1</v>
      </c>
      <c r="N381">
        <v>74698.75</v>
      </c>
      <c r="O381">
        <v>1.6278719523419066E-5</v>
      </c>
      <c r="P381">
        <v>1.01</v>
      </c>
    </row>
    <row r="382" spans="1:16" x14ac:dyDescent="0.25">
      <c r="A382" t="s">
        <v>205</v>
      </c>
      <c r="F382">
        <v>0.61913194444444442</v>
      </c>
      <c r="G382" t="s">
        <v>229</v>
      </c>
      <c r="H382">
        <v>0</v>
      </c>
      <c r="I382">
        <v>0.86</v>
      </c>
      <c r="J382" t="s">
        <v>230</v>
      </c>
      <c r="M382">
        <v>1</v>
      </c>
      <c r="N382">
        <v>73690.656000000003</v>
      </c>
      <c r="O382">
        <v>0</v>
      </c>
    </row>
    <row r="383" spans="1:16" x14ac:dyDescent="0.25">
      <c r="A383" t="s">
        <v>206</v>
      </c>
      <c r="F383">
        <v>0.62100694444444449</v>
      </c>
      <c r="G383" t="s">
        <v>229</v>
      </c>
      <c r="H383">
        <v>0</v>
      </c>
      <c r="I383">
        <v>0.85</v>
      </c>
      <c r="J383" t="s">
        <v>230</v>
      </c>
      <c r="K383" t="s">
        <v>27</v>
      </c>
      <c r="L383">
        <v>27.963999999999999</v>
      </c>
      <c r="M383">
        <v>1</v>
      </c>
      <c r="N383">
        <v>75456.952999999994</v>
      </c>
      <c r="O383">
        <v>3.7059540424326439E-4</v>
      </c>
      <c r="P383">
        <v>0.9</v>
      </c>
    </row>
    <row r="384" spans="1:16" x14ac:dyDescent="0.25">
      <c r="A384" t="s">
        <v>207</v>
      </c>
      <c r="F384">
        <v>0.62288194444444445</v>
      </c>
      <c r="G384" t="s">
        <v>229</v>
      </c>
      <c r="H384">
        <v>0</v>
      </c>
      <c r="I384">
        <v>0.85</v>
      </c>
      <c r="J384" t="s">
        <v>230</v>
      </c>
      <c r="M384">
        <v>1</v>
      </c>
      <c r="N384">
        <v>79055.422000000006</v>
      </c>
      <c r="O384">
        <v>0</v>
      </c>
    </row>
    <row r="385" spans="1:19" x14ac:dyDescent="0.25">
      <c r="A385" t="s">
        <v>208</v>
      </c>
      <c r="F385">
        <v>0.62475694444444441</v>
      </c>
      <c r="G385" t="s">
        <v>229</v>
      </c>
      <c r="H385">
        <v>0</v>
      </c>
      <c r="I385">
        <v>0.85</v>
      </c>
      <c r="J385" t="s">
        <v>230</v>
      </c>
      <c r="K385" t="s">
        <v>27</v>
      </c>
      <c r="L385">
        <v>25.972999999999999</v>
      </c>
      <c r="M385">
        <v>1</v>
      </c>
      <c r="N385">
        <v>79091.718999999997</v>
      </c>
      <c r="O385">
        <v>3.283908900753567E-4</v>
      </c>
      <c r="P385">
        <v>1</v>
      </c>
    </row>
    <row r="386" spans="1:19" x14ac:dyDescent="0.25">
      <c r="A386" t="s">
        <v>209</v>
      </c>
      <c r="F386">
        <v>0.62672453703703701</v>
      </c>
      <c r="G386" t="s">
        <v>229</v>
      </c>
      <c r="H386">
        <v>0</v>
      </c>
      <c r="I386">
        <v>0.85</v>
      </c>
      <c r="J386" t="s">
        <v>230</v>
      </c>
      <c r="M386">
        <v>1</v>
      </c>
      <c r="N386">
        <v>77321.656000000003</v>
      </c>
      <c r="O386">
        <v>0</v>
      </c>
    </row>
    <row r="387" spans="1:19" x14ac:dyDescent="0.25">
      <c r="A387" t="s">
        <v>210</v>
      </c>
      <c r="F387">
        <v>0.62858796296296293</v>
      </c>
      <c r="G387" t="s">
        <v>229</v>
      </c>
      <c r="H387">
        <v>0</v>
      </c>
      <c r="I387">
        <v>0.85</v>
      </c>
      <c r="J387" t="s">
        <v>230</v>
      </c>
      <c r="K387" t="s">
        <v>27</v>
      </c>
      <c r="L387">
        <v>71.444000000000003</v>
      </c>
      <c r="M387">
        <v>1</v>
      </c>
      <c r="N387">
        <v>73440.116999999998</v>
      </c>
      <c r="O387">
        <v>9.7281980092706012E-4</v>
      </c>
      <c r="P387">
        <v>1</v>
      </c>
    </row>
    <row r="388" spans="1:19" x14ac:dyDescent="0.25">
      <c r="A388" t="s">
        <v>211</v>
      </c>
      <c r="F388">
        <v>0.63056712962962969</v>
      </c>
      <c r="G388" t="s">
        <v>229</v>
      </c>
      <c r="H388">
        <v>0</v>
      </c>
      <c r="I388">
        <v>0.85</v>
      </c>
      <c r="J388" t="s">
        <v>230</v>
      </c>
      <c r="K388" t="s">
        <v>27</v>
      </c>
      <c r="L388">
        <v>3.3610000000000002</v>
      </c>
      <c r="M388">
        <v>1</v>
      </c>
      <c r="N388">
        <v>77216.827999999994</v>
      </c>
      <c r="O388">
        <v>4.352678149379563E-5</v>
      </c>
      <c r="P388">
        <v>1</v>
      </c>
    </row>
    <row r="389" spans="1:19" x14ac:dyDescent="0.25">
      <c r="A389" t="s">
        <v>212</v>
      </c>
      <c r="F389">
        <v>0.63240740740740742</v>
      </c>
      <c r="G389" t="s">
        <v>229</v>
      </c>
      <c r="H389">
        <v>0</v>
      </c>
      <c r="I389">
        <v>0.85</v>
      </c>
      <c r="J389" t="s">
        <v>230</v>
      </c>
      <c r="K389" t="s">
        <v>27</v>
      </c>
      <c r="L389">
        <v>2.464</v>
      </c>
      <c r="M389">
        <v>1</v>
      </c>
      <c r="N389">
        <v>74267.241999999998</v>
      </c>
      <c r="O389">
        <v>3.3177480860269461E-5</v>
      </c>
      <c r="P389">
        <v>0.95</v>
      </c>
    </row>
    <row r="390" spans="1:19" x14ac:dyDescent="0.25">
      <c r="A390" t="s">
        <v>213</v>
      </c>
      <c r="F390">
        <v>0.63429398148148153</v>
      </c>
      <c r="G390" t="s">
        <v>229</v>
      </c>
      <c r="H390">
        <v>0</v>
      </c>
      <c r="I390">
        <v>0.86</v>
      </c>
      <c r="J390" t="s">
        <v>230</v>
      </c>
      <c r="K390" t="s">
        <v>27</v>
      </c>
      <c r="L390">
        <v>40.584000000000003</v>
      </c>
      <c r="M390">
        <v>1</v>
      </c>
      <c r="N390">
        <v>77316.695000000007</v>
      </c>
      <c r="O390">
        <v>5.2490603743473511E-4</v>
      </c>
      <c r="P390">
        <v>0.98</v>
      </c>
    </row>
    <row r="391" spans="1:19" x14ac:dyDescent="0.25">
      <c r="A391" t="s">
        <v>214</v>
      </c>
      <c r="F391">
        <v>0.63615740740740734</v>
      </c>
      <c r="G391" t="s">
        <v>229</v>
      </c>
      <c r="H391">
        <v>0</v>
      </c>
      <c r="I391">
        <v>0.85</v>
      </c>
      <c r="J391" t="s">
        <v>230</v>
      </c>
      <c r="M391">
        <v>1</v>
      </c>
      <c r="N391">
        <v>70950.452999999994</v>
      </c>
      <c r="O391">
        <v>0</v>
      </c>
    </row>
    <row r="392" spans="1:19" x14ac:dyDescent="0.25">
      <c r="A392" t="s">
        <v>215</v>
      </c>
      <c r="F392">
        <v>0.63806712962962964</v>
      </c>
      <c r="G392" t="s">
        <v>229</v>
      </c>
      <c r="H392">
        <v>0</v>
      </c>
      <c r="I392">
        <v>0.85</v>
      </c>
      <c r="J392" t="s">
        <v>230</v>
      </c>
      <c r="K392" t="s">
        <v>27</v>
      </c>
      <c r="L392">
        <v>18.795000000000002</v>
      </c>
      <c r="M392">
        <v>1</v>
      </c>
      <c r="N392">
        <v>76658.133000000002</v>
      </c>
      <c r="O392">
        <v>2.4517946451943983E-4</v>
      </c>
      <c r="P392">
        <v>0.96</v>
      </c>
    </row>
    <row r="393" spans="1:19" x14ac:dyDescent="0.25">
      <c r="A393" t="s">
        <v>216</v>
      </c>
      <c r="F393">
        <v>0.6399421296296296</v>
      </c>
      <c r="G393" t="s">
        <v>229</v>
      </c>
      <c r="H393">
        <v>0</v>
      </c>
      <c r="I393">
        <v>0.85</v>
      </c>
      <c r="J393" t="s">
        <v>230</v>
      </c>
      <c r="M393">
        <v>1</v>
      </c>
      <c r="N393">
        <v>77482.891000000003</v>
      </c>
      <c r="O393">
        <v>0</v>
      </c>
    </row>
    <row r="394" spans="1:19" x14ac:dyDescent="0.25">
      <c r="A394" s="2" t="s">
        <v>217</v>
      </c>
      <c r="B394" s="2"/>
      <c r="C394" s="2"/>
      <c r="D394" s="2"/>
      <c r="E394" s="2"/>
      <c r="F394" s="2">
        <v>0.64180555555555552</v>
      </c>
      <c r="G394" s="2" t="s">
        <v>229</v>
      </c>
      <c r="H394" s="2">
        <v>0</v>
      </c>
      <c r="I394" s="2">
        <v>0.85</v>
      </c>
      <c r="J394" s="2" t="s">
        <v>230</v>
      </c>
      <c r="K394" s="2" t="s">
        <v>27</v>
      </c>
      <c r="L394" s="2">
        <v>21753.465</v>
      </c>
      <c r="M394" s="2">
        <v>1</v>
      </c>
      <c r="N394" s="2">
        <v>81169.391000000003</v>
      </c>
      <c r="O394" s="2">
        <v>0.26800084036604388</v>
      </c>
      <c r="P394" s="2">
        <v>0.92</v>
      </c>
      <c r="Q394" s="2"/>
      <c r="R394" s="2"/>
      <c r="S394" s="2"/>
    </row>
    <row r="395" spans="1:19" x14ac:dyDescent="0.25">
      <c r="A395" s="2" t="s">
        <v>218</v>
      </c>
      <c r="B395" s="2"/>
      <c r="C395" s="2"/>
      <c r="D395" s="2"/>
      <c r="E395" s="2"/>
      <c r="F395" s="2">
        <v>0.64368055555555559</v>
      </c>
      <c r="G395" s="2" t="s">
        <v>229</v>
      </c>
      <c r="H395" s="2">
        <v>0</v>
      </c>
      <c r="I395" s="2">
        <v>0.85</v>
      </c>
      <c r="J395" s="2" t="s">
        <v>230</v>
      </c>
      <c r="K395" s="2" t="s">
        <v>27</v>
      </c>
      <c r="L395" s="2">
        <v>20970.990000000002</v>
      </c>
      <c r="M395" s="2">
        <v>1</v>
      </c>
      <c r="N395" s="2">
        <v>79876.843999999997</v>
      </c>
      <c r="O395" s="2">
        <v>0.26254154458080498</v>
      </c>
      <c r="P395" s="2">
        <v>0.91</v>
      </c>
      <c r="Q395" s="2"/>
      <c r="R395" s="2"/>
      <c r="S395" s="2"/>
    </row>
    <row r="396" spans="1:19" x14ac:dyDescent="0.25">
      <c r="A396" t="s">
        <v>219</v>
      </c>
      <c r="F396">
        <v>0.64554398148148151</v>
      </c>
      <c r="G396" t="s">
        <v>229</v>
      </c>
      <c r="H396">
        <v>0</v>
      </c>
      <c r="I396">
        <v>0.86</v>
      </c>
      <c r="J396" t="s">
        <v>230</v>
      </c>
      <c r="K396" t="s">
        <v>27</v>
      </c>
      <c r="L396">
        <v>76.491</v>
      </c>
      <c r="M396">
        <v>1</v>
      </c>
      <c r="N396">
        <v>199.23699999999999</v>
      </c>
      <c r="O396">
        <v>0.38391965347801865</v>
      </c>
      <c r="P396">
        <v>0.92</v>
      </c>
    </row>
    <row r="397" spans="1:19" x14ac:dyDescent="0.25">
      <c r="A397" t="s">
        <v>220</v>
      </c>
      <c r="F397">
        <v>0.64741898148148147</v>
      </c>
      <c r="G397" t="s">
        <v>229</v>
      </c>
      <c r="H397">
        <v>0</v>
      </c>
      <c r="I397">
        <v>0.85</v>
      </c>
      <c r="J397" t="s">
        <v>230</v>
      </c>
      <c r="K397" t="s">
        <v>27</v>
      </c>
      <c r="L397">
        <v>70.947000000000003</v>
      </c>
      <c r="M397">
        <v>1</v>
      </c>
      <c r="N397">
        <v>87.394999999999996</v>
      </c>
      <c r="O397">
        <v>0.81179701355912814</v>
      </c>
      <c r="P397">
        <v>0.92</v>
      </c>
    </row>
    <row r="398" spans="1:19" x14ac:dyDescent="0.25">
      <c r="A398" t="s">
        <v>19</v>
      </c>
      <c r="F398">
        <v>0</v>
      </c>
      <c r="G398" t="s">
        <v>227</v>
      </c>
      <c r="H398">
        <v>0</v>
      </c>
      <c r="I398">
        <v>0.86</v>
      </c>
      <c r="N398">
        <v>81.486000000000004</v>
      </c>
      <c r="O398">
        <v>0</v>
      </c>
    </row>
    <row r="399" spans="1:19" x14ac:dyDescent="0.25">
      <c r="A399" t="s">
        <v>22</v>
      </c>
      <c r="F399">
        <v>0</v>
      </c>
      <c r="G399" t="s">
        <v>227</v>
      </c>
      <c r="H399">
        <v>0</v>
      </c>
      <c r="I399">
        <v>0.86</v>
      </c>
      <c r="N399">
        <v>37.616999999999997</v>
      </c>
      <c r="O399">
        <v>0</v>
      </c>
    </row>
    <row r="400" spans="1:19" x14ac:dyDescent="0.25">
      <c r="A400" s="2" t="s">
        <v>23</v>
      </c>
      <c r="B400" s="2"/>
      <c r="C400" s="2"/>
      <c r="D400" s="2"/>
      <c r="E400" s="2"/>
      <c r="F400" s="2">
        <v>0.65523148148148147</v>
      </c>
      <c r="G400" s="2" t="s">
        <v>227</v>
      </c>
      <c r="H400" s="2">
        <v>0</v>
      </c>
      <c r="I400" s="2">
        <v>0.86</v>
      </c>
      <c r="J400" s="2" t="s">
        <v>228</v>
      </c>
      <c r="K400" s="2" t="s">
        <v>27</v>
      </c>
      <c r="L400" s="2">
        <v>620.24300000000005</v>
      </c>
      <c r="M400" s="2">
        <v>1</v>
      </c>
      <c r="N400" s="2">
        <v>101225.531</v>
      </c>
      <c r="O400" s="2">
        <v>6.1273375785008237E-3</v>
      </c>
      <c r="P400" s="2">
        <v>1.23</v>
      </c>
      <c r="Q400" s="2"/>
      <c r="R400" s="2"/>
      <c r="S400" s="2"/>
    </row>
    <row r="401" spans="1:19" x14ac:dyDescent="0.25">
      <c r="A401" s="2" t="s">
        <v>25</v>
      </c>
      <c r="B401" s="2"/>
      <c r="C401" s="2"/>
      <c r="D401" s="2"/>
      <c r="E401" s="2"/>
      <c r="F401" s="2">
        <v>0.65708333333333335</v>
      </c>
      <c r="G401" s="2" t="s">
        <v>227</v>
      </c>
      <c r="H401" s="2">
        <v>0</v>
      </c>
      <c r="I401" s="2">
        <v>0.86</v>
      </c>
      <c r="J401" s="2" t="s">
        <v>228</v>
      </c>
      <c r="K401" s="2" t="s">
        <v>27</v>
      </c>
      <c r="L401" s="2">
        <v>912.73900000000003</v>
      </c>
      <c r="M401" s="2">
        <v>1</v>
      </c>
      <c r="N401" s="2">
        <v>100985.69500000001</v>
      </c>
      <c r="O401" s="2">
        <v>9.0382999295098177E-3</v>
      </c>
      <c r="P401" s="2">
        <v>1.23</v>
      </c>
      <c r="Q401" s="2"/>
      <c r="R401" s="2"/>
      <c r="S401" s="2"/>
    </row>
    <row r="402" spans="1:19" x14ac:dyDescent="0.25">
      <c r="A402" s="2" t="s">
        <v>26</v>
      </c>
      <c r="B402" s="2"/>
      <c r="C402" s="2"/>
      <c r="D402" s="2"/>
      <c r="E402" s="2"/>
      <c r="F402" s="2">
        <v>0</v>
      </c>
      <c r="G402" s="2" t="s">
        <v>227</v>
      </c>
      <c r="H402" s="2">
        <v>0</v>
      </c>
      <c r="I402" s="2">
        <v>0.85</v>
      </c>
      <c r="J402" s="2"/>
      <c r="K402" s="2"/>
      <c r="L402" s="2"/>
      <c r="M402" s="2"/>
      <c r="N402" s="2">
        <v>95940.266000000003</v>
      </c>
      <c r="O402" s="2">
        <v>0</v>
      </c>
      <c r="P402" s="2"/>
      <c r="Q402" s="2"/>
      <c r="R402" s="2"/>
      <c r="S402" s="2"/>
    </row>
    <row r="403" spans="1:19" x14ac:dyDescent="0.25">
      <c r="A403" s="2" t="s">
        <v>28</v>
      </c>
      <c r="B403" s="2"/>
      <c r="C403" s="2"/>
      <c r="D403" s="2"/>
      <c r="E403" s="2"/>
      <c r="F403" s="2">
        <v>0</v>
      </c>
      <c r="G403" s="2" t="s">
        <v>227</v>
      </c>
      <c r="H403" s="2">
        <v>0</v>
      </c>
      <c r="I403" s="2">
        <v>0.85</v>
      </c>
      <c r="J403" s="2"/>
      <c r="K403" s="2"/>
      <c r="L403" s="2"/>
      <c r="M403" s="2"/>
      <c r="N403" s="2">
        <v>93786.812999999995</v>
      </c>
      <c r="O403" s="2">
        <v>0</v>
      </c>
      <c r="P403" s="2"/>
      <c r="Q403" s="2"/>
      <c r="R403" s="2"/>
      <c r="S403" s="2"/>
    </row>
    <row r="404" spans="1:19" x14ac:dyDescent="0.25">
      <c r="A404" t="s">
        <v>29</v>
      </c>
      <c r="F404">
        <v>0.6626967592592593</v>
      </c>
      <c r="G404" t="s">
        <v>227</v>
      </c>
      <c r="H404">
        <v>0</v>
      </c>
      <c r="I404">
        <v>0.86</v>
      </c>
      <c r="J404" t="s">
        <v>228</v>
      </c>
      <c r="K404" t="s">
        <v>27</v>
      </c>
      <c r="L404">
        <v>560.69899999999996</v>
      </c>
      <c r="M404">
        <v>1</v>
      </c>
      <c r="N404">
        <v>110901.508</v>
      </c>
      <c r="O404">
        <v>5.0558284563632797E-3</v>
      </c>
      <c r="P404">
        <v>1.23</v>
      </c>
    </row>
    <row r="405" spans="1:19" x14ac:dyDescent="0.25">
      <c r="A405" t="s">
        <v>30</v>
      </c>
      <c r="F405">
        <v>0.66468749999999999</v>
      </c>
      <c r="G405" t="s">
        <v>227</v>
      </c>
      <c r="H405">
        <v>0</v>
      </c>
      <c r="I405">
        <v>0.86</v>
      </c>
      <c r="J405" t="s">
        <v>228</v>
      </c>
      <c r="K405" t="s">
        <v>27</v>
      </c>
      <c r="L405">
        <v>1073.931</v>
      </c>
      <c r="M405">
        <v>1</v>
      </c>
      <c r="N405">
        <v>107494.43</v>
      </c>
      <c r="O405">
        <v>9.9905734650623298E-3</v>
      </c>
      <c r="P405">
        <v>1.23</v>
      </c>
    </row>
    <row r="406" spans="1:19" x14ac:dyDescent="0.25">
      <c r="A406" t="s">
        <v>31</v>
      </c>
      <c r="F406">
        <v>0.66664351851851855</v>
      </c>
      <c r="G406" t="s">
        <v>227</v>
      </c>
      <c r="H406">
        <v>0</v>
      </c>
      <c r="I406">
        <v>0.86</v>
      </c>
      <c r="J406" t="s">
        <v>228</v>
      </c>
      <c r="K406" t="s">
        <v>27</v>
      </c>
      <c r="L406">
        <v>1163.885</v>
      </c>
      <c r="M406">
        <v>1</v>
      </c>
      <c r="N406">
        <v>112203.008</v>
      </c>
      <c r="O406">
        <v>1.0373028502052279E-2</v>
      </c>
      <c r="P406">
        <v>1.23</v>
      </c>
    </row>
    <row r="407" spans="1:19" x14ac:dyDescent="0.25">
      <c r="A407" t="s">
        <v>32</v>
      </c>
      <c r="F407">
        <v>0.66863425925925923</v>
      </c>
      <c r="G407" t="s">
        <v>227</v>
      </c>
      <c r="H407">
        <v>0</v>
      </c>
      <c r="I407">
        <v>0.86</v>
      </c>
      <c r="J407" t="s">
        <v>228</v>
      </c>
      <c r="K407" t="s">
        <v>27</v>
      </c>
      <c r="L407">
        <v>675.82799999999997</v>
      </c>
      <c r="M407">
        <v>1</v>
      </c>
      <c r="N407">
        <v>111875.18799999999</v>
      </c>
      <c r="O407">
        <v>6.0409105189615413E-3</v>
      </c>
      <c r="P407">
        <v>1.23</v>
      </c>
    </row>
    <row r="408" spans="1:19" x14ac:dyDescent="0.25">
      <c r="A408" t="s">
        <v>33</v>
      </c>
      <c r="F408">
        <v>0.6705902777777778</v>
      </c>
      <c r="G408" t="s">
        <v>227</v>
      </c>
      <c r="H408">
        <v>0</v>
      </c>
      <c r="I408">
        <v>0.86</v>
      </c>
      <c r="J408" t="s">
        <v>228</v>
      </c>
      <c r="K408" t="s">
        <v>27</v>
      </c>
      <c r="L408">
        <v>688.71600000000001</v>
      </c>
      <c r="M408">
        <v>1</v>
      </c>
      <c r="N408">
        <v>110901.81299999999</v>
      </c>
      <c r="O408">
        <v>6.2101419387977008E-3</v>
      </c>
      <c r="P408">
        <v>1.24</v>
      </c>
    </row>
    <row r="409" spans="1:19" x14ac:dyDescent="0.25">
      <c r="A409" t="s">
        <v>34</v>
      </c>
      <c r="F409">
        <v>0.6725578703703704</v>
      </c>
      <c r="G409" t="s">
        <v>227</v>
      </c>
      <c r="H409">
        <v>0</v>
      </c>
      <c r="I409">
        <v>0.86</v>
      </c>
      <c r="J409" t="s">
        <v>228</v>
      </c>
      <c r="K409" t="s">
        <v>27</v>
      </c>
      <c r="L409">
        <v>1107.2639999999999</v>
      </c>
      <c r="M409">
        <v>1</v>
      </c>
      <c r="N409">
        <v>110473.492</v>
      </c>
      <c r="O409">
        <v>1.0022893093666305E-2</v>
      </c>
      <c r="P409">
        <v>1.23</v>
      </c>
    </row>
    <row r="410" spans="1:19" x14ac:dyDescent="0.25">
      <c r="A410" t="s">
        <v>35</v>
      </c>
      <c r="F410">
        <v>0.67451388888888886</v>
      </c>
      <c r="G410" t="s">
        <v>227</v>
      </c>
      <c r="H410">
        <v>0</v>
      </c>
      <c r="I410">
        <v>0.86</v>
      </c>
      <c r="J410" t="s">
        <v>228</v>
      </c>
      <c r="K410" t="s">
        <v>27</v>
      </c>
      <c r="L410">
        <v>1291.9659999999999</v>
      </c>
      <c r="M410">
        <v>1</v>
      </c>
      <c r="N410">
        <v>115292.648</v>
      </c>
      <c r="O410">
        <v>1.1205970392838925E-2</v>
      </c>
      <c r="P410">
        <v>1.23</v>
      </c>
    </row>
    <row r="411" spans="1:19" x14ac:dyDescent="0.25">
      <c r="A411" t="s">
        <v>36</v>
      </c>
      <c r="F411">
        <v>0.67648148148148157</v>
      </c>
      <c r="G411" t="s">
        <v>227</v>
      </c>
      <c r="H411">
        <v>0</v>
      </c>
      <c r="I411">
        <v>0.86</v>
      </c>
      <c r="J411" t="s">
        <v>228</v>
      </c>
      <c r="K411" t="s">
        <v>27</v>
      </c>
      <c r="L411">
        <v>1353.8879999999999</v>
      </c>
      <c r="M411">
        <v>1</v>
      </c>
      <c r="N411">
        <v>111619.56299999999</v>
      </c>
      <c r="O411">
        <v>1.2129486656384776E-2</v>
      </c>
      <c r="P411">
        <v>1.23</v>
      </c>
    </row>
    <row r="412" spans="1:19" x14ac:dyDescent="0.25">
      <c r="A412" t="s">
        <v>37</v>
      </c>
      <c r="F412">
        <v>0.67843749999999992</v>
      </c>
      <c r="G412" t="s">
        <v>227</v>
      </c>
      <c r="H412">
        <v>0</v>
      </c>
      <c r="I412">
        <v>0.86</v>
      </c>
      <c r="J412" t="s">
        <v>228</v>
      </c>
      <c r="K412" t="s">
        <v>27</v>
      </c>
      <c r="L412">
        <v>933.58399999999995</v>
      </c>
      <c r="M412">
        <v>1</v>
      </c>
      <c r="N412">
        <v>113838.43799999999</v>
      </c>
      <c r="O412">
        <v>8.2009558142391234E-3</v>
      </c>
      <c r="P412">
        <v>1.23</v>
      </c>
    </row>
    <row r="413" spans="1:19" x14ac:dyDescent="0.25">
      <c r="A413" t="s">
        <v>38</v>
      </c>
      <c r="F413">
        <v>0.68040509259259263</v>
      </c>
      <c r="G413" t="s">
        <v>227</v>
      </c>
      <c r="H413">
        <v>0</v>
      </c>
      <c r="I413">
        <v>0.86</v>
      </c>
      <c r="J413" t="s">
        <v>228</v>
      </c>
      <c r="K413" t="s">
        <v>27</v>
      </c>
      <c r="L413">
        <v>1227.3130000000001</v>
      </c>
      <c r="M413">
        <v>1</v>
      </c>
      <c r="N413">
        <v>115682.109</v>
      </c>
      <c r="O413">
        <v>1.0609358790303522E-2</v>
      </c>
      <c r="P413">
        <v>1.23</v>
      </c>
    </row>
    <row r="414" spans="1:19" x14ac:dyDescent="0.25">
      <c r="A414" t="s">
        <v>39</v>
      </c>
      <c r="F414">
        <v>0.68228009259259259</v>
      </c>
      <c r="G414" t="s">
        <v>227</v>
      </c>
      <c r="H414">
        <v>0</v>
      </c>
      <c r="I414">
        <v>0.86</v>
      </c>
      <c r="J414" t="s">
        <v>228</v>
      </c>
      <c r="K414" t="s">
        <v>27</v>
      </c>
      <c r="L414">
        <v>1206.502</v>
      </c>
      <c r="M414">
        <v>1</v>
      </c>
      <c r="N414">
        <v>114083.766</v>
      </c>
      <c r="O414">
        <v>1.0575580052292453E-2</v>
      </c>
      <c r="P414">
        <v>1.23</v>
      </c>
    </row>
    <row r="415" spans="1:19" x14ac:dyDescent="0.25">
      <c r="A415" t="s">
        <v>40</v>
      </c>
      <c r="F415">
        <v>0.68425925925925923</v>
      </c>
      <c r="G415" t="s">
        <v>227</v>
      </c>
      <c r="H415">
        <v>0</v>
      </c>
      <c r="I415">
        <v>0.86</v>
      </c>
      <c r="J415" t="s">
        <v>228</v>
      </c>
      <c r="K415" t="s">
        <v>27</v>
      </c>
      <c r="L415">
        <v>933.71199999999999</v>
      </c>
      <c r="M415">
        <v>1</v>
      </c>
      <c r="N415">
        <v>112092.19500000001</v>
      </c>
      <c r="O415">
        <v>8.3298573999732988E-3</v>
      </c>
      <c r="P415">
        <v>1.23</v>
      </c>
    </row>
    <row r="416" spans="1:19" x14ac:dyDescent="0.25">
      <c r="A416" t="s">
        <v>41</v>
      </c>
      <c r="F416">
        <v>0.6862152777777778</v>
      </c>
      <c r="G416" t="s">
        <v>227</v>
      </c>
      <c r="H416">
        <v>0</v>
      </c>
      <c r="I416">
        <v>0.86</v>
      </c>
      <c r="J416" t="s">
        <v>228</v>
      </c>
      <c r="K416" t="s">
        <v>27</v>
      </c>
      <c r="L416">
        <v>1036.3810000000001</v>
      </c>
      <c r="M416">
        <v>1</v>
      </c>
      <c r="N416">
        <v>109805.56299999999</v>
      </c>
      <c r="O416">
        <v>9.4383287302119666E-3</v>
      </c>
      <c r="P416">
        <v>1.23</v>
      </c>
    </row>
    <row r="417" spans="1:19" x14ac:dyDescent="0.25">
      <c r="A417" t="s">
        <v>42</v>
      </c>
      <c r="F417">
        <v>0.68817129629629636</v>
      </c>
      <c r="G417" t="s">
        <v>227</v>
      </c>
      <c r="H417">
        <v>0</v>
      </c>
      <c r="I417">
        <v>0.86</v>
      </c>
      <c r="J417" t="s">
        <v>228</v>
      </c>
      <c r="K417" t="s">
        <v>27</v>
      </c>
      <c r="L417">
        <v>793.07</v>
      </c>
      <c r="M417">
        <v>1</v>
      </c>
      <c r="N417">
        <v>105521.125</v>
      </c>
      <c r="O417">
        <v>7.5157462546006784E-3</v>
      </c>
      <c r="P417">
        <v>1.23</v>
      </c>
    </row>
    <row r="418" spans="1:19" x14ac:dyDescent="0.25">
      <c r="A418" t="s">
        <v>43</v>
      </c>
      <c r="F418">
        <v>0.69003472222222229</v>
      </c>
      <c r="G418" t="s">
        <v>227</v>
      </c>
      <c r="H418">
        <v>0</v>
      </c>
      <c r="I418">
        <v>0.86</v>
      </c>
      <c r="J418" t="s">
        <v>228</v>
      </c>
      <c r="K418" t="s">
        <v>27</v>
      </c>
      <c r="L418">
        <v>1396.374</v>
      </c>
      <c r="M418">
        <v>1</v>
      </c>
      <c r="N418">
        <v>117415.531</v>
      </c>
      <c r="O418">
        <v>1.1892583443667261E-2</v>
      </c>
      <c r="P418">
        <v>1.23</v>
      </c>
    </row>
    <row r="419" spans="1:19" x14ac:dyDescent="0.25">
      <c r="A419" t="s">
        <v>44</v>
      </c>
      <c r="F419">
        <v>0.6918981481481481</v>
      </c>
      <c r="G419" t="s">
        <v>227</v>
      </c>
      <c r="H419">
        <v>0</v>
      </c>
      <c r="I419">
        <v>0.86</v>
      </c>
      <c r="J419" t="s">
        <v>228</v>
      </c>
      <c r="K419" t="s">
        <v>27</v>
      </c>
      <c r="L419">
        <v>1325.374</v>
      </c>
      <c r="M419">
        <v>1</v>
      </c>
      <c r="N419">
        <v>118949.492</v>
      </c>
      <c r="O419">
        <v>1.1142325853732945E-2</v>
      </c>
      <c r="P419">
        <v>1.23</v>
      </c>
    </row>
    <row r="420" spans="1:19" x14ac:dyDescent="0.25">
      <c r="A420" t="s">
        <v>45</v>
      </c>
      <c r="F420">
        <v>0.69377314814814817</v>
      </c>
      <c r="G420" t="s">
        <v>227</v>
      </c>
      <c r="H420">
        <v>0</v>
      </c>
      <c r="I420">
        <v>0.86</v>
      </c>
      <c r="J420" t="s">
        <v>228</v>
      </c>
      <c r="K420" t="s">
        <v>27</v>
      </c>
      <c r="L420">
        <v>2181.3339999999998</v>
      </c>
      <c r="M420">
        <v>1</v>
      </c>
      <c r="N420">
        <v>115439.04700000001</v>
      </c>
      <c r="O420">
        <v>1.8895980664150838E-2</v>
      </c>
      <c r="P420">
        <v>1.22</v>
      </c>
    </row>
    <row r="421" spans="1:19" x14ac:dyDescent="0.25">
      <c r="A421" t="s">
        <v>46</v>
      </c>
      <c r="F421">
        <v>0.69563657407407409</v>
      </c>
      <c r="G421" t="s">
        <v>227</v>
      </c>
      <c r="H421">
        <v>0</v>
      </c>
      <c r="I421">
        <v>0.86</v>
      </c>
      <c r="J421" t="s">
        <v>228</v>
      </c>
      <c r="K421" t="s">
        <v>27</v>
      </c>
      <c r="L421">
        <v>2223.6610000000001</v>
      </c>
      <c r="M421">
        <v>1</v>
      </c>
      <c r="N421">
        <v>120355.344</v>
      </c>
      <c r="O421">
        <v>1.8475797800885353E-2</v>
      </c>
      <c r="P421">
        <v>1.22</v>
      </c>
    </row>
    <row r="422" spans="1:19" x14ac:dyDescent="0.25">
      <c r="A422" t="s">
        <v>47</v>
      </c>
      <c r="F422">
        <v>0.69751157407407405</v>
      </c>
      <c r="G422" t="s">
        <v>227</v>
      </c>
      <c r="H422">
        <v>0</v>
      </c>
      <c r="I422">
        <v>0.86</v>
      </c>
      <c r="J422" t="s">
        <v>228</v>
      </c>
      <c r="K422" t="s">
        <v>27</v>
      </c>
      <c r="L422">
        <v>1025.623</v>
      </c>
      <c r="M422">
        <v>1</v>
      </c>
      <c r="N422">
        <v>119755.094</v>
      </c>
      <c r="O422">
        <v>8.5643371462762168E-3</v>
      </c>
      <c r="P422">
        <v>1.23</v>
      </c>
    </row>
    <row r="423" spans="1:19" x14ac:dyDescent="0.25">
      <c r="A423" t="s">
        <v>48</v>
      </c>
      <c r="F423">
        <v>0.69938657407407412</v>
      </c>
      <c r="G423" t="s">
        <v>227</v>
      </c>
      <c r="H423">
        <v>0</v>
      </c>
      <c r="I423">
        <v>0.86</v>
      </c>
      <c r="J423" t="s">
        <v>228</v>
      </c>
      <c r="K423" t="s">
        <v>27</v>
      </c>
      <c r="L423">
        <v>1930.7809999999999</v>
      </c>
      <c r="M423">
        <v>1</v>
      </c>
      <c r="N423">
        <v>120245.961</v>
      </c>
      <c r="O423">
        <v>1.6056930178303452E-2</v>
      </c>
      <c r="P423">
        <v>1.23</v>
      </c>
    </row>
    <row r="424" spans="1:19" x14ac:dyDescent="0.25">
      <c r="A424" s="2" t="s">
        <v>49</v>
      </c>
      <c r="B424" s="2"/>
      <c r="C424" s="2"/>
      <c r="D424" s="2"/>
      <c r="E424" s="2"/>
      <c r="F424" s="2">
        <v>0.70124999999999993</v>
      </c>
      <c r="G424" s="2" t="s">
        <v>227</v>
      </c>
      <c r="H424" s="2">
        <v>0</v>
      </c>
      <c r="I424" s="2">
        <v>0.86</v>
      </c>
      <c r="J424" s="2" t="s">
        <v>228</v>
      </c>
      <c r="K424" s="2" t="s">
        <v>27</v>
      </c>
      <c r="L424" s="2">
        <v>110834.625</v>
      </c>
      <c r="M424" s="2">
        <v>1</v>
      </c>
      <c r="N424" s="2">
        <v>117114.414</v>
      </c>
      <c r="O424" s="2">
        <v>0.94637902555700781</v>
      </c>
      <c r="P424" s="2">
        <v>1.22</v>
      </c>
      <c r="Q424" s="2"/>
      <c r="R424" s="2"/>
      <c r="S424" s="2"/>
    </row>
    <row r="425" spans="1:19" x14ac:dyDescent="0.25">
      <c r="A425" s="2" t="s">
        <v>50</v>
      </c>
      <c r="B425" s="2"/>
      <c r="C425" s="2"/>
      <c r="D425" s="2"/>
      <c r="E425" s="2"/>
      <c r="F425" s="2">
        <v>0.703125</v>
      </c>
      <c r="G425" s="2" t="s">
        <v>227</v>
      </c>
      <c r="H425" s="2">
        <v>0</v>
      </c>
      <c r="I425" s="2">
        <v>0.86</v>
      </c>
      <c r="J425" s="2" t="s">
        <v>228</v>
      </c>
      <c r="K425" s="2" t="s">
        <v>27</v>
      </c>
      <c r="L425" s="2">
        <v>118258.30499999999</v>
      </c>
      <c r="M425" s="2">
        <v>1</v>
      </c>
      <c r="N425" s="2">
        <v>115817.31299999999</v>
      </c>
      <c r="O425" s="2">
        <v>1.0210762271785738</v>
      </c>
      <c r="P425" s="2">
        <v>1.22</v>
      </c>
      <c r="Q425" s="2"/>
      <c r="R425" s="2"/>
      <c r="S425" s="2"/>
    </row>
    <row r="426" spans="1:19" x14ac:dyDescent="0.25">
      <c r="A426" t="s">
        <v>51</v>
      </c>
      <c r="F426">
        <v>0.70498842592592592</v>
      </c>
      <c r="G426" t="s">
        <v>227</v>
      </c>
      <c r="H426">
        <v>0</v>
      </c>
      <c r="I426">
        <v>0.86</v>
      </c>
      <c r="J426" t="s">
        <v>228</v>
      </c>
      <c r="K426" t="s">
        <v>27</v>
      </c>
      <c r="L426">
        <v>1627.289</v>
      </c>
      <c r="M426">
        <v>1</v>
      </c>
      <c r="N426">
        <v>118291.25</v>
      </c>
      <c r="O426">
        <v>1.3756630350934664E-2</v>
      </c>
      <c r="P426">
        <v>1.23</v>
      </c>
    </row>
    <row r="427" spans="1:19" x14ac:dyDescent="0.25">
      <c r="A427" t="s">
        <v>52</v>
      </c>
      <c r="F427">
        <v>0.70686342592592588</v>
      </c>
      <c r="G427" t="s">
        <v>227</v>
      </c>
      <c r="H427">
        <v>0</v>
      </c>
      <c r="I427">
        <v>0.86</v>
      </c>
      <c r="J427" t="s">
        <v>228</v>
      </c>
      <c r="K427" t="s">
        <v>27</v>
      </c>
      <c r="L427">
        <v>1365.547</v>
      </c>
      <c r="M427">
        <v>1</v>
      </c>
      <c r="N427">
        <v>118831.18</v>
      </c>
      <c r="O427">
        <v>1.1491487335226327E-2</v>
      </c>
      <c r="P427">
        <v>1.23</v>
      </c>
    </row>
    <row r="428" spans="1:19" x14ac:dyDescent="0.25">
      <c r="A428" t="s">
        <v>53</v>
      </c>
      <c r="F428">
        <v>0.7087268518518518</v>
      </c>
      <c r="G428" t="s">
        <v>227</v>
      </c>
      <c r="H428">
        <v>0</v>
      </c>
      <c r="I428">
        <v>0.86</v>
      </c>
      <c r="J428" t="s">
        <v>228</v>
      </c>
      <c r="K428" t="s">
        <v>27</v>
      </c>
      <c r="L428">
        <v>2290.2570000000001</v>
      </c>
      <c r="M428">
        <v>1</v>
      </c>
      <c r="N428">
        <v>118848.914</v>
      </c>
      <c r="O428">
        <v>1.9270323328322545E-2</v>
      </c>
      <c r="P428">
        <v>1.23</v>
      </c>
    </row>
    <row r="429" spans="1:19" x14ac:dyDescent="0.25">
      <c r="A429" t="s">
        <v>54</v>
      </c>
      <c r="F429">
        <v>0.7106365740740741</v>
      </c>
      <c r="G429" t="s">
        <v>227</v>
      </c>
      <c r="H429">
        <v>0</v>
      </c>
      <c r="I429">
        <v>0.86</v>
      </c>
      <c r="J429" t="s">
        <v>228</v>
      </c>
      <c r="K429" t="s">
        <v>27</v>
      </c>
      <c r="L429">
        <v>2431.8319999999999</v>
      </c>
      <c r="M429">
        <v>1</v>
      </c>
      <c r="N429">
        <v>115702.79700000001</v>
      </c>
      <c r="O429">
        <v>2.1017918866732321E-2</v>
      </c>
      <c r="P429">
        <v>1.23</v>
      </c>
    </row>
    <row r="430" spans="1:19" x14ac:dyDescent="0.25">
      <c r="A430" t="s">
        <v>55</v>
      </c>
      <c r="F430">
        <v>0.71247685185185183</v>
      </c>
      <c r="G430" t="s">
        <v>227</v>
      </c>
      <c r="H430">
        <v>0</v>
      </c>
      <c r="I430">
        <v>0.86</v>
      </c>
      <c r="J430" t="s">
        <v>228</v>
      </c>
      <c r="K430" t="s">
        <v>27</v>
      </c>
      <c r="L430">
        <v>1154.0340000000001</v>
      </c>
      <c r="M430">
        <v>1</v>
      </c>
      <c r="N430">
        <v>115619.141</v>
      </c>
      <c r="O430">
        <v>9.981340373390251E-3</v>
      </c>
      <c r="P430">
        <v>1.23</v>
      </c>
    </row>
    <row r="431" spans="1:19" x14ac:dyDescent="0.25">
      <c r="A431" t="s">
        <v>56</v>
      </c>
      <c r="F431">
        <v>0.71434027777777775</v>
      </c>
      <c r="G431" t="s">
        <v>227</v>
      </c>
      <c r="H431">
        <v>0</v>
      </c>
      <c r="I431">
        <v>0.86</v>
      </c>
      <c r="J431" t="s">
        <v>228</v>
      </c>
      <c r="K431" t="s">
        <v>27</v>
      </c>
      <c r="L431">
        <v>851.06299999999999</v>
      </c>
      <c r="M431">
        <v>1</v>
      </c>
      <c r="N431">
        <v>117289.30499999999</v>
      </c>
      <c r="O431">
        <v>7.2561006308290432E-3</v>
      </c>
      <c r="P431">
        <v>1.23</v>
      </c>
    </row>
    <row r="432" spans="1:19" x14ac:dyDescent="0.25">
      <c r="A432" t="s">
        <v>57</v>
      </c>
      <c r="F432">
        <v>0.71621527777777771</v>
      </c>
      <c r="G432" t="s">
        <v>227</v>
      </c>
      <c r="H432">
        <v>0</v>
      </c>
      <c r="I432">
        <v>0.86</v>
      </c>
      <c r="J432" t="s">
        <v>228</v>
      </c>
      <c r="K432" t="s">
        <v>27</v>
      </c>
      <c r="L432">
        <v>1217.7380000000001</v>
      </c>
      <c r="M432">
        <v>1</v>
      </c>
      <c r="N432">
        <v>123942.023</v>
      </c>
      <c r="O432">
        <v>9.8250615128333031E-3</v>
      </c>
      <c r="P432">
        <v>1.23</v>
      </c>
    </row>
    <row r="433" spans="1:16" x14ac:dyDescent="0.25">
      <c r="A433" t="s">
        <v>58</v>
      </c>
      <c r="F433">
        <v>0.71809027777777779</v>
      </c>
      <c r="G433" t="s">
        <v>227</v>
      </c>
      <c r="H433">
        <v>0</v>
      </c>
      <c r="I433">
        <v>0.86</v>
      </c>
      <c r="J433" t="s">
        <v>228</v>
      </c>
      <c r="K433" t="s">
        <v>27</v>
      </c>
      <c r="L433">
        <v>1286.817</v>
      </c>
      <c r="M433">
        <v>1</v>
      </c>
      <c r="N433">
        <v>117239.648</v>
      </c>
      <c r="O433">
        <v>1.0975954141383979E-2</v>
      </c>
      <c r="P433">
        <v>1.23</v>
      </c>
    </row>
    <row r="434" spans="1:16" x14ac:dyDescent="0.25">
      <c r="A434" t="s">
        <v>59</v>
      </c>
      <c r="F434">
        <v>0.71995370370370371</v>
      </c>
      <c r="G434" t="s">
        <v>227</v>
      </c>
      <c r="H434">
        <v>0</v>
      </c>
      <c r="I434">
        <v>0.86</v>
      </c>
      <c r="J434" t="s">
        <v>228</v>
      </c>
      <c r="K434" t="s">
        <v>27</v>
      </c>
      <c r="L434">
        <v>1107.5150000000001</v>
      </c>
      <c r="M434">
        <v>1</v>
      </c>
      <c r="N434">
        <v>209.88499999999999</v>
      </c>
      <c r="O434">
        <v>5.2767706124782627</v>
      </c>
      <c r="P434">
        <v>1.23</v>
      </c>
    </row>
    <row r="435" spans="1:16" x14ac:dyDescent="0.25">
      <c r="A435" t="s">
        <v>60</v>
      </c>
      <c r="F435">
        <v>0.72182870370370367</v>
      </c>
      <c r="G435" t="s">
        <v>227</v>
      </c>
      <c r="H435">
        <v>0</v>
      </c>
      <c r="I435">
        <v>0.87</v>
      </c>
      <c r="J435" t="s">
        <v>228</v>
      </c>
      <c r="K435" t="s">
        <v>27</v>
      </c>
      <c r="L435">
        <v>783.16</v>
      </c>
      <c r="M435">
        <v>1</v>
      </c>
      <c r="N435">
        <v>3.3149999999999999</v>
      </c>
      <c r="O435">
        <v>236.24736048265459</v>
      </c>
      <c r="P435">
        <v>1.23</v>
      </c>
    </row>
    <row r="436" spans="1:16" x14ac:dyDescent="0.25">
      <c r="A436" t="s">
        <v>61</v>
      </c>
      <c r="F436">
        <v>0.72369212962962959</v>
      </c>
      <c r="G436" t="s">
        <v>227</v>
      </c>
      <c r="H436">
        <v>0</v>
      </c>
      <c r="I436">
        <v>0.86</v>
      </c>
      <c r="J436" t="s">
        <v>228</v>
      </c>
      <c r="K436" t="s">
        <v>27</v>
      </c>
      <c r="L436">
        <v>812.46500000000003</v>
      </c>
      <c r="M436">
        <v>1</v>
      </c>
      <c r="N436">
        <v>113660.352</v>
      </c>
      <c r="O436">
        <v>7.1481830357168E-3</v>
      </c>
      <c r="P436">
        <v>1.23</v>
      </c>
    </row>
    <row r="437" spans="1:16" x14ac:dyDescent="0.25">
      <c r="A437" t="s">
        <v>62</v>
      </c>
      <c r="F437">
        <v>0.72556712962962966</v>
      </c>
      <c r="G437" t="s">
        <v>227</v>
      </c>
      <c r="H437">
        <v>0</v>
      </c>
      <c r="I437">
        <v>0.86</v>
      </c>
      <c r="J437" t="s">
        <v>228</v>
      </c>
      <c r="K437" t="s">
        <v>27</v>
      </c>
      <c r="L437">
        <v>798.476</v>
      </c>
      <c r="M437">
        <v>1</v>
      </c>
      <c r="N437">
        <v>115519.04700000001</v>
      </c>
      <c r="O437">
        <v>6.9120722576598119E-3</v>
      </c>
      <c r="P437">
        <v>1.23</v>
      </c>
    </row>
    <row r="438" spans="1:16" x14ac:dyDescent="0.25">
      <c r="A438" t="s">
        <v>63</v>
      </c>
      <c r="F438">
        <v>0.72746527777777781</v>
      </c>
      <c r="G438" t="s">
        <v>227</v>
      </c>
      <c r="H438">
        <v>0</v>
      </c>
      <c r="I438">
        <v>0.86</v>
      </c>
      <c r="J438" t="s">
        <v>228</v>
      </c>
      <c r="K438" t="s">
        <v>27</v>
      </c>
      <c r="L438">
        <v>1241.211</v>
      </c>
      <c r="M438">
        <v>1</v>
      </c>
      <c r="N438">
        <v>114009.516</v>
      </c>
      <c r="O438">
        <v>1.088690701923513E-2</v>
      </c>
      <c r="P438">
        <v>1.23</v>
      </c>
    </row>
    <row r="439" spans="1:16" x14ac:dyDescent="0.25">
      <c r="A439" t="s">
        <v>64</v>
      </c>
      <c r="F439">
        <v>0.72931712962962969</v>
      </c>
      <c r="G439" t="s">
        <v>227</v>
      </c>
      <c r="H439">
        <v>0</v>
      </c>
      <c r="I439">
        <v>0.86</v>
      </c>
      <c r="J439" t="s">
        <v>228</v>
      </c>
      <c r="K439" t="s">
        <v>27</v>
      </c>
      <c r="L439">
        <v>1109.6089999999999</v>
      </c>
      <c r="M439">
        <v>1</v>
      </c>
      <c r="N439">
        <v>113238.109</v>
      </c>
      <c r="O439">
        <v>9.798900827635685E-3</v>
      </c>
      <c r="P439">
        <v>1.23</v>
      </c>
    </row>
    <row r="440" spans="1:16" x14ac:dyDescent="0.25">
      <c r="A440" t="s">
        <v>65</v>
      </c>
      <c r="F440">
        <v>0.73129629629629633</v>
      </c>
      <c r="G440" t="s">
        <v>227</v>
      </c>
      <c r="H440">
        <v>0</v>
      </c>
      <c r="I440">
        <v>0.86</v>
      </c>
      <c r="J440" t="s">
        <v>228</v>
      </c>
      <c r="K440" t="s">
        <v>27</v>
      </c>
      <c r="L440">
        <v>916.87300000000005</v>
      </c>
      <c r="M440">
        <v>1</v>
      </c>
      <c r="N440">
        <v>116292.07799999999</v>
      </c>
      <c r="O440">
        <v>7.8842257853540126E-3</v>
      </c>
      <c r="P440">
        <v>1.23</v>
      </c>
    </row>
    <row r="441" spans="1:16" x14ac:dyDescent="0.25">
      <c r="A441" t="s">
        <v>66</v>
      </c>
      <c r="F441">
        <v>0.73326388888888883</v>
      </c>
      <c r="G441" t="s">
        <v>227</v>
      </c>
      <c r="H441">
        <v>0</v>
      </c>
      <c r="I441">
        <v>0.86</v>
      </c>
      <c r="J441" t="s">
        <v>228</v>
      </c>
      <c r="K441" t="s">
        <v>27</v>
      </c>
      <c r="L441">
        <v>1285.4770000000001</v>
      </c>
      <c r="M441">
        <v>1</v>
      </c>
      <c r="N441">
        <v>119564.148</v>
      </c>
      <c r="O441">
        <v>1.0751358341967193E-2</v>
      </c>
      <c r="P441">
        <v>1.23</v>
      </c>
    </row>
    <row r="442" spans="1:16" x14ac:dyDescent="0.25">
      <c r="A442" t="s">
        <v>67</v>
      </c>
      <c r="F442">
        <v>0.73523148148148154</v>
      </c>
      <c r="G442" t="s">
        <v>227</v>
      </c>
      <c r="H442">
        <v>0</v>
      </c>
      <c r="I442">
        <v>0.86</v>
      </c>
      <c r="J442" t="s">
        <v>228</v>
      </c>
      <c r="K442" t="s">
        <v>27</v>
      </c>
      <c r="L442">
        <v>1192.9110000000001</v>
      </c>
      <c r="M442">
        <v>1</v>
      </c>
      <c r="N442">
        <v>117152.92200000001</v>
      </c>
      <c r="O442">
        <v>1.0182511708926902E-2</v>
      </c>
      <c r="P442">
        <v>1.22</v>
      </c>
    </row>
    <row r="443" spans="1:16" x14ac:dyDescent="0.25">
      <c r="A443" t="s">
        <v>68</v>
      </c>
      <c r="F443">
        <v>0.7371875</v>
      </c>
      <c r="G443" t="s">
        <v>227</v>
      </c>
      <c r="H443">
        <v>0</v>
      </c>
      <c r="I443">
        <v>0.86</v>
      </c>
      <c r="J443" t="s">
        <v>228</v>
      </c>
      <c r="K443" t="s">
        <v>27</v>
      </c>
      <c r="L443">
        <v>1078.645</v>
      </c>
      <c r="M443">
        <v>1</v>
      </c>
      <c r="N443">
        <v>111947.391</v>
      </c>
      <c r="O443">
        <v>9.635284845539634E-3</v>
      </c>
      <c r="P443">
        <v>1.23</v>
      </c>
    </row>
    <row r="444" spans="1:16" x14ac:dyDescent="0.25">
      <c r="A444" t="s">
        <v>69</v>
      </c>
      <c r="F444">
        <v>0.73916666666666664</v>
      </c>
      <c r="G444" t="s">
        <v>227</v>
      </c>
      <c r="H444">
        <v>0</v>
      </c>
      <c r="I444">
        <v>0.86</v>
      </c>
      <c r="J444" t="s">
        <v>228</v>
      </c>
      <c r="K444" t="s">
        <v>27</v>
      </c>
      <c r="L444">
        <v>471.608</v>
      </c>
      <c r="M444">
        <v>1</v>
      </c>
      <c r="N444">
        <v>120969.641</v>
      </c>
      <c r="O444">
        <v>3.8985649300224013E-3</v>
      </c>
      <c r="P444">
        <v>1.23</v>
      </c>
    </row>
    <row r="445" spans="1:16" x14ac:dyDescent="0.25">
      <c r="A445" t="s">
        <v>70</v>
      </c>
      <c r="F445">
        <v>0.74113425925925924</v>
      </c>
      <c r="G445" t="s">
        <v>227</v>
      </c>
      <c r="H445">
        <v>0</v>
      </c>
      <c r="I445">
        <v>0.86</v>
      </c>
      <c r="J445" t="s">
        <v>228</v>
      </c>
      <c r="K445" t="s">
        <v>27</v>
      </c>
      <c r="L445">
        <v>1380.5709999999999</v>
      </c>
      <c r="M445">
        <v>1</v>
      </c>
      <c r="N445">
        <v>110966.523</v>
      </c>
      <c r="O445">
        <v>1.2441328814096481E-2</v>
      </c>
      <c r="P445">
        <v>1.23</v>
      </c>
    </row>
    <row r="446" spans="1:16" x14ac:dyDescent="0.25">
      <c r="A446" t="s">
        <v>71</v>
      </c>
      <c r="F446">
        <v>0.74307870370370377</v>
      </c>
      <c r="G446" t="s">
        <v>227</v>
      </c>
      <c r="H446">
        <v>0</v>
      </c>
      <c r="I446">
        <v>0.86</v>
      </c>
      <c r="J446" t="s">
        <v>228</v>
      </c>
      <c r="K446" t="s">
        <v>27</v>
      </c>
      <c r="L446">
        <v>1148.9090000000001</v>
      </c>
      <c r="M446">
        <v>1</v>
      </c>
      <c r="N446">
        <v>120331.281</v>
      </c>
      <c r="O446">
        <v>9.5478830645873373E-3</v>
      </c>
      <c r="P446">
        <v>1.23</v>
      </c>
    </row>
    <row r="447" spans="1:16" x14ac:dyDescent="0.25">
      <c r="A447" t="s">
        <v>72</v>
      </c>
      <c r="F447">
        <v>0.74506944444444445</v>
      </c>
      <c r="G447" t="s">
        <v>227</v>
      </c>
      <c r="H447">
        <v>0</v>
      </c>
      <c r="I447">
        <v>0.86</v>
      </c>
      <c r="J447" t="s">
        <v>228</v>
      </c>
      <c r="K447" t="s">
        <v>27</v>
      </c>
      <c r="L447">
        <v>1311.095</v>
      </c>
      <c r="M447">
        <v>1</v>
      </c>
      <c r="N447">
        <v>123456.898</v>
      </c>
      <c r="O447">
        <v>1.061986022036614E-2</v>
      </c>
      <c r="P447">
        <v>1.23</v>
      </c>
    </row>
    <row r="448" spans="1:16" x14ac:dyDescent="0.25">
      <c r="A448" t="s">
        <v>73</v>
      </c>
      <c r="F448">
        <v>0.74703703703703705</v>
      </c>
      <c r="G448" t="s">
        <v>227</v>
      </c>
      <c r="H448">
        <v>0</v>
      </c>
      <c r="I448">
        <v>0.86</v>
      </c>
      <c r="J448" t="s">
        <v>228</v>
      </c>
      <c r="K448" t="s">
        <v>27</v>
      </c>
      <c r="L448">
        <v>1024.2470000000001</v>
      </c>
      <c r="M448">
        <v>1</v>
      </c>
      <c r="N448">
        <v>119898.906</v>
      </c>
      <c r="O448">
        <v>8.5425883702391747E-3</v>
      </c>
      <c r="P448">
        <v>1.22</v>
      </c>
    </row>
    <row r="449" spans="1:19" x14ac:dyDescent="0.25">
      <c r="A449" t="s">
        <v>74</v>
      </c>
      <c r="F449">
        <v>0.74900462962962966</v>
      </c>
      <c r="G449" t="s">
        <v>227</v>
      </c>
      <c r="H449">
        <v>0</v>
      </c>
      <c r="I449">
        <v>0.86</v>
      </c>
      <c r="J449" t="s">
        <v>228</v>
      </c>
      <c r="K449" t="s">
        <v>27</v>
      </c>
      <c r="L449">
        <v>1549.4480000000001</v>
      </c>
      <c r="M449">
        <v>1</v>
      </c>
      <c r="N449">
        <v>114464.43</v>
      </c>
      <c r="O449">
        <v>1.3536502125594827E-2</v>
      </c>
      <c r="P449">
        <v>1.22</v>
      </c>
    </row>
    <row r="450" spans="1:19" x14ac:dyDescent="0.25">
      <c r="A450" t="s">
        <v>75</v>
      </c>
      <c r="F450">
        <v>0.75096064814814811</v>
      </c>
      <c r="G450" t="s">
        <v>227</v>
      </c>
      <c r="H450">
        <v>0</v>
      </c>
      <c r="I450">
        <v>0.86</v>
      </c>
      <c r="J450" t="s">
        <v>228</v>
      </c>
      <c r="K450" t="s">
        <v>27</v>
      </c>
      <c r="L450">
        <v>2099.989</v>
      </c>
      <c r="M450">
        <v>1</v>
      </c>
      <c r="N450">
        <v>118488.594</v>
      </c>
      <c r="O450">
        <v>1.7723132067884947E-2</v>
      </c>
      <c r="P450">
        <v>1.22</v>
      </c>
    </row>
    <row r="451" spans="1:19" x14ac:dyDescent="0.25">
      <c r="A451" t="s">
        <v>76</v>
      </c>
      <c r="F451">
        <v>0.75292824074074083</v>
      </c>
      <c r="G451" t="s">
        <v>227</v>
      </c>
      <c r="H451">
        <v>0</v>
      </c>
      <c r="I451">
        <v>0.86</v>
      </c>
      <c r="J451" t="s">
        <v>228</v>
      </c>
      <c r="K451" t="s">
        <v>27</v>
      </c>
      <c r="L451">
        <v>2185.1779999999999</v>
      </c>
      <c r="M451">
        <v>1</v>
      </c>
      <c r="N451">
        <v>120484.242</v>
      </c>
      <c r="O451">
        <v>1.813662902074779E-2</v>
      </c>
      <c r="P451">
        <v>1.22</v>
      </c>
    </row>
    <row r="452" spans="1:19" x14ac:dyDescent="0.25">
      <c r="A452" t="s">
        <v>77</v>
      </c>
      <c r="F452">
        <v>0.7547800925925926</v>
      </c>
      <c r="G452" t="s">
        <v>227</v>
      </c>
      <c r="H452">
        <v>0</v>
      </c>
      <c r="I452">
        <v>0.85</v>
      </c>
      <c r="J452" t="s">
        <v>228</v>
      </c>
      <c r="K452" t="s">
        <v>27</v>
      </c>
      <c r="L452">
        <v>3285.6930000000002</v>
      </c>
      <c r="M452">
        <v>1</v>
      </c>
      <c r="N452">
        <v>120868.19500000001</v>
      </c>
      <c r="O452">
        <v>2.7184099175138671E-2</v>
      </c>
      <c r="P452">
        <v>1.22</v>
      </c>
    </row>
    <row r="453" spans="1:19" x14ac:dyDescent="0.25">
      <c r="A453" t="s">
        <v>78</v>
      </c>
      <c r="F453">
        <v>0.75665509259259256</v>
      </c>
      <c r="G453" t="s">
        <v>227</v>
      </c>
      <c r="H453">
        <v>0</v>
      </c>
      <c r="I453">
        <v>0.85</v>
      </c>
      <c r="J453" t="s">
        <v>228</v>
      </c>
      <c r="K453" t="s">
        <v>27</v>
      </c>
      <c r="L453">
        <v>3281.808</v>
      </c>
      <c r="M453">
        <v>1</v>
      </c>
      <c r="N453">
        <v>124093.773</v>
      </c>
      <c r="O453">
        <v>2.6446194040695339E-2</v>
      </c>
      <c r="P453">
        <v>1.22</v>
      </c>
    </row>
    <row r="454" spans="1:19" x14ac:dyDescent="0.25">
      <c r="A454" t="s">
        <v>79</v>
      </c>
      <c r="F454">
        <v>0.75864583333333335</v>
      </c>
      <c r="G454" t="s">
        <v>227</v>
      </c>
      <c r="H454">
        <v>0</v>
      </c>
      <c r="I454">
        <v>0.86</v>
      </c>
      <c r="J454" t="s">
        <v>228</v>
      </c>
      <c r="K454" t="s">
        <v>27</v>
      </c>
      <c r="L454">
        <v>2853.7539999999999</v>
      </c>
      <c r="M454">
        <v>1</v>
      </c>
      <c r="N454">
        <v>120933.44500000001</v>
      </c>
      <c r="O454">
        <v>2.3597723524704021E-2</v>
      </c>
      <c r="P454">
        <v>1.22</v>
      </c>
    </row>
    <row r="455" spans="1:19" x14ac:dyDescent="0.25">
      <c r="A455" t="s">
        <v>80</v>
      </c>
      <c r="F455">
        <v>0.76061342592592596</v>
      </c>
      <c r="G455" t="s">
        <v>227</v>
      </c>
      <c r="H455">
        <v>0</v>
      </c>
      <c r="I455">
        <v>0.86</v>
      </c>
      <c r="J455" t="s">
        <v>228</v>
      </c>
      <c r="K455" t="s">
        <v>27</v>
      </c>
      <c r="L455">
        <v>3156.6370000000002</v>
      </c>
      <c r="M455">
        <v>1</v>
      </c>
      <c r="N455">
        <v>118392.31299999999</v>
      </c>
      <c r="O455">
        <v>2.6662516509834557E-2</v>
      </c>
      <c r="P455">
        <v>1.22</v>
      </c>
    </row>
    <row r="456" spans="1:19" x14ac:dyDescent="0.25">
      <c r="A456" s="2" t="s">
        <v>81</v>
      </c>
      <c r="B456" s="2"/>
      <c r="C456" s="2"/>
      <c r="D456" s="2"/>
      <c r="E456" s="2"/>
      <c r="F456" s="2">
        <v>0.76258101851851856</v>
      </c>
      <c r="G456" s="2" t="s">
        <v>227</v>
      </c>
      <c r="H456" s="2">
        <v>0</v>
      </c>
      <c r="I456" s="2">
        <v>0.86</v>
      </c>
      <c r="J456" s="2" t="s">
        <v>228</v>
      </c>
      <c r="K456" s="2" t="s">
        <v>27</v>
      </c>
      <c r="L456" s="2">
        <v>282118.31300000002</v>
      </c>
      <c r="M456" s="2">
        <v>1</v>
      </c>
      <c r="N456" s="2">
        <v>115258.281</v>
      </c>
      <c r="O456" s="2">
        <v>2.4477053670442994</v>
      </c>
      <c r="P456" s="2">
        <v>1.22</v>
      </c>
      <c r="Q456" s="2"/>
      <c r="R456" s="2"/>
      <c r="S456" s="2"/>
    </row>
    <row r="457" spans="1:19" x14ac:dyDescent="0.25">
      <c r="A457" s="2" t="s">
        <v>82</v>
      </c>
      <c r="B457" s="2"/>
      <c r="C457" s="2"/>
      <c r="D457" s="2"/>
      <c r="E457" s="2"/>
      <c r="F457" s="2">
        <v>0.76454861111111105</v>
      </c>
      <c r="G457" s="2" t="s">
        <v>227</v>
      </c>
      <c r="H457" s="2">
        <v>0</v>
      </c>
      <c r="I457" s="2">
        <v>0.85</v>
      </c>
      <c r="J457" s="2" t="s">
        <v>228</v>
      </c>
      <c r="K457" s="2" t="s">
        <v>27</v>
      </c>
      <c r="L457" s="2">
        <v>296853.46899999998</v>
      </c>
      <c r="M457" s="2">
        <v>1</v>
      </c>
      <c r="N457" s="2">
        <v>114999.148</v>
      </c>
      <c r="O457" s="2">
        <v>2.581353637506949</v>
      </c>
      <c r="P457" s="2">
        <v>1.22</v>
      </c>
      <c r="Q457" s="2"/>
      <c r="R457" s="2"/>
      <c r="S457" s="2"/>
    </row>
    <row r="458" spans="1:19" x14ac:dyDescent="0.25">
      <c r="A458" t="s">
        <v>83</v>
      </c>
      <c r="F458">
        <v>0.38540509259259265</v>
      </c>
      <c r="G458" t="s">
        <v>227</v>
      </c>
      <c r="H458">
        <v>0</v>
      </c>
      <c r="I458">
        <v>0.85</v>
      </c>
      <c r="J458" t="s">
        <v>228</v>
      </c>
      <c r="K458" t="s">
        <v>27</v>
      </c>
      <c r="L458">
        <v>104166.492</v>
      </c>
      <c r="M458">
        <v>1</v>
      </c>
      <c r="N458">
        <v>55215.141000000003</v>
      </c>
      <c r="O458">
        <v>1.8865566602465071</v>
      </c>
      <c r="P458">
        <v>1.22</v>
      </c>
    </row>
    <row r="459" spans="1:19" x14ac:dyDescent="0.25">
      <c r="A459" t="s">
        <v>84</v>
      </c>
      <c r="F459">
        <v>0.38807870370370368</v>
      </c>
      <c r="G459" t="s">
        <v>227</v>
      </c>
      <c r="H459">
        <v>0</v>
      </c>
      <c r="I459">
        <v>0.86</v>
      </c>
      <c r="J459" t="s">
        <v>228</v>
      </c>
      <c r="K459" t="s">
        <v>27</v>
      </c>
      <c r="L459">
        <v>2378.25</v>
      </c>
      <c r="M459">
        <v>1</v>
      </c>
      <c r="N459">
        <v>78189.125</v>
      </c>
      <c r="O459">
        <v>3.0416634026790811E-2</v>
      </c>
      <c r="P459">
        <v>1.22</v>
      </c>
    </row>
    <row r="460" spans="1:19" x14ac:dyDescent="0.25">
      <c r="A460" t="s">
        <v>85</v>
      </c>
      <c r="F460">
        <v>0.38995370370370369</v>
      </c>
      <c r="G460" t="s">
        <v>227</v>
      </c>
      <c r="H460">
        <v>0</v>
      </c>
      <c r="I460">
        <v>0.86</v>
      </c>
      <c r="J460" t="s">
        <v>228</v>
      </c>
      <c r="K460" t="s">
        <v>27</v>
      </c>
      <c r="L460">
        <v>3336.962</v>
      </c>
      <c r="M460">
        <v>1</v>
      </c>
      <c r="N460">
        <v>98311.702999999994</v>
      </c>
      <c r="O460">
        <v>3.3942673132210922E-2</v>
      </c>
      <c r="P460">
        <v>1.22</v>
      </c>
    </row>
    <row r="461" spans="1:19" x14ac:dyDescent="0.25">
      <c r="A461" t="s">
        <v>86</v>
      </c>
      <c r="F461">
        <v>0.39181712962962961</v>
      </c>
      <c r="G461" t="s">
        <v>227</v>
      </c>
      <c r="H461">
        <v>0</v>
      </c>
      <c r="I461">
        <v>0.85</v>
      </c>
      <c r="J461" t="s">
        <v>228</v>
      </c>
      <c r="K461" t="s">
        <v>27</v>
      </c>
      <c r="L461">
        <v>3147.3069999999998</v>
      </c>
      <c r="M461">
        <v>1</v>
      </c>
      <c r="N461">
        <v>82892.577999999994</v>
      </c>
      <c r="O461">
        <v>3.796850183619576E-2</v>
      </c>
      <c r="P461">
        <v>1.22</v>
      </c>
    </row>
    <row r="462" spans="1:19" x14ac:dyDescent="0.25">
      <c r="A462" t="s">
        <v>87</v>
      </c>
      <c r="F462">
        <v>0.39369212962962963</v>
      </c>
      <c r="G462" t="s">
        <v>227</v>
      </c>
      <c r="H462">
        <v>0</v>
      </c>
      <c r="I462">
        <v>0.85</v>
      </c>
      <c r="J462" t="s">
        <v>228</v>
      </c>
      <c r="K462" t="s">
        <v>27</v>
      </c>
      <c r="L462">
        <v>1002.938</v>
      </c>
      <c r="M462">
        <v>1</v>
      </c>
      <c r="N462">
        <v>80402.695000000007</v>
      </c>
      <c r="O462">
        <v>1.2473935108767186E-2</v>
      </c>
      <c r="P462">
        <v>1.23</v>
      </c>
    </row>
    <row r="463" spans="1:19" x14ac:dyDescent="0.25">
      <c r="A463" t="s">
        <v>88</v>
      </c>
      <c r="F463">
        <v>0.3955555555555556</v>
      </c>
      <c r="G463" t="s">
        <v>227</v>
      </c>
      <c r="H463">
        <v>0</v>
      </c>
      <c r="I463">
        <v>0.85</v>
      </c>
      <c r="J463" t="s">
        <v>228</v>
      </c>
      <c r="K463" t="s">
        <v>27</v>
      </c>
      <c r="L463">
        <v>898.92399999999998</v>
      </c>
      <c r="M463">
        <v>1</v>
      </c>
      <c r="N463">
        <v>74213.108999999997</v>
      </c>
      <c r="O463">
        <v>1.2112738734608195E-2</v>
      </c>
      <c r="P463">
        <v>1.22</v>
      </c>
    </row>
    <row r="464" spans="1:19" x14ac:dyDescent="0.25">
      <c r="A464" t="s">
        <v>89</v>
      </c>
      <c r="F464">
        <v>0.39743055555555556</v>
      </c>
      <c r="G464" t="s">
        <v>227</v>
      </c>
      <c r="H464">
        <v>0</v>
      </c>
      <c r="I464">
        <v>0.86</v>
      </c>
      <c r="J464" t="s">
        <v>228</v>
      </c>
      <c r="K464" t="s">
        <v>27</v>
      </c>
      <c r="L464">
        <v>273.339</v>
      </c>
      <c r="M464">
        <v>1</v>
      </c>
      <c r="N464">
        <v>79356.687999999995</v>
      </c>
      <c r="O464">
        <v>3.4444355843076518E-3</v>
      </c>
      <c r="P464">
        <v>1.23</v>
      </c>
    </row>
    <row r="465" spans="1:16" x14ac:dyDescent="0.25">
      <c r="A465" t="s">
        <v>90</v>
      </c>
      <c r="F465">
        <v>0.39930555555555558</v>
      </c>
      <c r="G465" t="s">
        <v>227</v>
      </c>
      <c r="H465">
        <v>0</v>
      </c>
      <c r="I465">
        <v>0.85</v>
      </c>
      <c r="J465" t="s">
        <v>228</v>
      </c>
      <c r="K465" t="s">
        <v>27</v>
      </c>
      <c r="L465">
        <v>586.697</v>
      </c>
      <c r="M465">
        <v>1</v>
      </c>
      <c r="N465">
        <v>80031.358999999997</v>
      </c>
      <c r="O465">
        <v>7.3308389027855947E-3</v>
      </c>
      <c r="P465">
        <v>1.22</v>
      </c>
    </row>
    <row r="466" spans="1:16" x14ac:dyDescent="0.25">
      <c r="A466" t="s">
        <v>91</v>
      </c>
      <c r="F466">
        <v>0.40116898148148145</v>
      </c>
      <c r="G466" t="s">
        <v>227</v>
      </c>
      <c r="H466">
        <v>0</v>
      </c>
      <c r="I466">
        <v>0.87</v>
      </c>
      <c r="J466" t="s">
        <v>228</v>
      </c>
      <c r="K466" t="s">
        <v>27</v>
      </c>
      <c r="L466">
        <v>338.892</v>
      </c>
      <c r="M466">
        <v>1</v>
      </c>
      <c r="N466">
        <v>104.651</v>
      </c>
      <c r="O466">
        <v>3.2383063706987989</v>
      </c>
      <c r="P466">
        <v>1.23</v>
      </c>
    </row>
    <row r="467" spans="1:16" x14ac:dyDescent="0.25">
      <c r="A467" t="s">
        <v>92</v>
      </c>
      <c r="F467">
        <v>0.4031481481481482</v>
      </c>
      <c r="G467" t="s">
        <v>227</v>
      </c>
      <c r="H467">
        <v>0</v>
      </c>
      <c r="I467">
        <v>0.85</v>
      </c>
      <c r="J467" t="s">
        <v>228</v>
      </c>
      <c r="K467" t="s">
        <v>27</v>
      </c>
      <c r="L467">
        <v>299.44600000000003</v>
      </c>
      <c r="M467">
        <v>1</v>
      </c>
      <c r="N467">
        <v>54.768000000000001</v>
      </c>
      <c r="O467">
        <v>5.4675357873210642</v>
      </c>
      <c r="P467">
        <v>1.23</v>
      </c>
    </row>
    <row r="468" spans="1:16" x14ac:dyDescent="0.25">
      <c r="A468" t="s">
        <v>93</v>
      </c>
      <c r="F468">
        <v>0.40502314814814816</v>
      </c>
      <c r="G468" t="s">
        <v>227</v>
      </c>
      <c r="H468">
        <v>0</v>
      </c>
      <c r="I468">
        <v>0.86</v>
      </c>
      <c r="J468" t="s">
        <v>228</v>
      </c>
      <c r="K468" t="s">
        <v>27</v>
      </c>
      <c r="L468">
        <v>601.803</v>
      </c>
      <c r="M468">
        <v>1</v>
      </c>
      <c r="N468">
        <v>86940.445000000007</v>
      </c>
      <c r="O468">
        <v>6.9220142593012946E-3</v>
      </c>
      <c r="P468">
        <v>1.23</v>
      </c>
    </row>
    <row r="469" spans="1:16" x14ac:dyDescent="0.25">
      <c r="A469" t="s">
        <v>94</v>
      </c>
      <c r="F469">
        <v>0.40701388888888884</v>
      </c>
      <c r="G469" t="s">
        <v>227</v>
      </c>
      <c r="H469">
        <v>0</v>
      </c>
      <c r="I469">
        <v>0.85</v>
      </c>
      <c r="J469" t="s">
        <v>228</v>
      </c>
      <c r="K469" t="s">
        <v>27</v>
      </c>
      <c r="L469">
        <v>411.6</v>
      </c>
      <c r="M469">
        <v>1</v>
      </c>
      <c r="N469">
        <v>85609.616999999998</v>
      </c>
      <c r="O469">
        <v>4.8078710596263976E-3</v>
      </c>
      <c r="P469">
        <v>1.23</v>
      </c>
    </row>
    <row r="470" spans="1:16" x14ac:dyDescent="0.25">
      <c r="A470" t="s">
        <v>95</v>
      </c>
      <c r="F470">
        <v>0.40896990740740741</v>
      </c>
      <c r="G470" t="s">
        <v>227</v>
      </c>
      <c r="H470">
        <v>0</v>
      </c>
      <c r="I470">
        <v>0.85</v>
      </c>
      <c r="J470" t="s">
        <v>228</v>
      </c>
      <c r="K470" t="s">
        <v>27</v>
      </c>
      <c r="L470">
        <v>408.45800000000003</v>
      </c>
      <c r="M470">
        <v>1</v>
      </c>
      <c r="N470">
        <v>85459.241999999998</v>
      </c>
      <c r="O470">
        <v>4.7795649767172054E-3</v>
      </c>
      <c r="P470">
        <v>1.23</v>
      </c>
    </row>
    <row r="471" spans="1:16" x14ac:dyDescent="0.25">
      <c r="A471" t="s">
        <v>96</v>
      </c>
      <c r="F471">
        <v>0.41090277777777778</v>
      </c>
      <c r="G471" t="s">
        <v>227</v>
      </c>
      <c r="H471">
        <v>0</v>
      </c>
      <c r="I471">
        <v>0.85</v>
      </c>
      <c r="J471" t="s">
        <v>228</v>
      </c>
      <c r="K471" t="s">
        <v>27</v>
      </c>
      <c r="L471">
        <v>479.88499999999999</v>
      </c>
      <c r="M471">
        <v>1</v>
      </c>
      <c r="N471">
        <v>86220.406000000003</v>
      </c>
      <c r="O471">
        <v>5.5657937866820063E-3</v>
      </c>
      <c r="P471">
        <v>1.23</v>
      </c>
    </row>
    <row r="472" spans="1:16" x14ac:dyDescent="0.25">
      <c r="A472" t="s">
        <v>97</v>
      </c>
      <c r="F472">
        <v>0.4127662037037037</v>
      </c>
      <c r="G472" t="s">
        <v>227</v>
      </c>
      <c r="H472">
        <v>0</v>
      </c>
      <c r="I472">
        <v>0.85</v>
      </c>
      <c r="J472" t="s">
        <v>228</v>
      </c>
      <c r="K472" t="s">
        <v>27</v>
      </c>
      <c r="L472">
        <v>795.91700000000003</v>
      </c>
      <c r="M472">
        <v>1</v>
      </c>
      <c r="N472">
        <v>87941.781000000003</v>
      </c>
      <c r="O472">
        <v>9.0504989886434073E-3</v>
      </c>
      <c r="P472">
        <v>1.23</v>
      </c>
    </row>
    <row r="473" spans="1:16" x14ac:dyDescent="0.25">
      <c r="A473" t="s">
        <v>98</v>
      </c>
      <c r="F473">
        <v>0.41465277777777776</v>
      </c>
      <c r="G473" t="s">
        <v>227</v>
      </c>
      <c r="H473">
        <v>0</v>
      </c>
      <c r="I473">
        <v>0.85</v>
      </c>
      <c r="J473" t="s">
        <v>228</v>
      </c>
      <c r="K473" t="s">
        <v>27</v>
      </c>
      <c r="L473">
        <v>580.99599999999998</v>
      </c>
      <c r="M473">
        <v>1</v>
      </c>
      <c r="N473">
        <v>93537.976999999999</v>
      </c>
      <c r="O473">
        <v>6.2113380963969315E-3</v>
      </c>
      <c r="P473">
        <v>1.23</v>
      </c>
    </row>
    <row r="474" spans="1:16" x14ac:dyDescent="0.25">
      <c r="A474" t="s">
        <v>99</v>
      </c>
      <c r="F474">
        <v>0.41651620370370374</v>
      </c>
      <c r="G474" t="s">
        <v>227</v>
      </c>
      <c r="H474">
        <v>0</v>
      </c>
      <c r="I474">
        <v>0.86</v>
      </c>
      <c r="J474" t="s">
        <v>228</v>
      </c>
      <c r="K474" t="s">
        <v>27</v>
      </c>
      <c r="L474">
        <v>316.13299999999998</v>
      </c>
      <c r="M474">
        <v>1</v>
      </c>
      <c r="N474">
        <v>86879.258000000002</v>
      </c>
      <c r="O474">
        <v>3.6387626607032025E-3</v>
      </c>
      <c r="P474">
        <v>1.23</v>
      </c>
    </row>
    <row r="475" spans="1:16" x14ac:dyDescent="0.25">
      <c r="A475" t="s">
        <v>100</v>
      </c>
      <c r="F475">
        <v>0.41849537037037038</v>
      </c>
      <c r="G475" t="s">
        <v>227</v>
      </c>
      <c r="H475">
        <v>0</v>
      </c>
      <c r="I475">
        <v>0.85</v>
      </c>
      <c r="J475" t="s">
        <v>228</v>
      </c>
      <c r="K475" t="s">
        <v>27</v>
      </c>
      <c r="L475">
        <v>643.99599999999998</v>
      </c>
      <c r="M475">
        <v>1</v>
      </c>
      <c r="N475">
        <v>85980.991999999998</v>
      </c>
      <c r="O475">
        <v>7.4899810413911021E-3</v>
      </c>
      <c r="P475">
        <v>1.23</v>
      </c>
    </row>
    <row r="476" spans="1:16" x14ac:dyDescent="0.25">
      <c r="A476" t="s">
        <v>101</v>
      </c>
      <c r="F476">
        <v>0.42046296296296298</v>
      </c>
      <c r="G476" t="s">
        <v>227</v>
      </c>
      <c r="H476">
        <v>0</v>
      </c>
      <c r="I476">
        <v>0.85</v>
      </c>
      <c r="J476" t="s">
        <v>228</v>
      </c>
      <c r="K476" t="s">
        <v>27</v>
      </c>
      <c r="L476">
        <v>645.41600000000005</v>
      </c>
      <c r="M476">
        <v>1</v>
      </c>
      <c r="N476">
        <v>82045.156000000003</v>
      </c>
      <c r="O476">
        <v>7.8665948298032376E-3</v>
      </c>
      <c r="P476">
        <v>1.23</v>
      </c>
    </row>
    <row r="477" spans="1:16" x14ac:dyDescent="0.25">
      <c r="A477" t="s">
        <v>102</v>
      </c>
      <c r="F477">
        <v>0.4223263888888889</v>
      </c>
      <c r="G477" t="s">
        <v>227</v>
      </c>
      <c r="H477">
        <v>0</v>
      </c>
      <c r="I477">
        <v>0.85</v>
      </c>
      <c r="J477" t="s">
        <v>228</v>
      </c>
      <c r="K477" t="s">
        <v>27</v>
      </c>
      <c r="L477">
        <v>636.98900000000003</v>
      </c>
      <c r="M477">
        <v>1</v>
      </c>
      <c r="N477">
        <v>86455.312999999995</v>
      </c>
      <c r="O477">
        <v>7.3678410024378728E-3</v>
      </c>
      <c r="P477">
        <v>1.23</v>
      </c>
    </row>
    <row r="478" spans="1:16" x14ac:dyDescent="0.25">
      <c r="A478" t="s">
        <v>103</v>
      </c>
      <c r="F478">
        <v>0.42429398148148145</v>
      </c>
      <c r="G478" t="s">
        <v>227</v>
      </c>
      <c r="H478">
        <v>0</v>
      </c>
      <c r="I478">
        <v>0.85</v>
      </c>
      <c r="J478" t="s">
        <v>228</v>
      </c>
      <c r="K478" t="s">
        <v>27</v>
      </c>
      <c r="L478">
        <v>631.07600000000002</v>
      </c>
      <c r="M478">
        <v>1</v>
      </c>
      <c r="N478">
        <v>85804.358999999997</v>
      </c>
      <c r="O478">
        <v>7.3548244792551861E-3</v>
      </c>
      <c r="P478">
        <v>1.23</v>
      </c>
    </row>
    <row r="479" spans="1:16" x14ac:dyDescent="0.25">
      <c r="A479" t="s">
        <v>104</v>
      </c>
      <c r="F479">
        <v>0.42614583333333328</v>
      </c>
      <c r="G479" t="s">
        <v>227</v>
      </c>
      <c r="H479">
        <v>0</v>
      </c>
      <c r="I479">
        <v>0.85</v>
      </c>
      <c r="J479" t="s">
        <v>228</v>
      </c>
      <c r="K479" t="s">
        <v>27</v>
      </c>
      <c r="L479">
        <v>404.82799999999997</v>
      </c>
      <c r="M479">
        <v>1</v>
      </c>
      <c r="N479">
        <v>86476.241999999998</v>
      </c>
      <c r="O479">
        <v>4.6813782680334322E-3</v>
      </c>
      <c r="P479">
        <v>1.22</v>
      </c>
    </row>
    <row r="480" spans="1:16" x14ac:dyDescent="0.25">
      <c r="A480" t="s">
        <v>105</v>
      </c>
      <c r="F480">
        <v>0.42802083333333335</v>
      </c>
      <c r="G480" t="s">
        <v>227</v>
      </c>
      <c r="H480">
        <v>0</v>
      </c>
      <c r="I480">
        <v>0.85</v>
      </c>
      <c r="J480" t="s">
        <v>228</v>
      </c>
      <c r="K480" t="s">
        <v>27</v>
      </c>
      <c r="L480">
        <v>362.95400000000001</v>
      </c>
      <c r="M480">
        <v>1</v>
      </c>
      <c r="N480">
        <v>81312.297000000006</v>
      </c>
      <c r="O480">
        <v>4.4637036880165858E-3</v>
      </c>
      <c r="P480">
        <v>1.22</v>
      </c>
    </row>
    <row r="481" spans="1:19" x14ac:dyDescent="0.25">
      <c r="A481" t="s">
        <v>106</v>
      </c>
      <c r="F481">
        <v>0.43</v>
      </c>
      <c r="G481" t="s">
        <v>227</v>
      </c>
      <c r="H481">
        <v>0</v>
      </c>
      <c r="I481">
        <v>0.85</v>
      </c>
      <c r="J481" t="s">
        <v>228</v>
      </c>
      <c r="K481" t="s">
        <v>27</v>
      </c>
      <c r="L481">
        <v>630.94000000000005</v>
      </c>
      <c r="M481">
        <v>1</v>
      </c>
      <c r="N481">
        <v>84202.343999999997</v>
      </c>
      <c r="O481">
        <v>7.4931405710035827E-3</v>
      </c>
      <c r="P481">
        <v>1.22</v>
      </c>
    </row>
    <row r="482" spans="1:19" x14ac:dyDescent="0.25">
      <c r="A482" t="s">
        <v>107</v>
      </c>
      <c r="F482">
        <v>0.4319675925925926</v>
      </c>
      <c r="G482" t="s">
        <v>227</v>
      </c>
      <c r="H482">
        <v>0</v>
      </c>
      <c r="I482">
        <v>0.86</v>
      </c>
      <c r="J482" t="s">
        <v>228</v>
      </c>
      <c r="K482" t="s">
        <v>27</v>
      </c>
      <c r="L482">
        <v>693.726</v>
      </c>
      <c r="M482">
        <v>1</v>
      </c>
      <c r="N482">
        <v>83752.375</v>
      </c>
      <c r="O482">
        <v>8.2830606296239364E-3</v>
      </c>
      <c r="P482">
        <v>1.23</v>
      </c>
    </row>
    <row r="483" spans="1:19" x14ac:dyDescent="0.25">
      <c r="A483" t="s">
        <v>108</v>
      </c>
      <c r="F483">
        <v>0.4339351851851852</v>
      </c>
      <c r="G483" t="s">
        <v>227</v>
      </c>
      <c r="H483">
        <v>0</v>
      </c>
      <c r="I483">
        <v>0.85</v>
      </c>
      <c r="J483" t="s">
        <v>228</v>
      </c>
      <c r="K483" t="s">
        <v>27</v>
      </c>
      <c r="L483">
        <v>969.81600000000003</v>
      </c>
      <c r="M483">
        <v>1</v>
      </c>
      <c r="N483">
        <v>87009.906000000003</v>
      </c>
      <c r="O483">
        <v>1.1146041233511964E-2</v>
      </c>
      <c r="P483">
        <v>1.22</v>
      </c>
    </row>
    <row r="484" spans="1:19" x14ac:dyDescent="0.25">
      <c r="A484" t="s">
        <v>109</v>
      </c>
      <c r="F484">
        <v>0.43590277777777775</v>
      </c>
      <c r="G484" t="s">
        <v>227</v>
      </c>
      <c r="H484">
        <v>0</v>
      </c>
      <c r="I484">
        <v>0.85</v>
      </c>
      <c r="J484" t="s">
        <v>228</v>
      </c>
      <c r="K484" t="s">
        <v>27</v>
      </c>
      <c r="L484">
        <v>1315.355</v>
      </c>
      <c r="M484">
        <v>1</v>
      </c>
      <c r="N484">
        <v>84301.804999999993</v>
      </c>
      <c r="O484">
        <v>1.5602928074908954E-2</v>
      </c>
      <c r="P484">
        <v>1.22</v>
      </c>
    </row>
    <row r="485" spans="1:19" x14ac:dyDescent="0.25">
      <c r="A485" t="s">
        <v>110</v>
      </c>
      <c r="F485">
        <v>0.43787037037037035</v>
      </c>
      <c r="G485" t="s">
        <v>227</v>
      </c>
      <c r="H485">
        <v>0</v>
      </c>
      <c r="I485">
        <v>0.85</v>
      </c>
      <c r="J485" t="s">
        <v>228</v>
      </c>
      <c r="K485" t="s">
        <v>27</v>
      </c>
      <c r="L485">
        <v>1324.4459999999999</v>
      </c>
      <c r="M485">
        <v>1</v>
      </c>
      <c r="N485">
        <v>87135.851999999999</v>
      </c>
      <c r="O485">
        <v>1.5199782518910814E-2</v>
      </c>
      <c r="P485">
        <v>1.22</v>
      </c>
    </row>
    <row r="486" spans="1:19" x14ac:dyDescent="0.25">
      <c r="A486" t="s">
        <v>111</v>
      </c>
      <c r="F486">
        <v>0.43983796296296296</v>
      </c>
      <c r="G486" t="s">
        <v>227</v>
      </c>
      <c r="H486">
        <v>0</v>
      </c>
      <c r="I486">
        <v>0.85</v>
      </c>
      <c r="J486" t="s">
        <v>228</v>
      </c>
      <c r="K486" t="s">
        <v>27</v>
      </c>
      <c r="L486">
        <v>873.13900000000001</v>
      </c>
      <c r="M486">
        <v>1</v>
      </c>
      <c r="N486">
        <v>88461.593999999997</v>
      </c>
      <c r="O486">
        <v>9.8702607597145487E-3</v>
      </c>
      <c r="P486">
        <v>1.22</v>
      </c>
    </row>
    <row r="487" spans="1:19" x14ac:dyDescent="0.25">
      <c r="A487" t="s">
        <v>112</v>
      </c>
      <c r="F487">
        <v>0.44180555555555556</v>
      </c>
      <c r="G487" t="s">
        <v>227</v>
      </c>
      <c r="H487">
        <v>0</v>
      </c>
      <c r="I487">
        <v>0.85</v>
      </c>
      <c r="J487" t="s">
        <v>228</v>
      </c>
      <c r="K487" t="s">
        <v>27</v>
      </c>
      <c r="L487">
        <v>1095.6659999999999</v>
      </c>
      <c r="M487">
        <v>1</v>
      </c>
      <c r="N487">
        <v>96436.241999999998</v>
      </c>
      <c r="O487">
        <v>1.1361558448119535E-2</v>
      </c>
      <c r="P487">
        <v>1.22</v>
      </c>
    </row>
    <row r="488" spans="1:19" x14ac:dyDescent="0.25">
      <c r="A488" s="2" t="s">
        <v>113</v>
      </c>
      <c r="B488" s="2"/>
      <c r="C488" s="2"/>
      <c r="D488" s="2"/>
      <c r="E488" s="2"/>
      <c r="F488" s="2">
        <v>0.44377314814814817</v>
      </c>
      <c r="G488" s="2" t="s">
        <v>227</v>
      </c>
      <c r="H488" s="2">
        <v>0</v>
      </c>
      <c r="I488" s="2">
        <v>0.85</v>
      </c>
      <c r="J488" s="2" t="s">
        <v>228</v>
      </c>
      <c r="K488" s="2" t="s">
        <v>27</v>
      </c>
      <c r="L488" s="2">
        <v>279445.65600000002</v>
      </c>
      <c r="M488" s="2">
        <v>1</v>
      </c>
      <c r="N488" s="2">
        <v>86018.039000000004</v>
      </c>
      <c r="O488" s="2">
        <v>3.2486866621081654</v>
      </c>
      <c r="P488" s="2">
        <v>1.22</v>
      </c>
      <c r="Q488" s="2"/>
      <c r="R488" s="2"/>
      <c r="S488" s="2"/>
    </row>
    <row r="489" spans="1:19" x14ac:dyDescent="0.25">
      <c r="A489" s="2" t="s">
        <v>114</v>
      </c>
      <c r="B489" s="2"/>
      <c r="C489" s="2"/>
      <c r="D489" s="2"/>
      <c r="E489" s="2"/>
      <c r="F489" s="2">
        <v>0.44574074074074077</v>
      </c>
      <c r="G489" s="2" t="s">
        <v>227</v>
      </c>
      <c r="H489" s="2">
        <v>0</v>
      </c>
      <c r="I489" s="2">
        <v>0.85</v>
      </c>
      <c r="J489" s="2" t="s">
        <v>228</v>
      </c>
      <c r="K489" s="2" t="s">
        <v>27</v>
      </c>
      <c r="L489" s="2">
        <v>293258.18800000002</v>
      </c>
      <c r="M489" s="2">
        <v>1</v>
      </c>
      <c r="N489" s="2">
        <v>85403.312999999995</v>
      </c>
      <c r="O489" s="2">
        <v>3.4338034169704872</v>
      </c>
      <c r="P489" s="2">
        <v>1.22</v>
      </c>
      <c r="Q489" s="2"/>
      <c r="R489" s="2"/>
      <c r="S489" s="2"/>
    </row>
    <row r="490" spans="1:19" x14ac:dyDescent="0.25">
      <c r="A490" t="s">
        <v>115</v>
      </c>
      <c r="F490">
        <v>0.44769675925925928</v>
      </c>
      <c r="G490" t="s">
        <v>227</v>
      </c>
      <c r="H490">
        <v>0</v>
      </c>
      <c r="I490">
        <v>0.85</v>
      </c>
      <c r="J490" t="s">
        <v>228</v>
      </c>
      <c r="K490" t="s">
        <v>27</v>
      </c>
      <c r="L490">
        <v>1098.1420000000001</v>
      </c>
      <c r="M490">
        <v>1</v>
      </c>
      <c r="N490">
        <v>90109.843999999997</v>
      </c>
      <c r="O490">
        <v>1.2186704040903678E-2</v>
      </c>
      <c r="P490">
        <v>1.22</v>
      </c>
    </row>
    <row r="491" spans="1:19" x14ac:dyDescent="0.25">
      <c r="A491" t="s">
        <v>116</v>
      </c>
      <c r="F491">
        <v>0.44966435185185188</v>
      </c>
      <c r="G491" t="s">
        <v>227</v>
      </c>
      <c r="H491">
        <v>0</v>
      </c>
      <c r="I491">
        <v>0.85</v>
      </c>
      <c r="J491" t="s">
        <v>228</v>
      </c>
      <c r="K491" t="s">
        <v>27</v>
      </c>
      <c r="L491">
        <v>904.36699999999996</v>
      </c>
      <c r="M491">
        <v>1</v>
      </c>
      <c r="N491">
        <v>88435.773000000001</v>
      </c>
      <c r="O491">
        <v>1.022625764802214E-2</v>
      </c>
      <c r="P491">
        <v>1.22</v>
      </c>
    </row>
    <row r="492" spans="1:19" x14ac:dyDescent="0.25">
      <c r="A492" t="s">
        <v>117</v>
      </c>
      <c r="F492">
        <v>0.45163194444444449</v>
      </c>
      <c r="G492" t="s">
        <v>227</v>
      </c>
      <c r="H492">
        <v>0</v>
      </c>
      <c r="I492">
        <v>0.85</v>
      </c>
      <c r="J492" t="s">
        <v>228</v>
      </c>
      <c r="K492" t="s">
        <v>27</v>
      </c>
      <c r="L492">
        <v>1324.846</v>
      </c>
      <c r="M492">
        <v>1</v>
      </c>
      <c r="N492">
        <v>84868.437999999995</v>
      </c>
      <c r="O492">
        <v>1.5610585409855193E-2</v>
      </c>
      <c r="P492">
        <v>1.22</v>
      </c>
    </row>
    <row r="493" spans="1:19" x14ac:dyDescent="0.25">
      <c r="A493" t="s">
        <v>118</v>
      </c>
      <c r="F493">
        <v>0.45359953703703698</v>
      </c>
      <c r="G493" t="s">
        <v>227</v>
      </c>
      <c r="H493">
        <v>0</v>
      </c>
      <c r="I493">
        <v>0.86</v>
      </c>
      <c r="J493" t="s">
        <v>228</v>
      </c>
      <c r="K493" t="s">
        <v>27</v>
      </c>
      <c r="L493">
        <v>1417.0260000000001</v>
      </c>
      <c r="M493">
        <v>1</v>
      </c>
      <c r="N493">
        <v>85751.210999999996</v>
      </c>
      <c r="O493">
        <v>1.6524851176737319E-2</v>
      </c>
      <c r="P493">
        <v>1.21</v>
      </c>
    </row>
    <row r="494" spans="1:19" x14ac:dyDescent="0.25">
      <c r="A494" t="s">
        <v>119</v>
      </c>
      <c r="F494">
        <v>0.45555555555555555</v>
      </c>
      <c r="G494" t="s">
        <v>227</v>
      </c>
      <c r="H494">
        <v>0</v>
      </c>
      <c r="I494">
        <v>0.85</v>
      </c>
      <c r="J494" t="s">
        <v>228</v>
      </c>
      <c r="K494" t="s">
        <v>27</v>
      </c>
      <c r="L494">
        <v>936.22799999999995</v>
      </c>
      <c r="M494">
        <v>1</v>
      </c>
      <c r="N494">
        <v>86068.866999999998</v>
      </c>
      <c r="O494">
        <v>1.087766148937455E-2</v>
      </c>
      <c r="P494">
        <v>1.22</v>
      </c>
    </row>
    <row r="495" spans="1:19" x14ac:dyDescent="0.25">
      <c r="A495" t="s">
        <v>120</v>
      </c>
      <c r="F495">
        <v>0.45753472222222219</v>
      </c>
      <c r="G495" t="s">
        <v>227</v>
      </c>
      <c r="H495">
        <v>0</v>
      </c>
      <c r="I495">
        <v>0.85</v>
      </c>
      <c r="J495" t="s">
        <v>228</v>
      </c>
      <c r="K495" t="s">
        <v>27</v>
      </c>
      <c r="L495">
        <v>792.10400000000004</v>
      </c>
      <c r="M495">
        <v>1</v>
      </c>
      <c r="N495">
        <v>86854.266000000003</v>
      </c>
      <c r="O495">
        <v>9.1199204884190727E-3</v>
      </c>
      <c r="P495">
        <v>1.22</v>
      </c>
    </row>
    <row r="496" spans="1:19" x14ac:dyDescent="0.25">
      <c r="A496" t="s">
        <v>121</v>
      </c>
      <c r="F496">
        <v>0.45950231481481479</v>
      </c>
      <c r="G496" t="s">
        <v>227</v>
      </c>
      <c r="H496">
        <v>0</v>
      </c>
      <c r="I496">
        <v>0.86</v>
      </c>
      <c r="J496" t="s">
        <v>228</v>
      </c>
      <c r="K496" t="s">
        <v>27</v>
      </c>
      <c r="L496">
        <v>613.87800000000004</v>
      </c>
      <c r="M496">
        <v>1</v>
      </c>
      <c r="N496">
        <v>83449.437999999995</v>
      </c>
      <c r="O496">
        <v>7.3562868092652712E-3</v>
      </c>
      <c r="P496">
        <v>1.23</v>
      </c>
    </row>
    <row r="497" spans="1:16" x14ac:dyDescent="0.25">
      <c r="A497" t="s">
        <v>122</v>
      </c>
      <c r="F497">
        <v>0.4614583333333333</v>
      </c>
      <c r="G497" t="s">
        <v>227</v>
      </c>
      <c r="H497">
        <v>0</v>
      </c>
      <c r="I497">
        <v>0.85</v>
      </c>
      <c r="J497" t="s">
        <v>228</v>
      </c>
      <c r="K497" t="s">
        <v>27</v>
      </c>
      <c r="L497">
        <v>684.678</v>
      </c>
      <c r="M497">
        <v>1</v>
      </c>
      <c r="N497">
        <v>84800.164000000004</v>
      </c>
      <c r="O497">
        <v>8.0740174040229446E-3</v>
      </c>
      <c r="P497">
        <v>1.22</v>
      </c>
    </row>
    <row r="498" spans="1:16" x14ac:dyDescent="0.25">
      <c r="A498" t="s">
        <v>123</v>
      </c>
      <c r="F498">
        <v>0.46342592592592591</v>
      </c>
      <c r="G498" t="s">
        <v>227</v>
      </c>
      <c r="H498">
        <v>0</v>
      </c>
      <c r="I498">
        <v>0.85</v>
      </c>
      <c r="J498" t="s">
        <v>228</v>
      </c>
      <c r="K498" t="s">
        <v>27</v>
      </c>
      <c r="L498">
        <v>442.863</v>
      </c>
      <c r="M498">
        <v>1</v>
      </c>
      <c r="N498">
        <v>48.820999999999998</v>
      </c>
      <c r="O498">
        <v>9.071157903361259</v>
      </c>
      <c r="P498">
        <v>1.22</v>
      </c>
    </row>
    <row r="499" spans="1:16" x14ac:dyDescent="0.25">
      <c r="A499" t="s">
        <v>124</v>
      </c>
      <c r="F499">
        <v>0.46538194444444447</v>
      </c>
      <c r="G499" t="s">
        <v>227</v>
      </c>
      <c r="H499">
        <v>0</v>
      </c>
      <c r="I499">
        <v>0.85</v>
      </c>
      <c r="J499" t="s">
        <v>228</v>
      </c>
      <c r="K499" t="s">
        <v>27</v>
      </c>
      <c r="L499">
        <v>462.18099999999998</v>
      </c>
      <c r="M499">
        <v>1</v>
      </c>
      <c r="N499">
        <v>108.077</v>
      </c>
      <c r="O499">
        <v>4.2764047854770206</v>
      </c>
      <c r="P499">
        <v>1.23</v>
      </c>
    </row>
    <row r="500" spans="1:16" x14ac:dyDescent="0.25">
      <c r="A500" t="s">
        <v>125</v>
      </c>
      <c r="F500">
        <v>0.46722222222222221</v>
      </c>
      <c r="G500" t="s">
        <v>227</v>
      </c>
      <c r="H500">
        <v>0</v>
      </c>
      <c r="I500">
        <v>0.85</v>
      </c>
      <c r="J500" t="s">
        <v>228</v>
      </c>
      <c r="K500" t="s">
        <v>27</v>
      </c>
      <c r="L500">
        <v>653.83600000000001</v>
      </c>
      <c r="M500">
        <v>1</v>
      </c>
      <c r="N500">
        <v>83808.866999999998</v>
      </c>
      <c r="O500">
        <v>7.8015134126559671E-3</v>
      </c>
      <c r="P500">
        <v>1.22</v>
      </c>
    </row>
    <row r="501" spans="1:16" x14ac:dyDescent="0.25">
      <c r="A501" t="s">
        <v>126</v>
      </c>
      <c r="F501">
        <v>0.46921296296296294</v>
      </c>
      <c r="G501" t="s">
        <v>227</v>
      </c>
      <c r="H501">
        <v>0</v>
      </c>
      <c r="I501">
        <v>0.85</v>
      </c>
      <c r="J501" t="s">
        <v>228</v>
      </c>
      <c r="K501" t="s">
        <v>27</v>
      </c>
      <c r="L501">
        <v>711.053</v>
      </c>
      <c r="M501">
        <v>1</v>
      </c>
      <c r="N501">
        <v>85237.375</v>
      </c>
      <c r="O501">
        <v>8.3420330576815631E-3</v>
      </c>
      <c r="P501">
        <v>1.22</v>
      </c>
    </row>
    <row r="502" spans="1:16" x14ac:dyDescent="0.25">
      <c r="A502" t="s">
        <v>127</v>
      </c>
      <c r="F502">
        <v>0.47106481481481483</v>
      </c>
      <c r="G502" t="s">
        <v>227</v>
      </c>
      <c r="H502">
        <v>0</v>
      </c>
      <c r="I502">
        <v>0.85</v>
      </c>
      <c r="J502" t="s">
        <v>228</v>
      </c>
      <c r="K502" t="s">
        <v>27</v>
      </c>
      <c r="L502">
        <v>646.67999999999995</v>
      </c>
      <c r="M502">
        <v>1</v>
      </c>
      <c r="N502">
        <v>85078.641000000003</v>
      </c>
      <c r="O502">
        <v>7.6009676741310419E-3</v>
      </c>
      <c r="P502">
        <v>1.22</v>
      </c>
    </row>
    <row r="503" spans="1:16" x14ac:dyDescent="0.25">
      <c r="A503" t="s">
        <v>128</v>
      </c>
      <c r="F503">
        <v>0.47292824074074075</v>
      </c>
      <c r="G503" t="s">
        <v>227</v>
      </c>
      <c r="H503">
        <v>0</v>
      </c>
      <c r="I503">
        <v>0.85</v>
      </c>
      <c r="J503" t="s">
        <v>228</v>
      </c>
      <c r="K503" t="s">
        <v>27</v>
      </c>
      <c r="L503">
        <v>551.07899999999995</v>
      </c>
      <c r="M503">
        <v>1</v>
      </c>
      <c r="N503">
        <v>85329.452999999994</v>
      </c>
      <c r="O503">
        <v>6.4582507050642878E-3</v>
      </c>
      <c r="P503">
        <v>1.23</v>
      </c>
    </row>
    <row r="504" spans="1:16" x14ac:dyDescent="0.25">
      <c r="A504" t="s">
        <v>129</v>
      </c>
      <c r="F504">
        <v>0.47480324074074076</v>
      </c>
      <c r="G504" t="s">
        <v>227</v>
      </c>
      <c r="H504">
        <v>0</v>
      </c>
      <c r="I504">
        <v>0.85</v>
      </c>
      <c r="J504" t="s">
        <v>228</v>
      </c>
      <c r="K504" t="s">
        <v>27</v>
      </c>
      <c r="L504">
        <v>663.96100000000001</v>
      </c>
      <c r="M504">
        <v>1</v>
      </c>
      <c r="N504">
        <v>90051.664000000004</v>
      </c>
      <c r="O504">
        <v>7.3731119504909983E-3</v>
      </c>
      <c r="P504">
        <v>1.23</v>
      </c>
    </row>
    <row r="505" spans="1:16" x14ac:dyDescent="0.25">
      <c r="A505" t="s">
        <v>130</v>
      </c>
      <c r="F505">
        <v>0.47667824074074078</v>
      </c>
      <c r="G505" t="s">
        <v>227</v>
      </c>
      <c r="H505">
        <v>0</v>
      </c>
      <c r="I505">
        <v>0.85</v>
      </c>
      <c r="J505" t="s">
        <v>228</v>
      </c>
      <c r="K505" t="s">
        <v>27</v>
      </c>
      <c r="L505">
        <v>852.17600000000004</v>
      </c>
      <c r="M505">
        <v>1</v>
      </c>
      <c r="N505">
        <v>85405.758000000002</v>
      </c>
      <c r="O505">
        <v>9.9779689327269949E-3</v>
      </c>
      <c r="P505">
        <v>1.22</v>
      </c>
    </row>
    <row r="506" spans="1:16" x14ac:dyDescent="0.25">
      <c r="A506" t="s">
        <v>131</v>
      </c>
      <c r="F506">
        <v>0.47855324074074074</v>
      </c>
      <c r="G506" t="s">
        <v>227</v>
      </c>
      <c r="H506">
        <v>0</v>
      </c>
      <c r="I506">
        <v>0.85</v>
      </c>
      <c r="J506" t="s">
        <v>228</v>
      </c>
      <c r="K506" t="s">
        <v>27</v>
      </c>
      <c r="L506">
        <v>603.52300000000002</v>
      </c>
      <c r="M506">
        <v>1</v>
      </c>
      <c r="N506">
        <v>83086.016000000003</v>
      </c>
      <c r="O506">
        <v>7.2638336636576721E-3</v>
      </c>
      <c r="P506">
        <v>1.22</v>
      </c>
    </row>
    <row r="507" spans="1:16" x14ac:dyDescent="0.25">
      <c r="A507" t="s">
        <v>132</v>
      </c>
      <c r="F507">
        <v>0.48041666666666666</v>
      </c>
      <c r="G507" t="s">
        <v>227</v>
      </c>
      <c r="H507">
        <v>0</v>
      </c>
      <c r="I507">
        <v>0.86</v>
      </c>
      <c r="J507" t="s">
        <v>228</v>
      </c>
      <c r="K507" t="s">
        <v>27</v>
      </c>
      <c r="L507">
        <v>645.66</v>
      </c>
      <c r="M507">
        <v>1</v>
      </c>
      <c r="N507">
        <v>83014.070000000007</v>
      </c>
      <c r="O507">
        <v>7.7777176808702421E-3</v>
      </c>
      <c r="P507">
        <v>1.23</v>
      </c>
    </row>
    <row r="508" spans="1:16" x14ac:dyDescent="0.25">
      <c r="A508" t="s">
        <v>133</v>
      </c>
      <c r="F508">
        <v>0.48230324074074077</v>
      </c>
      <c r="G508" t="s">
        <v>227</v>
      </c>
      <c r="H508">
        <v>0</v>
      </c>
      <c r="I508">
        <v>0.86</v>
      </c>
      <c r="J508" t="s">
        <v>228</v>
      </c>
      <c r="K508" t="s">
        <v>27</v>
      </c>
      <c r="L508">
        <v>470.41800000000001</v>
      </c>
      <c r="M508">
        <v>1</v>
      </c>
      <c r="N508">
        <v>82167.266000000003</v>
      </c>
      <c r="O508">
        <v>5.7251265972510269E-3</v>
      </c>
      <c r="P508">
        <v>1.23</v>
      </c>
    </row>
    <row r="509" spans="1:16" x14ac:dyDescent="0.25">
      <c r="A509" t="s">
        <v>134</v>
      </c>
      <c r="F509">
        <v>0.4841550925925926</v>
      </c>
      <c r="G509" t="s">
        <v>227</v>
      </c>
      <c r="H509">
        <v>0</v>
      </c>
      <c r="I509">
        <v>0.85</v>
      </c>
      <c r="J509" t="s">
        <v>228</v>
      </c>
      <c r="K509" t="s">
        <v>27</v>
      </c>
      <c r="L509">
        <v>733.06799999999998</v>
      </c>
      <c r="M509">
        <v>1</v>
      </c>
      <c r="N509">
        <v>83417.883000000002</v>
      </c>
      <c r="O509">
        <v>8.7878998319820701E-3</v>
      </c>
      <c r="P509">
        <v>1.23</v>
      </c>
    </row>
    <row r="510" spans="1:16" x14ac:dyDescent="0.25">
      <c r="A510" t="s">
        <v>135</v>
      </c>
      <c r="F510">
        <v>0.48603009259259261</v>
      </c>
      <c r="G510" t="s">
        <v>227</v>
      </c>
      <c r="H510">
        <v>0</v>
      </c>
      <c r="I510">
        <v>0.85</v>
      </c>
      <c r="J510" t="s">
        <v>228</v>
      </c>
      <c r="K510" t="s">
        <v>27</v>
      </c>
      <c r="L510">
        <v>690.94899999999996</v>
      </c>
      <c r="M510">
        <v>1</v>
      </c>
      <c r="N510">
        <v>84251.233999999997</v>
      </c>
      <c r="O510">
        <v>8.2010549542811447E-3</v>
      </c>
      <c r="P510">
        <v>1.22</v>
      </c>
    </row>
    <row r="511" spans="1:16" x14ac:dyDescent="0.25">
      <c r="A511" t="s">
        <v>136</v>
      </c>
      <c r="F511">
        <v>0.48789351851851853</v>
      </c>
      <c r="G511" t="s">
        <v>227</v>
      </c>
      <c r="H511">
        <v>0</v>
      </c>
      <c r="I511">
        <v>0.85</v>
      </c>
      <c r="J511" t="s">
        <v>228</v>
      </c>
      <c r="K511" t="s">
        <v>27</v>
      </c>
      <c r="L511">
        <v>665.09</v>
      </c>
      <c r="M511">
        <v>1</v>
      </c>
      <c r="N511">
        <v>85308.608999999997</v>
      </c>
      <c r="O511">
        <v>7.7962823189392299E-3</v>
      </c>
      <c r="P511">
        <v>1.22</v>
      </c>
    </row>
    <row r="512" spans="1:16" x14ac:dyDescent="0.25">
      <c r="A512" t="s">
        <v>137</v>
      </c>
      <c r="F512">
        <v>0.48976851851851855</v>
      </c>
      <c r="G512" t="s">
        <v>227</v>
      </c>
      <c r="H512">
        <v>0</v>
      </c>
      <c r="I512">
        <v>0.85</v>
      </c>
      <c r="J512" t="s">
        <v>228</v>
      </c>
      <c r="K512" t="s">
        <v>27</v>
      </c>
      <c r="L512">
        <v>642.40499999999997</v>
      </c>
      <c r="M512">
        <v>1</v>
      </c>
      <c r="N512">
        <v>84172.116999999998</v>
      </c>
      <c r="O512">
        <v>7.6320404297304297E-3</v>
      </c>
      <c r="P512">
        <v>1.22</v>
      </c>
    </row>
    <row r="513" spans="1:19" x14ac:dyDescent="0.25">
      <c r="A513" t="s">
        <v>138</v>
      </c>
      <c r="F513">
        <v>0.49164351851851856</v>
      </c>
      <c r="G513" t="s">
        <v>227</v>
      </c>
      <c r="H513">
        <v>0</v>
      </c>
      <c r="I513">
        <v>0.85</v>
      </c>
      <c r="J513" t="s">
        <v>228</v>
      </c>
      <c r="K513" t="s">
        <v>27</v>
      </c>
      <c r="L513">
        <v>730.94</v>
      </c>
      <c r="M513">
        <v>1</v>
      </c>
      <c r="N513">
        <v>82786.016000000003</v>
      </c>
      <c r="O513">
        <v>8.8292689431992959E-3</v>
      </c>
      <c r="P513">
        <v>1.22</v>
      </c>
    </row>
    <row r="514" spans="1:19" x14ac:dyDescent="0.25">
      <c r="A514" t="s">
        <v>139</v>
      </c>
      <c r="F514">
        <v>0.49353009259259256</v>
      </c>
      <c r="G514" t="s">
        <v>227</v>
      </c>
      <c r="H514">
        <v>0</v>
      </c>
      <c r="I514">
        <v>0.85</v>
      </c>
      <c r="J514" t="s">
        <v>228</v>
      </c>
      <c r="K514" t="s">
        <v>27</v>
      </c>
      <c r="L514">
        <v>842.56700000000001</v>
      </c>
      <c r="M514">
        <v>1</v>
      </c>
      <c r="N514">
        <v>84114.585999999996</v>
      </c>
      <c r="O514">
        <v>1.001689528615168E-2</v>
      </c>
      <c r="P514">
        <v>1.22</v>
      </c>
    </row>
    <row r="515" spans="1:19" x14ac:dyDescent="0.25">
      <c r="A515" t="s">
        <v>140</v>
      </c>
      <c r="F515">
        <v>0.49538194444444444</v>
      </c>
      <c r="G515" t="s">
        <v>227</v>
      </c>
      <c r="H515">
        <v>0</v>
      </c>
      <c r="I515">
        <v>0.85</v>
      </c>
      <c r="J515" t="s">
        <v>228</v>
      </c>
      <c r="K515" t="s">
        <v>27</v>
      </c>
      <c r="L515">
        <v>1514.828</v>
      </c>
      <c r="M515">
        <v>1</v>
      </c>
      <c r="N515">
        <v>82948.483999999997</v>
      </c>
      <c r="O515">
        <v>1.826227469087922E-2</v>
      </c>
      <c r="P515">
        <v>1.22</v>
      </c>
    </row>
    <row r="516" spans="1:19" x14ac:dyDescent="0.25">
      <c r="A516" t="s">
        <v>141</v>
      </c>
      <c r="F516">
        <v>0.49726851851851855</v>
      </c>
      <c r="G516" t="s">
        <v>227</v>
      </c>
      <c r="H516">
        <v>0</v>
      </c>
      <c r="I516">
        <v>0.85</v>
      </c>
      <c r="J516" t="s">
        <v>228</v>
      </c>
      <c r="K516" t="s">
        <v>27</v>
      </c>
      <c r="L516">
        <v>5380.5050000000001</v>
      </c>
      <c r="M516">
        <v>1</v>
      </c>
      <c r="N516">
        <v>84148.991999999998</v>
      </c>
      <c r="O516">
        <v>6.3940219272026463E-2</v>
      </c>
      <c r="P516">
        <v>1.22</v>
      </c>
    </row>
    <row r="517" spans="1:19" x14ac:dyDescent="0.25">
      <c r="A517" t="s">
        <v>142</v>
      </c>
      <c r="F517">
        <v>0.49912037037037038</v>
      </c>
      <c r="G517" t="s">
        <v>227</v>
      </c>
      <c r="H517">
        <v>0</v>
      </c>
      <c r="I517">
        <v>0.86</v>
      </c>
      <c r="J517" t="s">
        <v>228</v>
      </c>
      <c r="K517" t="s">
        <v>27</v>
      </c>
      <c r="L517">
        <v>8891.098</v>
      </c>
      <c r="M517">
        <v>1</v>
      </c>
      <c r="N517">
        <v>87653.937999999995</v>
      </c>
      <c r="O517">
        <v>0.10143409643500559</v>
      </c>
      <c r="P517">
        <v>1.22</v>
      </c>
    </row>
    <row r="518" spans="1:19" x14ac:dyDescent="0.25">
      <c r="A518" t="s">
        <v>143</v>
      </c>
      <c r="F518">
        <v>0.50100694444444438</v>
      </c>
      <c r="G518" t="s">
        <v>227</v>
      </c>
      <c r="H518">
        <v>0</v>
      </c>
      <c r="I518">
        <v>0.85</v>
      </c>
      <c r="J518" t="s">
        <v>228</v>
      </c>
      <c r="K518" t="s">
        <v>27</v>
      </c>
      <c r="L518">
        <v>991.03899999999999</v>
      </c>
      <c r="M518">
        <v>1</v>
      </c>
      <c r="N518">
        <v>87204.741999999998</v>
      </c>
      <c r="O518">
        <v>1.1364508136495605E-2</v>
      </c>
      <c r="P518">
        <v>1.22</v>
      </c>
    </row>
    <row r="519" spans="1:19" x14ac:dyDescent="0.25">
      <c r="A519" t="s">
        <v>144</v>
      </c>
      <c r="F519">
        <v>0.50298611111111113</v>
      </c>
      <c r="G519" t="s">
        <v>227</v>
      </c>
      <c r="H519">
        <v>0</v>
      </c>
      <c r="I519">
        <v>0.85</v>
      </c>
      <c r="J519" t="s">
        <v>228</v>
      </c>
      <c r="K519" t="s">
        <v>27</v>
      </c>
      <c r="L519">
        <v>4901.8140000000003</v>
      </c>
      <c r="M519">
        <v>1</v>
      </c>
      <c r="N519">
        <v>86631.726999999999</v>
      </c>
      <c r="O519">
        <v>5.6582203423002297E-2</v>
      </c>
      <c r="P519">
        <v>1.22</v>
      </c>
    </row>
    <row r="520" spans="1:19" x14ac:dyDescent="0.25">
      <c r="A520" s="2" t="s">
        <v>145</v>
      </c>
      <c r="B520" s="2"/>
      <c r="C520" s="2"/>
      <c r="D520" s="2"/>
      <c r="E520" s="2"/>
      <c r="F520" s="2">
        <v>0.50496527777777778</v>
      </c>
      <c r="G520" s="2" t="s">
        <v>227</v>
      </c>
      <c r="H520" s="2">
        <v>0</v>
      </c>
      <c r="I520" s="2">
        <v>0.85</v>
      </c>
      <c r="J520" s="2" t="s">
        <v>228</v>
      </c>
      <c r="K520" s="2" t="s">
        <v>27</v>
      </c>
      <c r="L520" s="2">
        <v>771456.93799999997</v>
      </c>
      <c r="M520" s="2">
        <v>1</v>
      </c>
      <c r="N520" s="2">
        <v>79832.25</v>
      </c>
      <c r="O520" s="2">
        <v>9.6634748237710948</v>
      </c>
      <c r="P520" s="2">
        <v>1.22</v>
      </c>
      <c r="Q520" s="2"/>
      <c r="R520" s="2"/>
      <c r="S520" s="2"/>
    </row>
    <row r="521" spans="1:19" x14ac:dyDescent="0.25">
      <c r="A521" s="2" t="s">
        <v>146</v>
      </c>
      <c r="B521" s="2"/>
      <c r="C521" s="2"/>
      <c r="D521" s="2"/>
      <c r="E521" s="2"/>
      <c r="F521" s="2">
        <v>0.50692129629629623</v>
      </c>
      <c r="G521" s="2" t="s">
        <v>227</v>
      </c>
      <c r="H521" s="2">
        <v>0</v>
      </c>
      <c r="I521" s="2">
        <v>0.85</v>
      </c>
      <c r="J521" s="2" t="s">
        <v>228</v>
      </c>
      <c r="K521" s="2" t="s">
        <v>27</v>
      </c>
      <c r="L521" s="2">
        <v>841617.25</v>
      </c>
      <c r="M521" s="2">
        <v>1</v>
      </c>
      <c r="N521" s="2">
        <v>86690.491999999998</v>
      </c>
      <c r="O521" s="2">
        <v>9.708299383051143</v>
      </c>
      <c r="P521" s="2">
        <v>1.22</v>
      </c>
      <c r="Q521" s="2"/>
      <c r="R521" s="2"/>
      <c r="S521" s="2"/>
    </row>
    <row r="522" spans="1:19" x14ac:dyDescent="0.25">
      <c r="A522" t="s">
        <v>147</v>
      </c>
      <c r="F522">
        <v>0.5088773148148148</v>
      </c>
      <c r="G522" t="s">
        <v>227</v>
      </c>
      <c r="H522">
        <v>0</v>
      </c>
      <c r="I522">
        <v>0.85</v>
      </c>
      <c r="J522" t="s">
        <v>228</v>
      </c>
      <c r="K522" t="s">
        <v>27</v>
      </c>
      <c r="L522">
        <v>2042.4949999999999</v>
      </c>
      <c r="M522">
        <v>1</v>
      </c>
      <c r="N522">
        <v>88469.531000000003</v>
      </c>
      <c r="O522">
        <v>2.308698799364043E-2</v>
      </c>
      <c r="P522">
        <v>1.22</v>
      </c>
    </row>
    <row r="523" spans="1:19" x14ac:dyDescent="0.25">
      <c r="A523" t="s">
        <v>148</v>
      </c>
      <c r="F523">
        <v>0.51083333333333336</v>
      </c>
      <c r="G523" t="s">
        <v>227</v>
      </c>
      <c r="H523">
        <v>0</v>
      </c>
      <c r="I523">
        <v>0.85</v>
      </c>
      <c r="J523" t="s">
        <v>228</v>
      </c>
      <c r="K523" t="s">
        <v>27</v>
      </c>
      <c r="L523">
        <v>2572.2919999999999</v>
      </c>
      <c r="M523">
        <v>1</v>
      </c>
      <c r="N523">
        <v>80173.179999999993</v>
      </c>
      <c r="O523">
        <v>3.2084195737277728E-2</v>
      </c>
      <c r="P523">
        <v>1.22</v>
      </c>
    </row>
    <row r="524" spans="1:19" x14ac:dyDescent="0.25">
      <c r="A524" t="s">
        <v>149</v>
      </c>
      <c r="F524">
        <v>0.5128125</v>
      </c>
      <c r="G524" t="s">
        <v>227</v>
      </c>
      <c r="H524">
        <v>0</v>
      </c>
      <c r="I524">
        <v>0.85</v>
      </c>
      <c r="J524" t="s">
        <v>228</v>
      </c>
      <c r="K524" t="s">
        <v>27</v>
      </c>
      <c r="L524">
        <v>7145.9390000000003</v>
      </c>
      <c r="M524">
        <v>1</v>
      </c>
      <c r="N524">
        <v>84536.241999999998</v>
      </c>
      <c r="O524">
        <v>8.4531070117831827E-2</v>
      </c>
      <c r="P524">
        <v>1.22</v>
      </c>
    </row>
    <row r="525" spans="1:19" x14ac:dyDescent="0.25">
      <c r="A525" t="s">
        <v>150</v>
      </c>
      <c r="F525">
        <v>0.51466435185185189</v>
      </c>
      <c r="G525" t="s">
        <v>227</v>
      </c>
      <c r="H525">
        <v>0</v>
      </c>
      <c r="I525">
        <v>0.85</v>
      </c>
      <c r="J525" t="s">
        <v>228</v>
      </c>
      <c r="K525" t="s">
        <v>27</v>
      </c>
      <c r="L525">
        <v>7721.9650000000001</v>
      </c>
      <c r="M525">
        <v>1</v>
      </c>
      <c r="N525">
        <v>87388.93</v>
      </c>
      <c r="O525">
        <v>8.8363194285592014E-2</v>
      </c>
      <c r="P525">
        <v>1.22</v>
      </c>
    </row>
    <row r="526" spans="1:19" x14ac:dyDescent="0.25">
      <c r="A526" t="s">
        <v>151</v>
      </c>
      <c r="F526">
        <v>0.51653935185185185</v>
      </c>
      <c r="G526" t="s">
        <v>227</v>
      </c>
      <c r="H526">
        <v>0</v>
      </c>
      <c r="I526">
        <v>0.85</v>
      </c>
      <c r="J526" t="s">
        <v>228</v>
      </c>
      <c r="K526" t="s">
        <v>27</v>
      </c>
      <c r="L526">
        <v>584.23</v>
      </c>
      <c r="M526">
        <v>1</v>
      </c>
      <c r="N526">
        <v>87142.672000000006</v>
      </c>
      <c r="O526">
        <v>6.70429293239941E-3</v>
      </c>
      <c r="P526">
        <v>1.23</v>
      </c>
    </row>
    <row r="527" spans="1:19" x14ac:dyDescent="0.25">
      <c r="A527" t="s">
        <v>152</v>
      </c>
      <c r="F527">
        <v>0.51849537037037041</v>
      </c>
      <c r="G527" t="s">
        <v>227</v>
      </c>
      <c r="H527">
        <v>0</v>
      </c>
      <c r="I527">
        <v>0.85</v>
      </c>
      <c r="J527" t="s">
        <v>228</v>
      </c>
      <c r="K527" t="s">
        <v>27</v>
      </c>
      <c r="L527">
        <v>1338.85</v>
      </c>
      <c r="M527">
        <v>1</v>
      </c>
      <c r="N527">
        <v>87144.093999999997</v>
      </c>
      <c r="O527">
        <v>1.5363634396153111E-2</v>
      </c>
      <c r="P527">
        <v>1.22</v>
      </c>
    </row>
    <row r="528" spans="1:19" x14ac:dyDescent="0.25">
      <c r="A528" t="s">
        <v>153</v>
      </c>
      <c r="F528">
        <v>0.52037037037037037</v>
      </c>
      <c r="G528" t="s">
        <v>227</v>
      </c>
      <c r="H528">
        <v>0</v>
      </c>
      <c r="I528">
        <v>0.85</v>
      </c>
      <c r="J528" t="s">
        <v>228</v>
      </c>
      <c r="K528" t="s">
        <v>27</v>
      </c>
      <c r="L528">
        <v>633.33000000000004</v>
      </c>
      <c r="M528">
        <v>1</v>
      </c>
      <c r="N528">
        <v>86344.483999999997</v>
      </c>
      <c r="O528">
        <v>7.3349213598867535E-3</v>
      </c>
      <c r="P528">
        <v>1.22</v>
      </c>
    </row>
    <row r="529" spans="1:16" x14ac:dyDescent="0.25">
      <c r="A529" t="s">
        <v>154</v>
      </c>
      <c r="F529">
        <v>0.52223379629629629</v>
      </c>
      <c r="G529" t="s">
        <v>227</v>
      </c>
      <c r="H529">
        <v>0</v>
      </c>
      <c r="I529">
        <v>0.85</v>
      </c>
      <c r="J529" t="s">
        <v>228</v>
      </c>
      <c r="K529" t="s">
        <v>27</v>
      </c>
      <c r="L529">
        <v>1200.5219999999999</v>
      </c>
      <c r="M529">
        <v>1</v>
      </c>
      <c r="N529">
        <v>86244.25</v>
      </c>
      <c r="O529">
        <v>1.392002365375083E-2</v>
      </c>
      <c r="P529">
        <v>1.22</v>
      </c>
    </row>
    <row r="530" spans="1:16" x14ac:dyDescent="0.25">
      <c r="A530" t="s">
        <v>155</v>
      </c>
      <c r="F530">
        <v>0.52409722222222221</v>
      </c>
      <c r="G530" t="s">
        <v>227</v>
      </c>
      <c r="H530">
        <v>0</v>
      </c>
      <c r="I530">
        <v>0.85</v>
      </c>
      <c r="J530" t="s">
        <v>228</v>
      </c>
      <c r="K530" t="s">
        <v>27</v>
      </c>
      <c r="L530">
        <v>580.85900000000004</v>
      </c>
      <c r="M530">
        <v>1</v>
      </c>
      <c r="N530">
        <v>93.081999999999994</v>
      </c>
      <c r="O530">
        <v>6.2402935046518131</v>
      </c>
      <c r="P530">
        <v>1.23</v>
      </c>
    </row>
    <row r="531" spans="1:16" x14ac:dyDescent="0.25">
      <c r="A531" t="s">
        <v>156</v>
      </c>
      <c r="F531">
        <v>0.52598379629629632</v>
      </c>
      <c r="G531" t="s">
        <v>227</v>
      </c>
      <c r="H531">
        <v>0</v>
      </c>
      <c r="I531">
        <v>0.86</v>
      </c>
      <c r="J531" t="s">
        <v>228</v>
      </c>
      <c r="K531" t="s">
        <v>27</v>
      </c>
      <c r="L531">
        <v>445.48500000000001</v>
      </c>
      <c r="M531">
        <v>1</v>
      </c>
      <c r="N531">
        <v>106.667</v>
      </c>
      <c r="O531">
        <v>4.1764088237224257</v>
      </c>
      <c r="P531">
        <v>1.22</v>
      </c>
    </row>
    <row r="532" spans="1:16" x14ac:dyDescent="0.25">
      <c r="A532" t="s">
        <v>157</v>
      </c>
      <c r="F532">
        <v>0.52795138888888882</v>
      </c>
      <c r="G532" t="s">
        <v>227</v>
      </c>
      <c r="H532">
        <v>0</v>
      </c>
      <c r="I532">
        <v>0.86</v>
      </c>
      <c r="J532" t="s">
        <v>228</v>
      </c>
      <c r="K532" t="s">
        <v>27</v>
      </c>
      <c r="L532">
        <v>550.70600000000002</v>
      </c>
      <c r="M532">
        <v>1</v>
      </c>
      <c r="N532">
        <v>77598.648000000001</v>
      </c>
      <c r="O532">
        <v>7.0968504502810408E-3</v>
      </c>
      <c r="P532">
        <v>1.23</v>
      </c>
    </row>
    <row r="533" spans="1:16" x14ac:dyDescent="0.25">
      <c r="A533" t="s">
        <v>158</v>
      </c>
      <c r="F533">
        <v>0.52990740740740738</v>
      </c>
      <c r="G533" t="s">
        <v>227</v>
      </c>
      <c r="H533">
        <v>0</v>
      </c>
      <c r="I533">
        <v>0.85</v>
      </c>
      <c r="J533" t="s">
        <v>228</v>
      </c>
      <c r="K533" t="s">
        <v>27</v>
      </c>
      <c r="L533">
        <v>450.98700000000002</v>
      </c>
      <c r="M533">
        <v>1</v>
      </c>
      <c r="N533">
        <v>76582.883000000002</v>
      </c>
      <c r="O533">
        <v>5.8888746719028585E-3</v>
      </c>
      <c r="P533">
        <v>1.23</v>
      </c>
    </row>
    <row r="534" spans="1:16" x14ac:dyDescent="0.25">
      <c r="A534" t="s">
        <v>159</v>
      </c>
      <c r="F534">
        <v>0.5317708333333333</v>
      </c>
      <c r="G534" t="s">
        <v>227</v>
      </c>
      <c r="H534">
        <v>0</v>
      </c>
      <c r="I534">
        <v>0.85</v>
      </c>
      <c r="J534" t="s">
        <v>228</v>
      </c>
      <c r="K534" t="s">
        <v>27</v>
      </c>
      <c r="L534">
        <v>399.59399999999999</v>
      </c>
      <c r="M534">
        <v>1</v>
      </c>
      <c r="N534">
        <v>81240.422000000006</v>
      </c>
      <c r="O534">
        <v>4.9186598267547156E-3</v>
      </c>
      <c r="P534">
        <v>1.23</v>
      </c>
    </row>
    <row r="535" spans="1:16" x14ac:dyDescent="0.25">
      <c r="A535" t="s">
        <v>160</v>
      </c>
      <c r="F535">
        <v>0.53363425925925922</v>
      </c>
      <c r="G535" t="s">
        <v>227</v>
      </c>
      <c r="H535">
        <v>0</v>
      </c>
      <c r="I535">
        <v>0.85</v>
      </c>
      <c r="J535" t="s">
        <v>228</v>
      </c>
      <c r="K535" t="s">
        <v>27</v>
      </c>
      <c r="L535">
        <v>433.428</v>
      </c>
      <c r="M535">
        <v>1</v>
      </c>
      <c r="N535">
        <v>79723.312999999995</v>
      </c>
      <c r="O535">
        <v>5.4366531405938938E-3</v>
      </c>
      <c r="P535">
        <v>1.23</v>
      </c>
    </row>
    <row r="536" spans="1:16" x14ac:dyDescent="0.25">
      <c r="A536" t="s">
        <v>161</v>
      </c>
      <c r="F536">
        <v>0.5355092592592593</v>
      </c>
      <c r="G536" t="s">
        <v>227</v>
      </c>
      <c r="H536">
        <v>0</v>
      </c>
      <c r="I536">
        <v>0.85</v>
      </c>
      <c r="J536" t="s">
        <v>228</v>
      </c>
      <c r="K536" t="s">
        <v>27</v>
      </c>
      <c r="L536">
        <v>473.15499999999997</v>
      </c>
      <c r="M536">
        <v>1</v>
      </c>
      <c r="N536">
        <v>82403.797000000006</v>
      </c>
      <c r="O536">
        <v>5.7419077424308487E-3</v>
      </c>
      <c r="P536">
        <v>1.23</v>
      </c>
    </row>
    <row r="537" spans="1:16" x14ac:dyDescent="0.25">
      <c r="A537" t="s">
        <v>162</v>
      </c>
      <c r="F537">
        <v>0.53738425925925926</v>
      </c>
      <c r="G537" t="s">
        <v>227</v>
      </c>
      <c r="H537">
        <v>0</v>
      </c>
      <c r="I537">
        <v>0.86</v>
      </c>
      <c r="J537" t="s">
        <v>228</v>
      </c>
      <c r="K537" t="s">
        <v>27</v>
      </c>
      <c r="L537">
        <v>472.75599999999997</v>
      </c>
      <c r="M537">
        <v>1</v>
      </c>
      <c r="N537">
        <v>77816.023000000001</v>
      </c>
      <c r="O537">
        <v>6.0753040540249652E-3</v>
      </c>
      <c r="P537">
        <v>1.23</v>
      </c>
    </row>
    <row r="538" spans="1:16" x14ac:dyDescent="0.25">
      <c r="A538" t="s">
        <v>163</v>
      </c>
      <c r="F538">
        <v>0.53924768518518518</v>
      </c>
      <c r="G538" t="s">
        <v>227</v>
      </c>
      <c r="H538">
        <v>0</v>
      </c>
      <c r="I538">
        <v>0.85</v>
      </c>
      <c r="J538" t="s">
        <v>228</v>
      </c>
      <c r="K538" t="s">
        <v>27</v>
      </c>
      <c r="L538">
        <v>670.08900000000006</v>
      </c>
      <c r="M538">
        <v>1</v>
      </c>
      <c r="N538">
        <v>82569.054999999993</v>
      </c>
      <c r="O538">
        <v>8.11549799134797E-3</v>
      </c>
      <c r="P538">
        <v>1.23</v>
      </c>
    </row>
    <row r="539" spans="1:16" x14ac:dyDescent="0.25">
      <c r="A539" t="s">
        <v>164</v>
      </c>
      <c r="F539">
        <v>0.54112268518518525</v>
      </c>
      <c r="G539" t="s">
        <v>227</v>
      </c>
      <c r="H539">
        <v>0</v>
      </c>
      <c r="I539">
        <v>0.85</v>
      </c>
      <c r="J539" t="s">
        <v>228</v>
      </c>
      <c r="K539" t="s">
        <v>27</v>
      </c>
      <c r="L539">
        <v>755.31399999999996</v>
      </c>
      <c r="M539">
        <v>1</v>
      </c>
      <c r="N539">
        <v>82580.983999999997</v>
      </c>
      <c r="O539">
        <v>9.1463429401616239E-3</v>
      </c>
      <c r="P539">
        <v>1.23</v>
      </c>
    </row>
    <row r="540" spans="1:16" x14ac:dyDescent="0.25">
      <c r="A540" t="s">
        <v>165</v>
      </c>
      <c r="F540">
        <v>0.54298611111111106</v>
      </c>
      <c r="G540" t="s">
        <v>227</v>
      </c>
      <c r="H540">
        <v>0</v>
      </c>
      <c r="I540">
        <v>0.85</v>
      </c>
      <c r="J540" t="s">
        <v>228</v>
      </c>
      <c r="K540" t="s">
        <v>27</v>
      </c>
      <c r="L540">
        <v>502.38499999999999</v>
      </c>
      <c r="M540">
        <v>1</v>
      </c>
      <c r="N540">
        <v>82733.391000000003</v>
      </c>
      <c r="O540">
        <v>6.0723366216187125E-3</v>
      </c>
      <c r="P540">
        <v>1.22</v>
      </c>
    </row>
    <row r="541" spans="1:16" x14ac:dyDescent="0.25">
      <c r="A541" t="s">
        <v>166</v>
      </c>
      <c r="F541">
        <v>0.54487268518518517</v>
      </c>
      <c r="G541" t="s">
        <v>227</v>
      </c>
      <c r="H541">
        <v>0</v>
      </c>
      <c r="I541">
        <v>0.85</v>
      </c>
      <c r="J541" t="s">
        <v>228</v>
      </c>
      <c r="K541" t="s">
        <v>27</v>
      </c>
      <c r="L541">
        <v>440.38900000000001</v>
      </c>
      <c r="M541">
        <v>1</v>
      </c>
      <c r="N541">
        <v>79460.172000000006</v>
      </c>
      <c r="O541">
        <v>5.542260844841866E-3</v>
      </c>
      <c r="P541">
        <v>1.23</v>
      </c>
    </row>
    <row r="542" spans="1:16" x14ac:dyDescent="0.25">
      <c r="A542" t="s">
        <v>167</v>
      </c>
      <c r="F542">
        <v>0.54673611111111109</v>
      </c>
      <c r="G542" t="s">
        <v>227</v>
      </c>
      <c r="H542">
        <v>0</v>
      </c>
      <c r="I542">
        <v>0.85</v>
      </c>
      <c r="J542" t="s">
        <v>228</v>
      </c>
      <c r="K542" t="s">
        <v>27</v>
      </c>
      <c r="L542">
        <v>955.03099999999995</v>
      </c>
      <c r="M542">
        <v>1</v>
      </c>
      <c r="N542">
        <v>80189.133000000002</v>
      </c>
      <c r="O542">
        <v>1.1909730960677677E-2</v>
      </c>
      <c r="P542">
        <v>1.22</v>
      </c>
    </row>
    <row r="543" spans="1:16" x14ac:dyDescent="0.25">
      <c r="A543" t="s">
        <v>168</v>
      </c>
      <c r="F543">
        <v>0.54859953703703701</v>
      </c>
      <c r="G543" t="s">
        <v>227</v>
      </c>
      <c r="H543">
        <v>0</v>
      </c>
      <c r="I543">
        <v>0.85</v>
      </c>
      <c r="J543" t="s">
        <v>228</v>
      </c>
      <c r="K543" t="s">
        <v>27</v>
      </c>
      <c r="L543">
        <v>556.42100000000005</v>
      </c>
      <c r="M543">
        <v>1</v>
      </c>
      <c r="N543">
        <v>79237.797000000006</v>
      </c>
      <c r="O543">
        <v>7.0221664542238597E-3</v>
      </c>
      <c r="P543">
        <v>1.22</v>
      </c>
    </row>
    <row r="544" spans="1:16" x14ac:dyDescent="0.25">
      <c r="A544" t="s">
        <v>169</v>
      </c>
      <c r="F544">
        <v>0.55048611111111112</v>
      </c>
      <c r="G544" t="s">
        <v>227</v>
      </c>
      <c r="H544">
        <v>0</v>
      </c>
      <c r="I544">
        <v>0.85</v>
      </c>
      <c r="J544" t="s">
        <v>228</v>
      </c>
      <c r="K544" t="s">
        <v>27</v>
      </c>
      <c r="L544">
        <v>486.16300000000001</v>
      </c>
      <c r="M544">
        <v>1</v>
      </c>
      <c r="N544">
        <v>79373.164000000004</v>
      </c>
      <c r="O544">
        <v>6.1250298652577332E-3</v>
      </c>
      <c r="P544">
        <v>1.23</v>
      </c>
    </row>
    <row r="545" spans="1:19" x14ac:dyDescent="0.25">
      <c r="A545" t="s">
        <v>170</v>
      </c>
      <c r="F545">
        <v>0.55234953703703704</v>
      </c>
      <c r="G545" t="s">
        <v>227</v>
      </c>
      <c r="H545">
        <v>0</v>
      </c>
      <c r="I545">
        <v>0.85</v>
      </c>
      <c r="J545" t="s">
        <v>228</v>
      </c>
      <c r="K545" t="s">
        <v>27</v>
      </c>
      <c r="L545">
        <v>685.92100000000005</v>
      </c>
      <c r="M545">
        <v>1</v>
      </c>
      <c r="N545">
        <v>80237.577999999994</v>
      </c>
      <c r="O545">
        <v>8.5486254333349901E-3</v>
      </c>
      <c r="P545">
        <v>1.23</v>
      </c>
    </row>
    <row r="546" spans="1:19" x14ac:dyDescent="0.25">
      <c r="A546" t="s">
        <v>171</v>
      </c>
      <c r="F546">
        <v>0.55421296296296296</v>
      </c>
      <c r="G546" t="s">
        <v>227</v>
      </c>
      <c r="H546">
        <v>0</v>
      </c>
      <c r="I546">
        <v>0.85</v>
      </c>
      <c r="J546" t="s">
        <v>228</v>
      </c>
      <c r="K546" t="s">
        <v>27</v>
      </c>
      <c r="L546">
        <v>678.04100000000005</v>
      </c>
      <c r="M546">
        <v>1</v>
      </c>
      <c r="N546">
        <v>76179.664000000004</v>
      </c>
      <c r="O546">
        <v>8.9005512022211075E-3</v>
      </c>
      <c r="P546">
        <v>1.23</v>
      </c>
    </row>
    <row r="547" spans="1:19" x14ac:dyDescent="0.25">
      <c r="A547" t="s">
        <v>172</v>
      </c>
      <c r="F547">
        <v>0.55621527777777779</v>
      </c>
      <c r="G547" t="s">
        <v>227</v>
      </c>
      <c r="H547">
        <v>0</v>
      </c>
      <c r="I547">
        <v>0.85</v>
      </c>
      <c r="J547" t="s">
        <v>228</v>
      </c>
      <c r="K547" t="s">
        <v>27</v>
      </c>
      <c r="L547">
        <v>585.89800000000002</v>
      </c>
      <c r="M547">
        <v>1</v>
      </c>
      <c r="N547">
        <v>78758.741999999998</v>
      </c>
      <c r="O547">
        <v>7.439148786810232E-3</v>
      </c>
      <c r="P547">
        <v>1.23</v>
      </c>
    </row>
    <row r="548" spans="1:19" x14ac:dyDescent="0.25">
      <c r="A548" t="s">
        <v>173</v>
      </c>
      <c r="F548">
        <v>0.55815972222222221</v>
      </c>
      <c r="G548" t="s">
        <v>227</v>
      </c>
      <c r="H548">
        <v>0</v>
      </c>
      <c r="I548">
        <v>0.85</v>
      </c>
      <c r="J548" t="s">
        <v>228</v>
      </c>
      <c r="K548" t="s">
        <v>27</v>
      </c>
      <c r="L548">
        <v>610.26499999999999</v>
      </c>
      <c r="M548">
        <v>1</v>
      </c>
      <c r="N548">
        <v>76535.437999999995</v>
      </c>
      <c r="O548">
        <v>7.9736265440853698E-3</v>
      </c>
      <c r="P548">
        <v>1.23</v>
      </c>
    </row>
    <row r="549" spans="1:19" x14ac:dyDescent="0.25">
      <c r="A549" t="s">
        <v>174</v>
      </c>
      <c r="F549">
        <v>0.56003472222222228</v>
      </c>
      <c r="G549" t="s">
        <v>227</v>
      </c>
      <c r="H549">
        <v>0</v>
      </c>
      <c r="I549">
        <v>0.85</v>
      </c>
      <c r="J549" t="s">
        <v>228</v>
      </c>
      <c r="K549" t="s">
        <v>27</v>
      </c>
      <c r="L549">
        <v>436.15100000000001</v>
      </c>
      <c r="M549">
        <v>1</v>
      </c>
      <c r="N549">
        <v>79696.898000000001</v>
      </c>
      <c r="O549">
        <v>5.4726220335451449E-3</v>
      </c>
      <c r="P549">
        <v>1.22</v>
      </c>
    </row>
    <row r="550" spans="1:19" x14ac:dyDescent="0.25">
      <c r="A550" t="s">
        <v>175</v>
      </c>
      <c r="F550">
        <v>0.56200231481481489</v>
      </c>
      <c r="G550" t="s">
        <v>227</v>
      </c>
      <c r="H550">
        <v>0</v>
      </c>
      <c r="I550">
        <v>0.85</v>
      </c>
      <c r="J550" t="s">
        <v>228</v>
      </c>
      <c r="K550" t="s">
        <v>27</v>
      </c>
      <c r="L550">
        <v>404.87400000000002</v>
      </c>
      <c r="M550">
        <v>1</v>
      </c>
      <c r="N550">
        <v>81888.945000000007</v>
      </c>
      <c r="O550">
        <v>4.9441838577844663E-3</v>
      </c>
      <c r="P550">
        <v>1.23</v>
      </c>
    </row>
    <row r="551" spans="1:19" x14ac:dyDescent="0.25">
      <c r="A551" t="s">
        <v>176</v>
      </c>
      <c r="F551">
        <v>0.56396990740740738</v>
      </c>
      <c r="G551" t="s">
        <v>227</v>
      </c>
      <c r="H551">
        <v>0</v>
      </c>
      <c r="I551">
        <v>0.85</v>
      </c>
      <c r="J551" t="s">
        <v>228</v>
      </c>
      <c r="K551" t="s">
        <v>27</v>
      </c>
      <c r="L551">
        <v>540.97799999999995</v>
      </c>
      <c r="M551">
        <v>1</v>
      </c>
      <c r="N551">
        <v>80283.141000000003</v>
      </c>
      <c r="O551">
        <v>6.738376118094332E-3</v>
      </c>
      <c r="P551">
        <v>1.23</v>
      </c>
    </row>
    <row r="552" spans="1:19" x14ac:dyDescent="0.25">
      <c r="A552" s="2" t="s">
        <v>177</v>
      </c>
      <c r="B552" s="2"/>
      <c r="C552" s="2"/>
      <c r="D552" s="2"/>
      <c r="E552" s="2"/>
      <c r="F552" s="2">
        <v>0.56581018518518522</v>
      </c>
      <c r="G552" s="2" t="s">
        <v>227</v>
      </c>
      <c r="H552" s="2">
        <v>0</v>
      </c>
      <c r="I552" s="2">
        <v>0.86</v>
      </c>
      <c r="J552" s="2" t="s">
        <v>228</v>
      </c>
      <c r="K552" s="2" t="s">
        <v>27</v>
      </c>
      <c r="L552" s="2">
        <v>1091873.75</v>
      </c>
      <c r="M552" s="2">
        <v>1</v>
      </c>
      <c r="N552" s="2">
        <v>77920.398000000001</v>
      </c>
      <c r="O552" s="2">
        <v>14.012681891075557</v>
      </c>
      <c r="P552" s="2">
        <v>1.22</v>
      </c>
      <c r="Q552" s="2"/>
      <c r="R552" s="2"/>
      <c r="S552" s="2"/>
    </row>
    <row r="553" spans="1:19" x14ac:dyDescent="0.25">
      <c r="A553" s="2" t="s">
        <v>178</v>
      </c>
      <c r="B553" s="2"/>
      <c r="C553" s="2"/>
      <c r="D553" s="2"/>
      <c r="E553" s="2"/>
      <c r="F553" s="2">
        <v>0.56781249999999994</v>
      </c>
      <c r="G553" s="2" t="s">
        <v>227</v>
      </c>
      <c r="H553" s="2">
        <v>0</v>
      </c>
      <c r="I553" s="2">
        <v>0.86</v>
      </c>
      <c r="J553" s="2" t="s">
        <v>228</v>
      </c>
      <c r="K553" s="2" t="s">
        <v>27</v>
      </c>
      <c r="L553" s="2">
        <v>1000587.688</v>
      </c>
      <c r="M553" s="2">
        <v>1</v>
      </c>
      <c r="N553" s="2">
        <v>78458.289000000004</v>
      </c>
      <c r="O553" s="2">
        <v>12.753116346954748</v>
      </c>
      <c r="P553" s="2">
        <v>1.22</v>
      </c>
      <c r="Q553" s="2"/>
      <c r="R553" s="2"/>
      <c r="S553" s="2"/>
    </row>
    <row r="554" spans="1:19" x14ac:dyDescent="0.25">
      <c r="A554" t="s">
        <v>179</v>
      </c>
      <c r="F554">
        <v>0.56967592592592597</v>
      </c>
      <c r="G554" t="s">
        <v>227</v>
      </c>
      <c r="H554">
        <v>0</v>
      </c>
      <c r="I554">
        <v>0.85</v>
      </c>
      <c r="J554" t="s">
        <v>228</v>
      </c>
      <c r="K554" t="s">
        <v>27</v>
      </c>
      <c r="L554">
        <v>1904.0619999999999</v>
      </c>
      <c r="M554">
        <v>1</v>
      </c>
      <c r="N554">
        <v>81069.625</v>
      </c>
      <c r="O554">
        <v>2.3486749815359326E-2</v>
      </c>
      <c r="P554">
        <v>1.22</v>
      </c>
    </row>
    <row r="555" spans="1:19" x14ac:dyDescent="0.25">
      <c r="A555" t="s">
        <v>180</v>
      </c>
      <c r="F555">
        <v>0.57153935185185178</v>
      </c>
      <c r="G555" t="s">
        <v>227</v>
      </c>
      <c r="H555">
        <v>0</v>
      </c>
      <c r="I555">
        <v>0.85</v>
      </c>
      <c r="J555" t="s">
        <v>228</v>
      </c>
      <c r="K555" t="s">
        <v>27</v>
      </c>
      <c r="L555">
        <v>774.976</v>
      </c>
      <c r="M555">
        <v>1</v>
      </c>
      <c r="N555">
        <v>81783.843999999997</v>
      </c>
      <c r="O555">
        <v>9.4759057791414161E-3</v>
      </c>
      <c r="P555">
        <v>1.22</v>
      </c>
    </row>
    <row r="556" spans="1:19" x14ac:dyDescent="0.25">
      <c r="A556" t="s">
        <v>181</v>
      </c>
      <c r="F556">
        <v>0.57351851851851854</v>
      </c>
      <c r="G556" t="s">
        <v>227</v>
      </c>
      <c r="H556">
        <v>0</v>
      </c>
      <c r="I556">
        <v>0.85</v>
      </c>
      <c r="J556" t="s">
        <v>228</v>
      </c>
      <c r="K556" t="s">
        <v>27</v>
      </c>
      <c r="L556">
        <v>787.84900000000005</v>
      </c>
      <c r="M556">
        <v>1</v>
      </c>
      <c r="N556">
        <v>82280.218999999997</v>
      </c>
      <c r="O556">
        <v>9.5751932794442378E-3</v>
      </c>
      <c r="P556">
        <v>1.22</v>
      </c>
    </row>
    <row r="557" spans="1:19" x14ac:dyDescent="0.25">
      <c r="A557" t="s">
        <v>182</v>
      </c>
      <c r="F557">
        <v>0.57548611111111114</v>
      </c>
      <c r="G557" t="s">
        <v>227</v>
      </c>
      <c r="H557">
        <v>0</v>
      </c>
      <c r="I557">
        <v>0.85</v>
      </c>
      <c r="J557" t="s">
        <v>228</v>
      </c>
      <c r="K557" t="s">
        <v>27</v>
      </c>
      <c r="L557">
        <v>766.59500000000003</v>
      </c>
      <c r="M557">
        <v>1</v>
      </c>
      <c r="N557">
        <v>82015.625</v>
      </c>
      <c r="O557">
        <v>9.3469384644694238E-3</v>
      </c>
      <c r="P557">
        <v>1.23</v>
      </c>
    </row>
    <row r="558" spans="1:19" x14ac:dyDescent="0.25">
      <c r="A558" t="s">
        <v>183</v>
      </c>
      <c r="F558">
        <v>0.57743055555555556</v>
      </c>
      <c r="G558" t="s">
        <v>227</v>
      </c>
      <c r="H558">
        <v>0</v>
      </c>
      <c r="I558">
        <v>0.85</v>
      </c>
      <c r="J558" t="s">
        <v>228</v>
      </c>
      <c r="K558" t="s">
        <v>27</v>
      </c>
      <c r="L558">
        <v>716.60900000000004</v>
      </c>
      <c r="M558">
        <v>1</v>
      </c>
      <c r="N558">
        <v>83588.202999999994</v>
      </c>
      <c r="O558">
        <v>8.5730877597643782E-3</v>
      </c>
      <c r="P558">
        <v>1.22</v>
      </c>
    </row>
    <row r="559" spans="1:19" x14ac:dyDescent="0.25">
      <c r="A559" t="s">
        <v>184</v>
      </c>
      <c r="F559">
        <v>0.57929398148148148</v>
      </c>
      <c r="G559" t="s">
        <v>227</v>
      </c>
      <c r="H559">
        <v>0</v>
      </c>
      <c r="I559">
        <v>0.85</v>
      </c>
      <c r="J559" t="s">
        <v>228</v>
      </c>
      <c r="K559" t="s">
        <v>27</v>
      </c>
      <c r="L559">
        <v>698.06799999999998</v>
      </c>
      <c r="M559">
        <v>1</v>
      </c>
      <c r="N559">
        <v>80724.952999999994</v>
      </c>
      <c r="O559">
        <v>8.6474872274004307E-3</v>
      </c>
      <c r="P559">
        <v>1.23</v>
      </c>
    </row>
    <row r="560" spans="1:19" x14ac:dyDescent="0.25">
      <c r="A560" t="s">
        <v>185</v>
      </c>
      <c r="F560">
        <v>0.5811574074074074</v>
      </c>
      <c r="G560" t="s">
        <v>227</v>
      </c>
      <c r="H560">
        <v>0</v>
      </c>
      <c r="I560">
        <v>0.85</v>
      </c>
      <c r="J560" t="s">
        <v>228</v>
      </c>
      <c r="K560" t="s">
        <v>27</v>
      </c>
      <c r="L560">
        <v>662.15599999999995</v>
      </c>
      <c r="M560">
        <v>1</v>
      </c>
      <c r="N560">
        <v>85890</v>
      </c>
      <c r="O560">
        <v>7.709349167539876E-3</v>
      </c>
      <c r="P560">
        <v>1.23</v>
      </c>
    </row>
    <row r="561" spans="1:16" x14ac:dyDescent="0.25">
      <c r="A561" t="s">
        <v>186</v>
      </c>
      <c r="F561">
        <v>0.58302083333333332</v>
      </c>
      <c r="G561" t="s">
        <v>227</v>
      </c>
      <c r="H561">
        <v>0</v>
      </c>
      <c r="I561">
        <v>0.85</v>
      </c>
      <c r="J561" t="s">
        <v>228</v>
      </c>
      <c r="K561" t="s">
        <v>27</v>
      </c>
      <c r="L561">
        <v>634.21199999999999</v>
      </c>
      <c r="M561">
        <v>1</v>
      </c>
      <c r="N561">
        <v>87285.202999999994</v>
      </c>
      <c r="O561">
        <v>7.265973821473498E-3</v>
      </c>
      <c r="P561">
        <v>1.23</v>
      </c>
    </row>
    <row r="562" spans="1:16" x14ac:dyDescent="0.25">
      <c r="A562" t="s">
        <v>187</v>
      </c>
      <c r="F562">
        <v>0.58489583333333328</v>
      </c>
      <c r="G562" t="s">
        <v>227</v>
      </c>
      <c r="H562">
        <v>0</v>
      </c>
      <c r="I562">
        <v>0.86</v>
      </c>
      <c r="J562" t="s">
        <v>228</v>
      </c>
      <c r="K562" t="s">
        <v>27</v>
      </c>
      <c r="L562">
        <v>729.245</v>
      </c>
      <c r="M562">
        <v>1</v>
      </c>
      <c r="N562">
        <v>266.41899999999998</v>
      </c>
      <c r="O562">
        <v>2.7372109346555615</v>
      </c>
      <c r="P562">
        <v>1.23</v>
      </c>
    </row>
    <row r="563" spans="1:16" x14ac:dyDescent="0.25">
      <c r="A563" t="s">
        <v>188</v>
      </c>
      <c r="F563">
        <v>0.58678240740740739</v>
      </c>
      <c r="G563" t="s">
        <v>227</v>
      </c>
      <c r="H563">
        <v>0</v>
      </c>
      <c r="I563">
        <v>0.86</v>
      </c>
      <c r="J563" t="s">
        <v>228</v>
      </c>
      <c r="K563" t="s">
        <v>27</v>
      </c>
      <c r="L563">
        <v>710.14400000000001</v>
      </c>
      <c r="M563">
        <v>1</v>
      </c>
      <c r="N563">
        <v>109.754</v>
      </c>
      <c r="O563">
        <v>6.4703245439801735</v>
      </c>
      <c r="P563">
        <v>1.23</v>
      </c>
    </row>
    <row r="564" spans="1:16" x14ac:dyDescent="0.25">
      <c r="A564" t="s">
        <v>189</v>
      </c>
      <c r="F564">
        <v>0.58876157407407403</v>
      </c>
      <c r="G564" t="s">
        <v>227</v>
      </c>
      <c r="H564">
        <v>0</v>
      </c>
      <c r="I564">
        <v>0.85</v>
      </c>
      <c r="J564" t="s">
        <v>228</v>
      </c>
      <c r="K564" t="s">
        <v>27</v>
      </c>
      <c r="L564">
        <v>796.08900000000006</v>
      </c>
      <c r="M564">
        <v>1</v>
      </c>
      <c r="N564">
        <v>78006.75</v>
      </c>
      <c r="O564">
        <v>1.0205386072359124E-2</v>
      </c>
      <c r="P564">
        <v>1.23</v>
      </c>
    </row>
    <row r="565" spans="1:16" x14ac:dyDescent="0.25">
      <c r="A565" t="s">
        <v>190</v>
      </c>
      <c r="F565">
        <v>0.5907175925925926</v>
      </c>
      <c r="G565" t="s">
        <v>227</v>
      </c>
      <c r="H565">
        <v>0</v>
      </c>
      <c r="I565">
        <v>0.85</v>
      </c>
      <c r="J565" t="s">
        <v>228</v>
      </c>
      <c r="K565" t="s">
        <v>27</v>
      </c>
      <c r="L565">
        <v>516.96100000000001</v>
      </c>
      <c r="M565">
        <v>1</v>
      </c>
      <c r="N565">
        <v>81092.922000000006</v>
      </c>
      <c r="O565">
        <v>6.3749213525688469E-3</v>
      </c>
      <c r="P565">
        <v>1.23</v>
      </c>
    </row>
    <row r="566" spans="1:16" x14ac:dyDescent="0.25">
      <c r="A566" t="s">
        <v>191</v>
      </c>
      <c r="F566">
        <v>0.59258101851851852</v>
      </c>
      <c r="G566" t="s">
        <v>227</v>
      </c>
      <c r="H566">
        <v>0</v>
      </c>
      <c r="I566">
        <v>0.85</v>
      </c>
      <c r="J566" t="s">
        <v>228</v>
      </c>
      <c r="K566" t="s">
        <v>27</v>
      </c>
      <c r="L566">
        <v>473.30799999999999</v>
      </c>
      <c r="M566">
        <v>1</v>
      </c>
      <c r="N566">
        <v>78620.616999999998</v>
      </c>
      <c r="O566">
        <v>6.0201511773940921E-3</v>
      </c>
      <c r="P566">
        <v>1.22</v>
      </c>
    </row>
    <row r="567" spans="1:16" x14ac:dyDescent="0.25">
      <c r="A567" t="s">
        <v>192</v>
      </c>
      <c r="F567">
        <v>0.59444444444444444</v>
      </c>
      <c r="G567" t="s">
        <v>227</v>
      </c>
      <c r="H567">
        <v>0</v>
      </c>
      <c r="I567">
        <v>0.85</v>
      </c>
      <c r="J567" t="s">
        <v>228</v>
      </c>
      <c r="K567" t="s">
        <v>27</v>
      </c>
      <c r="L567">
        <v>563.01199999999994</v>
      </c>
      <c r="M567">
        <v>1</v>
      </c>
      <c r="N567">
        <v>76617.766000000003</v>
      </c>
      <c r="O567">
        <v>7.348321797845162E-3</v>
      </c>
      <c r="P567">
        <v>1.22</v>
      </c>
    </row>
    <row r="568" spans="1:16" x14ac:dyDescent="0.25">
      <c r="A568" t="s">
        <v>193</v>
      </c>
      <c r="F568">
        <v>0.59630787037037036</v>
      </c>
      <c r="G568" t="s">
        <v>227</v>
      </c>
      <c r="H568">
        <v>0</v>
      </c>
      <c r="I568">
        <v>0.86</v>
      </c>
      <c r="J568" t="s">
        <v>228</v>
      </c>
      <c r="K568" t="s">
        <v>27</v>
      </c>
      <c r="L568">
        <v>471.68599999999998</v>
      </c>
      <c r="M568">
        <v>1</v>
      </c>
      <c r="N568">
        <v>79449.320000000007</v>
      </c>
      <c r="O568">
        <v>5.9369419398429078E-3</v>
      </c>
      <c r="P568">
        <v>1.23</v>
      </c>
    </row>
    <row r="569" spans="1:16" x14ac:dyDescent="0.25">
      <c r="A569" t="s">
        <v>194</v>
      </c>
      <c r="F569">
        <v>0.59819444444444447</v>
      </c>
      <c r="G569" t="s">
        <v>227</v>
      </c>
      <c r="H569">
        <v>0</v>
      </c>
      <c r="I569">
        <v>0.85</v>
      </c>
      <c r="J569" t="s">
        <v>228</v>
      </c>
      <c r="K569" t="s">
        <v>27</v>
      </c>
      <c r="L569">
        <v>626.72799999999995</v>
      </c>
      <c r="M569">
        <v>1</v>
      </c>
      <c r="N569">
        <v>81529.766000000003</v>
      </c>
      <c r="O569">
        <v>7.68710657160478E-3</v>
      </c>
      <c r="P569">
        <v>1.23</v>
      </c>
    </row>
    <row r="570" spans="1:16" x14ac:dyDescent="0.25">
      <c r="A570" t="s">
        <v>195</v>
      </c>
      <c r="F570">
        <v>0.60005787037037039</v>
      </c>
      <c r="G570" t="s">
        <v>227</v>
      </c>
      <c r="H570">
        <v>0</v>
      </c>
      <c r="I570">
        <v>0.85</v>
      </c>
      <c r="J570" t="s">
        <v>228</v>
      </c>
      <c r="K570" t="s">
        <v>27</v>
      </c>
      <c r="L570">
        <v>466.12599999999998</v>
      </c>
      <c r="M570">
        <v>1</v>
      </c>
      <c r="N570">
        <v>80463.766000000003</v>
      </c>
      <c r="O570">
        <v>5.7929925874958422E-3</v>
      </c>
      <c r="P570">
        <v>1.23</v>
      </c>
    </row>
    <row r="571" spans="1:16" x14ac:dyDescent="0.25">
      <c r="A571" t="s">
        <v>196</v>
      </c>
      <c r="F571">
        <v>0.60192129629629632</v>
      </c>
      <c r="G571" t="s">
        <v>227</v>
      </c>
      <c r="H571">
        <v>0</v>
      </c>
      <c r="I571">
        <v>0.85</v>
      </c>
      <c r="J571" t="s">
        <v>228</v>
      </c>
      <c r="K571" t="s">
        <v>27</v>
      </c>
      <c r="L571">
        <v>608.85299999999995</v>
      </c>
      <c r="M571">
        <v>1</v>
      </c>
      <c r="N571">
        <v>81377.547000000006</v>
      </c>
      <c r="O571">
        <v>7.4818303382872906E-3</v>
      </c>
      <c r="P571">
        <v>1.23</v>
      </c>
    </row>
    <row r="572" spans="1:16" x14ac:dyDescent="0.25">
      <c r="A572" t="s">
        <v>197</v>
      </c>
      <c r="F572">
        <v>0.60380787037037031</v>
      </c>
      <c r="G572" t="s">
        <v>227</v>
      </c>
      <c r="H572">
        <v>0</v>
      </c>
      <c r="I572">
        <v>0.85</v>
      </c>
      <c r="J572" t="s">
        <v>228</v>
      </c>
      <c r="K572" t="s">
        <v>27</v>
      </c>
      <c r="L572">
        <v>702.88</v>
      </c>
      <c r="M572">
        <v>1</v>
      </c>
      <c r="N572">
        <v>79696.797000000006</v>
      </c>
      <c r="O572">
        <v>8.8194259550982944E-3</v>
      </c>
      <c r="P572">
        <v>1.22</v>
      </c>
    </row>
    <row r="573" spans="1:16" x14ac:dyDescent="0.25">
      <c r="A573" t="s">
        <v>198</v>
      </c>
      <c r="F573">
        <v>0.60577546296296292</v>
      </c>
      <c r="G573" t="s">
        <v>227</v>
      </c>
      <c r="H573">
        <v>0</v>
      </c>
      <c r="I573">
        <v>0.86</v>
      </c>
      <c r="J573" t="s">
        <v>228</v>
      </c>
      <c r="K573" t="s">
        <v>27</v>
      </c>
      <c r="L573">
        <v>667.30100000000004</v>
      </c>
      <c r="M573">
        <v>1</v>
      </c>
      <c r="N573">
        <v>80965.358999999997</v>
      </c>
      <c r="O573">
        <v>8.2418086974702359E-3</v>
      </c>
      <c r="P573">
        <v>1.23</v>
      </c>
    </row>
    <row r="574" spans="1:16" x14ac:dyDescent="0.25">
      <c r="A574" t="s">
        <v>199</v>
      </c>
      <c r="F574">
        <v>0.60774305555555552</v>
      </c>
      <c r="G574" t="s">
        <v>227</v>
      </c>
      <c r="H574">
        <v>0</v>
      </c>
      <c r="I574">
        <v>0.85</v>
      </c>
      <c r="J574" t="s">
        <v>228</v>
      </c>
      <c r="K574" t="s">
        <v>27</v>
      </c>
      <c r="L574">
        <v>590.44399999999996</v>
      </c>
      <c r="M574">
        <v>1</v>
      </c>
      <c r="N574">
        <v>79312.156000000003</v>
      </c>
      <c r="O574">
        <v>7.4445586878258601E-3</v>
      </c>
      <c r="P574">
        <v>1.23</v>
      </c>
    </row>
    <row r="575" spans="1:16" x14ac:dyDescent="0.25">
      <c r="A575" t="s">
        <v>200</v>
      </c>
      <c r="F575">
        <v>0.60971064814814813</v>
      </c>
      <c r="G575" t="s">
        <v>227</v>
      </c>
      <c r="H575">
        <v>0</v>
      </c>
      <c r="I575">
        <v>0.85</v>
      </c>
      <c r="J575" t="s">
        <v>228</v>
      </c>
      <c r="K575" t="s">
        <v>27</v>
      </c>
      <c r="L575">
        <v>494.22199999999998</v>
      </c>
      <c r="M575">
        <v>1</v>
      </c>
      <c r="N575">
        <v>78685.695000000007</v>
      </c>
      <c r="O575">
        <v>6.2809637761984559E-3</v>
      </c>
      <c r="P575">
        <v>1.23</v>
      </c>
    </row>
    <row r="576" spans="1:16" x14ac:dyDescent="0.25">
      <c r="A576" t="s">
        <v>201</v>
      </c>
      <c r="F576">
        <v>0.61165509259259265</v>
      </c>
      <c r="G576" t="s">
        <v>227</v>
      </c>
      <c r="H576">
        <v>0</v>
      </c>
      <c r="I576">
        <v>0.85</v>
      </c>
      <c r="J576" t="s">
        <v>228</v>
      </c>
      <c r="K576" t="s">
        <v>27</v>
      </c>
      <c r="L576">
        <v>560.55999999999995</v>
      </c>
      <c r="M576">
        <v>1</v>
      </c>
      <c r="N576">
        <v>77538.351999999999</v>
      </c>
      <c r="O576">
        <v>7.229454657483563E-3</v>
      </c>
      <c r="P576">
        <v>1.22</v>
      </c>
    </row>
    <row r="577" spans="1:19" x14ac:dyDescent="0.25">
      <c r="A577" t="s">
        <v>202</v>
      </c>
      <c r="F577">
        <v>0.61353009259259261</v>
      </c>
      <c r="G577" t="s">
        <v>227</v>
      </c>
      <c r="H577">
        <v>0</v>
      </c>
      <c r="I577">
        <v>0.85</v>
      </c>
      <c r="J577" t="s">
        <v>228</v>
      </c>
      <c r="K577" t="s">
        <v>27</v>
      </c>
      <c r="L577">
        <v>559.755</v>
      </c>
      <c r="M577">
        <v>1</v>
      </c>
      <c r="N577">
        <v>76484.452999999994</v>
      </c>
      <c r="O577">
        <v>7.3185461625776419E-3</v>
      </c>
      <c r="P577">
        <v>1.22</v>
      </c>
    </row>
    <row r="578" spans="1:19" x14ac:dyDescent="0.25">
      <c r="A578" t="s">
        <v>203</v>
      </c>
      <c r="F578">
        <v>0.61539351851851853</v>
      </c>
      <c r="G578" t="s">
        <v>227</v>
      </c>
      <c r="H578">
        <v>0</v>
      </c>
      <c r="I578">
        <v>0.85</v>
      </c>
      <c r="J578" t="s">
        <v>228</v>
      </c>
      <c r="K578" t="s">
        <v>27</v>
      </c>
      <c r="L578">
        <v>459.327</v>
      </c>
      <c r="M578">
        <v>1</v>
      </c>
      <c r="N578">
        <v>77630.75</v>
      </c>
      <c r="O578">
        <v>5.9168177558506134E-3</v>
      </c>
      <c r="P578">
        <v>1.23</v>
      </c>
    </row>
    <row r="579" spans="1:19" x14ac:dyDescent="0.25">
      <c r="A579" t="s">
        <v>204</v>
      </c>
      <c r="F579">
        <v>0.61725694444444446</v>
      </c>
      <c r="G579" t="s">
        <v>227</v>
      </c>
      <c r="H579">
        <v>0</v>
      </c>
      <c r="I579">
        <v>0.86</v>
      </c>
      <c r="J579" t="s">
        <v>228</v>
      </c>
      <c r="K579" t="s">
        <v>27</v>
      </c>
      <c r="L579">
        <v>688.50400000000002</v>
      </c>
      <c r="M579">
        <v>1</v>
      </c>
      <c r="N579">
        <v>74698.75</v>
      </c>
      <c r="O579">
        <v>9.2170752522632571E-3</v>
      </c>
      <c r="P579">
        <v>1.23</v>
      </c>
    </row>
    <row r="580" spans="1:19" x14ac:dyDescent="0.25">
      <c r="A580" t="s">
        <v>205</v>
      </c>
      <c r="F580">
        <v>0.61913194444444442</v>
      </c>
      <c r="G580" t="s">
        <v>227</v>
      </c>
      <c r="H580">
        <v>0</v>
      </c>
      <c r="I580">
        <v>0.86</v>
      </c>
      <c r="J580" t="s">
        <v>228</v>
      </c>
      <c r="K580" t="s">
        <v>27</v>
      </c>
      <c r="L580">
        <v>533.11599999999999</v>
      </c>
      <c r="M580">
        <v>1</v>
      </c>
      <c r="N580">
        <v>73690.656000000003</v>
      </c>
      <c r="O580">
        <v>7.2345128804390067E-3</v>
      </c>
      <c r="P580">
        <v>1.22</v>
      </c>
    </row>
    <row r="581" spans="1:19" x14ac:dyDescent="0.25">
      <c r="A581" t="s">
        <v>206</v>
      </c>
      <c r="F581">
        <v>0.62100694444444449</v>
      </c>
      <c r="G581" t="s">
        <v>227</v>
      </c>
      <c r="H581">
        <v>0</v>
      </c>
      <c r="I581">
        <v>0.85</v>
      </c>
      <c r="J581" t="s">
        <v>228</v>
      </c>
      <c r="K581" t="s">
        <v>27</v>
      </c>
      <c r="L581">
        <v>584.24199999999996</v>
      </c>
      <c r="M581">
        <v>1</v>
      </c>
      <c r="N581">
        <v>75456.952999999994</v>
      </c>
      <c r="O581">
        <v>7.7427192163457758E-3</v>
      </c>
      <c r="P581">
        <v>1.23</v>
      </c>
    </row>
    <row r="582" spans="1:19" x14ac:dyDescent="0.25">
      <c r="A582" t="s">
        <v>207</v>
      </c>
      <c r="F582">
        <v>0.62288194444444445</v>
      </c>
      <c r="G582" t="s">
        <v>227</v>
      </c>
      <c r="H582">
        <v>0</v>
      </c>
      <c r="I582">
        <v>0.85</v>
      </c>
      <c r="J582" t="s">
        <v>228</v>
      </c>
      <c r="K582" t="s">
        <v>27</v>
      </c>
      <c r="L582">
        <v>670.04499999999996</v>
      </c>
      <c r="M582">
        <v>1</v>
      </c>
      <c r="N582">
        <v>79055.422000000006</v>
      </c>
      <c r="O582">
        <v>8.4756362441528663E-3</v>
      </c>
      <c r="P582">
        <v>1.22</v>
      </c>
    </row>
    <row r="583" spans="1:19" x14ac:dyDescent="0.25">
      <c r="A583" t="s">
        <v>208</v>
      </c>
      <c r="F583">
        <v>0.62475694444444441</v>
      </c>
      <c r="G583" t="s">
        <v>227</v>
      </c>
      <c r="H583">
        <v>0</v>
      </c>
      <c r="I583">
        <v>0.85</v>
      </c>
      <c r="J583" t="s">
        <v>228</v>
      </c>
      <c r="K583" t="s">
        <v>27</v>
      </c>
      <c r="L583">
        <v>656.71100000000001</v>
      </c>
      <c r="M583">
        <v>1</v>
      </c>
      <c r="N583">
        <v>79091.718999999997</v>
      </c>
      <c r="O583">
        <v>8.3031575024940345E-3</v>
      </c>
      <c r="P583">
        <v>1.23</v>
      </c>
    </row>
    <row r="584" spans="1:19" x14ac:dyDescent="0.25">
      <c r="A584" s="2" t="s">
        <v>209</v>
      </c>
      <c r="B584" s="2"/>
      <c r="C584" s="2"/>
      <c r="D584" s="2"/>
      <c r="E584" s="2"/>
      <c r="F584" s="2">
        <v>0.62672453703703701</v>
      </c>
      <c r="G584" s="2" t="s">
        <v>227</v>
      </c>
      <c r="H584" s="2">
        <v>0</v>
      </c>
      <c r="I584" s="2">
        <v>0.85</v>
      </c>
      <c r="J584" s="2" t="s">
        <v>228</v>
      </c>
      <c r="K584" s="2" t="s">
        <v>27</v>
      </c>
      <c r="L584" s="2">
        <v>1165747.125</v>
      </c>
      <c r="M584" s="2">
        <v>1</v>
      </c>
      <c r="N584" s="2">
        <v>77321.656000000003</v>
      </c>
      <c r="O584" s="2">
        <v>15.076592837070121</v>
      </c>
      <c r="P584" s="2">
        <v>1.22</v>
      </c>
      <c r="Q584" s="2"/>
      <c r="R584" s="2"/>
      <c r="S584" s="2"/>
    </row>
    <row r="585" spans="1:19" x14ac:dyDescent="0.25">
      <c r="A585" s="2" t="s">
        <v>210</v>
      </c>
      <c r="B585" s="2"/>
      <c r="C585" s="2"/>
      <c r="D585" s="2"/>
      <c r="E585" s="2"/>
      <c r="F585" s="2">
        <v>0.62858796296296293</v>
      </c>
      <c r="G585" s="2" t="s">
        <v>227</v>
      </c>
      <c r="H585" s="2">
        <v>0</v>
      </c>
      <c r="I585" s="2">
        <v>0.85</v>
      </c>
      <c r="J585" s="2" t="s">
        <v>228</v>
      </c>
      <c r="K585" s="2" t="s">
        <v>27</v>
      </c>
      <c r="L585" s="2">
        <v>1106091.375</v>
      </c>
      <c r="M585" s="2">
        <v>1</v>
      </c>
      <c r="N585" s="2">
        <v>73440.116999999998</v>
      </c>
      <c r="O585" s="2">
        <v>15.061133072541265</v>
      </c>
      <c r="P585" s="2">
        <v>1.22</v>
      </c>
      <c r="Q585" s="2"/>
      <c r="R585" s="2"/>
      <c r="S585" s="2"/>
    </row>
    <row r="586" spans="1:19" x14ac:dyDescent="0.25">
      <c r="A586" t="s">
        <v>211</v>
      </c>
      <c r="F586">
        <v>0.63056712962962969</v>
      </c>
      <c r="G586" t="s">
        <v>227</v>
      </c>
      <c r="H586">
        <v>0</v>
      </c>
      <c r="I586">
        <v>0.85</v>
      </c>
      <c r="J586" t="s">
        <v>228</v>
      </c>
      <c r="K586" t="s">
        <v>27</v>
      </c>
      <c r="L586">
        <v>2676.4940000000001</v>
      </c>
      <c r="M586">
        <v>1</v>
      </c>
      <c r="N586">
        <v>77216.827999999994</v>
      </c>
      <c r="O586">
        <v>3.4662055789186269E-2</v>
      </c>
      <c r="P586">
        <v>1.22</v>
      </c>
    </row>
    <row r="587" spans="1:19" x14ac:dyDescent="0.25">
      <c r="A587" t="s">
        <v>212</v>
      </c>
      <c r="F587">
        <v>0.63240740740740742</v>
      </c>
      <c r="G587" t="s">
        <v>227</v>
      </c>
      <c r="H587">
        <v>0</v>
      </c>
      <c r="I587">
        <v>0.85</v>
      </c>
      <c r="J587" t="s">
        <v>228</v>
      </c>
      <c r="K587" t="s">
        <v>27</v>
      </c>
      <c r="L587">
        <v>946.32899999999995</v>
      </c>
      <c r="M587">
        <v>1</v>
      </c>
      <c r="N587">
        <v>74267.241999999998</v>
      </c>
      <c r="O587">
        <v>1.2742212778010525E-2</v>
      </c>
      <c r="P587">
        <v>1.22</v>
      </c>
    </row>
    <row r="588" spans="1:19" x14ac:dyDescent="0.25">
      <c r="A588" t="s">
        <v>213</v>
      </c>
      <c r="F588">
        <v>0.63429398148148153</v>
      </c>
      <c r="G588" t="s">
        <v>227</v>
      </c>
      <c r="H588">
        <v>0</v>
      </c>
      <c r="I588">
        <v>0.86</v>
      </c>
      <c r="J588" t="s">
        <v>228</v>
      </c>
      <c r="K588" t="s">
        <v>27</v>
      </c>
      <c r="L588">
        <v>779.09699999999998</v>
      </c>
      <c r="M588">
        <v>1</v>
      </c>
      <c r="N588">
        <v>77316.695000000007</v>
      </c>
      <c r="O588">
        <v>1.0076698182714611E-2</v>
      </c>
      <c r="P588">
        <v>1.23</v>
      </c>
    </row>
    <row r="589" spans="1:19" x14ac:dyDescent="0.25">
      <c r="A589" t="s">
        <v>214</v>
      </c>
      <c r="F589">
        <v>0.63615740740740734</v>
      </c>
      <c r="G589" t="s">
        <v>227</v>
      </c>
      <c r="H589">
        <v>0</v>
      </c>
      <c r="I589">
        <v>0.85</v>
      </c>
      <c r="J589" t="s">
        <v>228</v>
      </c>
      <c r="K589" t="s">
        <v>27</v>
      </c>
      <c r="L589">
        <v>481.24299999999999</v>
      </c>
      <c r="M589">
        <v>1</v>
      </c>
      <c r="N589">
        <v>70950.452999999994</v>
      </c>
      <c r="O589">
        <v>6.7828037687088488E-3</v>
      </c>
      <c r="P589">
        <v>1.23</v>
      </c>
    </row>
    <row r="590" spans="1:19" x14ac:dyDescent="0.25">
      <c r="A590" t="s">
        <v>215</v>
      </c>
      <c r="F590">
        <v>0.63806712962962964</v>
      </c>
      <c r="G590" t="s">
        <v>227</v>
      </c>
      <c r="H590">
        <v>0</v>
      </c>
      <c r="I590">
        <v>0.85</v>
      </c>
      <c r="J590" t="s">
        <v>228</v>
      </c>
      <c r="K590" t="s">
        <v>27</v>
      </c>
      <c r="L590">
        <v>515.51800000000003</v>
      </c>
      <c r="M590">
        <v>1</v>
      </c>
      <c r="N590">
        <v>76658.133000000002</v>
      </c>
      <c r="O590">
        <v>6.7248963655298002E-3</v>
      </c>
      <c r="P590">
        <v>1.23</v>
      </c>
    </row>
    <row r="591" spans="1:19" x14ac:dyDescent="0.25">
      <c r="A591" t="s">
        <v>216</v>
      </c>
      <c r="F591">
        <v>0.6399421296296296</v>
      </c>
      <c r="G591" t="s">
        <v>227</v>
      </c>
      <c r="H591">
        <v>0</v>
      </c>
      <c r="I591">
        <v>0.85</v>
      </c>
      <c r="J591" t="s">
        <v>228</v>
      </c>
      <c r="K591" t="s">
        <v>27</v>
      </c>
      <c r="L591">
        <v>710.95399999999995</v>
      </c>
      <c r="M591">
        <v>1</v>
      </c>
      <c r="N591">
        <v>77482.891000000003</v>
      </c>
      <c r="O591">
        <v>9.1756256229520387E-3</v>
      </c>
      <c r="P591">
        <v>1.23</v>
      </c>
    </row>
    <row r="592" spans="1:19" x14ac:dyDescent="0.25">
      <c r="A592" t="s">
        <v>217</v>
      </c>
      <c r="F592">
        <v>0.64180555555555552</v>
      </c>
      <c r="G592" t="s">
        <v>227</v>
      </c>
      <c r="H592">
        <v>0</v>
      </c>
      <c r="I592">
        <v>0.85</v>
      </c>
      <c r="J592" t="s">
        <v>228</v>
      </c>
      <c r="K592" t="s">
        <v>27</v>
      </c>
      <c r="L592">
        <v>599.23800000000006</v>
      </c>
      <c r="M592">
        <v>1</v>
      </c>
      <c r="N592">
        <v>81169.391000000003</v>
      </c>
      <c r="O592">
        <v>7.3825612415892097E-3</v>
      </c>
      <c r="P592">
        <v>1.23</v>
      </c>
    </row>
    <row r="593" spans="1:19" x14ac:dyDescent="0.25">
      <c r="A593" t="s">
        <v>218</v>
      </c>
      <c r="F593">
        <v>0.64368055555555559</v>
      </c>
      <c r="G593" t="s">
        <v>227</v>
      </c>
      <c r="H593">
        <v>0</v>
      </c>
      <c r="I593">
        <v>0.85</v>
      </c>
      <c r="J593" t="s">
        <v>228</v>
      </c>
      <c r="K593" t="s">
        <v>27</v>
      </c>
      <c r="L593">
        <v>627.45600000000002</v>
      </c>
      <c r="M593">
        <v>1</v>
      </c>
      <c r="N593">
        <v>79876.843999999997</v>
      </c>
      <c r="O593">
        <v>7.8552928305479879E-3</v>
      </c>
      <c r="P593">
        <v>1.22</v>
      </c>
    </row>
    <row r="594" spans="1:19" x14ac:dyDescent="0.25">
      <c r="A594" t="s">
        <v>219</v>
      </c>
      <c r="F594">
        <v>0.64554398148148151</v>
      </c>
      <c r="G594" t="s">
        <v>227</v>
      </c>
      <c r="H594">
        <v>0</v>
      </c>
      <c r="I594">
        <v>0.86</v>
      </c>
      <c r="J594" t="s">
        <v>228</v>
      </c>
      <c r="K594" t="s">
        <v>27</v>
      </c>
      <c r="L594">
        <v>515.67899999999997</v>
      </c>
      <c r="M594">
        <v>1</v>
      </c>
      <c r="N594">
        <v>199.23699999999999</v>
      </c>
      <c r="O594">
        <v>2.5882692471779838</v>
      </c>
      <c r="P594">
        <v>1.23</v>
      </c>
    </row>
    <row r="595" spans="1:19" x14ac:dyDescent="0.25">
      <c r="A595" t="s">
        <v>220</v>
      </c>
      <c r="F595">
        <v>0.64741898148148147</v>
      </c>
      <c r="G595" t="s">
        <v>227</v>
      </c>
      <c r="H595">
        <v>0</v>
      </c>
      <c r="I595">
        <v>0.85</v>
      </c>
      <c r="J595" t="s">
        <v>228</v>
      </c>
      <c r="K595" t="s">
        <v>27</v>
      </c>
      <c r="L595">
        <v>584.13800000000003</v>
      </c>
      <c r="M595">
        <v>1</v>
      </c>
      <c r="N595">
        <v>87.394999999999996</v>
      </c>
      <c r="O595">
        <v>6.6838835173636939</v>
      </c>
      <c r="P595">
        <v>1.23</v>
      </c>
    </row>
    <row r="596" spans="1:19" x14ac:dyDescent="0.25">
      <c r="A596" t="s">
        <v>19</v>
      </c>
      <c r="F596">
        <v>0</v>
      </c>
      <c r="G596" t="s">
        <v>231</v>
      </c>
      <c r="H596">
        <v>0</v>
      </c>
      <c r="I596">
        <v>0.86</v>
      </c>
      <c r="N596">
        <v>81.486000000000004</v>
      </c>
      <c r="O596">
        <v>0</v>
      </c>
    </row>
    <row r="597" spans="1:19" x14ac:dyDescent="0.25">
      <c r="A597" t="s">
        <v>22</v>
      </c>
      <c r="F597">
        <v>0</v>
      </c>
      <c r="G597" t="s">
        <v>231</v>
      </c>
      <c r="H597">
        <v>0</v>
      </c>
      <c r="I597">
        <v>0.86</v>
      </c>
      <c r="N597">
        <v>37.616999999999997</v>
      </c>
      <c r="O597">
        <v>0</v>
      </c>
    </row>
    <row r="598" spans="1:19" x14ac:dyDescent="0.25">
      <c r="A598" s="2" t="s">
        <v>23</v>
      </c>
      <c r="B598" s="2"/>
      <c r="C598" s="2"/>
      <c r="D598" s="2"/>
      <c r="E598" s="2"/>
      <c r="F598" s="2">
        <v>0.65523148148148147</v>
      </c>
      <c r="G598" s="2" t="s">
        <v>231</v>
      </c>
      <c r="H598" s="2">
        <v>0</v>
      </c>
      <c r="I598" s="2">
        <v>0.86</v>
      </c>
      <c r="J598" s="2" t="s">
        <v>232</v>
      </c>
      <c r="K598" s="2" t="s">
        <v>27</v>
      </c>
      <c r="L598" s="2">
        <v>3331700.75</v>
      </c>
      <c r="M598" s="2">
        <v>1</v>
      </c>
      <c r="N598" s="2">
        <v>101225.531</v>
      </c>
      <c r="O598" s="2">
        <v>32.913640630840455</v>
      </c>
      <c r="P598" s="2">
        <v>0.34</v>
      </c>
      <c r="Q598" s="2"/>
      <c r="R598" s="2"/>
      <c r="S598" s="2"/>
    </row>
    <row r="599" spans="1:19" x14ac:dyDescent="0.25">
      <c r="A599" s="2" t="s">
        <v>25</v>
      </c>
      <c r="B599" s="2"/>
      <c r="C599" s="2"/>
      <c r="D599" s="2"/>
      <c r="E599" s="2"/>
      <c r="F599" s="2">
        <v>0.65708333333333335</v>
      </c>
      <c r="G599" s="2" t="s">
        <v>231</v>
      </c>
      <c r="H599" s="2">
        <v>0</v>
      </c>
      <c r="I599" s="2">
        <v>0.86</v>
      </c>
      <c r="J599" s="2" t="s">
        <v>232</v>
      </c>
      <c r="K599" s="2" t="s">
        <v>27</v>
      </c>
      <c r="L599" s="2">
        <v>3261129</v>
      </c>
      <c r="M599" s="2">
        <v>1</v>
      </c>
      <c r="N599" s="2">
        <v>100985.69500000001</v>
      </c>
      <c r="O599" s="2">
        <v>32.292979713611913</v>
      </c>
      <c r="P599" s="2">
        <v>0.35</v>
      </c>
      <c r="Q599" s="2"/>
      <c r="R599" s="2"/>
      <c r="S599" s="2"/>
    </row>
    <row r="600" spans="1:19" x14ac:dyDescent="0.25">
      <c r="A600" s="2" t="s">
        <v>26</v>
      </c>
      <c r="B600" s="2"/>
      <c r="C600" s="2"/>
      <c r="D600" s="2"/>
      <c r="E600" s="2"/>
      <c r="F600" s="2">
        <v>0</v>
      </c>
      <c r="G600" s="2" t="s">
        <v>231</v>
      </c>
      <c r="H600" s="2">
        <v>0</v>
      </c>
      <c r="I600" s="2">
        <v>0.85</v>
      </c>
      <c r="J600" s="2"/>
      <c r="K600" s="2"/>
      <c r="L600" s="2"/>
      <c r="M600" s="2"/>
      <c r="N600" s="2">
        <v>95940.266000000003</v>
      </c>
      <c r="O600" s="2">
        <v>0</v>
      </c>
      <c r="P600" s="2"/>
      <c r="Q600" s="2"/>
      <c r="R600" s="2"/>
      <c r="S600" s="2"/>
    </row>
    <row r="601" spans="1:19" x14ac:dyDescent="0.25">
      <c r="A601" s="2" t="s">
        <v>28</v>
      </c>
      <c r="B601" s="2"/>
      <c r="C601" s="2"/>
      <c r="D601" s="2"/>
      <c r="E601" s="2"/>
      <c r="F601" s="2">
        <v>0</v>
      </c>
      <c r="G601" s="2" t="s">
        <v>231</v>
      </c>
      <c r="H601" s="2">
        <v>0</v>
      </c>
      <c r="I601" s="2">
        <v>0.85</v>
      </c>
      <c r="J601" s="2"/>
      <c r="K601" s="2"/>
      <c r="L601" s="2"/>
      <c r="M601" s="2"/>
      <c r="N601" s="2">
        <v>93786.812999999995</v>
      </c>
      <c r="O601" s="2">
        <v>0</v>
      </c>
      <c r="P601" s="2"/>
      <c r="Q601" s="2"/>
      <c r="R601" s="2"/>
      <c r="S601" s="2"/>
    </row>
    <row r="602" spans="1:19" x14ac:dyDescent="0.25">
      <c r="A602" t="s">
        <v>29</v>
      </c>
      <c r="F602">
        <v>0.6626967592592593</v>
      </c>
      <c r="G602" t="s">
        <v>231</v>
      </c>
      <c r="H602">
        <v>0</v>
      </c>
      <c r="I602">
        <v>0.86</v>
      </c>
      <c r="J602" t="s">
        <v>232</v>
      </c>
      <c r="K602" t="s">
        <v>27</v>
      </c>
      <c r="L602">
        <v>4946011.5</v>
      </c>
      <c r="M602">
        <v>1</v>
      </c>
      <c r="N602">
        <v>110901.508</v>
      </c>
      <c r="O602">
        <v>44.598234858988569</v>
      </c>
      <c r="P602">
        <v>0.35</v>
      </c>
    </row>
    <row r="603" spans="1:19" x14ac:dyDescent="0.25">
      <c r="A603" t="s">
        <v>30</v>
      </c>
      <c r="F603">
        <v>0.66468749999999999</v>
      </c>
      <c r="G603" t="s">
        <v>231</v>
      </c>
      <c r="H603">
        <v>0</v>
      </c>
      <c r="I603">
        <v>0.86</v>
      </c>
      <c r="J603" t="s">
        <v>232</v>
      </c>
      <c r="K603" t="s">
        <v>27</v>
      </c>
      <c r="L603">
        <v>4941037</v>
      </c>
      <c r="M603">
        <v>1</v>
      </c>
      <c r="N603">
        <v>107494.43</v>
      </c>
      <c r="O603">
        <v>45.965516538856946</v>
      </c>
      <c r="P603">
        <v>0.35</v>
      </c>
    </row>
    <row r="604" spans="1:19" x14ac:dyDescent="0.25">
      <c r="A604" t="s">
        <v>31</v>
      </c>
      <c r="F604">
        <v>0.66664351851851855</v>
      </c>
      <c r="G604" t="s">
        <v>231</v>
      </c>
      <c r="H604">
        <v>0</v>
      </c>
      <c r="I604">
        <v>0.86</v>
      </c>
      <c r="J604" t="s">
        <v>232</v>
      </c>
      <c r="K604" t="s">
        <v>27</v>
      </c>
      <c r="L604">
        <v>5182321</v>
      </c>
      <c r="M604">
        <v>1</v>
      </c>
      <c r="N604">
        <v>112203.008</v>
      </c>
      <c r="O604">
        <v>46.187005966898852</v>
      </c>
      <c r="P604">
        <v>0.35</v>
      </c>
    </row>
    <row r="605" spans="1:19" x14ac:dyDescent="0.25">
      <c r="A605" t="s">
        <v>32</v>
      </c>
      <c r="F605">
        <v>0.66863425925925923</v>
      </c>
      <c r="G605" t="s">
        <v>231</v>
      </c>
      <c r="H605">
        <v>0</v>
      </c>
      <c r="I605">
        <v>0.86</v>
      </c>
      <c r="J605" t="s">
        <v>232</v>
      </c>
      <c r="K605" t="s">
        <v>27</v>
      </c>
      <c r="L605">
        <v>4895443.5</v>
      </c>
      <c r="M605">
        <v>1</v>
      </c>
      <c r="N605">
        <v>111875.18799999999</v>
      </c>
      <c r="O605">
        <v>43.758080656811948</v>
      </c>
      <c r="P605">
        <v>0.35</v>
      </c>
    </row>
    <row r="606" spans="1:19" x14ac:dyDescent="0.25">
      <c r="A606" t="s">
        <v>33</v>
      </c>
      <c r="F606">
        <v>0.6705902777777778</v>
      </c>
      <c r="G606" t="s">
        <v>231</v>
      </c>
      <c r="H606">
        <v>0</v>
      </c>
      <c r="I606">
        <v>0.86</v>
      </c>
      <c r="J606" t="s">
        <v>232</v>
      </c>
      <c r="K606" t="s">
        <v>27</v>
      </c>
      <c r="L606">
        <v>5016980.5</v>
      </c>
      <c r="M606">
        <v>1</v>
      </c>
      <c r="N606">
        <v>110901.81299999999</v>
      </c>
      <c r="O606">
        <v>45.238038624309958</v>
      </c>
      <c r="P606">
        <v>0.35</v>
      </c>
    </row>
    <row r="607" spans="1:19" x14ac:dyDescent="0.25">
      <c r="A607" t="s">
        <v>34</v>
      </c>
      <c r="F607">
        <v>0.6725578703703704</v>
      </c>
      <c r="G607" t="s">
        <v>231</v>
      </c>
      <c r="H607">
        <v>0</v>
      </c>
      <c r="I607">
        <v>0.86</v>
      </c>
      <c r="J607" t="s">
        <v>232</v>
      </c>
      <c r="K607" t="s">
        <v>27</v>
      </c>
      <c r="L607">
        <v>4850791</v>
      </c>
      <c r="M607">
        <v>1</v>
      </c>
      <c r="N607">
        <v>110473.492</v>
      </c>
      <c r="O607">
        <v>43.909094500244457</v>
      </c>
      <c r="P607">
        <v>0.35</v>
      </c>
    </row>
    <row r="608" spans="1:19" x14ac:dyDescent="0.25">
      <c r="A608" t="s">
        <v>35</v>
      </c>
      <c r="F608">
        <v>0.67451388888888886</v>
      </c>
      <c r="G608" t="s">
        <v>231</v>
      </c>
      <c r="H608">
        <v>0</v>
      </c>
      <c r="I608">
        <v>0.86</v>
      </c>
      <c r="J608" t="s">
        <v>232</v>
      </c>
      <c r="K608" t="s">
        <v>27</v>
      </c>
      <c r="L608">
        <v>5392959</v>
      </c>
      <c r="M608">
        <v>1</v>
      </c>
      <c r="N608">
        <v>115292.648</v>
      </c>
      <c r="O608">
        <v>46.776261050054117</v>
      </c>
      <c r="P608">
        <v>0.35</v>
      </c>
    </row>
    <row r="609" spans="1:16" x14ac:dyDescent="0.25">
      <c r="A609" t="s">
        <v>36</v>
      </c>
      <c r="F609">
        <v>0.67648148148148157</v>
      </c>
      <c r="G609" t="s">
        <v>231</v>
      </c>
      <c r="H609">
        <v>0</v>
      </c>
      <c r="I609">
        <v>0.86</v>
      </c>
      <c r="J609" t="s">
        <v>232</v>
      </c>
      <c r="K609" t="s">
        <v>27</v>
      </c>
      <c r="L609">
        <v>5053349.5</v>
      </c>
      <c r="M609">
        <v>1</v>
      </c>
      <c r="N609">
        <v>111619.56299999999</v>
      </c>
      <c r="O609">
        <v>45.272973340703729</v>
      </c>
      <c r="P609">
        <v>0.35</v>
      </c>
    </row>
    <row r="610" spans="1:16" x14ac:dyDescent="0.25">
      <c r="A610" t="s">
        <v>37</v>
      </c>
      <c r="F610">
        <v>0.67843749999999992</v>
      </c>
      <c r="G610" t="s">
        <v>231</v>
      </c>
      <c r="H610">
        <v>0</v>
      </c>
      <c r="I610">
        <v>0.86</v>
      </c>
      <c r="J610" t="s">
        <v>232</v>
      </c>
      <c r="K610" t="s">
        <v>27</v>
      </c>
      <c r="L610">
        <v>5217261</v>
      </c>
      <c r="M610">
        <v>1</v>
      </c>
      <c r="N610">
        <v>113838.43799999999</v>
      </c>
      <c r="O610">
        <v>45.830398691872425</v>
      </c>
      <c r="P610">
        <v>0.35</v>
      </c>
    </row>
    <row r="611" spans="1:16" x14ac:dyDescent="0.25">
      <c r="A611" t="s">
        <v>38</v>
      </c>
      <c r="F611">
        <v>0.68040509259259263</v>
      </c>
      <c r="G611" t="s">
        <v>231</v>
      </c>
      <c r="H611">
        <v>0</v>
      </c>
      <c r="I611">
        <v>0.86</v>
      </c>
      <c r="J611" t="s">
        <v>232</v>
      </c>
      <c r="K611" t="s">
        <v>27</v>
      </c>
      <c r="L611">
        <v>4878873</v>
      </c>
      <c r="M611">
        <v>1</v>
      </c>
      <c r="N611">
        <v>115682.109</v>
      </c>
      <c r="O611">
        <v>42.174827569922677</v>
      </c>
      <c r="P611">
        <v>0.35</v>
      </c>
    </row>
    <row r="612" spans="1:16" x14ac:dyDescent="0.25">
      <c r="A612" t="s">
        <v>39</v>
      </c>
      <c r="F612">
        <v>0.68228009259259259</v>
      </c>
      <c r="G612" t="s">
        <v>231</v>
      </c>
      <c r="H612">
        <v>0</v>
      </c>
      <c r="I612">
        <v>0.86</v>
      </c>
      <c r="J612" t="s">
        <v>232</v>
      </c>
      <c r="K612" t="s">
        <v>27</v>
      </c>
      <c r="L612">
        <v>4974713</v>
      </c>
      <c r="M612">
        <v>1</v>
      </c>
      <c r="N612">
        <v>114083.766</v>
      </c>
      <c r="O612">
        <v>43.605792256191819</v>
      </c>
      <c r="P612">
        <v>0.35</v>
      </c>
    </row>
    <row r="613" spans="1:16" x14ac:dyDescent="0.25">
      <c r="A613" t="s">
        <v>40</v>
      </c>
      <c r="F613">
        <v>0.68425925925925923</v>
      </c>
      <c r="G613" t="s">
        <v>231</v>
      </c>
      <c r="H613">
        <v>0</v>
      </c>
      <c r="I613">
        <v>0.86</v>
      </c>
      <c r="J613" t="s">
        <v>232</v>
      </c>
      <c r="K613" t="s">
        <v>27</v>
      </c>
      <c r="L613">
        <v>4895585</v>
      </c>
      <c r="M613">
        <v>1</v>
      </c>
      <c r="N613">
        <v>112092.19500000001</v>
      </c>
      <c r="O613">
        <v>43.674628728610408</v>
      </c>
      <c r="P613">
        <v>0.35</v>
      </c>
    </row>
    <row r="614" spans="1:16" x14ac:dyDescent="0.25">
      <c r="A614" t="s">
        <v>41</v>
      </c>
      <c r="F614">
        <v>0.6862152777777778</v>
      </c>
      <c r="G614" t="s">
        <v>231</v>
      </c>
      <c r="H614">
        <v>0</v>
      </c>
      <c r="I614">
        <v>0.86</v>
      </c>
      <c r="J614" t="s">
        <v>232</v>
      </c>
      <c r="K614" t="s">
        <v>27</v>
      </c>
      <c r="L614">
        <v>5487094</v>
      </c>
      <c r="M614">
        <v>1</v>
      </c>
      <c r="N614">
        <v>109805.56299999999</v>
      </c>
      <c r="O614">
        <v>49.971001924556411</v>
      </c>
      <c r="P614">
        <v>0.35</v>
      </c>
    </row>
    <row r="615" spans="1:16" x14ac:dyDescent="0.25">
      <c r="A615" t="s">
        <v>42</v>
      </c>
      <c r="F615">
        <v>0.68817129629629636</v>
      </c>
      <c r="G615" t="s">
        <v>231</v>
      </c>
      <c r="H615">
        <v>0</v>
      </c>
      <c r="I615">
        <v>0.86</v>
      </c>
      <c r="J615" t="s">
        <v>232</v>
      </c>
      <c r="K615" t="s">
        <v>27</v>
      </c>
      <c r="L615">
        <v>5166809</v>
      </c>
      <c r="M615">
        <v>1</v>
      </c>
      <c r="N615">
        <v>105521.125</v>
      </c>
      <c r="O615">
        <v>48.964688350318482</v>
      </c>
      <c r="P615">
        <v>0.35</v>
      </c>
    </row>
    <row r="616" spans="1:16" x14ac:dyDescent="0.25">
      <c r="A616" t="s">
        <v>43</v>
      </c>
      <c r="F616">
        <v>0.69003472222222229</v>
      </c>
      <c r="G616" t="s">
        <v>231</v>
      </c>
      <c r="H616">
        <v>0</v>
      </c>
      <c r="I616">
        <v>0.86</v>
      </c>
      <c r="J616" t="s">
        <v>232</v>
      </c>
      <c r="K616" t="s">
        <v>27</v>
      </c>
      <c r="L616">
        <v>5342100.5</v>
      </c>
      <c r="M616">
        <v>1</v>
      </c>
      <c r="N616">
        <v>117415.531</v>
      </c>
      <c r="O616">
        <v>45.497392504233531</v>
      </c>
      <c r="P616">
        <v>0.35</v>
      </c>
    </row>
    <row r="617" spans="1:16" x14ac:dyDescent="0.25">
      <c r="A617" t="s">
        <v>44</v>
      </c>
      <c r="F617">
        <v>0.6918981481481481</v>
      </c>
      <c r="G617" t="s">
        <v>231</v>
      </c>
      <c r="H617">
        <v>0</v>
      </c>
      <c r="I617">
        <v>0.86</v>
      </c>
      <c r="J617" t="s">
        <v>232</v>
      </c>
      <c r="K617" t="s">
        <v>27</v>
      </c>
      <c r="L617">
        <v>5139617.5</v>
      </c>
      <c r="M617">
        <v>1</v>
      </c>
      <c r="N617">
        <v>118949.492</v>
      </c>
      <c r="O617">
        <v>43.20840226875454</v>
      </c>
      <c r="P617">
        <v>0.35</v>
      </c>
    </row>
    <row r="618" spans="1:16" x14ac:dyDescent="0.25">
      <c r="A618" t="s">
        <v>45</v>
      </c>
      <c r="F618">
        <v>0.69377314814814817</v>
      </c>
      <c r="G618" t="s">
        <v>231</v>
      </c>
      <c r="H618">
        <v>0</v>
      </c>
      <c r="I618">
        <v>0.86</v>
      </c>
      <c r="J618" t="s">
        <v>232</v>
      </c>
      <c r="K618" t="s">
        <v>27</v>
      </c>
      <c r="L618">
        <v>5140463</v>
      </c>
      <c r="M618">
        <v>1</v>
      </c>
      <c r="N618">
        <v>115439.04700000001</v>
      </c>
      <c r="O618">
        <v>44.529672875764469</v>
      </c>
      <c r="P618">
        <v>0.35</v>
      </c>
    </row>
    <row r="619" spans="1:16" x14ac:dyDescent="0.25">
      <c r="A619" t="s">
        <v>46</v>
      </c>
      <c r="F619">
        <v>0.69563657407407409</v>
      </c>
      <c r="G619" t="s">
        <v>231</v>
      </c>
      <c r="H619">
        <v>0</v>
      </c>
      <c r="I619">
        <v>0.86</v>
      </c>
      <c r="J619" t="s">
        <v>232</v>
      </c>
      <c r="K619" t="s">
        <v>27</v>
      </c>
      <c r="L619">
        <v>5025170</v>
      </c>
      <c r="M619">
        <v>1</v>
      </c>
      <c r="N619">
        <v>120355.344</v>
      </c>
      <c r="O619">
        <v>41.752778339447893</v>
      </c>
      <c r="P619">
        <v>0.35</v>
      </c>
    </row>
    <row r="620" spans="1:16" x14ac:dyDescent="0.25">
      <c r="A620" t="s">
        <v>47</v>
      </c>
      <c r="F620">
        <v>0.69751157407407405</v>
      </c>
      <c r="G620" t="s">
        <v>231</v>
      </c>
      <c r="H620">
        <v>0</v>
      </c>
      <c r="I620">
        <v>0.86</v>
      </c>
      <c r="J620" t="s">
        <v>232</v>
      </c>
      <c r="K620" t="s">
        <v>27</v>
      </c>
      <c r="L620">
        <v>5369466</v>
      </c>
      <c r="M620">
        <v>1</v>
      </c>
      <c r="N620">
        <v>119755.094</v>
      </c>
      <c r="O620">
        <v>44.837057202760832</v>
      </c>
      <c r="P620">
        <v>0.35</v>
      </c>
    </row>
    <row r="621" spans="1:16" x14ac:dyDescent="0.25">
      <c r="A621" t="s">
        <v>48</v>
      </c>
      <c r="F621">
        <v>0.69938657407407412</v>
      </c>
      <c r="G621" t="s">
        <v>231</v>
      </c>
      <c r="H621">
        <v>0</v>
      </c>
      <c r="I621">
        <v>0.86</v>
      </c>
      <c r="J621" t="s">
        <v>232</v>
      </c>
      <c r="K621" t="s">
        <v>27</v>
      </c>
      <c r="L621">
        <v>5217836</v>
      </c>
      <c r="M621">
        <v>1</v>
      </c>
      <c r="N621">
        <v>120245.961</v>
      </c>
      <c r="O621">
        <v>43.393025068010395</v>
      </c>
      <c r="P621">
        <v>0.35</v>
      </c>
    </row>
    <row r="622" spans="1:16" x14ac:dyDescent="0.25">
      <c r="A622" t="s">
        <v>49</v>
      </c>
      <c r="F622">
        <v>0.70124999999999993</v>
      </c>
      <c r="G622" t="s">
        <v>231</v>
      </c>
      <c r="H622">
        <v>0</v>
      </c>
      <c r="I622">
        <v>0.86</v>
      </c>
      <c r="J622" t="s">
        <v>232</v>
      </c>
      <c r="K622" t="s">
        <v>27</v>
      </c>
      <c r="L622">
        <v>5114076.5</v>
      </c>
      <c r="M622">
        <v>1</v>
      </c>
      <c r="N622">
        <v>117114.414</v>
      </c>
      <c r="O622">
        <v>43.667353362669772</v>
      </c>
      <c r="P622">
        <v>0.35</v>
      </c>
    </row>
    <row r="623" spans="1:16" x14ac:dyDescent="0.25">
      <c r="A623" t="s">
        <v>50</v>
      </c>
      <c r="F623">
        <v>0.703125</v>
      </c>
      <c r="G623" t="s">
        <v>231</v>
      </c>
      <c r="H623">
        <v>0</v>
      </c>
      <c r="I623">
        <v>0.86</v>
      </c>
      <c r="J623" t="s">
        <v>232</v>
      </c>
      <c r="K623" t="s">
        <v>27</v>
      </c>
      <c r="L623">
        <v>4992658.5</v>
      </c>
      <c r="M623">
        <v>1</v>
      </c>
      <c r="N623">
        <v>115817.31299999999</v>
      </c>
      <c r="O623">
        <v>43.108049830166586</v>
      </c>
      <c r="P623">
        <v>0.35</v>
      </c>
    </row>
    <row r="624" spans="1:16" x14ac:dyDescent="0.25">
      <c r="A624" t="s">
        <v>51</v>
      </c>
      <c r="F624">
        <v>0.70498842592592592</v>
      </c>
      <c r="G624" t="s">
        <v>231</v>
      </c>
      <c r="H624">
        <v>0</v>
      </c>
      <c r="I624">
        <v>0.86</v>
      </c>
      <c r="J624" t="s">
        <v>232</v>
      </c>
      <c r="K624" t="s">
        <v>27</v>
      </c>
      <c r="L624">
        <v>5236077</v>
      </c>
      <c r="M624">
        <v>1</v>
      </c>
      <c r="N624">
        <v>118291.25</v>
      </c>
      <c r="O624">
        <v>44.26427990235964</v>
      </c>
      <c r="P624">
        <v>0.35</v>
      </c>
    </row>
    <row r="625" spans="1:19" x14ac:dyDescent="0.25">
      <c r="A625" t="s">
        <v>52</v>
      </c>
      <c r="F625">
        <v>0.70686342592592588</v>
      </c>
      <c r="G625" t="s">
        <v>231</v>
      </c>
      <c r="H625">
        <v>0</v>
      </c>
      <c r="I625">
        <v>0.86</v>
      </c>
      <c r="J625" t="s">
        <v>232</v>
      </c>
      <c r="K625" t="s">
        <v>27</v>
      </c>
      <c r="L625">
        <v>5044579</v>
      </c>
      <c r="M625">
        <v>1</v>
      </c>
      <c r="N625">
        <v>118831.18</v>
      </c>
      <c r="O625">
        <v>42.451644425309922</v>
      </c>
      <c r="P625">
        <v>0.35</v>
      </c>
    </row>
    <row r="626" spans="1:19" x14ac:dyDescent="0.25">
      <c r="A626" s="2" t="s">
        <v>53</v>
      </c>
      <c r="B626" s="2"/>
      <c r="C626" s="2"/>
      <c r="D626" s="2"/>
      <c r="E626" s="2"/>
      <c r="F626" s="2">
        <v>0.7087268518518518</v>
      </c>
      <c r="G626" s="2" t="s">
        <v>231</v>
      </c>
      <c r="H626" s="2">
        <v>0</v>
      </c>
      <c r="I626" s="2">
        <v>0.86</v>
      </c>
      <c r="J626" s="2" t="s">
        <v>232</v>
      </c>
      <c r="K626" s="2" t="s">
        <v>27</v>
      </c>
      <c r="L626" s="2">
        <v>5388505</v>
      </c>
      <c r="M626" s="2">
        <v>1</v>
      </c>
      <c r="N626" s="2">
        <v>118848.914</v>
      </c>
      <c r="O626" s="2">
        <v>45.339118538348615</v>
      </c>
      <c r="P626" s="2">
        <v>0.35</v>
      </c>
      <c r="Q626" s="2"/>
      <c r="R626" s="2"/>
      <c r="S626" s="2"/>
    </row>
    <row r="627" spans="1:19" x14ac:dyDescent="0.25">
      <c r="A627" s="2" t="s">
        <v>54</v>
      </c>
      <c r="B627" s="2"/>
      <c r="C627" s="2"/>
      <c r="D627" s="2"/>
      <c r="E627" s="2"/>
      <c r="F627" s="2">
        <v>0.7106365740740741</v>
      </c>
      <c r="G627" s="2" t="s">
        <v>231</v>
      </c>
      <c r="H627" s="2">
        <v>0</v>
      </c>
      <c r="I627" s="2">
        <v>0.86</v>
      </c>
      <c r="J627" s="2" t="s">
        <v>232</v>
      </c>
      <c r="K627" s="2" t="s">
        <v>27</v>
      </c>
      <c r="L627" s="2">
        <v>5318204.5</v>
      </c>
      <c r="M627" s="2">
        <v>1</v>
      </c>
      <c r="N627" s="2">
        <v>115702.79700000001</v>
      </c>
      <c r="O627" s="2">
        <v>45.964355554861825</v>
      </c>
      <c r="P627" s="2">
        <v>0.35</v>
      </c>
      <c r="Q627" s="2"/>
      <c r="R627" s="2"/>
      <c r="S627" s="2"/>
    </row>
    <row r="628" spans="1:19" x14ac:dyDescent="0.25">
      <c r="A628" t="s">
        <v>55</v>
      </c>
      <c r="F628">
        <v>0.71247685185185183</v>
      </c>
      <c r="G628" t="s">
        <v>231</v>
      </c>
      <c r="H628">
        <v>0</v>
      </c>
      <c r="I628">
        <v>0.86</v>
      </c>
      <c r="J628" t="s">
        <v>232</v>
      </c>
      <c r="K628" t="s">
        <v>27</v>
      </c>
      <c r="L628">
        <v>5007149</v>
      </c>
      <c r="M628">
        <v>1</v>
      </c>
      <c r="N628">
        <v>115619.141</v>
      </c>
      <c r="O628">
        <v>43.307266916989114</v>
      </c>
      <c r="P628">
        <v>0.35</v>
      </c>
    </row>
    <row r="629" spans="1:19" x14ac:dyDescent="0.25">
      <c r="A629" t="s">
        <v>56</v>
      </c>
      <c r="F629">
        <v>0.71434027777777775</v>
      </c>
      <c r="G629" t="s">
        <v>231</v>
      </c>
      <c r="H629">
        <v>0</v>
      </c>
      <c r="I629">
        <v>0.86</v>
      </c>
      <c r="J629" t="s">
        <v>232</v>
      </c>
      <c r="K629" t="s">
        <v>27</v>
      </c>
      <c r="L629">
        <v>4916163</v>
      </c>
      <c r="M629">
        <v>1</v>
      </c>
      <c r="N629">
        <v>117289.30499999999</v>
      </c>
      <c r="O629">
        <v>41.914844665504674</v>
      </c>
      <c r="P629">
        <v>0.35</v>
      </c>
    </row>
    <row r="630" spans="1:19" x14ac:dyDescent="0.25">
      <c r="A630" t="s">
        <v>57</v>
      </c>
      <c r="F630">
        <v>0.71621527777777771</v>
      </c>
      <c r="G630" t="s">
        <v>231</v>
      </c>
      <c r="H630">
        <v>0</v>
      </c>
      <c r="I630">
        <v>0.86</v>
      </c>
      <c r="J630" t="s">
        <v>232</v>
      </c>
      <c r="K630" t="s">
        <v>27</v>
      </c>
      <c r="L630">
        <v>5640565.5</v>
      </c>
      <c r="M630">
        <v>1</v>
      </c>
      <c r="N630">
        <v>123942.023</v>
      </c>
      <c r="O630">
        <v>45.509709810045621</v>
      </c>
      <c r="P630">
        <v>0.35</v>
      </c>
    </row>
    <row r="631" spans="1:19" x14ac:dyDescent="0.25">
      <c r="A631" t="s">
        <v>58</v>
      </c>
      <c r="F631">
        <v>0.71809027777777779</v>
      </c>
      <c r="G631" t="s">
        <v>231</v>
      </c>
      <c r="H631">
        <v>0</v>
      </c>
      <c r="I631">
        <v>0.86</v>
      </c>
      <c r="J631" t="s">
        <v>232</v>
      </c>
      <c r="K631" t="s">
        <v>27</v>
      </c>
      <c r="L631">
        <v>5406791</v>
      </c>
      <c r="M631">
        <v>1</v>
      </c>
      <c r="N631">
        <v>117239.648</v>
      </c>
      <c r="O631">
        <v>46.117427783474753</v>
      </c>
      <c r="P631">
        <v>0.36</v>
      </c>
    </row>
    <row r="632" spans="1:19" x14ac:dyDescent="0.25">
      <c r="A632" t="s">
        <v>59</v>
      </c>
      <c r="F632">
        <v>0.71995370370370371</v>
      </c>
      <c r="G632" t="s">
        <v>231</v>
      </c>
      <c r="H632">
        <v>0</v>
      </c>
      <c r="I632">
        <v>0.86</v>
      </c>
      <c r="J632" t="s">
        <v>232</v>
      </c>
      <c r="K632" t="s">
        <v>27</v>
      </c>
      <c r="L632">
        <v>375784</v>
      </c>
      <c r="M632">
        <v>1</v>
      </c>
      <c r="N632">
        <v>209.88499999999999</v>
      </c>
      <c r="O632">
        <v>1790.4280915739573</v>
      </c>
      <c r="P632">
        <v>0.33</v>
      </c>
    </row>
    <row r="633" spans="1:19" x14ac:dyDescent="0.25">
      <c r="A633" t="s">
        <v>60</v>
      </c>
      <c r="F633">
        <v>0.72182870370370367</v>
      </c>
      <c r="G633" t="s">
        <v>231</v>
      </c>
      <c r="H633">
        <v>0</v>
      </c>
      <c r="I633">
        <v>0.87</v>
      </c>
      <c r="J633" t="s">
        <v>232</v>
      </c>
      <c r="K633" t="s">
        <v>27</v>
      </c>
      <c r="L633">
        <v>306300.625</v>
      </c>
      <c r="M633">
        <v>1</v>
      </c>
      <c r="N633">
        <v>3.3149999999999999</v>
      </c>
      <c r="O633">
        <v>92398.378582202116</v>
      </c>
      <c r="P633">
        <v>0.32</v>
      </c>
    </row>
    <row r="634" spans="1:19" x14ac:dyDescent="0.25">
      <c r="A634" t="s">
        <v>61</v>
      </c>
      <c r="F634">
        <v>0.72369212962962959</v>
      </c>
      <c r="G634" t="s">
        <v>231</v>
      </c>
      <c r="H634">
        <v>0</v>
      </c>
      <c r="I634">
        <v>0.86</v>
      </c>
      <c r="J634" t="s">
        <v>232</v>
      </c>
      <c r="K634" t="s">
        <v>27</v>
      </c>
      <c r="L634">
        <v>6497768</v>
      </c>
      <c r="M634">
        <v>1</v>
      </c>
      <c r="N634">
        <v>113660.352</v>
      </c>
      <c r="O634">
        <v>57.168290311119222</v>
      </c>
      <c r="P634">
        <v>0.35</v>
      </c>
    </row>
    <row r="635" spans="1:19" x14ac:dyDescent="0.25">
      <c r="A635" t="s">
        <v>62</v>
      </c>
      <c r="F635">
        <v>0.72556712962962966</v>
      </c>
      <c r="G635" t="s">
        <v>231</v>
      </c>
      <c r="H635">
        <v>0</v>
      </c>
      <c r="I635">
        <v>0.86</v>
      </c>
      <c r="J635" t="s">
        <v>232</v>
      </c>
      <c r="K635" t="s">
        <v>27</v>
      </c>
      <c r="L635">
        <v>6709926</v>
      </c>
      <c r="M635">
        <v>1</v>
      </c>
      <c r="N635">
        <v>115519.04700000001</v>
      </c>
      <c r="O635">
        <v>58.08501865497557</v>
      </c>
      <c r="P635">
        <v>0.35</v>
      </c>
    </row>
    <row r="636" spans="1:19" x14ac:dyDescent="0.25">
      <c r="A636" t="s">
        <v>63</v>
      </c>
      <c r="F636">
        <v>0.72746527777777781</v>
      </c>
      <c r="G636" t="s">
        <v>231</v>
      </c>
      <c r="H636">
        <v>0</v>
      </c>
      <c r="I636">
        <v>0.86</v>
      </c>
      <c r="J636" t="s">
        <v>232</v>
      </c>
      <c r="K636" t="s">
        <v>27</v>
      </c>
      <c r="L636">
        <v>6469397</v>
      </c>
      <c r="M636">
        <v>1</v>
      </c>
      <c r="N636">
        <v>114009.516</v>
      </c>
      <c r="O636">
        <v>56.744359830454854</v>
      </c>
      <c r="P636">
        <v>0.35</v>
      </c>
    </row>
    <row r="637" spans="1:19" x14ac:dyDescent="0.25">
      <c r="A637" t="s">
        <v>64</v>
      </c>
      <c r="F637">
        <v>0.72931712962962969</v>
      </c>
      <c r="G637" t="s">
        <v>231</v>
      </c>
      <c r="H637">
        <v>0</v>
      </c>
      <c r="I637">
        <v>0.86</v>
      </c>
      <c r="J637" t="s">
        <v>232</v>
      </c>
      <c r="K637" t="s">
        <v>27</v>
      </c>
      <c r="L637">
        <v>6656078</v>
      </c>
      <c r="M637">
        <v>1</v>
      </c>
      <c r="N637">
        <v>113238.109</v>
      </c>
      <c r="O637">
        <v>58.779487389709061</v>
      </c>
      <c r="P637">
        <v>0.35</v>
      </c>
    </row>
    <row r="638" spans="1:19" x14ac:dyDescent="0.25">
      <c r="A638" t="s">
        <v>65</v>
      </c>
      <c r="F638">
        <v>0.73129629629629633</v>
      </c>
      <c r="G638" t="s">
        <v>231</v>
      </c>
      <c r="H638">
        <v>0</v>
      </c>
      <c r="I638">
        <v>0.86</v>
      </c>
      <c r="J638" t="s">
        <v>232</v>
      </c>
      <c r="K638" t="s">
        <v>27</v>
      </c>
      <c r="L638">
        <v>6823510.5</v>
      </c>
      <c r="M638">
        <v>1</v>
      </c>
      <c r="N638">
        <v>116292.07799999999</v>
      </c>
      <c r="O638">
        <v>58.675626210755304</v>
      </c>
      <c r="P638">
        <v>0.35</v>
      </c>
    </row>
    <row r="639" spans="1:19" x14ac:dyDescent="0.25">
      <c r="A639" t="s">
        <v>66</v>
      </c>
      <c r="F639">
        <v>0.73326388888888883</v>
      </c>
      <c r="G639" t="s">
        <v>231</v>
      </c>
      <c r="H639">
        <v>0</v>
      </c>
      <c r="I639">
        <v>0.86</v>
      </c>
      <c r="J639" t="s">
        <v>232</v>
      </c>
      <c r="K639" t="s">
        <v>27</v>
      </c>
      <c r="L639">
        <v>7113955</v>
      </c>
      <c r="M639">
        <v>1</v>
      </c>
      <c r="N639">
        <v>119564.148</v>
      </c>
      <c r="O639">
        <v>59.499064886909075</v>
      </c>
      <c r="P639">
        <v>0.35</v>
      </c>
    </row>
    <row r="640" spans="1:19" x14ac:dyDescent="0.25">
      <c r="A640" t="s">
        <v>67</v>
      </c>
      <c r="F640">
        <v>0.73523148148148154</v>
      </c>
      <c r="G640" t="s">
        <v>231</v>
      </c>
      <c r="H640">
        <v>0</v>
      </c>
      <c r="I640">
        <v>0.86</v>
      </c>
      <c r="J640" t="s">
        <v>232</v>
      </c>
      <c r="K640" t="s">
        <v>27</v>
      </c>
      <c r="L640">
        <v>6601468</v>
      </c>
      <c r="M640">
        <v>1</v>
      </c>
      <c r="N640">
        <v>117152.92200000001</v>
      </c>
      <c r="O640">
        <v>56.349153630158703</v>
      </c>
      <c r="P640">
        <v>0.35</v>
      </c>
    </row>
    <row r="641" spans="1:16" x14ac:dyDescent="0.25">
      <c r="A641" t="s">
        <v>68</v>
      </c>
      <c r="F641">
        <v>0.7371875</v>
      </c>
      <c r="G641" t="s">
        <v>231</v>
      </c>
      <c r="H641">
        <v>0</v>
      </c>
      <c r="I641">
        <v>0.86</v>
      </c>
      <c r="J641" t="s">
        <v>232</v>
      </c>
      <c r="K641" t="s">
        <v>27</v>
      </c>
      <c r="L641">
        <v>6584918.5</v>
      </c>
      <c r="M641">
        <v>1</v>
      </c>
      <c r="N641">
        <v>111947.391</v>
      </c>
      <c r="O641">
        <v>58.821545023769247</v>
      </c>
      <c r="P641">
        <v>0.35</v>
      </c>
    </row>
    <row r="642" spans="1:16" x14ac:dyDescent="0.25">
      <c r="A642" t="s">
        <v>69</v>
      </c>
      <c r="F642">
        <v>0.73916666666666664</v>
      </c>
      <c r="G642" t="s">
        <v>231</v>
      </c>
      <c r="H642">
        <v>0</v>
      </c>
      <c r="I642">
        <v>0.86</v>
      </c>
      <c r="J642" t="s">
        <v>232</v>
      </c>
      <c r="K642" t="s">
        <v>27</v>
      </c>
      <c r="L642">
        <v>6462621.5</v>
      </c>
      <c r="M642">
        <v>1</v>
      </c>
      <c r="N642">
        <v>120969.641</v>
      </c>
      <c r="O642">
        <v>53.423499041383451</v>
      </c>
      <c r="P642">
        <v>0.35</v>
      </c>
    </row>
    <row r="643" spans="1:16" x14ac:dyDescent="0.25">
      <c r="A643" t="s">
        <v>70</v>
      </c>
      <c r="F643">
        <v>0.74113425925925924</v>
      </c>
      <c r="G643" t="s">
        <v>231</v>
      </c>
      <c r="H643">
        <v>0</v>
      </c>
      <c r="I643">
        <v>0.86</v>
      </c>
      <c r="J643" t="s">
        <v>232</v>
      </c>
      <c r="K643" t="s">
        <v>27</v>
      </c>
      <c r="L643">
        <v>6698706.5</v>
      </c>
      <c r="M643">
        <v>1</v>
      </c>
      <c r="N643">
        <v>110966.523</v>
      </c>
      <c r="O643">
        <v>60.366913542023838</v>
      </c>
      <c r="P643">
        <v>0.35</v>
      </c>
    </row>
    <row r="644" spans="1:16" x14ac:dyDescent="0.25">
      <c r="A644" t="s">
        <v>71</v>
      </c>
      <c r="F644">
        <v>0.74307870370370377</v>
      </c>
      <c r="G644" t="s">
        <v>231</v>
      </c>
      <c r="H644">
        <v>0</v>
      </c>
      <c r="I644">
        <v>0.86</v>
      </c>
      <c r="J644" t="s">
        <v>232</v>
      </c>
      <c r="K644" t="s">
        <v>27</v>
      </c>
      <c r="L644">
        <v>7039193</v>
      </c>
      <c r="M644">
        <v>1</v>
      </c>
      <c r="N644">
        <v>120331.281</v>
      </c>
      <c r="O644">
        <v>58.498446467963717</v>
      </c>
      <c r="P644">
        <v>0.35</v>
      </c>
    </row>
    <row r="645" spans="1:16" x14ac:dyDescent="0.25">
      <c r="A645" t="s">
        <v>72</v>
      </c>
      <c r="F645">
        <v>0.74506944444444445</v>
      </c>
      <c r="G645" t="s">
        <v>231</v>
      </c>
      <c r="H645">
        <v>0</v>
      </c>
      <c r="I645">
        <v>0.86</v>
      </c>
      <c r="J645" t="s">
        <v>232</v>
      </c>
      <c r="K645" t="s">
        <v>27</v>
      </c>
      <c r="L645">
        <v>7721947.5</v>
      </c>
      <c r="M645">
        <v>1</v>
      </c>
      <c r="N645">
        <v>123456.898</v>
      </c>
      <c r="O645">
        <v>62.547720095802177</v>
      </c>
      <c r="P645">
        <v>0.35</v>
      </c>
    </row>
    <row r="646" spans="1:16" x14ac:dyDescent="0.25">
      <c r="A646" t="s">
        <v>73</v>
      </c>
      <c r="F646">
        <v>0.74703703703703705</v>
      </c>
      <c r="G646" t="s">
        <v>231</v>
      </c>
      <c r="H646">
        <v>0</v>
      </c>
      <c r="I646">
        <v>0.86</v>
      </c>
      <c r="J646" t="s">
        <v>232</v>
      </c>
      <c r="K646" t="s">
        <v>27</v>
      </c>
      <c r="L646">
        <v>6747649</v>
      </c>
      <c r="M646">
        <v>1</v>
      </c>
      <c r="N646">
        <v>119898.906</v>
      </c>
      <c r="O646">
        <v>56.277819582440557</v>
      </c>
      <c r="P646">
        <v>0.35</v>
      </c>
    </row>
    <row r="647" spans="1:16" x14ac:dyDescent="0.25">
      <c r="A647" t="s">
        <v>74</v>
      </c>
      <c r="F647">
        <v>0.74900462962962966</v>
      </c>
      <c r="G647" t="s">
        <v>231</v>
      </c>
      <c r="H647">
        <v>0</v>
      </c>
      <c r="I647">
        <v>0.86</v>
      </c>
      <c r="J647" t="s">
        <v>232</v>
      </c>
      <c r="K647" t="s">
        <v>27</v>
      </c>
      <c r="L647">
        <v>6563020</v>
      </c>
      <c r="M647">
        <v>1</v>
      </c>
      <c r="N647">
        <v>114464.43</v>
      </c>
      <c r="O647">
        <v>57.33676391871257</v>
      </c>
      <c r="P647">
        <v>0.35</v>
      </c>
    </row>
    <row r="648" spans="1:16" x14ac:dyDescent="0.25">
      <c r="A648" t="s">
        <v>75</v>
      </c>
      <c r="F648">
        <v>0.75096064814814811</v>
      </c>
      <c r="G648" t="s">
        <v>231</v>
      </c>
      <c r="H648">
        <v>0</v>
      </c>
      <c r="I648">
        <v>0.86</v>
      </c>
      <c r="J648" t="s">
        <v>232</v>
      </c>
      <c r="K648" t="s">
        <v>27</v>
      </c>
      <c r="L648">
        <v>6396685</v>
      </c>
      <c r="M648">
        <v>1</v>
      </c>
      <c r="N648">
        <v>118488.594</v>
      </c>
      <c r="O648">
        <v>53.985660425677764</v>
      </c>
      <c r="P648">
        <v>0.34</v>
      </c>
    </row>
    <row r="649" spans="1:16" x14ac:dyDescent="0.25">
      <c r="A649" t="s">
        <v>76</v>
      </c>
      <c r="F649">
        <v>0.75292824074074083</v>
      </c>
      <c r="G649" t="s">
        <v>231</v>
      </c>
      <c r="H649">
        <v>0</v>
      </c>
      <c r="I649">
        <v>0.86</v>
      </c>
      <c r="J649" t="s">
        <v>232</v>
      </c>
      <c r="K649" t="s">
        <v>27</v>
      </c>
      <c r="L649">
        <v>6635398</v>
      </c>
      <c r="M649">
        <v>1</v>
      </c>
      <c r="N649">
        <v>120484.242</v>
      </c>
      <c r="O649">
        <v>55.072745529660217</v>
      </c>
      <c r="P649">
        <v>0.35</v>
      </c>
    </row>
    <row r="650" spans="1:16" x14ac:dyDescent="0.25">
      <c r="A650" t="s">
        <v>77</v>
      </c>
      <c r="F650">
        <v>0.7547800925925926</v>
      </c>
      <c r="G650" t="s">
        <v>231</v>
      </c>
      <c r="H650">
        <v>0</v>
      </c>
      <c r="I650">
        <v>0.85</v>
      </c>
      <c r="J650" t="s">
        <v>232</v>
      </c>
      <c r="K650" t="s">
        <v>27</v>
      </c>
      <c r="L650">
        <v>6846407.5</v>
      </c>
      <c r="M650">
        <v>1</v>
      </c>
      <c r="N650">
        <v>120868.19500000001</v>
      </c>
      <c r="O650">
        <v>56.643581878590972</v>
      </c>
      <c r="P650">
        <v>0.35</v>
      </c>
    </row>
    <row r="651" spans="1:16" x14ac:dyDescent="0.25">
      <c r="A651" t="s">
        <v>78</v>
      </c>
      <c r="F651">
        <v>0.75665509259259256</v>
      </c>
      <c r="G651" t="s">
        <v>231</v>
      </c>
      <c r="H651">
        <v>0</v>
      </c>
      <c r="I651">
        <v>0.85</v>
      </c>
      <c r="J651" t="s">
        <v>232</v>
      </c>
      <c r="K651" t="s">
        <v>27</v>
      </c>
      <c r="L651">
        <v>7388928</v>
      </c>
      <c r="M651">
        <v>1</v>
      </c>
      <c r="N651">
        <v>124093.773</v>
      </c>
      <c r="O651">
        <v>59.543100522860243</v>
      </c>
      <c r="P651">
        <v>0.35</v>
      </c>
    </row>
    <row r="652" spans="1:16" x14ac:dyDescent="0.25">
      <c r="A652" t="s">
        <v>79</v>
      </c>
      <c r="F652">
        <v>0.75864583333333335</v>
      </c>
      <c r="G652" t="s">
        <v>231</v>
      </c>
      <c r="H652">
        <v>0</v>
      </c>
      <c r="I652">
        <v>0.86</v>
      </c>
      <c r="J652" t="s">
        <v>232</v>
      </c>
      <c r="K652" t="s">
        <v>27</v>
      </c>
      <c r="L652">
        <v>6512812</v>
      </c>
      <c r="M652">
        <v>1</v>
      </c>
      <c r="N652">
        <v>120933.44500000001</v>
      </c>
      <c r="O652">
        <v>53.854514770500415</v>
      </c>
      <c r="P652">
        <v>0.35</v>
      </c>
    </row>
    <row r="653" spans="1:16" x14ac:dyDescent="0.25">
      <c r="A653" t="s">
        <v>80</v>
      </c>
      <c r="F653">
        <v>0.76061342592592596</v>
      </c>
      <c r="G653" t="s">
        <v>231</v>
      </c>
      <c r="H653">
        <v>0</v>
      </c>
      <c r="I653">
        <v>0.86</v>
      </c>
      <c r="J653" t="s">
        <v>232</v>
      </c>
      <c r="K653" t="s">
        <v>27</v>
      </c>
      <c r="L653">
        <v>6683974</v>
      </c>
      <c r="M653">
        <v>1</v>
      </c>
      <c r="N653">
        <v>118392.31299999999</v>
      </c>
      <c r="O653">
        <v>56.456148466328216</v>
      </c>
      <c r="P653">
        <v>0.35</v>
      </c>
    </row>
    <row r="654" spans="1:16" x14ac:dyDescent="0.25">
      <c r="A654" t="s">
        <v>81</v>
      </c>
      <c r="F654">
        <v>0.76258101851851856</v>
      </c>
      <c r="G654" t="s">
        <v>231</v>
      </c>
      <c r="H654">
        <v>0</v>
      </c>
      <c r="I654">
        <v>0.86</v>
      </c>
      <c r="J654" t="s">
        <v>232</v>
      </c>
      <c r="K654" t="s">
        <v>27</v>
      </c>
      <c r="L654">
        <v>6797665.5</v>
      </c>
      <c r="M654">
        <v>1</v>
      </c>
      <c r="N654">
        <v>115258.281</v>
      </c>
      <c r="O654">
        <v>58.977675538992287</v>
      </c>
      <c r="P654">
        <v>0.35</v>
      </c>
    </row>
    <row r="655" spans="1:16" x14ac:dyDescent="0.25">
      <c r="A655" t="s">
        <v>82</v>
      </c>
      <c r="F655">
        <v>0.76454861111111105</v>
      </c>
      <c r="G655" t="s">
        <v>231</v>
      </c>
      <c r="H655">
        <v>0</v>
      </c>
      <c r="I655">
        <v>0.85</v>
      </c>
      <c r="J655" t="s">
        <v>232</v>
      </c>
      <c r="K655" t="s">
        <v>27</v>
      </c>
      <c r="L655">
        <v>7261973.5</v>
      </c>
      <c r="M655">
        <v>1</v>
      </c>
      <c r="N655">
        <v>114999.148</v>
      </c>
      <c r="O655">
        <v>63.148063496957384</v>
      </c>
      <c r="P655">
        <v>0.34</v>
      </c>
    </row>
    <row r="656" spans="1:16" x14ac:dyDescent="0.25">
      <c r="A656" t="s">
        <v>83</v>
      </c>
      <c r="F656">
        <v>0.38540509259259265</v>
      </c>
      <c r="G656" t="s">
        <v>231</v>
      </c>
      <c r="H656">
        <v>0</v>
      </c>
      <c r="I656">
        <v>0.85</v>
      </c>
      <c r="J656" t="s">
        <v>232</v>
      </c>
      <c r="K656" t="s">
        <v>27</v>
      </c>
      <c r="L656">
        <v>3753721.75</v>
      </c>
      <c r="M656">
        <v>1</v>
      </c>
      <c r="N656">
        <v>55215.141000000003</v>
      </c>
      <c r="O656">
        <v>67.983558169307216</v>
      </c>
      <c r="P656">
        <v>0.35</v>
      </c>
    </row>
    <row r="657" spans="1:19" x14ac:dyDescent="0.25">
      <c r="A657" t="s">
        <v>84</v>
      </c>
      <c r="F657">
        <v>0.38807870370370368</v>
      </c>
      <c r="G657" t="s">
        <v>231</v>
      </c>
      <c r="H657">
        <v>0</v>
      </c>
      <c r="I657">
        <v>0.86</v>
      </c>
      <c r="J657" t="s">
        <v>232</v>
      </c>
      <c r="K657" t="s">
        <v>27</v>
      </c>
      <c r="L657">
        <v>3609858.75</v>
      </c>
      <c r="M657">
        <v>1</v>
      </c>
      <c r="N657">
        <v>78189.125</v>
      </c>
      <c r="O657">
        <v>46.168297061771696</v>
      </c>
      <c r="P657">
        <v>0.35</v>
      </c>
    </row>
    <row r="658" spans="1:19" x14ac:dyDescent="0.25">
      <c r="A658" s="2" t="s">
        <v>85</v>
      </c>
      <c r="B658" s="2"/>
      <c r="C658" s="2"/>
      <c r="D658" s="2"/>
      <c r="E658" s="2"/>
      <c r="F658" s="2">
        <v>0.38995370370370369</v>
      </c>
      <c r="G658" s="2" t="s">
        <v>231</v>
      </c>
      <c r="H658" s="2">
        <v>0</v>
      </c>
      <c r="I658" s="2">
        <v>0.86</v>
      </c>
      <c r="J658" s="2" t="s">
        <v>232</v>
      </c>
      <c r="K658" s="2" t="s">
        <v>27</v>
      </c>
      <c r="L658" s="2">
        <v>3898634</v>
      </c>
      <c r="M658" s="2">
        <v>1</v>
      </c>
      <c r="N658" s="2">
        <v>98311.702999999994</v>
      </c>
      <c r="O658" s="2">
        <v>39.655848500559493</v>
      </c>
      <c r="P658" s="2">
        <v>0.35</v>
      </c>
      <c r="Q658" s="2"/>
      <c r="R658" s="2"/>
      <c r="S658" s="2"/>
    </row>
    <row r="659" spans="1:19" x14ac:dyDescent="0.25">
      <c r="A659" s="2" t="s">
        <v>86</v>
      </c>
      <c r="B659" s="2"/>
      <c r="C659" s="2"/>
      <c r="D659" s="2"/>
      <c r="E659" s="2"/>
      <c r="F659" s="2">
        <v>0.39181712962962961</v>
      </c>
      <c r="G659" s="2" t="s">
        <v>231</v>
      </c>
      <c r="H659" s="2">
        <v>0</v>
      </c>
      <c r="I659" s="2">
        <v>0.85</v>
      </c>
      <c r="J659" s="2" t="s">
        <v>232</v>
      </c>
      <c r="K659" s="2" t="s">
        <v>27</v>
      </c>
      <c r="L659" s="2">
        <v>4099945</v>
      </c>
      <c r="M659" s="2">
        <v>1</v>
      </c>
      <c r="N659" s="2">
        <v>82892.577999999994</v>
      </c>
      <c r="O659" s="2">
        <v>49.46094208820481</v>
      </c>
      <c r="P659" s="2">
        <v>0.34</v>
      </c>
      <c r="Q659" s="2"/>
      <c r="R659" s="2"/>
      <c r="S659" s="2"/>
    </row>
    <row r="660" spans="1:19" x14ac:dyDescent="0.25">
      <c r="A660" t="s">
        <v>87</v>
      </c>
      <c r="F660">
        <v>0.39369212962962963</v>
      </c>
      <c r="G660" t="s">
        <v>231</v>
      </c>
      <c r="H660">
        <v>0</v>
      </c>
      <c r="I660">
        <v>0.85</v>
      </c>
      <c r="J660" t="s">
        <v>232</v>
      </c>
      <c r="K660" t="s">
        <v>27</v>
      </c>
      <c r="L660">
        <v>3381675</v>
      </c>
      <c r="M660">
        <v>1</v>
      </c>
      <c r="N660">
        <v>80402.695000000007</v>
      </c>
      <c r="O660">
        <v>42.059224507337717</v>
      </c>
      <c r="P660">
        <v>0.35</v>
      </c>
    </row>
    <row r="661" spans="1:19" x14ac:dyDescent="0.25">
      <c r="A661" t="s">
        <v>88</v>
      </c>
      <c r="F661">
        <v>0.3955555555555556</v>
      </c>
      <c r="G661" t="s">
        <v>231</v>
      </c>
      <c r="H661">
        <v>0</v>
      </c>
      <c r="I661">
        <v>0.85</v>
      </c>
      <c r="J661" t="s">
        <v>232</v>
      </c>
      <c r="K661" t="s">
        <v>27</v>
      </c>
      <c r="L661">
        <v>3468050.25</v>
      </c>
      <c r="M661">
        <v>1</v>
      </c>
      <c r="N661">
        <v>74213.108999999997</v>
      </c>
      <c r="O661">
        <v>46.730965684243202</v>
      </c>
      <c r="P661">
        <v>0.35</v>
      </c>
    </row>
    <row r="662" spans="1:19" x14ac:dyDescent="0.25">
      <c r="A662" t="s">
        <v>89</v>
      </c>
      <c r="F662">
        <v>0.39743055555555556</v>
      </c>
      <c r="G662" t="s">
        <v>231</v>
      </c>
      <c r="H662">
        <v>0</v>
      </c>
      <c r="I662">
        <v>0.86</v>
      </c>
      <c r="J662" t="s">
        <v>232</v>
      </c>
      <c r="K662" t="s">
        <v>27</v>
      </c>
      <c r="L662">
        <v>4112452</v>
      </c>
      <c r="M662">
        <v>1</v>
      </c>
      <c r="N662">
        <v>79356.687999999995</v>
      </c>
      <c r="O662">
        <v>51.822374441836587</v>
      </c>
      <c r="P662">
        <v>0.34</v>
      </c>
    </row>
    <row r="663" spans="1:19" x14ac:dyDescent="0.25">
      <c r="A663" t="s">
        <v>90</v>
      </c>
      <c r="F663">
        <v>0.39930555555555558</v>
      </c>
      <c r="G663" t="s">
        <v>231</v>
      </c>
      <c r="H663">
        <v>0</v>
      </c>
      <c r="I663">
        <v>0.85</v>
      </c>
      <c r="J663" t="s">
        <v>232</v>
      </c>
      <c r="K663" t="s">
        <v>27</v>
      </c>
      <c r="L663">
        <v>4107332</v>
      </c>
      <c r="M663">
        <v>1</v>
      </c>
      <c r="N663">
        <v>80031.358999999997</v>
      </c>
      <c r="O663">
        <v>51.321532600739673</v>
      </c>
      <c r="P663">
        <v>0.35</v>
      </c>
    </row>
    <row r="664" spans="1:19" x14ac:dyDescent="0.25">
      <c r="A664" t="s">
        <v>91</v>
      </c>
      <c r="F664">
        <v>0.40116898148148145</v>
      </c>
      <c r="G664" t="s">
        <v>231</v>
      </c>
      <c r="H664">
        <v>0</v>
      </c>
      <c r="I664">
        <v>0.87</v>
      </c>
      <c r="J664" t="s">
        <v>232</v>
      </c>
      <c r="K664" t="s">
        <v>27</v>
      </c>
      <c r="L664">
        <v>214653.109</v>
      </c>
      <c r="M664">
        <v>1</v>
      </c>
      <c r="N664">
        <v>104.651</v>
      </c>
      <c r="O664">
        <v>2051.1328988733985</v>
      </c>
      <c r="P664">
        <v>0.32</v>
      </c>
    </row>
    <row r="665" spans="1:19" x14ac:dyDescent="0.25">
      <c r="A665" t="s">
        <v>92</v>
      </c>
      <c r="F665">
        <v>0.4031481481481482</v>
      </c>
      <c r="G665" t="s">
        <v>231</v>
      </c>
      <c r="H665">
        <v>0</v>
      </c>
      <c r="I665">
        <v>0.85</v>
      </c>
      <c r="J665" t="s">
        <v>232</v>
      </c>
      <c r="K665" t="s">
        <v>27</v>
      </c>
      <c r="L665">
        <v>150376.92199999999</v>
      </c>
      <c r="M665">
        <v>1</v>
      </c>
      <c r="N665">
        <v>54.768000000000001</v>
      </c>
      <c r="O665">
        <v>2745.7077490505403</v>
      </c>
      <c r="P665">
        <v>0.32</v>
      </c>
    </row>
    <row r="666" spans="1:19" x14ac:dyDescent="0.25">
      <c r="A666" t="s">
        <v>93</v>
      </c>
      <c r="F666">
        <v>0.40502314814814816</v>
      </c>
      <c r="G666" t="s">
        <v>231</v>
      </c>
      <c r="H666">
        <v>0</v>
      </c>
      <c r="I666">
        <v>0.86</v>
      </c>
      <c r="J666" t="s">
        <v>232</v>
      </c>
      <c r="K666" t="s">
        <v>27</v>
      </c>
      <c r="L666">
        <v>7038378</v>
      </c>
      <c r="M666">
        <v>1</v>
      </c>
      <c r="N666">
        <v>86940.445000000007</v>
      </c>
      <c r="O666">
        <v>80.956314405798125</v>
      </c>
      <c r="P666">
        <v>0.35</v>
      </c>
    </row>
    <row r="667" spans="1:19" x14ac:dyDescent="0.25">
      <c r="A667" t="s">
        <v>94</v>
      </c>
      <c r="F667">
        <v>0.40701388888888884</v>
      </c>
      <c r="G667" t="s">
        <v>231</v>
      </c>
      <c r="H667">
        <v>0</v>
      </c>
      <c r="I667">
        <v>0.85</v>
      </c>
      <c r="J667" t="s">
        <v>232</v>
      </c>
      <c r="K667" t="s">
        <v>27</v>
      </c>
      <c r="L667">
        <v>7431265.5</v>
      </c>
      <c r="M667">
        <v>1</v>
      </c>
      <c r="N667">
        <v>85609.616999999998</v>
      </c>
      <c r="O667">
        <v>86.804097021015764</v>
      </c>
      <c r="P667">
        <v>0.35</v>
      </c>
    </row>
    <row r="668" spans="1:19" x14ac:dyDescent="0.25">
      <c r="A668" t="s">
        <v>95</v>
      </c>
      <c r="F668">
        <v>0.40896990740740741</v>
      </c>
      <c r="G668" t="s">
        <v>231</v>
      </c>
      <c r="H668">
        <v>0</v>
      </c>
      <c r="I668">
        <v>0.85</v>
      </c>
      <c r="J668" t="s">
        <v>232</v>
      </c>
      <c r="K668" t="s">
        <v>27</v>
      </c>
      <c r="L668">
        <v>7183854</v>
      </c>
      <c r="M668">
        <v>1</v>
      </c>
      <c r="N668">
        <v>85459.241999999998</v>
      </c>
      <c r="O668">
        <v>84.061756597373048</v>
      </c>
      <c r="P668">
        <v>0.34</v>
      </c>
    </row>
    <row r="669" spans="1:19" x14ac:dyDescent="0.25">
      <c r="A669" t="s">
        <v>96</v>
      </c>
      <c r="F669">
        <v>0.41090277777777778</v>
      </c>
      <c r="G669" t="s">
        <v>231</v>
      </c>
      <c r="H669">
        <v>0</v>
      </c>
      <c r="I669">
        <v>0.85</v>
      </c>
      <c r="J669" t="s">
        <v>232</v>
      </c>
      <c r="K669" t="s">
        <v>27</v>
      </c>
      <c r="L669">
        <v>7112215.5</v>
      </c>
      <c r="M669">
        <v>1</v>
      </c>
      <c r="N669">
        <v>86220.406000000003</v>
      </c>
      <c r="O669">
        <v>82.488773017375948</v>
      </c>
      <c r="P669">
        <v>0.34</v>
      </c>
    </row>
    <row r="670" spans="1:19" x14ac:dyDescent="0.25">
      <c r="A670" t="s">
        <v>97</v>
      </c>
      <c r="F670">
        <v>0.4127662037037037</v>
      </c>
      <c r="G670" t="s">
        <v>231</v>
      </c>
      <c r="H670">
        <v>0</v>
      </c>
      <c r="I670">
        <v>0.85</v>
      </c>
      <c r="J670" t="s">
        <v>232</v>
      </c>
      <c r="K670" t="s">
        <v>27</v>
      </c>
      <c r="L670">
        <v>7799323.5</v>
      </c>
      <c r="M670">
        <v>1</v>
      </c>
      <c r="N670">
        <v>87941.781000000003</v>
      </c>
      <c r="O670">
        <v>88.687349872980164</v>
      </c>
      <c r="P670">
        <v>0.35</v>
      </c>
    </row>
    <row r="671" spans="1:19" x14ac:dyDescent="0.25">
      <c r="A671" t="s">
        <v>98</v>
      </c>
      <c r="F671">
        <v>0.41465277777777776</v>
      </c>
      <c r="G671" t="s">
        <v>231</v>
      </c>
      <c r="H671">
        <v>0</v>
      </c>
      <c r="I671">
        <v>0.85</v>
      </c>
      <c r="J671" t="s">
        <v>232</v>
      </c>
      <c r="K671" t="s">
        <v>27</v>
      </c>
      <c r="L671">
        <v>7728413.5</v>
      </c>
      <c r="M671">
        <v>1</v>
      </c>
      <c r="N671">
        <v>93537.976999999999</v>
      </c>
      <c r="O671">
        <v>82.623269690769561</v>
      </c>
      <c r="P671">
        <v>0.35</v>
      </c>
    </row>
    <row r="672" spans="1:19" x14ac:dyDescent="0.25">
      <c r="A672" t="s">
        <v>99</v>
      </c>
      <c r="F672">
        <v>0.41651620370370374</v>
      </c>
      <c r="G672" t="s">
        <v>231</v>
      </c>
      <c r="H672">
        <v>0</v>
      </c>
      <c r="I672">
        <v>0.86</v>
      </c>
      <c r="J672" t="s">
        <v>232</v>
      </c>
      <c r="K672" t="s">
        <v>27</v>
      </c>
      <c r="L672">
        <v>7568288.5</v>
      </c>
      <c r="M672">
        <v>1</v>
      </c>
      <c r="N672">
        <v>86879.258000000002</v>
      </c>
      <c r="O672">
        <v>87.112720276685607</v>
      </c>
      <c r="P672">
        <v>0.34</v>
      </c>
    </row>
    <row r="673" spans="1:16" x14ac:dyDescent="0.25">
      <c r="A673" t="s">
        <v>100</v>
      </c>
      <c r="F673">
        <v>0.41849537037037038</v>
      </c>
      <c r="G673" t="s">
        <v>231</v>
      </c>
      <c r="H673">
        <v>0</v>
      </c>
      <c r="I673">
        <v>0.85</v>
      </c>
      <c r="J673" t="s">
        <v>232</v>
      </c>
      <c r="K673" t="s">
        <v>27</v>
      </c>
      <c r="L673">
        <v>7468518.5</v>
      </c>
      <c r="M673">
        <v>1</v>
      </c>
      <c r="N673">
        <v>85980.991999999998</v>
      </c>
      <c r="O673">
        <v>86.862436990724646</v>
      </c>
      <c r="P673">
        <v>0.34</v>
      </c>
    </row>
    <row r="674" spans="1:16" x14ac:dyDescent="0.25">
      <c r="A674" t="s">
        <v>101</v>
      </c>
      <c r="F674">
        <v>0.42046296296296298</v>
      </c>
      <c r="G674" t="s">
        <v>231</v>
      </c>
      <c r="H674">
        <v>0</v>
      </c>
      <c r="I674">
        <v>0.85</v>
      </c>
      <c r="J674" t="s">
        <v>232</v>
      </c>
      <c r="K674" t="s">
        <v>27</v>
      </c>
      <c r="L674">
        <v>7171981</v>
      </c>
      <c r="M674">
        <v>1</v>
      </c>
      <c r="N674">
        <v>82045.156000000003</v>
      </c>
      <c r="O674">
        <v>87.415044954025078</v>
      </c>
      <c r="P674">
        <v>0.35</v>
      </c>
    </row>
    <row r="675" spans="1:16" x14ac:dyDescent="0.25">
      <c r="A675" t="s">
        <v>102</v>
      </c>
      <c r="F675">
        <v>0.4223263888888889</v>
      </c>
      <c r="G675" t="s">
        <v>231</v>
      </c>
      <c r="H675">
        <v>0</v>
      </c>
      <c r="I675">
        <v>0.85</v>
      </c>
      <c r="J675" t="s">
        <v>232</v>
      </c>
      <c r="K675" t="s">
        <v>27</v>
      </c>
      <c r="L675">
        <v>6924008.5</v>
      </c>
      <c r="M675">
        <v>1</v>
      </c>
      <c r="N675">
        <v>86455.312999999995</v>
      </c>
      <c r="O675">
        <v>80.087715372680449</v>
      </c>
      <c r="P675">
        <v>0.34</v>
      </c>
    </row>
    <row r="676" spans="1:16" x14ac:dyDescent="0.25">
      <c r="A676" t="s">
        <v>103</v>
      </c>
      <c r="F676">
        <v>0.42429398148148145</v>
      </c>
      <c r="G676" t="s">
        <v>231</v>
      </c>
      <c r="H676">
        <v>0</v>
      </c>
      <c r="I676">
        <v>0.85</v>
      </c>
      <c r="J676" t="s">
        <v>232</v>
      </c>
      <c r="K676" t="s">
        <v>27</v>
      </c>
      <c r="L676">
        <v>7541624.5</v>
      </c>
      <c r="M676">
        <v>1</v>
      </c>
      <c r="N676">
        <v>85804.358999999997</v>
      </c>
      <c r="O676">
        <v>87.893256099028719</v>
      </c>
      <c r="P676">
        <v>0.34</v>
      </c>
    </row>
    <row r="677" spans="1:16" x14ac:dyDescent="0.25">
      <c r="A677" t="s">
        <v>104</v>
      </c>
      <c r="F677">
        <v>0.42614583333333328</v>
      </c>
      <c r="G677" t="s">
        <v>231</v>
      </c>
      <c r="H677">
        <v>0</v>
      </c>
      <c r="I677">
        <v>0.85</v>
      </c>
      <c r="J677" t="s">
        <v>232</v>
      </c>
      <c r="K677" t="s">
        <v>27</v>
      </c>
      <c r="L677">
        <v>7255118</v>
      </c>
      <c r="M677">
        <v>1</v>
      </c>
      <c r="N677">
        <v>86476.241999999998</v>
      </c>
      <c r="O677">
        <v>83.897239660345093</v>
      </c>
      <c r="P677">
        <v>0.35</v>
      </c>
    </row>
    <row r="678" spans="1:16" x14ac:dyDescent="0.25">
      <c r="A678" t="s">
        <v>105</v>
      </c>
      <c r="F678">
        <v>0.42802083333333335</v>
      </c>
      <c r="G678" t="s">
        <v>231</v>
      </c>
      <c r="H678">
        <v>0</v>
      </c>
      <c r="I678">
        <v>0.85</v>
      </c>
      <c r="J678" t="s">
        <v>232</v>
      </c>
      <c r="K678" t="s">
        <v>27</v>
      </c>
      <c r="L678">
        <v>8013879.5</v>
      </c>
      <c r="M678">
        <v>1</v>
      </c>
      <c r="N678">
        <v>81312.297000000006</v>
      </c>
      <c r="O678">
        <v>98.556796396982847</v>
      </c>
      <c r="P678">
        <v>0.34</v>
      </c>
    </row>
    <row r="679" spans="1:16" x14ac:dyDescent="0.25">
      <c r="A679" t="s">
        <v>106</v>
      </c>
      <c r="F679">
        <v>0.43</v>
      </c>
      <c r="G679" t="s">
        <v>231</v>
      </c>
      <c r="H679">
        <v>0</v>
      </c>
      <c r="I679">
        <v>0.85</v>
      </c>
      <c r="J679" t="s">
        <v>232</v>
      </c>
      <c r="K679" t="s">
        <v>27</v>
      </c>
      <c r="L679">
        <v>7679273.5</v>
      </c>
      <c r="M679">
        <v>1</v>
      </c>
      <c r="N679">
        <v>84202.343999999997</v>
      </c>
      <c r="O679">
        <v>91.200234283264138</v>
      </c>
      <c r="P679">
        <v>0.34</v>
      </c>
    </row>
    <row r="680" spans="1:16" x14ac:dyDescent="0.25">
      <c r="A680" t="s">
        <v>107</v>
      </c>
      <c r="F680">
        <v>0.4319675925925926</v>
      </c>
      <c r="G680" t="s">
        <v>231</v>
      </c>
      <c r="H680">
        <v>0</v>
      </c>
      <c r="I680">
        <v>0.86</v>
      </c>
      <c r="J680" t="s">
        <v>232</v>
      </c>
      <c r="K680" t="s">
        <v>27</v>
      </c>
      <c r="L680">
        <v>7737553</v>
      </c>
      <c r="M680">
        <v>1</v>
      </c>
      <c r="N680">
        <v>83752.375</v>
      </c>
      <c r="O680">
        <v>92.386072633761131</v>
      </c>
      <c r="P680">
        <v>0.35</v>
      </c>
    </row>
    <row r="681" spans="1:16" x14ac:dyDescent="0.25">
      <c r="A681" t="s">
        <v>108</v>
      </c>
      <c r="F681">
        <v>0.4339351851851852</v>
      </c>
      <c r="G681" t="s">
        <v>231</v>
      </c>
      <c r="H681">
        <v>0</v>
      </c>
      <c r="I681">
        <v>0.85</v>
      </c>
      <c r="J681" t="s">
        <v>232</v>
      </c>
      <c r="K681" t="s">
        <v>27</v>
      </c>
      <c r="L681">
        <v>7579576</v>
      </c>
      <c r="M681">
        <v>1</v>
      </c>
      <c r="N681">
        <v>87009.906000000003</v>
      </c>
      <c r="O681">
        <v>87.111644506316324</v>
      </c>
      <c r="P681">
        <v>0.34</v>
      </c>
    </row>
    <row r="682" spans="1:16" x14ac:dyDescent="0.25">
      <c r="A682" t="s">
        <v>109</v>
      </c>
      <c r="F682">
        <v>0.43590277777777775</v>
      </c>
      <c r="G682" t="s">
        <v>231</v>
      </c>
      <c r="H682">
        <v>0</v>
      </c>
      <c r="I682">
        <v>0.85</v>
      </c>
      <c r="J682" t="s">
        <v>232</v>
      </c>
      <c r="K682" t="s">
        <v>27</v>
      </c>
      <c r="L682">
        <v>7738792</v>
      </c>
      <c r="M682">
        <v>1</v>
      </c>
      <c r="N682">
        <v>84301.804999999993</v>
      </c>
      <c r="O682">
        <v>91.798651286292156</v>
      </c>
      <c r="P682">
        <v>0.34</v>
      </c>
    </row>
    <row r="683" spans="1:16" x14ac:dyDescent="0.25">
      <c r="A683" t="s">
        <v>110</v>
      </c>
      <c r="F683">
        <v>0.43787037037037035</v>
      </c>
      <c r="G683" t="s">
        <v>231</v>
      </c>
      <c r="H683">
        <v>0</v>
      </c>
      <c r="I683">
        <v>0.85</v>
      </c>
      <c r="J683" t="s">
        <v>232</v>
      </c>
      <c r="K683" t="s">
        <v>27</v>
      </c>
      <c r="L683">
        <v>7495400.5</v>
      </c>
      <c r="M683">
        <v>1</v>
      </c>
      <c r="N683">
        <v>87135.851999999999</v>
      </c>
      <c r="O683">
        <v>86.019707479304842</v>
      </c>
      <c r="P683">
        <v>0.35</v>
      </c>
    </row>
    <row r="684" spans="1:16" x14ac:dyDescent="0.25">
      <c r="A684" t="s">
        <v>111</v>
      </c>
      <c r="F684">
        <v>0.43983796296296296</v>
      </c>
      <c r="G684" t="s">
        <v>231</v>
      </c>
      <c r="H684">
        <v>0</v>
      </c>
      <c r="I684">
        <v>0.85</v>
      </c>
      <c r="J684" t="s">
        <v>232</v>
      </c>
      <c r="K684" t="s">
        <v>27</v>
      </c>
      <c r="L684">
        <v>7602247.5</v>
      </c>
      <c r="M684">
        <v>1</v>
      </c>
      <c r="N684">
        <v>88461.593999999997</v>
      </c>
      <c r="O684">
        <v>85.938396045633098</v>
      </c>
      <c r="P684">
        <v>0.35</v>
      </c>
    </row>
    <row r="685" spans="1:16" x14ac:dyDescent="0.25">
      <c r="A685" t="s">
        <v>112</v>
      </c>
      <c r="F685">
        <v>0.44180555555555556</v>
      </c>
      <c r="G685" t="s">
        <v>231</v>
      </c>
      <c r="H685">
        <v>0</v>
      </c>
      <c r="I685">
        <v>0.85</v>
      </c>
      <c r="J685" t="s">
        <v>232</v>
      </c>
      <c r="K685" t="s">
        <v>27</v>
      </c>
      <c r="L685">
        <v>7060390</v>
      </c>
      <c r="M685">
        <v>1</v>
      </c>
      <c r="N685">
        <v>96436.241999999998</v>
      </c>
      <c r="O685">
        <v>73.213035406336132</v>
      </c>
      <c r="P685">
        <v>0.35</v>
      </c>
    </row>
    <row r="686" spans="1:16" x14ac:dyDescent="0.25">
      <c r="A686" t="s">
        <v>113</v>
      </c>
      <c r="F686">
        <v>0.44377314814814817</v>
      </c>
      <c r="G686" t="s">
        <v>231</v>
      </c>
      <c r="H686">
        <v>0</v>
      </c>
      <c r="I686">
        <v>0.85</v>
      </c>
      <c r="J686" t="s">
        <v>232</v>
      </c>
      <c r="K686" t="s">
        <v>27</v>
      </c>
      <c r="L686">
        <v>7598068</v>
      </c>
      <c r="M686">
        <v>1</v>
      </c>
      <c r="N686">
        <v>86018.039000000004</v>
      </c>
      <c r="O686">
        <v>88.331099945210326</v>
      </c>
      <c r="P686">
        <v>0.35</v>
      </c>
    </row>
    <row r="687" spans="1:16" x14ac:dyDescent="0.25">
      <c r="A687" t="s">
        <v>114</v>
      </c>
      <c r="F687">
        <v>0.44574074074074077</v>
      </c>
      <c r="G687" t="s">
        <v>231</v>
      </c>
      <c r="H687">
        <v>0</v>
      </c>
      <c r="I687">
        <v>0.85</v>
      </c>
      <c r="J687" t="s">
        <v>232</v>
      </c>
      <c r="K687" t="s">
        <v>27</v>
      </c>
      <c r="L687">
        <v>7428927</v>
      </c>
      <c r="M687">
        <v>1</v>
      </c>
      <c r="N687">
        <v>85403.312999999995</v>
      </c>
      <c r="O687">
        <v>86.986402974788589</v>
      </c>
      <c r="P687">
        <v>0.35</v>
      </c>
    </row>
    <row r="688" spans="1:16" x14ac:dyDescent="0.25">
      <c r="A688" t="s">
        <v>115</v>
      </c>
      <c r="F688">
        <v>0.44769675925925928</v>
      </c>
      <c r="G688" t="s">
        <v>231</v>
      </c>
      <c r="H688">
        <v>0</v>
      </c>
      <c r="I688">
        <v>0.85</v>
      </c>
      <c r="J688" t="s">
        <v>232</v>
      </c>
      <c r="K688" t="s">
        <v>27</v>
      </c>
      <c r="L688">
        <v>7360907</v>
      </c>
      <c r="M688">
        <v>1</v>
      </c>
      <c r="N688">
        <v>90109.843999999997</v>
      </c>
      <c r="O688">
        <v>81.688156068719863</v>
      </c>
      <c r="P688">
        <v>0.35</v>
      </c>
    </row>
    <row r="689" spans="1:19" x14ac:dyDescent="0.25">
      <c r="A689" t="s">
        <v>116</v>
      </c>
      <c r="F689">
        <v>0.44966435185185188</v>
      </c>
      <c r="G689" t="s">
        <v>231</v>
      </c>
      <c r="H689">
        <v>0</v>
      </c>
      <c r="I689">
        <v>0.85</v>
      </c>
      <c r="J689" t="s">
        <v>232</v>
      </c>
      <c r="K689" t="s">
        <v>27</v>
      </c>
      <c r="L689">
        <v>7134482.5</v>
      </c>
      <c r="M689">
        <v>1</v>
      </c>
      <c r="N689">
        <v>88435.773000000001</v>
      </c>
      <c r="O689">
        <v>80.674169037907319</v>
      </c>
      <c r="P689">
        <v>0.34</v>
      </c>
    </row>
    <row r="690" spans="1:19" x14ac:dyDescent="0.25">
      <c r="A690" s="2" t="s">
        <v>117</v>
      </c>
      <c r="B690" s="2"/>
      <c r="C690" s="2"/>
      <c r="D690" s="2"/>
      <c r="E690" s="2"/>
      <c r="F690" s="2">
        <v>0.45163194444444449</v>
      </c>
      <c r="G690" s="2" t="s">
        <v>231</v>
      </c>
      <c r="H690" s="2">
        <v>0</v>
      </c>
      <c r="I690" s="2">
        <v>0.85</v>
      </c>
      <c r="J690" s="2" t="s">
        <v>232</v>
      </c>
      <c r="K690" s="2" t="s">
        <v>27</v>
      </c>
      <c r="L690" s="2">
        <v>7949448.5</v>
      </c>
      <c r="M690" s="2">
        <v>1</v>
      </c>
      <c r="N690" s="2">
        <v>84868.437999999995</v>
      </c>
      <c r="O690" s="2">
        <v>93.667901605541516</v>
      </c>
      <c r="P690" s="2">
        <v>0.35</v>
      </c>
      <c r="Q690" s="2"/>
      <c r="R690" s="2"/>
      <c r="S690" s="2"/>
    </row>
    <row r="691" spans="1:19" x14ac:dyDescent="0.25">
      <c r="A691" s="2" t="s">
        <v>118</v>
      </c>
      <c r="B691" s="2"/>
      <c r="C691" s="2"/>
      <c r="D691" s="2"/>
      <c r="E691" s="2"/>
      <c r="F691" s="2">
        <v>0.45359953703703698</v>
      </c>
      <c r="G691" s="2" t="s">
        <v>231</v>
      </c>
      <c r="H691" s="2">
        <v>0</v>
      </c>
      <c r="I691" s="2">
        <v>0.86</v>
      </c>
      <c r="J691" s="2" t="s">
        <v>232</v>
      </c>
      <c r="K691" s="2" t="s">
        <v>27</v>
      </c>
      <c r="L691" s="2">
        <v>7871063.5</v>
      </c>
      <c r="M691" s="2">
        <v>1</v>
      </c>
      <c r="N691" s="2">
        <v>85751.210999999996</v>
      </c>
      <c r="O691" s="2">
        <v>91.789531695359969</v>
      </c>
      <c r="P691" s="2">
        <v>0.34</v>
      </c>
      <c r="Q691" s="2"/>
      <c r="R691" s="2"/>
      <c r="S691" s="2"/>
    </row>
    <row r="692" spans="1:19" x14ac:dyDescent="0.25">
      <c r="A692" t="s">
        <v>119</v>
      </c>
      <c r="F692">
        <v>0.45555555555555555</v>
      </c>
      <c r="G692" t="s">
        <v>231</v>
      </c>
      <c r="H692">
        <v>0</v>
      </c>
      <c r="I692">
        <v>0.85</v>
      </c>
      <c r="J692" t="s">
        <v>232</v>
      </c>
      <c r="K692" t="s">
        <v>27</v>
      </c>
      <c r="L692">
        <v>6455274</v>
      </c>
      <c r="M692">
        <v>1</v>
      </c>
      <c r="N692">
        <v>86068.866999999998</v>
      </c>
      <c r="O692">
        <v>75.001266137266569</v>
      </c>
      <c r="P692">
        <v>0.36</v>
      </c>
    </row>
    <row r="693" spans="1:19" x14ac:dyDescent="0.25">
      <c r="A693" t="s">
        <v>120</v>
      </c>
      <c r="F693">
        <v>0.45753472222222219</v>
      </c>
      <c r="G693" t="s">
        <v>231</v>
      </c>
      <c r="H693">
        <v>0</v>
      </c>
      <c r="I693">
        <v>0.85</v>
      </c>
      <c r="J693" t="s">
        <v>232</v>
      </c>
      <c r="K693" t="s">
        <v>27</v>
      </c>
      <c r="L693">
        <v>6588112.5</v>
      </c>
      <c r="M693">
        <v>1</v>
      </c>
      <c r="N693">
        <v>86854.266000000003</v>
      </c>
      <c r="O693">
        <v>75.852491805065739</v>
      </c>
      <c r="P693">
        <v>0.34</v>
      </c>
    </row>
    <row r="694" spans="1:19" x14ac:dyDescent="0.25">
      <c r="A694" t="s">
        <v>121</v>
      </c>
      <c r="F694">
        <v>0.45950231481481479</v>
      </c>
      <c r="G694" t="s">
        <v>231</v>
      </c>
      <c r="H694">
        <v>0</v>
      </c>
      <c r="I694">
        <v>0.86</v>
      </c>
      <c r="J694" t="s">
        <v>232</v>
      </c>
      <c r="K694" t="s">
        <v>27</v>
      </c>
      <c r="L694">
        <v>8037529</v>
      </c>
      <c r="M694">
        <v>1</v>
      </c>
      <c r="N694">
        <v>83449.437999999995</v>
      </c>
      <c r="O694">
        <v>96.316154939233982</v>
      </c>
      <c r="P694">
        <v>0.35</v>
      </c>
    </row>
    <row r="695" spans="1:19" x14ac:dyDescent="0.25">
      <c r="A695" t="s">
        <v>122</v>
      </c>
      <c r="F695">
        <v>0.4614583333333333</v>
      </c>
      <c r="G695" t="s">
        <v>231</v>
      </c>
      <c r="H695">
        <v>0</v>
      </c>
      <c r="I695">
        <v>0.85</v>
      </c>
      <c r="J695" t="s">
        <v>232</v>
      </c>
      <c r="K695" t="s">
        <v>27</v>
      </c>
      <c r="L695">
        <v>6958334.5</v>
      </c>
      <c r="M695">
        <v>1</v>
      </c>
      <c r="N695">
        <v>84800.164000000004</v>
      </c>
      <c r="O695">
        <v>82.05567267535001</v>
      </c>
      <c r="P695">
        <v>0.35</v>
      </c>
    </row>
    <row r="696" spans="1:19" x14ac:dyDescent="0.25">
      <c r="A696" t="s">
        <v>123</v>
      </c>
      <c r="F696">
        <v>0.46342592592592591</v>
      </c>
      <c r="G696" t="s">
        <v>231</v>
      </c>
      <c r="H696">
        <v>0</v>
      </c>
      <c r="I696">
        <v>0.85</v>
      </c>
      <c r="J696" t="s">
        <v>232</v>
      </c>
      <c r="K696" t="s">
        <v>27</v>
      </c>
      <c r="L696">
        <v>273546.28100000002</v>
      </c>
      <c r="M696">
        <v>1</v>
      </c>
      <c r="N696">
        <v>48.820999999999998</v>
      </c>
      <c r="O696">
        <v>5603.0454312693319</v>
      </c>
      <c r="P696">
        <v>0.32</v>
      </c>
    </row>
    <row r="697" spans="1:19" x14ac:dyDescent="0.25">
      <c r="A697" t="s">
        <v>124</v>
      </c>
      <c r="F697">
        <v>0.46538194444444447</v>
      </c>
      <c r="G697" t="s">
        <v>231</v>
      </c>
      <c r="H697">
        <v>0</v>
      </c>
      <c r="I697">
        <v>0.85</v>
      </c>
      <c r="J697" t="s">
        <v>232</v>
      </c>
      <c r="K697" t="s">
        <v>27</v>
      </c>
      <c r="L697">
        <v>228989.93799999999</v>
      </c>
      <c r="M697">
        <v>1</v>
      </c>
      <c r="N697">
        <v>108.077</v>
      </c>
      <c r="O697">
        <v>2118.7666015896075</v>
      </c>
      <c r="P697">
        <v>0.33</v>
      </c>
    </row>
    <row r="698" spans="1:19" x14ac:dyDescent="0.25">
      <c r="A698" t="s">
        <v>125</v>
      </c>
      <c r="F698">
        <v>0.46722222222222221</v>
      </c>
      <c r="G698" t="s">
        <v>231</v>
      </c>
      <c r="H698">
        <v>0</v>
      </c>
      <c r="I698">
        <v>0.85</v>
      </c>
      <c r="J698" t="s">
        <v>232</v>
      </c>
      <c r="K698" t="s">
        <v>27</v>
      </c>
      <c r="L698">
        <v>8266024.5</v>
      </c>
      <c r="M698">
        <v>1</v>
      </c>
      <c r="N698">
        <v>83808.866999999998</v>
      </c>
      <c r="O698">
        <v>98.62947437292047</v>
      </c>
      <c r="P698">
        <v>0.35</v>
      </c>
    </row>
    <row r="699" spans="1:19" x14ac:dyDescent="0.25">
      <c r="A699" t="s">
        <v>126</v>
      </c>
      <c r="F699">
        <v>0.46921296296296294</v>
      </c>
      <c r="G699" t="s">
        <v>231</v>
      </c>
      <c r="H699">
        <v>0</v>
      </c>
      <c r="I699">
        <v>0.85</v>
      </c>
      <c r="J699" t="s">
        <v>232</v>
      </c>
      <c r="K699" t="s">
        <v>27</v>
      </c>
      <c r="L699">
        <v>8389603</v>
      </c>
      <c r="M699">
        <v>1</v>
      </c>
      <c r="N699">
        <v>85237.375</v>
      </c>
      <c r="O699">
        <v>98.426341730960161</v>
      </c>
      <c r="P699">
        <v>0.34</v>
      </c>
    </row>
    <row r="700" spans="1:19" x14ac:dyDescent="0.25">
      <c r="A700" t="s">
        <v>127</v>
      </c>
      <c r="F700">
        <v>0.47106481481481483</v>
      </c>
      <c r="G700" t="s">
        <v>231</v>
      </c>
      <c r="H700">
        <v>0</v>
      </c>
      <c r="I700">
        <v>0.85</v>
      </c>
      <c r="J700" t="s">
        <v>232</v>
      </c>
      <c r="K700" t="s">
        <v>27</v>
      </c>
      <c r="L700">
        <v>8233518</v>
      </c>
      <c r="M700">
        <v>1</v>
      </c>
      <c r="N700">
        <v>85078.641000000003</v>
      </c>
      <c r="O700">
        <v>96.775382201979454</v>
      </c>
      <c r="P700">
        <v>0.34</v>
      </c>
    </row>
    <row r="701" spans="1:19" x14ac:dyDescent="0.25">
      <c r="A701" t="s">
        <v>128</v>
      </c>
      <c r="F701">
        <v>0.47292824074074075</v>
      </c>
      <c r="G701" t="s">
        <v>231</v>
      </c>
      <c r="H701">
        <v>0</v>
      </c>
      <c r="I701">
        <v>0.85</v>
      </c>
      <c r="J701" t="s">
        <v>232</v>
      </c>
      <c r="K701" t="s">
        <v>27</v>
      </c>
      <c r="L701">
        <v>8205198.5</v>
      </c>
      <c r="M701">
        <v>1</v>
      </c>
      <c r="N701">
        <v>85329.452999999994</v>
      </c>
      <c r="O701">
        <v>96.159042528961251</v>
      </c>
      <c r="P701">
        <v>0.35</v>
      </c>
    </row>
    <row r="702" spans="1:19" x14ac:dyDescent="0.25">
      <c r="A702" t="s">
        <v>129</v>
      </c>
      <c r="F702">
        <v>0.47480324074074076</v>
      </c>
      <c r="G702" t="s">
        <v>231</v>
      </c>
      <c r="H702">
        <v>0</v>
      </c>
      <c r="I702">
        <v>0.85</v>
      </c>
      <c r="J702" t="s">
        <v>232</v>
      </c>
      <c r="K702" t="s">
        <v>27</v>
      </c>
      <c r="L702">
        <v>8351152</v>
      </c>
      <c r="M702">
        <v>1</v>
      </c>
      <c r="N702">
        <v>90051.664000000004</v>
      </c>
      <c r="O702">
        <v>92.73734242156813</v>
      </c>
      <c r="P702">
        <v>0.34</v>
      </c>
    </row>
    <row r="703" spans="1:19" x14ac:dyDescent="0.25">
      <c r="A703" t="s">
        <v>130</v>
      </c>
      <c r="F703">
        <v>0.47667824074074078</v>
      </c>
      <c r="G703" t="s">
        <v>231</v>
      </c>
      <c r="H703">
        <v>0</v>
      </c>
      <c r="I703">
        <v>0.85</v>
      </c>
      <c r="J703" t="s">
        <v>232</v>
      </c>
      <c r="K703" t="s">
        <v>27</v>
      </c>
      <c r="L703">
        <v>8182811</v>
      </c>
      <c r="M703">
        <v>1</v>
      </c>
      <c r="N703">
        <v>85405.758000000002</v>
      </c>
      <c r="O703">
        <v>95.810999066362712</v>
      </c>
      <c r="P703">
        <v>0.35</v>
      </c>
    </row>
    <row r="704" spans="1:19" x14ac:dyDescent="0.25">
      <c r="A704" t="s">
        <v>131</v>
      </c>
      <c r="F704">
        <v>0.47855324074074074</v>
      </c>
      <c r="G704" t="s">
        <v>231</v>
      </c>
      <c r="H704">
        <v>0</v>
      </c>
      <c r="I704">
        <v>0.85</v>
      </c>
      <c r="J704" t="s">
        <v>232</v>
      </c>
      <c r="K704" t="s">
        <v>27</v>
      </c>
      <c r="L704">
        <v>8409370</v>
      </c>
      <c r="M704">
        <v>1</v>
      </c>
      <c r="N704">
        <v>83086.016000000003</v>
      </c>
      <c r="O704">
        <v>101.21282021754419</v>
      </c>
      <c r="P704">
        <v>0.35</v>
      </c>
    </row>
    <row r="705" spans="1:16" x14ac:dyDescent="0.25">
      <c r="A705" t="s">
        <v>132</v>
      </c>
      <c r="F705">
        <v>0.48041666666666666</v>
      </c>
      <c r="G705" t="s">
        <v>231</v>
      </c>
      <c r="H705">
        <v>0</v>
      </c>
      <c r="I705">
        <v>0.86</v>
      </c>
      <c r="J705" t="s">
        <v>232</v>
      </c>
      <c r="K705" t="s">
        <v>27</v>
      </c>
      <c r="L705">
        <v>8446845</v>
      </c>
      <c r="M705">
        <v>1</v>
      </c>
      <c r="N705">
        <v>83014.070000000007</v>
      </c>
      <c r="O705">
        <v>101.75196806999102</v>
      </c>
      <c r="P705">
        <v>0.35</v>
      </c>
    </row>
    <row r="706" spans="1:16" x14ac:dyDescent="0.25">
      <c r="A706" t="s">
        <v>133</v>
      </c>
      <c r="F706">
        <v>0.48230324074074077</v>
      </c>
      <c r="G706" t="s">
        <v>231</v>
      </c>
      <c r="H706">
        <v>0</v>
      </c>
      <c r="I706">
        <v>0.86</v>
      </c>
      <c r="J706" t="s">
        <v>232</v>
      </c>
      <c r="K706" t="s">
        <v>27</v>
      </c>
      <c r="L706">
        <v>8349647.5</v>
      </c>
      <c r="M706">
        <v>1</v>
      </c>
      <c r="N706">
        <v>82167.266000000003</v>
      </c>
      <c r="O706">
        <v>101.61768678052401</v>
      </c>
      <c r="P706">
        <v>0.35</v>
      </c>
    </row>
    <row r="707" spans="1:16" x14ac:dyDescent="0.25">
      <c r="A707" t="s">
        <v>134</v>
      </c>
      <c r="F707">
        <v>0.4841550925925926</v>
      </c>
      <c r="G707" t="s">
        <v>231</v>
      </c>
      <c r="H707">
        <v>0</v>
      </c>
      <c r="I707">
        <v>0.85</v>
      </c>
      <c r="J707" t="s">
        <v>232</v>
      </c>
      <c r="K707" t="s">
        <v>27</v>
      </c>
      <c r="L707">
        <v>8442359</v>
      </c>
      <c r="M707">
        <v>1</v>
      </c>
      <c r="N707">
        <v>83417.883000000002</v>
      </c>
      <c r="O707">
        <v>101.20562517751739</v>
      </c>
      <c r="P707">
        <v>0.35</v>
      </c>
    </row>
    <row r="708" spans="1:16" x14ac:dyDescent="0.25">
      <c r="A708" t="s">
        <v>135</v>
      </c>
      <c r="F708">
        <v>0.48603009259259261</v>
      </c>
      <c r="G708" t="s">
        <v>231</v>
      </c>
      <c r="H708">
        <v>0</v>
      </c>
      <c r="I708">
        <v>0.85</v>
      </c>
      <c r="J708" t="s">
        <v>232</v>
      </c>
      <c r="K708" t="s">
        <v>27</v>
      </c>
      <c r="L708">
        <v>8641797</v>
      </c>
      <c r="M708">
        <v>1</v>
      </c>
      <c r="N708">
        <v>84251.233999999997</v>
      </c>
      <c r="O708">
        <v>102.57175580360045</v>
      </c>
      <c r="P708">
        <v>0.35</v>
      </c>
    </row>
    <row r="709" spans="1:16" x14ac:dyDescent="0.25">
      <c r="A709" t="s">
        <v>136</v>
      </c>
      <c r="F709">
        <v>0.48789351851851853</v>
      </c>
      <c r="G709" t="s">
        <v>231</v>
      </c>
      <c r="H709">
        <v>0</v>
      </c>
      <c r="I709">
        <v>0.85</v>
      </c>
      <c r="J709" t="s">
        <v>232</v>
      </c>
      <c r="K709" t="s">
        <v>27</v>
      </c>
      <c r="L709">
        <v>8653288</v>
      </c>
      <c r="M709">
        <v>1</v>
      </c>
      <c r="N709">
        <v>85308.608999999997</v>
      </c>
      <c r="O709">
        <v>101.43510838396158</v>
      </c>
      <c r="P709">
        <v>0.35</v>
      </c>
    </row>
    <row r="710" spans="1:16" x14ac:dyDescent="0.25">
      <c r="A710" t="s">
        <v>137</v>
      </c>
      <c r="F710">
        <v>0.48976851851851855</v>
      </c>
      <c r="G710" t="s">
        <v>231</v>
      </c>
      <c r="H710">
        <v>0</v>
      </c>
      <c r="I710">
        <v>0.85</v>
      </c>
      <c r="J710" t="s">
        <v>232</v>
      </c>
      <c r="K710" t="s">
        <v>27</v>
      </c>
      <c r="L710">
        <v>8591359</v>
      </c>
      <c r="M710">
        <v>1</v>
      </c>
      <c r="N710">
        <v>84172.116999999998</v>
      </c>
      <c r="O710">
        <v>102.06894285431838</v>
      </c>
      <c r="P710">
        <v>0.34</v>
      </c>
    </row>
    <row r="711" spans="1:16" x14ac:dyDescent="0.25">
      <c r="A711" t="s">
        <v>138</v>
      </c>
      <c r="F711">
        <v>0.49164351851851856</v>
      </c>
      <c r="G711" t="s">
        <v>231</v>
      </c>
      <c r="H711">
        <v>0</v>
      </c>
      <c r="I711">
        <v>0.85</v>
      </c>
      <c r="J711" t="s">
        <v>232</v>
      </c>
      <c r="K711" t="s">
        <v>27</v>
      </c>
      <c r="L711">
        <v>8692912</v>
      </c>
      <c r="M711">
        <v>1</v>
      </c>
      <c r="N711">
        <v>82786.016000000003</v>
      </c>
      <c r="O711">
        <v>105.00459401259265</v>
      </c>
      <c r="P711">
        <v>0.34</v>
      </c>
    </row>
    <row r="712" spans="1:16" x14ac:dyDescent="0.25">
      <c r="A712" t="s">
        <v>139</v>
      </c>
      <c r="F712">
        <v>0.49353009259259256</v>
      </c>
      <c r="G712" t="s">
        <v>231</v>
      </c>
      <c r="H712">
        <v>0</v>
      </c>
      <c r="I712">
        <v>0.85</v>
      </c>
      <c r="J712" t="s">
        <v>232</v>
      </c>
      <c r="K712" t="s">
        <v>27</v>
      </c>
      <c r="L712">
        <v>8721557</v>
      </c>
      <c r="M712">
        <v>1</v>
      </c>
      <c r="N712">
        <v>84114.585999999996</v>
      </c>
      <c r="O712">
        <v>103.68661863234993</v>
      </c>
      <c r="P712">
        <v>0.35</v>
      </c>
    </row>
    <row r="713" spans="1:16" x14ac:dyDescent="0.25">
      <c r="A713" t="s">
        <v>140</v>
      </c>
      <c r="F713">
        <v>0.49538194444444444</v>
      </c>
      <c r="G713" t="s">
        <v>231</v>
      </c>
      <c r="H713">
        <v>0</v>
      </c>
      <c r="I713">
        <v>0.85</v>
      </c>
      <c r="J713" t="s">
        <v>232</v>
      </c>
      <c r="K713" t="s">
        <v>27</v>
      </c>
      <c r="L713">
        <v>8678857</v>
      </c>
      <c r="M713">
        <v>1</v>
      </c>
      <c r="N713">
        <v>82948.483999999997</v>
      </c>
      <c r="O713">
        <v>104.62948304154661</v>
      </c>
      <c r="P713">
        <v>0.34</v>
      </c>
    </row>
    <row r="714" spans="1:16" x14ac:dyDescent="0.25">
      <c r="A714" t="s">
        <v>141</v>
      </c>
      <c r="F714">
        <v>0.49726851851851855</v>
      </c>
      <c r="G714" t="s">
        <v>231</v>
      </c>
      <c r="H714">
        <v>0</v>
      </c>
      <c r="I714">
        <v>0.85</v>
      </c>
      <c r="J714" t="s">
        <v>232</v>
      </c>
      <c r="K714" t="s">
        <v>27</v>
      </c>
      <c r="L714">
        <v>8717407</v>
      </c>
      <c r="M714">
        <v>1</v>
      </c>
      <c r="N714">
        <v>84148.991999999998</v>
      </c>
      <c r="O714">
        <v>103.59490699543971</v>
      </c>
      <c r="P714">
        <v>0.34</v>
      </c>
    </row>
    <row r="715" spans="1:16" x14ac:dyDescent="0.25">
      <c r="A715" t="s">
        <v>142</v>
      </c>
      <c r="F715">
        <v>0.49912037037037038</v>
      </c>
      <c r="G715" t="s">
        <v>231</v>
      </c>
      <c r="H715">
        <v>0</v>
      </c>
      <c r="I715">
        <v>0.86</v>
      </c>
      <c r="J715" t="s">
        <v>232</v>
      </c>
      <c r="K715" t="s">
        <v>27</v>
      </c>
      <c r="L715">
        <v>8941946</v>
      </c>
      <c r="M715">
        <v>1</v>
      </c>
      <c r="N715">
        <v>87653.937999999995</v>
      </c>
      <c r="O715">
        <v>102.01419587104004</v>
      </c>
      <c r="P715">
        <v>0.34</v>
      </c>
    </row>
    <row r="716" spans="1:16" x14ac:dyDescent="0.25">
      <c r="A716" t="s">
        <v>143</v>
      </c>
      <c r="F716">
        <v>0.50100694444444438</v>
      </c>
      <c r="G716" t="s">
        <v>231</v>
      </c>
      <c r="H716">
        <v>0</v>
      </c>
      <c r="I716">
        <v>0.85</v>
      </c>
      <c r="J716" t="s">
        <v>232</v>
      </c>
      <c r="K716" t="s">
        <v>27</v>
      </c>
      <c r="L716">
        <v>8773828</v>
      </c>
      <c r="M716">
        <v>1</v>
      </c>
      <c r="N716">
        <v>87204.741999999998</v>
      </c>
      <c r="O716">
        <v>100.61182223324506</v>
      </c>
      <c r="P716">
        <v>0.34</v>
      </c>
    </row>
    <row r="717" spans="1:16" x14ac:dyDescent="0.25">
      <c r="A717" t="s">
        <v>144</v>
      </c>
      <c r="F717">
        <v>0.50298611111111113</v>
      </c>
      <c r="G717" t="s">
        <v>231</v>
      </c>
      <c r="H717">
        <v>0</v>
      </c>
      <c r="I717">
        <v>0.85</v>
      </c>
      <c r="J717" t="s">
        <v>232</v>
      </c>
      <c r="K717" t="s">
        <v>27</v>
      </c>
      <c r="L717">
        <v>8759205</v>
      </c>
      <c r="M717">
        <v>1</v>
      </c>
      <c r="N717">
        <v>86631.726999999999</v>
      </c>
      <c r="O717">
        <v>101.1085118965711</v>
      </c>
      <c r="P717">
        <v>0.34</v>
      </c>
    </row>
    <row r="718" spans="1:16" x14ac:dyDescent="0.25">
      <c r="A718" t="s">
        <v>145</v>
      </c>
      <c r="F718">
        <v>0.50496527777777778</v>
      </c>
      <c r="G718" t="s">
        <v>231</v>
      </c>
      <c r="H718">
        <v>0</v>
      </c>
      <c r="I718">
        <v>0.85</v>
      </c>
      <c r="J718" t="s">
        <v>232</v>
      </c>
      <c r="K718" t="s">
        <v>27</v>
      </c>
      <c r="L718">
        <v>8728866</v>
      </c>
      <c r="M718">
        <v>1</v>
      </c>
      <c r="N718">
        <v>79832.25</v>
      </c>
      <c r="O718">
        <v>109.34009751698092</v>
      </c>
      <c r="P718">
        <v>0.35</v>
      </c>
    </row>
    <row r="719" spans="1:16" x14ac:dyDescent="0.25">
      <c r="A719" t="s">
        <v>146</v>
      </c>
      <c r="F719">
        <v>0.50692129629629623</v>
      </c>
      <c r="G719" t="s">
        <v>231</v>
      </c>
      <c r="H719">
        <v>0</v>
      </c>
      <c r="I719">
        <v>0.85</v>
      </c>
      <c r="J719" t="s">
        <v>232</v>
      </c>
      <c r="K719" t="s">
        <v>27</v>
      </c>
      <c r="L719">
        <v>8797131</v>
      </c>
      <c r="M719">
        <v>1</v>
      </c>
      <c r="N719">
        <v>86690.491999999998</v>
      </c>
      <c r="O719">
        <v>101.47746075774954</v>
      </c>
      <c r="P719">
        <v>0.35</v>
      </c>
    </row>
    <row r="720" spans="1:16" x14ac:dyDescent="0.25">
      <c r="A720" t="s">
        <v>147</v>
      </c>
      <c r="F720">
        <v>0.5088773148148148</v>
      </c>
      <c r="G720" t="s">
        <v>231</v>
      </c>
      <c r="H720">
        <v>0</v>
      </c>
      <c r="I720">
        <v>0.85</v>
      </c>
      <c r="J720" t="s">
        <v>232</v>
      </c>
      <c r="K720" t="s">
        <v>27</v>
      </c>
      <c r="L720">
        <v>8327950</v>
      </c>
      <c r="M720">
        <v>1</v>
      </c>
      <c r="N720">
        <v>88469.531000000003</v>
      </c>
      <c r="O720">
        <v>94.133538472132287</v>
      </c>
      <c r="P720">
        <v>0.35</v>
      </c>
    </row>
    <row r="721" spans="1:19" x14ac:dyDescent="0.25">
      <c r="A721" t="s">
        <v>148</v>
      </c>
      <c r="F721">
        <v>0.51083333333333336</v>
      </c>
      <c r="G721" t="s">
        <v>231</v>
      </c>
      <c r="H721">
        <v>0</v>
      </c>
      <c r="I721">
        <v>0.85</v>
      </c>
      <c r="J721" t="s">
        <v>232</v>
      </c>
      <c r="K721" t="s">
        <v>27</v>
      </c>
      <c r="L721">
        <v>8409455</v>
      </c>
      <c r="M721">
        <v>1</v>
      </c>
      <c r="N721">
        <v>80173.179999999993</v>
      </c>
      <c r="O721">
        <v>104.89112443837205</v>
      </c>
      <c r="P721">
        <v>0.34</v>
      </c>
    </row>
    <row r="722" spans="1:19" x14ac:dyDescent="0.25">
      <c r="A722" s="2" t="s">
        <v>149</v>
      </c>
      <c r="B722" s="2"/>
      <c r="C722" s="2"/>
      <c r="D722" s="2"/>
      <c r="E722" s="2"/>
      <c r="F722" s="2">
        <v>0.5128125</v>
      </c>
      <c r="G722" s="2" t="s">
        <v>231</v>
      </c>
      <c r="H722" s="2">
        <v>0</v>
      </c>
      <c r="I722" s="2">
        <v>0.85</v>
      </c>
      <c r="J722" s="2" t="s">
        <v>232</v>
      </c>
      <c r="K722" s="2" t="s">
        <v>27</v>
      </c>
      <c r="L722" s="2">
        <v>8794232</v>
      </c>
      <c r="M722" s="2">
        <v>1</v>
      </c>
      <c r="N722" s="2">
        <v>84536.241999999998</v>
      </c>
      <c r="O722" s="2">
        <v>104.02913344551087</v>
      </c>
      <c r="P722" s="2">
        <v>0.34</v>
      </c>
      <c r="Q722" s="2"/>
      <c r="R722" s="2"/>
      <c r="S722" s="2"/>
    </row>
    <row r="723" spans="1:19" x14ac:dyDescent="0.25">
      <c r="A723" s="2" t="s">
        <v>150</v>
      </c>
      <c r="B723" s="2"/>
      <c r="C723" s="2"/>
      <c r="D723" s="2"/>
      <c r="E723" s="2"/>
      <c r="F723" s="2">
        <v>0.51466435185185189</v>
      </c>
      <c r="G723" s="2" t="s">
        <v>231</v>
      </c>
      <c r="H723" s="2">
        <v>0</v>
      </c>
      <c r="I723" s="2">
        <v>0.85</v>
      </c>
      <c r="J723" s="2" t="s">
        <v>232</v>
      </c>
      <c r="K723" s="2" t="s">
        <v>27</v>
      </c>
      <c r="L723" s="2">
        <v>8874426</v>
      </c>
      <c r="M723" s="2">
        <v>1</v>
      </c>
      <c r="N723" s="2">
        <v>87388.93</v>
      </c>
      <c r="O723" s="2">
        <v>101.55091726148839</v>
      </c>
      <c r="P723" s="2">
        <v>0.35</v>
      </c>
      <c r="Q723" s="2"/>
      <c r="R723" s="2"/>
      <c r="S723" s="2"/>
    </row>
    <row r="724" spans="1:19" x14ac:dyDescent="0.25">
      <c r="A724" t="s">
        <v>151</v>
      </c>
      <c r="F724">
        <v>0.51653935185185185</v>
      </c>
      <c r="G724" t="s">
        <v>231</v>
      </c>
      <c r="H724">
        <v>0</v>
      </c>
      <c r="I724">
        <v>0.85</v>
      </c>
      <c r="J724" t="s">
        <v>232</v>
      </c>
      <c r="K724" t="s">
        <v>27</v>
      </c>
      <c r="L724">
        <v>7289523.5</v>
      </c>
      <c r="M724">
        <v>1</v>
      </c>
      <c r="N724">
        <v>87142.672000000006</v>
      </c>
      <c r="O724">
        <v>83.650447395048886</v>
      </c>
      <c r="P724">
        <v>0.35</v>
      </c>
    </row>
    <row r="725" spans="1:19" x14ac:dyDescent="0.25">
      <c r="A725" t="s">
        <v>152</v>
      </c>
      <c r="F725">
        <v>0.51849537037037041</v>
      </c>
      <c r="G725" t="s">
        <v>231</v>
      </c>
      <c r="H725">
        <v>0</v>
      </c>
      <c r="I725">
        <v>0.85</v>
      </c>
      <c r="J725" t="s">
        <v>232</v>
      </c>
      <c r="K725" t="s">
        <v>27</v>
      </c>
      <c r="L725">
        <v>7223408.5</v>
      </c>
      <c r="M725">
        <v>1</v>
      </c>
      <c r="N725">
        <v>87144.093999999997</v>
      </c>
      <c r="O725">
        <v>82.890396450733661</v>
      </c>
      <c r="P725">
        <v>0.34</v>
      </c>
    </row>
    <row r="726" spans="1:19" x14ac:dyDescent="0.25">
      <c r="A726" t="s">
        <v>153</v>
      </c>
      <c r="F726">
        <v>0.52037037037037037</v>
      </c>
      <c r="G726" t="s">
        <v>231</v>
      </c>
      <c r="H726">
        <v>0</v>
      </c>
      <c r="I726">
        <v>0.85</v>
      </c>
      <c r="J726" t="s">
        <v>232</v>
      </c>
      <c r="K726" t="s">
        <v>27</v>
      </c>
      <c r="L726">
        <v>8705425</v>
      </c>
      <c r="M726">
        <v>1</v>
      </c>
      <c r="N726">
        <v>86344.483999999997</v>
      </c>
      <c r="O726">
        <v>100.82201660965396</v>
      </c>
      <c r="P726">
        <v>0.34</v>
      </c>
    </row>
    <row r="727" spans="1:19" x14ac:dyDescent="0.25">
      <c r="A727" t="s">
        <v>154</v>
      </c>
      <c r="F727">
        <v>0.52223379629629629</v>
      </c>
      <c r="G727" t="s">
        <v>231</v>
      </c>
      <c r="H727">
        <v>0</v>
      </c>
      <c r="I727">
        <v>0.85</v>
      </c>
      <c r="J727" t="s">
        <v>232</v>
      </c>
      <c r="K727" t="s">
        <v>27</v>
      </c>
      <c r="L727">
        <v>8561608</v>
      </c>
      <c r="M727">
        <v>1</v>
      </c>
      <c r="N727">
        <v>86244.25</v>
      </c>
      <c r="O727">
        <v>99.271638399081681</v>
      </c>
      <c r="P727">
        <v>0.34</v>
      </c>
    </row>
    <row r="728" spans="1:19" x14ac:dyDescent="0.25">
      <c r="A728" t="s">
        <v>155</v>
      </c>
      <c r="F728">
        <v>0.52409722222222221</v>
      </c>
      <c r="G728" t="s">
        <v>231</v>
      </c>
      <c r="H728">
        <v>0</v>
      </c>
      <c r="I728">
        <v>0.85</v>
      </c>
      <c r="J728" t="s">
        <v>232</v>
      </c>
      <c r="K728" t="s">
        <v>27</v>
      </c>
      <c r="L728">
        <v>302772.81300000002</v>
      </c>
      <c r="M728">
        <v>1</v>
      </c>
      <c r="N728">
        <v>93.081999999999994</v>
      </c>
      <c r="O728">
        <v>3252.7536258352857</v>
      </c>
      <c r="P728">
        <v>0.33</v>
      </c>
    </row>
    <row r="729" spans="1:19" x14ac:dyDescent="0.25">
      <c r="A729" t="s">
        <v>156</v>
      </c>
      <c r="F729">
        <v>0.52598379629629632</v>
      </c>
      <c r="G729" t="s">
        <v>231</v>
      </c>
      <c r="H729">
        <v>0</v>
      </c>
      <c r="I729">
        <v>0.86</v>
      </c>
      <c r="J729" t="s">
        <v>232</v>
      </c>
      <c r="K729" t="s">
        <v>27</v>
      </c>
      <c r="L729">
        <v>189898.04699999999</v>
      </c>
      <c r="M729">
        <v>1</v>
      </c>
      <c r="N729">
        <v>106.667</v>
      </c>
      <c r="O729">
        <v>1780.2886272230398</v>
      </c>
      <c r="P729">
        <v>0.32</v>
      </c>
    </row>
    <row r="730" spans="1:19" x14ac:dyDescent="0.25">
      <c r="A730" t="s">
        <v>157</v>
      </c>
      <c r="F730">
        <v>0.52795138888888882</v>
      </c>
      <c r="G730" t="s">
        <v>231</v>
      </c>
      <c r="H730">
        <v>0</v>
      </c>
      <c r="I730">
        <v>0.86</v>
      </c>
      <c r="J730" t="s">
        <v>232</v>
      </c>
      <c r="K730" t="s">
        <v>27</v>
      </c>
      <c r="L730">
        <v>9004735</v>
      </c>
      <c r="M730">
        <v>1</v>
      </c>
      <c r="N730">
        <v>77598.648000000001</v>
      </c>
      <c r="O730">
        <v>116.04242125455588</v>
      </c>
      <c r="P730">
        <v>0.35</v>
      </c>
    </row>
    <row r="731" spans="1:19" x14ac:dyDescent="0.25">
      <c r="A731" t="s">
        <v>158</v>
      </c>
      <c r="F731">
        <v>0.52990740740740738</v>
      </c>
      <c r="G731" t="s">
        <v>231</v>
      </c>
      <c r="H731">
        <v>0</v>
      </c>
      <c r="I731">
        <v>0.85</v>
      </c>
      <c r="J731" t="s">
        <v>232</v>
      </c>
      <c r="K731" t="s">
        <v>27</v>
      </c>
      <c r="L731">
        <v>9181786</v>
      </c>
      <c r="M731">
        <v>1</v>
      </c>
      <c r="N731">
        <v>76582.883000000002</v>
      </c>
      <c r="O731">
        <v>119.89344929727966</v>
      </c>
      <c r="P731">
        <v>0.34</v>
      </c>
    </row>
    <row r="732" spans="1:19" x14ac:dyDescent="0.25">
      <c r="A732" t="s">
        <v>159</v>
      </c>
      <c r="F732">
        <v>0.5317708333333333</v>
      </c>
      <c r="G732" t="s">
        <v>231</v>
      </c>
      <c r="H732">
        <v>0</v>
      </c>
      <c r="I732">
        <v>0.85</v>
      </c>
      <c r="J732" t="s">
        <v>232</v>
      </c>
      <c r="K732" t="s">
        <v>27</v>
      </c>
      <c r="L732">
        <v>9510749</v>
      </c>
      <c r="M732">
        <v>1</v>
      </c>
      <c r="N732">
        <v>81240.422000000006</v>
      </c>
      <c r="O732">
        <v>117.06917278199268</v>
      </c>
      <c r="P732">
        <v>0.35</v>
      </c>
    </row>
    <row r="733" spans="1:19" x14ac:dyDescent="0.25">
      <c r="A733" t="s">
        <v>160</v>
      </c>
      <c r="F733">
        <v>0.53363425925925922</v>
      </c>
      <c r="G733" t="s">
        <v>231</v>
      </c>
      <c r="H733">
        <v>0</v>
      </c>
      <c r="I733">
        <v>0.85</v>
      </c>
      <c r="J733" t="s">
        <v>232</v>
      </c>
      <c r="K733" t="s">
        <v>27</v>
      </c>
      <c r="L733">
        <v>9447240</v>
      </c>
      <c r="M733">
        <v>1</v>
      </c>
      <c r="N733">
        <v>79723.312999999995</v>
      </c>
      <c r="O733">
        <v>118.5003438078395</v>
      </c>
      <c r="P733">
        <v>0.35</v>
      </c>
    </row>
    <row r="734" spans="1:19" x14ac:dyDescent="0.25">
      <c r="A734" t="s">
        <v>161</v>
      </c>
      <c r="F734">
        <v>0.5355092592592593</v>
      </c>
      <c r="G734" t="s">
        <v>231</v>
      </c>
      <c r="H734">
        <v>0</v>
      </c>
      <c r="I734">
        <v>0.85</v>
      </c>
      <c r="J734" t="s">
        <v>232</v>
      </c>
      <c r="K734" t="s">
        <v>27</v>
      </c>
      <c r="L734">
        <v>9879119</v>
      </c>
      <c r="M734">
        <v>1</v>
      </c>
      <c r="N734">
        <v>82403.797000000006</v>
      </c>
      <c r="O734">
        <v>119.88669648317297</v>
      </c>
      <c r="P734">
        <v>0.34</v>
      </c>
    </row>
    <row r="735" spans="1:19" x14ac:dyDescent="0.25">
      <c r="A735" t="s">
        <v>162</v>
      </c>
      <c r="F735">
        <v>0.53738425925925926</v>
      </c>
      <c r="G735" t="s">
        <v>231</v>
      </c>
      <c r="H735">
        <v>0</v>
      </c>
      <c r="I735">
        <v>0.86</v>
      </c>
      <c r="J735" t="s">
        <v>232</v>
      </c>
      <c r="K735" t="s">
        <v>27</v>
      </c>
      <c r="L735">
        <v>9995206</v>
      </c>
      <c r="M735">
        <v>1</v>
      </c>
      <c r="N735">
        <v>77816.023000000001</v>
      </c>
      <c r="O735">
        <v>128.44663110064107</v>
      </c>
      <c r="P735">
        <v>0.34</v>
      </c>
    </row>
    <row r="736" spans="1:19" x14ac:dyDescent="0.25">
      <c r="A736" t="s">
        <v>163</v>
      </c>
      <c r="F736">
        <v>0.53924768518518518</v>
      </c>
      <c r="G736" t="s">
        <v>231</v>
      </c>
      <c r="H736">
        <v>0</v>
      </c>
      <c r="I736">
        <v>0.85</v>
      </c>
      <c r="J736" t="s">
        <v>232</v>
      </c>
      <c r="K736" t="s">
        <v>27</v>
      </c>
      <c r="L736">
        <v>9786438</v>
      </c>
      <c r="M736">
        <v>1</v>
      </c>
      <c r="N736">
        <v>82569.054999999993</v>
      </c>
      <c r="O736">
        <v>118.52428249299936</v>
      </c>
      <c r="P736">
        <v>0.35</v>
      </c>
    </row>
    <row r="737" spans="1:16" x14ac:dyDescent="0.25">
      <c r="A737" t="s">
        <v>164</v>
      </c>
      <c r="F737">
        <v>0.54112268518518525</v>
      </c>
      <c r="G737" t="s">
        <v>231</v>
      </c>
      <c r="H737">
        <v>0</v>
      </c>
      <c r="I737">
        <v>0.85</v>
      </c>
      <c r="J737" t="s">
        <v>232</v>
      </c>
      <c r="K737" t="s">
        <v>27</v>
      </c>
      <c r="L737">
        <v>9909637</v>
      </c>
      <c r="M737">
        <v>1</v>
      </c>
      <c r="N737">
        <v>82580.983999999997</v>
      </c>
      <c r="O737">
        <v>119.99901817590356</v>
      </c>
      <c r="P737">
        <v>0.35</v>
      </c>
    </row>
    <row r="738" spans="1:16" x14ac:dyDescent="0.25">
      <c r="A738" t="s">
        <v>165</v>
      </c>
      <c r="F738">
        <v>0.54298611111111106</v>
      </c>
      <c r="G738" t="s">
        <v>231</v>
      </c>
      <c r="H738">
        <v>0</v>
      </c>
      <c r="I738">
        <v>0.85</v>
      </c>
      <c r="J738" t="s">
        <v>232</v>
      </c>
      <c r="K738" t="s">
        <v>27</v>
      </c>
      <c r="L738">
        <v>9560571</v>
      </c>
      <c r="M738">
        <v>1</v>
      </c>
      <c r="N738">
        <v>82733.391000000003</v>
      </c>
      <c r="O738">
        <v>115.55879535990492</v>
      </c>
      <c r="P738">
        <v>0.35</v>
      </c>
    </row>
    <row r="739" spans="1:16" x14ac:dyDescent="0.25">
      <c r="A739" t="s">
        <v>166</v>
      </c>
      <c r="F739">
        <v>0.54487268518518517</v>
      </c>
      <c r="G739" t="s">
        <v>231</v>
      </c>
      <c r="H739">
        <v>0</v>
      </c>
      <c r="I739">
        <v>0.85</v>
      </c>
      <c r="J739" t="s">
        <v>232</v>
      </c>
      <c r="K739" t="s">
        <v>27</v>
      </c>
      <c r="L739">
        <v>8777184</v>
      </c>
      <c r="M739">
        <v>1</v>
      </c>
      <c r="N739">
        <v>79460.172000000006</v>
      </c>
      <c r="O739">
        <v>110.46016864901827</v>
      </c>
      <c r="P739">
        <v>0.34</v>
      </c>
    </row>
    <row r="740" spans="1:16" x14ac:dyDescent="0.25">
      <c r="A740" t="s">
        <v>167</v>
      </c>
      <c r="F740">
        <v>0.54673611111111109</v>
      </c>
      <c r="G740" t="s">
        <v>231</v>
      </c>
      <c r="H740">
        <v>0</v>
      </c>
      <c r="I740">
        <v>0.85</v>
      </c>
      <c r="J740" t="s">
        <v>232</v>
      </c>
      <c r="K740" t="s">
        <v>27</v>
      </c>
      <c r="L740">
        <v>9025667</v>
      </c>
      <c r="M740">
        <v>1</v>
      </c>
      <c r="N740">
        <v>80189.133000000002</v>
      </c>
      <c r="O740">
        <v>112.55473980495586</v>
      </c>
      <c r="P740">
        <v>0.34</v>
      </c>
    </row>
    <row r="741" spans="1:16" x14ac:dyDescent="0.25">
      <c r="A741" t="s">
        <v>168</v>
      </c>
      <c r="F741">
        <v>0.54859953703703701</v>
      </c>
      <c r="G741" t="s">
        <v>231</v>
      </c>
      <c r="H741">
        <v>0</v>
      </c>
      <c r="I741">
        <v>0.85</v>
      </c>
      <c r="J741" t="s">
        <v>232</v>
      </c>
      <c r="K741" t="s">
        <v>27</v>
      </c>
      <c r="L741">
        <v>8977609</v>
      </c>
      <c r="M741">
        <v>1</v>
      </c>
      <c r="N741">
        <v>79237.797000000006</v>
      </c>
      <c r="O741">
        <v>113.29957848272838</v>
      </c>
      <c r="P741">
        <v>0.34</v>
      </c>
    </row>
    <row r="742" spans="1:16" x14ac:dyDescent="0.25">
      <c r="A742" t="s">
        <v>169</v>
      </c>
      <c r="F742">
        <v>0.55048611111111112</v>
      </c>
      <c r="G742" t="s">
        <v>231</v>
      </c>
      <c r="H742">
        <v>0</v>
      </c>
      <c r="I742">
        <v>0.85</v>
      </c>
      <c r="J742" t="s">
        <v>232</v>
      </c>
      <c r="K742" t="s">
        <v>27</v>
      </c>
      <c r="L742">
        <v>9368785</v>
      </c>
      <c r="M742">
        <v>1</v>
      </c>
      <c r="N742">
        <v>79373.164000000004</v>
      </c>
      <c r="O742">
        <v>118.03466723337374</v>
      </c>
      <c r="P742">
        <v>0.35</v>
      </c>
    </row>
    <row r="743" spans="1:16" x14ac:dyDescent="0.25">
      <c r="A743" t="s">
        <v>170</v>
      </c>
      <c r="F743">
        <v>0.55234953703703704</v>
      </c>
      <c r="G743" t="s">
        <v>231</v>
      </c>
      <c r="H743">
        <v>0</v>
      </c>
      <c r="I743">
        <v>0.85</v>
      </c>
      <c r="J743" t="s">
        <v>232</v>
      </c>
      <c r="K743" t="s">
        <v>27</v>
      </c>
      <c r="L743">
        <v>9431366</v>
      </c>
      <c r="M743">
        <v>1</v>
      </c>
      <c r="N743">
        <v>80237.577999999994</v>
      </c>
      <c r="O743">
        <v>117.5430046006623</v>
      </c>
      <c r="P743">
        <v>0.35</v>
      </c>
    </row>
    <row r="744" spans="1:16" x14ac:dyDescent="0.25">
      <c r="A744" t="s">
        <v>171</v>
      </c>
      <c r="F744">
        <v>0.55421296296296296</v>
      </c>
      <c r="G744" t="s">
        <v>231</v>
      </c>
      <c r="H744">
        <v>0</v>
      </c>
      <c r="I744">
        <v>0.85</v>
      </c>
      <c r="J744" t="s">
        <v>232</v>
      </c>
      <c r="K744" t="s">
        <v>27</v>
      </c>
      <c r="L744">
        <v>9142059</v>
      </c>
      <c r="M744">
        <v>1</v>
      </c>
      <c r="N744">
        <v>76179.664000000004</v>
      </c>
      <c r="O744">
        <v>120.00655450514982</v>
      </c>
      <c r="P744">
        <v>0.34</v>
      </c>
    </row>
    <row r="745" spans="1:16" x14ac:dyDescent="0.25">
      <c r="A745" t="s">
        <v>172</v>
      </c>
      <c r="F745">
        <v>0.55621527777777779</v>
      </c>
      <c r="G745" t="s">
        <v>231</v>
      </c>
      <c r="H745">
        <v>0</v>
      </c>
      <c r="I745">
        <v>0.85</v>
      </c>
      <c r="J745" t="s">
        <v>232</v>
      </c>
      <c r="K745" t="s">
        <v>27</v>
      </c>
      <c r="L745">
        <v>9162771</v>
      </c>
      <c r="M745">
        <v>1</v>
      </c>
      <c r="N745">
        <v>78758.741999999998</v>
      </c>
      <c r="O745">
        <v>116.33973280070929</v>
      </c>
      <c r="P745">
        <v>0.34</v>
      </c>
    </row>
    <row r="746" spans="1:16" x14ac:dyDescent="0.25">
      <c r="A746" t="s">
        <v>173</v>
      </c>
      <c r="F746">
        <v>0.55815972222222221</v>
      </c>
      <c r="G746" t="s">
        <v>231</v>
      </c>
      <c r="H746">
        <v>0</v>
      </c>
      <c r="I746">
        <v>0.85</v>
      </c>
      <c r="J746" t="s">
        <v>232</v>
      </c>
      <c r="K746" t="s">
        <v>27</v>
      </c>
      <c r="L746">
        <v>8749896</v>
      </c>
      <c r="M746">
        <v>1</v>
      </c>
      <c r="N746">
        <v>76535.437999999995</v>
      </c>
      <c r="O746">
        <v>114.3247654766149</v>
      </c>
      <c r="P746">
        <v>0.35</v>
      </c>
    </row>
    <row r="747" spans="1:16" x14ac:dyDescent="0.25">
      <c r="A747" t="s">
        <v>174</v>
      </c>
      <c r="F747">
        <v>0.56003472222222228</v>
      </c>
      <c r="G747" t="s">
        <v>231</v>
      </c>
      <c r="H747">
        <v>0</v>
      </c>
      <c r="I747">
        <v>0.85</v>
      </c>
      <c r="J747" t="s">
        <v>232</v>
      </c>
      <c r="K747" t="s">
        <v>27</v>
      </c>
      <c r="L747">
        <v>8839700</v>
      </c>
      <c r="M747">
        <v>1</v>
      </c>
      <c r="N747">
        <v>79696.898000000001</v>
      </c>
      <c r="O747">
        <v>110.9164876153649</v>
      </c>
      <c r="P747">
        <v>0.35</v>
      </c>
    </row>
    <row r="748" spans="1:16" x14ac:dyDescent="0.25">
      <c r="A748" t="s">
        <v>175</v>
      </c>
      <c r="F748">
        <v>0.56200231481481489</v>
      </c>
      <c r="G748" t="s">
        <v>231</v>
      </c>
      <c r="H748">
        <v>0</v>
      </c>
      <c r="I748">
        <v>0.85</v>
      </c>
      <c r="J748" t="s">
        <v>232</v>
      </c>
      <c r="K748" t="s">
        <v>27</v>
      </c>
      <c r="L748">
        <v>9018826</v>
      </c>
      <c r="M748">
        <v>1</v>
      </c>
      <c r="N748">
        <v>81888.945000000007</v>
      </c>
      <c r="O748">
        <v>110.1348417664924</v>
      </c>
      <c r="P748">
        <v>0.35</v>
      </c>
    </row>
    <row r="749" spans="1:16" x14ac:dyDescent="0.25">
      <c r="A749" t="s">
        <v>176</v>
      </c>
      <c r="F749">
        <v>0.56396990740740738</v>
      </c>
      <c r="G749" t="s">
        <v>231</v>
      </c>
      <c r="H749">
        <v>0</v>
      </c>
      <c r="I749">
        <v>0.85</v>
      </c>
      <c r="J749" t="s">
        <v>232</v>
      </c>
      <c r="K749" t="s">
        <v>27</v>
      </c>
      <c r="L749">
        <v>8932170</v>
      </c>
      <c r="M749">
        <v>1</v>
      </c>
      <c r="N749">
        <v>80283.141000000003</v>
      </c>
      <c r="O749">
        <v>111.25835248523721</v>
      </c>
      <c r="P749">
        <v>0.34</v>
      </c>
    </row>
    <row r="750" spans="1:16" x14ac:dyDescent="0.25">
      <c r="A750" t="s">
        <v>177</v>
      </c>
      <c r="F750">
        <v>0.56581018518518522</v>
      </c>
      <c r="G750" t="s">
        <v>231</v>
      </c>
      <c r="H750">
        <v>0</v>
      </c>
      <c r="I750">
        <v>0.86</v>
      </c>
      <c r="J750" t="s">
        <v>232</v>
      </c>
      <c r="K750" t="s">
        <v>27</v>
      </c>
      <c r="L750">
        <v>8894258</v>
      </c>
      <c r="M750">
        <v>1</v>
      </c>
      <c r="N750">
        <v>77920.398000000001</v>
      </c>
      <c r="O750">
        <v>114.14543852817589</v>
      </c>
      <c r="P750">
        <v>0.34</v>
      </c>
    </row>
    <row r="751" spans="1:16" x14ac:dyDescent="0.25">
      <c r="A751" t="s">
        <v>178</v>
      </c>
      <c r="F751">
        <v>0.56781249999999994</v>
      </c>
      <c r="G751" t="s">
        <v>231</v>
      </c>
      <c r="H751">
        <v>0</v>
      </c>
      <c r="I751">
        <v>0.86</v>
      </c>
      <c r="J751" t="s">
        <v>232</v>
      </c>
      <c r="K751" t="s">
        <v>27</v>
      </c>
      <c r="L751">
        <v>8751647</v>
      </c>
      <c r="M751">
        <v>1</v>
      </c>
      <c r="N751">
        <v>78458.289000000004</v>
      </c>
      <c r="O751">
        <v>111.54521863203007</v>
      </c>
      <c r="P751">
        <v>0.35</v>
      </c>
    </row>
    <row r="752" spans="1:16" x14ac:dyDescent="0.25">
      <c r="A752" t="s">
        <v>179</v>
      </c>
      <c r="F752">
        <v>0.56967592592592597</v>
      </c>
      <c r="G752" t="s">
        <v>231</v>
      </c>
      <c r="H752">
        <v>0</v>
      </c>
      <c r="I752">
        <v>0.85</v>
      </c>
      <c r="J752" t="s">
        <v>232</v>
      </c>
      <c r="K752" t="s">
        <v>27</v>
      </c>
      <c r="L752">
        <v>8771687</v>
      </c>
      <c r="M752">
        <v>1</v>
      </c>
      <c r="N752">
        <v>81069.625</v>
      </c>
      <c r="O752">
        <v>108.19942734408849</v>
      </c>
      <c r="P752">
        <v>0.35</v>
      </c>
    </row>
    <row r="753" spans="1:19" x14ac:dyDescent="0.25">
      <c r="A753" t="s">
        <v>180</v>
      </c>
      <c r="F753">
        <v>0.57153935185185178</v>
      </c>
      <c r="G753" t="s">
        <v>231</v>
      </c>
      <c r="H753">
        <v>0</v>
      </c>
      <c r="I753">
        <v>0.85</v>
      </c>
      <c r="J753" t="s">
        <v>232</v>
      </c>
      <c r="K753" t="s">
        <v>27</v>
      </c>
      <c r="L753">
        <v>8739219</v>
      </c>
      <c r="M753">
        <v>1</v>
      </c>
      <c r="N753">
        <v>81783.843999999997</v>
      </c>
      <c r="O753">
        <v>106.85752310688649</v>
      </c>
      <c r="P753">
        <v>0.34</v>
      </c>
    </row>
    <row r="754" spans="1:19" x14ac:dyDescent="0.25">
      <c r="A754" s="2" t="s">
        <v>181</v>
      </c>
      <c r="B754" s="2"/>
      <c r="C754" s="2"/>
      <c r="D754" s="2"/>
      <c r="E754" s="2"/>
      <c r="F754" s="2">
        <v>0.57351851851851854</v>
      </c>
      <c r="G754" s="2" t="s">
        <v>231</v>
      </c>
      <c r="H754" s="2">
        <v>0</v>
      </c>
      <c r="I754" s="2">
        <v>0.85</v>
      </c>
      <c r="J754" s="2" t="s">
        <v>232</v>
      </c>
      <c r="K754" s="2" t="s">
        <v>27</v>
      </c>
      <c r="L754" s="2">
        <v>9269370</v>
      </c>
      <c r="M754" s="2">
        <v>1</v>
      </c>
      <c r="N754" s="2">
        <v>82280.218999999997</v>
      </c>
      <c r="O754" s="2">
        <v>112.65611726191443</v>
      </c>
      <c r="P754" s="2">
        <v>0.35</v>
      </c>
      <c r="Q754" s="2"/>
      <c r="R754" s="2"/>
      <c r="S754" s="2"/>
    </row>
    <row r="755" spans="1:19" x14ac:dyDescent="0.25">
      <c r="A755" s="2" t="s">
        <v>182</v>
      </c>
      <c r="B755" s="2"/>
      <c r="C755" s="2"/>
      <c r="D755" s="2"/>
      <c r="E755" s="2"/>
      <c r="F755" s="2">
        <v>0.57548611111111114</v>
      </c>
      <c r="G755" s="2" t="s">
        <v>231</v>
      </c>
      <c r="H755" s="2">
        <v>0</v>
      </c>
      <c r="I755" s="2">
        <v>0.85</v>
      </c>
      <c r="J755" s="2" t="s">
        <v>232</v>
      </c>
      <c r="K755" s="2" t="s">
        <v>27</v>
      </c>
      <c r="L755" s="2">
        <v>9444994</v>
      </c>
      <c r="M755" s="2">
        <v>1</v>
      </c>
      <c r="N755" s="2">
        <v>82015.625</v>
      </c>
      <c r="O755" s="2">
        <v>115.16090988759764</v>
      </c>
      <c r="P755" s="2">
        <v>0.35</v>
      </c>
      <c r="Q755" s="2"/>
      <c r="R755" s="2"/>
      <c r="S755" s="2"/>
    </row>
    <row r="756" spans="1:19" x14ac:dyDescent="0.25">
      <c r="A756" t="s">
        <v>183</v>
      </c>
      <c r="F756">
        <v>0.57743055555555556</v>
      </c>
      <c r="G756" t="s">
        <v>231</v>
      </c>
      <c r="H756">
        <v>0</v>
      </c>
      <c r="I756">
        <v>0.85</v>
      </c>
      <c r="J756" t="s">
        <v>232</v>
      </c>
      <c r="K756" t="s">
        <v>27</v>
      </c>
      <c r="L756">
        <v>7809858</v>
      </c>
      <c r="M756">
        <v>1</v>
      </c>
      <c r="N756">
        <v>83588.202999999994</v>
      </c>
      <c r="O756">
        <v>93.432538560495203</v>
      </c>
      <c r="P756">
        <v>0.34</v>
      </c>
    </row>
    <row r="757" spans="1:19" x14ac:dyDescent="0.25">
      <c r="A757" t="s">
        <v>184</v>
      </c>
      <c r="F757">
        <v>0.57929398148148148</v>
      </c>
      <c r="G757" t="s">
        <v>231</v>
      </c>
      <c r="H757">
        <v>0</v>
      </c>
      <c r="I757">
        <v>0.85</v>
      </c>
      <c r="J757" t="s">
        <v>232</v>
      </c>
      <c r="K757" t="s">
        <v>27</v>
      </c>
      <c r="L757">
        <v>7803630.5</v>
      </c>
      <c r="M757">
        <v>1</v>
      </c>
      <c r="N757">
        <v>80724.952999999994</v>
      </c>
      <c r="O757">
        <v>96.669371860767768</v>
      </c>
      <c r="P757">
        <v>0.34</v>
      </c>
    </row>
    <row r="758" spans="1:19" x14ac:dyDescent="0.25">
      <c r="A758" t="s">
        <v>185</v>
      </c>
      <c r="F758">
        <v>0.5811574074074074</v>
      </c>
      <c r="G758" t="s">
        <v>231</v>
      </c>
      <c r="H758">
        <v>0</v>
      </c>
      <c r="I758">
        <v>0.85</v>
      </c>
      <c r="J758" t="s">
        <v>232</v>
      </c>
      <c r="K758" t="s">
        <v>27</v>
      </c>
      <c r="L758">
        <v>9325577</v>
      </c>
      <c r="M758">
        <v>1</v>
      </c>
      <c r="N758">
        <v>85890</v>
      </c>
      <c r="O758">
        <v>108.57581790662475</v>
      </c>
      <c r="P758">
        <v>0.34</v>
      </c>
    </row>
    <row r="759" spans="1:19" x14ac:dyDescent="0.25">
      <c r="A759" t="s">
        <v>186</v>
      </c>
      <c r="F759">
        <v>0.58302083333333332</v>
      </c>
      <c r="G759" t="s">
        <v>231</v>
      </c>
      <c r="H759">
        <v>0</v>
      </c>
      <c r="I759">
        <v>0.85</v>
      </c>
      <c r="J759" t="s">
        <v>232</v>
      </c>
      <c r="K759" t="s">
        <v>27</v>
      </c>
      <c r="L759">
        <v>9422502</v>
      </c>
      <c r="M759">
        <v>1</v>
      </c>
      <c r="N759">
        <v>87285.202999999994</v>
      </c>
      <c r="O759">
        <v>107.95073707968578</v>
      </c>
      <c r="P759">
        <v>0.34</v>
      </c>
    </row>
    <row r="760" spans="1:19" x14ac:dyDescent="0.25">
      <c r="A760" t="s">
        <v>187</v>
      </c>
      <c r="F760">
        <v>0.58489583333333328</v>
      </c>
      <c r="G760" t="s">
        <v>231</v>
      </c>
      <c r="H760">
        <v>0</v>
      </c>
      <c r="I760">
        <v>0.86</v>
      </c>
      <c r="J760" t="s">
        <v>232</v>
      </c>
      <c r="K760" t="s">
        <v>27</v>
      </c>
      <c r="L760">
        <v>651490.93799999997</v>
      </c>
      <c r="M760">
        <v>1</v>
      </c>
      <c r="N760">
        <v>266.41899999999998</v>
      </c>
      <c r="O760">
        <v>2445.3621475945783</v>
      </c>
      <c r="P760">
        <v>0.33</v>
      </c>
    </row>
    <row r="761" spans="1:19" x14ac:dyDescent="0.25">
      <c r="A761" t="s">
        <v>188</v>
      </c>
      <c r="F761">
        <v>0.58678240740740739</v>
      </c>
      <c r="G761" t="s">
        <v>231</v>
      </c>
      <c r="H761">
        <v>0</v>
      </c>
      <c r="I761">
        <v>0.86</v>
      </c>
      <c r="J761" t="s">
        <v>232</v>
      </c>
      <c r="K761" t="s">
        <v>27</v>
      </c>
      <c r="L761">
        <v>310980.625</v>
      </c>
      <c r="M761">
        <v>1</v>
      </c>
      <c r="N761">
        <v>109.754</v>
      </c>
      <c r="O761">
        <v>2833.4331778340652</v>
      </c>
      <c r="P761">
        <v>0.33</v>
      </c>
    </row>
    <row r="762" spans="1:19" x14ac:dyDescent="0.25">
      <c r="A762" t="s">
        <v>189</v>
      </c>
      <c r="F762">
        <v>0.58876157407407403</v>
      </c>
      <c r="G762" t="s">
        <v>231</v>
      </c>
      <c r="H762">
        <v>0</v>
      </c>
      <c r="I762">
        <v>0.85</v>
      </c>
      <c r="J762" t="s">
        <v>232</v>
      </c>
      <c r="K762" t="s">
        <v>27</v>
      </c>
      <c r="L762">
        <v>9335732</v>
      </c>
      <c r="M762">
        <v>1</v>
      </c>
      <c r="N762">
        <v>78006.75</v>
      </c>
      <c r="O762">
        <v>119.67851500030446</v>
      </c>
      <c r="P762">
        <v>0.35</v>
      </c>
    </row>
    <row r="763" spans="1:19" x14ac:dyDescent="0.25">
      <c r="A763" t="s">
        <v>190</v>
      </c>
      <c r="F763">
        <v>0.5907175925925926</v>
      </c>
      <c r="G763" t="s">
        <v>231</v>
      </c>
      <c r="H763">
        <v>0</v>
      </c>
      <c r="I763">
        <v>0.85</v>
      </c>
      <c r="J763" t="s">
        <v>232</v>
      </c>
      <c r="K763" t="s">
        <v>27</v>
      </c>
      <c r="L763">
        <v>9304626</v>
      </c>
      <c r="M763">
        <v>1</v>
      </c>
      <c r="N763">
        <v>81092.922000000006</v>
      </c>
      <c r="O763">
        <v>114.74029755642545</v>
      </c>
      <c r="P763">
        <v>0.35</v>
      </c>
    </row>
    <row r="764" spans="1:19" x14ac:dyDescent="0.25">
      <c r="A764" t="s">
        <v>191</v>
      </c>
      <c r="F764">
        <v>0.59258101851851852</v>
      </c>
      <c r="G764" t="s">
        <v>231</v>
      </c>
      <c r="H764">
        <v>0</v>
      </c>
      <c r="I764">
        <v>0.85</v>
      </c>
      <c r="J764" t="s">
        <v>232</v>
      </c>
      <c r="K764" t="s">
        <v>27</v>
      </c>
      <c r="L764">
        <v>9169341</v>
      </c>
      <c r="M764">
        <v>1</v>
      </c>
      <c r="N764">
        <v>78620.616999999998</v>
      </c>
      <c r="O764">
        <v>116.62769067304572</v>
      </c>
      <c r="P764">
        <v>0.34</v>
      </c>
    </row>
    <row r="765" spans="1:19" x14ac:dyDescent="0.25">
      <c r="A765" t="s">
        <v>192</v>
      </c>
      <c r="F765">
        <v>0.59444444444444444</v>
      </c>
      <c r="G765" t="s">
        <v>231</v>
      </c>
      <c r="H765">
        <v>0</v>
      </c>
      <c r="I765">
        <v>0.85</v>
      </c>
      <c r="J765" t="s">
        <v>232</v>
      </c>
      <c r="K765" t="s">
        <v>27</v>
      </c>
      <c r="L765">
        <v>9097123</v>
      </c>
      <c r="M765">
        <v>1</v>
      </c>
      <c r="N765">
        <v>76617.766000000003</v>
      </c>
      <c r="O765">
        <v>118.7338586718908</v>
      </c>
      <c r="P765">
        <v>0.34</v>
      </c>
    </row>
    <row r="766" spans="1:19" x14ac:dyDescent="0.25">
      <c r="A766" t="s">
        <v>193</v>
      </c>
      <c r="F766">
        <v>0.59630787037037036</v>
      </c>
      <c r="G766" t="s">
        <v>231</v>
      </c>
      <c r="H766">
        <v>0</v>
      </c>
      <c r="I766">
        <v>0.86</v>
      </c>
      <c r="J766" t="s">
        <v>232</v>
      </c>
      <c r="K766" t="s">
        <v>27</v>
      </c>
      <c r="L766">
        <v>9085238</v>
      </c>
      <c r="M766">
        <v>1</v>
      </c>
      <c r="N766">
        <v>79449.320000000007</v>
      </c>
      <c r="O766">
        <v>114.35262126850172</v>
      </c>
      <c r="P766">
        <v>0.35</v>
      </c>
    </row>
    <row r="767" spans="1:19" x14ac:dyDescent="0.25">
      <c r="A767" t="s">
        <v>194</v>
      </c>
      <c r="F767">
        <v>0.59819444444444447</v>
      </c>
      <c r="G767" t="s">
        <v>231</v>
      </c>
      <c r="H767">
        <v>0</v>
      </c>
      <c r="I767">
        <v>0.85</v>
      </c>
      <c r="J767" t="s">
        <v>232</v>
      </c>
      <c r="K767" t="s">
        <v>27</v>
      </c>
      <c r="L767">
        <v>9150225</v>
      </c>
      <c r="M767">
        <v>1</v>
      </c>
      <c r="N767">
        <v>81529.766000000003</v>
      </c>
      <c r="O767">
        <v>112.2317093366857</v>
      </c>
      <c r="P767">
        <v>0.34</v>
      </c>
    </row>
    <row r="768" spans="1:19" x14ac:dyDescent="0.25">
      <c r="A768" t="s">
        <v>195</v>
      </c>
      <c r="F768">
        <v>0.60005787037037039</v>
      </c>
      <c r="G768" t="s">
        <v>231</v>
      </c>
      <c r="H768">
        <v>0</v>
      </c>
      <c r="I768">
        <v>0.85</v>
      </c>
      <c r="J768" t="s">
        <v>232</v>
      </c>
      <c r="K768" t="s">
        <v>27</v>
      </c>
      <c r="L768">
        <v>9123044</v>
      </c>
      <c r="M768">
        <v>1</v>
      </c>
      <c r="N768">
        <v>80463.766000000003</v>
      </c>
      <c r="O768">
        <v>113.38077315446557</v>
      </c>
      <c r="P768">
        <v>0.35</v>
      </c>
    </row>
    <row r="769" spans="1:16" x14ac:dyDescent="0.25">
      <c r="A769" t="s">
        <v>196</v>
      </c>
      <c r="F769">
        <v>0.60192129629629632</v>
      </c>
      <c r="G769" t="s">
        <v>231</v>
      </c>
      <c r="H769">
        <v>0</v>
      </c>
      <c r="I769">
        <v>0.85</v>
      </c>
      <c r="J769" t="s">
        <v>232</v>
      </c>
      <c r="K769" t="s">
        <v>27</v>
      </c>
      <c r="L769">
        <v>9185978</v>
      </c>
      <c r="M769">
        <v>1</v>
      </c>
      <c r="N769">
        <v>81377.547000000006</v>
      </c>
      <c r="O769">
        <v>112.88098915048397</v>
      </c>
      <c r="P769">
        <v>0.35</v>
      </c>
    </row>
    <row r="770" spans="1:16" x14ac:dyDescent="0.25">
      <c r="A770" t="s">
        <v>197</v>
      </c>
      <c r="F770">
        <v>0.60380787037037031</v>
      </c>
      <c r="G770" t="s">
        <v>231</v>
      </c>
      <c r="H770">
        <v>0</v>
      </c>
      <c r="I770">
        <v>0.85</v>
      </c>
      <c r="J770" t="s">
        <v>232</v>
      </c>
      <c r="K770" t="s">
        <v>27</v>
      </c>
      <c r="L770">
        <v>8871785</v>
      </c>
      <c r="M770">
        <v>1</v>
      </c>
      <c r="N770">
        <v>79696.797000000006</v>
      </c>
      <c r="O770">
        <v>111.31921650502466</v>
      </c>
      <c r="P770">
        <v>0.34</v>
      </c>
    </row>
    <row r="771" spans="1:16" x14ac:dyDescent="0.25">
      <c r="A771" t="s">
        <v>198</v>
      </c>
      <c r="F771">
        <v>0.60577546296296292</v>
      </c>
      <c r="G771" t="s">
        <v>231</v>
      </c>
      <c r="H771">
        <v>0</v>
      </c>
      <c r="I771">
        <v>0.86</v>
      </c>
      <c r="J771" t="s">
        <v>232</v>
      </c>
      <c r="K771" t="s">
        <v>27</v>
      </c>
      <c r="L771">
        <v>8903785</v>
      </c>
      <c r="M771">
        <v>1</v>
      </c>
      <c r="N771">
        <v>80965.358999999997</v>
      </c>
      <c r="O771">
        <v>109.97030223752853</v>
      </c>
      <c r="P771">
        <v>0.35</v>
      </c>
    </row>
    <row r="772" spans="1:16" x14ac:dyDescent="0.25">
      <c r="A772" t="s">
        <v>199</v>
      </c>
      <c r="F772">
        <v>0.60774305555555552</v>
      </c>
      <c r="G772" t="s">
        <v>231</v>
      </c>
      <c r="H772">
        <v>0</v>
      </c>
      <c r="I772">
        <v>0.85</v>
      </c>
      <c r="J772" t="s">
        <v>232</v>
      </c>
      <c r="K772" t="s">
        <v>27</v>
      </c>
      <c r="L772">
        <v>9189948</v>
      </c>
      <c r="M772">
        <v>1</v>
      </c>
      <c r="N772">
        <v>79312.156000000003</v>
      </c>
      <c r="O772">
        <v>115.87061130957025</v>
      </c>
      <c r="P772">
        <v>0.35</v>
      </c>
    </row>
    <row r="773" spans="1:16" x14ac:dyDescent="0.25">
      <c r="A773" t="s">
        <v>200</v>
      </c>
      <c r="F773">
        <v>0.60971064814814813</v>
      </c>
      <c r="G773" t="s">
        <v>231</v>
      </c>
      <c r="H773">
        <v>0</v>
      </c>
      <c r="I773">
        <v>0.85</v>
      </c>
      <c r="J773" t="s">
        <v>232</v>
      </c>
      <c r="K773" t="s">
        <v>27</v>
      </c>
      <c r="L773">
        <v>9316804</v>
      </c>
      <c r="M773">
        <v>1</v>
      </c>
      <c r="N773">
        <v>78685.695000000007</v>
      </c>
      <c r="O773">
        <v>118.40530861422778</v>
      </c>
      <c r="P773">
        <v>0.35</v>
      </c>
    </row>
    <row r="774" spans="1:16" x14ac:dyDescent="0.25">
      <c r="A774" t="s">
        <v>201</v>
      </c>
      <c r="F774">
        <v>0.61165509259259265</v>
      </c>
      <c r="G774" t="s">
        <v>231</v>
      </c>
      <c r="H774">
        <v>0</v>
      </c>
      <c r="I774">
        <v>0.85</v>
      </c>
      <c r="J774" t="s">
        <v>232</v>
      </c>
      <c r="K774" t="s">
        <v>27</v>
      </c>
      <c r="L774">
        <v>9220352</v>
      </c>
      <c r="M774">
        <v>1</v>
      </c>
      <c r="N774">
        <v>77538.351999999999</v>
      </c>
      <c r="O774">
        <v>118.91343783009471</v>
      </c>
      <c r="P774">
        <v>0.34</v>
      </c>
    </row>
    <row r="775" spans="1:16" x14ac:dyDescent="0.25">
      <c r="A775" t="s">
        <v>202</v>
      </c>
      <c r="F775">
        <v>0.61353009259259261</v>
      </c>
      <c r="G775" t="s">
        <v>231</v>
      </c>
      <c r="H775">
        <v>0</v>
      </c>
      <c r="I775">
        <v>0.85</v>
      </c>
      <c r="J775" t="s">
        <v>232</v>
      </c>
      <c r="K775" t="s">
        <v>27</v>
      </c>
      <c r="L775">
        <v>9306423</v>
      </c>
      <c r="M775">
        <v>1</v>
      </c>
      <c r="N775">
        <v>76484.452999999994</v>
      </c>
      <c r="O775">
        <v>121.67731656523713</v>
      </c>
      <c r="P775">
        <v>0.35</v>
      </c>
    </row>
    <row r="776" spans="1:16" x14ac:dyDescent="0.25">
      <c r="A776" t="s">
        <v>203</v>
      </c>
      <c r="F776">
        <v>0.61539351851851853</v>
      </c>
      <c r="G776" t="s">
        <v>231</v>
      </c>
      <c r="H776">
        <v>0</v>
      </c>
      <c r="I776">
        <v>0.85</v>
      </c>
      <c r="J776" t="s">
        <v>232</v>
      </c>
      <c r="K776" t="s">
        <v>27</v>
      </c>
      <c r="L776">
        <v>9030597</v>
      </c>
      <c r="M776">
        <v>1</v>
      </c>
      <c r="N776">
        <v>77630.75</v>
      </c>
      <c r="O776">
        <v>116.32757637920541</v>
      </c>
      <c r="P776">
        <v>0.34</v>
      </c>
    </row>
    <row r="777" spans="1:16" x14ac:dyDescent="0.25">
      <c r="A777" t="s">
        <v>204</v>
      </c>
      <c r="F777">
        <v>0.61725694444444446</v>
      </c>
      <c r="G777" t="s">
        <v>231</v>
      </c>
      <c r="H777">
        <v>0</v>
      </c>
      <c r="I777">
        <v>0.86</v>
      </c>
      <c r="J777" t="s">
        <v>232</v>
      </c>
      <c r="K777" t="s">
        <v>27</v>
      </c>
      <c r="L777">
        <v>8989566</v>
      </c>
      <c r="M777">
        <v>1</v>
      </c>
      <c r="N777">
        <v>74698.75</v>
      </c>
      <c r="O777">
        <v>120.34426278886862</v>
      </c>
      <c r="P777">
        <v>0.35</v>
      </c>
    </row>
    <row r="778" spans="1:16" x14ac:dyDescent="0.25">
      <c r="A778" t="s">
        <v>205</v>
      </c>
      <c r="F778">
        <v>0.61913194444444442</v>
      </c>
      <c r="G778" t="s">
        <v>231</v>
      </c>
      <c r="H778">
        <v>0</v>
      </c>
      <c r="I778">
        <v>0.86</v>
      </c>
      <c r="J778" t="s">
        <v>232</v>
      </c>
      <c r="K778" t="s">
        <v>27</v>
      </c>
      <c r="L778">
        <v>9043227</v>
      </c>
      <c r="M778">
        <v>1</v>
      </c>
      <c r="N778">
        <v>73690.656000000003</v>
      </c>
      <c r="O778">
        <v>122.71877454856691</v>
      </c>
      <c r="P778">
        <v>0.35</v>
      </c>
    </row>
    <row r="779" spans="1:16" x14ac:dyDescent="0.25">
      <c r="A779" t="s">
        <v>206</v>
      </c>
      <c r="F779">
        <v>0.62100694444444449</v>
      </c>
      <c r="G779" t="s">
        <v>231</v>
      </c>
      <c r="H779">
        <v>0</v>
      </c>
      <c r="I779">
        <v>0.85</v>
      </c>
      <c r="J779" t="s">
        <v>232</v>
      </c>
      <c r="K779" t="s">
        <v>27</v>
      </c>
      <c r="L779">
        <v>8995957</v>
      </c>
      <c r="M779">
        <v>1</v>
      </c>
      <c r="N779">
        <v>75456.952999999994</v>
      </c>
      <c r="O779">
        <v>119.21972253504592</v>
      </c>
      <c r="P779">
        <v>0.35</v>
      </c>
    </row>
    <row r="780" spans="1:16" x14ac:dyDescent="0.25">
      <c r="A780" t="s">
        <v>207</v>
      </c>
      <c r="F780">
        <v>0.62288194444444445</v>
      </c>
      <c r="G780" t="s">
        <v>231</v>
      </c>
      <c r="H780">
        <v>0</v>
      </c>
      <c r="I780">
        <v>0.85</v>
      </c>
      <c r="J780" t="s">
        <v>232</v>
      </c>
      <c r="K780" t="s">
        <v>27</v>
      </c>
      <c r="L780">
        <v>8975062</v>
      </c>
      <c r="M780">
        <v>1</v>
      </c>
      <c r="N780">
        <v>79055.422000000006</v>
      </c>
      <c r="O780">
        <v>113.52873430996294</v>
      </c>
      <c r="P780">
        <v>0.35</v>
      </c>
    </row>
    <row r="781" spans="1:16" x14ac:dyDescent="0.25">
      <c r="A781" t="s">
        <v>208</v>
      </c>
      <c r="F781">
        <v>0.62475694444444441</v>
      </c>
      <c r="G781" t="s">
        <v>231</v>
      </c>
      <c r="H781">
        <v>0</v>
      </c>
      <c r="I781">
        <v>0.85</v>
      </c>
      <c r="J781" t="s">
        <v>232</v>
      </c>
      <c r="K781" t="s">
        <v>27</v>
      </c>
      <c r="L781">
        <v>9085406</v>
      </c>
      <c r="M781">
        <v>1</v>
      </c>
      <c r="N781">
        <v>79091.718999999997</v>
      </c>
      <c r="O781">
        <v>114.87177311192339</v>
      </c>
      <c r="P781">
        <v>0.34</v>
      </c>
    </row>
    <row r="782" spans="1:16" x14ac:dyDescent="0.25">
      <c r="A782" t="s">
        <v>209</v>
      </c>
      <c r="F782">
        <v>0.62672453703703701</v>
      </c>
      <c r="G782" t="s">
        <v>231</v>
      </c>
      <c r="H782">
        <v>0</v>
      </c>
      <c r="I782">
        <v>0.85</v>
      </c>
      <c r="J782" t="s">
        <v>232</v>
      </c>
      <c r="K782" t="s">
        <v>27</v>
      </c>
      <c r="L782">
        <v>8945944</v>
      </c>
      <c r="M782">
        <v>1</v>
      </c>
      <c r="N782">
        <v>77321.656000000003</v>
      </c>
      <c r="O782">
        <v>115.69778070971475</v>
      </c>
      <c r="P782">
        <v>0.35</v>
      </c>
    </row>
    <row r="783" spans="1:16" x14ac:dyDescent="0.25">
      <c r="A783" t="s">
        <v>210</v>
      </c>
      <c r="F783">
        <v>0.62858796296296293</v>
      </c>
      <c r="G783" t="s">
        <v>231</v>
      </c>
      <c r="H783">
        <v>0</v>
      </c>
      <c r="I783">
        <v>0.85</v>
      </c>
      <c r="J783" t="s">
        <v>232</v>
      </c>
      <c r="K783" t="s">
        <v>27</v>
      </c>
      <c r="L783">
        <v>8994739</v>
      </c>
      <c r="M783">
        <v>1</v>
      </c>
      <c r="N783">
        <v>73440.116999999998</v>
      </c>
      <c r="O783">
        <v>122.47718777463277</v>
      </c>
      <c r="P783">
        <v>0.34</v>
      </c>
    </row>
    <row r="784" spans="1:16" x14ac:dyDescent="0.25">
      <c r="A784" t="s">
        <v>211</v>
      </c>
      <c r="F784">
        <v>0.63056712962962969</v>
      </c>
      <c r="G784" t="s">
        <v>231</v>
      </c>
      <c r="H784">
        <v>0</v>
      </c>
      <c r="I784">
        <v>0.85</v>
      </c>
      <c r="J784" t="s">
        <v>232</v>
      </c>
      <c r="K784" t="s">
        <v>27</v>
      </c>
      <c r="L784">
        <v>8566859</v>
      </c>
      <c r="M784">
        <v>1</v>
      </c>
      <c r="N784">
        <v>77216.827999999994</v>
      </c>
      <c r="O784">
        <v>110.94549234785973</v>
      </c>
      <c r="P784">
        <v>0.34</v>
      </c>
    </row>
    <row r="785" spans="1:19" x14ac:dyDescent="0.25">
      <c r="A785" t="s">
        <v>212</v>
      </c>
      <c r="F785">
        <v>0.63240740740740742</v>
      </c>
      <c r="G785" t="s">
        <v>231</v>
      </c>
      <c r="H785">
        <v>0</v>
      </c>
      <c r="I785">
        <v>0.85</v>
      </c>
      <c r="J785" t="s">
        <v>232</v>
      </c>
      <c r="K785" t="s">
        <v>27</v>
      </c>
      <c r="L785">
        <v>8733223</v>
      </c>
      <c r="M785">
        <v>1</v>
      </c>
      <c r="N785">
        <v>74267.241999999998</v>
      </c>
      <c r="O785">
        <v>117.59185833237217</v>
      </c>
      <c r="P785">
        <v>0.34</v>
      </c>
    </row>
    <row r="786" spans="1:19" x14ac:dyDescent="0.25">
      <c r="A786" s="2" t="s">
        <v>213</v>
      </c>
      <c r="B786" s="2"/>
      <c r="C786" s="2"/>
      <c r="D786" s="2"/>
      <c r="E786" s="2"/>
      <c r="F786" s="2">
        <v>0.63429398148148153</v>
      </c>
      <c r="G786" s="2" t="s">
        <v>231</v>
      </c>
      <c r="H786" s="2">
        <v>0</v>
      </c>
      <c r="I786" s="2">
        <v>0.86</v>
      </c>
      <c r="J786" s="2" t="s">
        <v>232</v>
      </c>
      <c r="K786" s="2" t="s">
        <v>27</v>
      </c>
      <c r="L786" s="2">
        <v>8975395</v>
      </c>
      <c r="M786" s="2">
        <v>1</v>
      </c>
      <c r="N786" s="2">
        <v>77316.695000000007</v>
      </c>
      <c r="O786" s="2">
        <v>116.08611826979929</v>
      </c>
      <c r="P786" s="2">
        <v>0.35</v>
      </c>
      <c r="Q786" s="2"/>
      <c r="R786" s="2"/>
      <c r="S786" s="2"/>
    </row>
    <row r="787" spans="1:19" x14ac:dyDescent="0.25">
      <c r="A787" s="2" t="s">
        <v>214</v>
      </c>
      <c r="B787" s="2"/>
      <c r="C787" s="2"/>
      <c r="D787" s="2"/>
      <c r="E787" s="2"/>
      <c r="F787" s="2">
        <v>0.63615740740740734</v>
      </c>
      <c r="G787" s="2" t="s">
        <v>231</v>
      </c>
      <c r="H787" s="2">
        <v>0</v>
      </c>
      <c r="I787" s="2">
        <v>0.85</v>
      </c>
      <c r="J787" s="2" t="s">
        <v>232</v>
      </c>
      <c r="K787" s="2" t="s">
        <v>27</v>
      </c>
      <c r="L787" s="2">
        <v>9116081</v>
      </c>
      <c r="M787" s="2">
        <v>1</v>
      </c>
      <c r="N787" s="2">
        <v>70950.452999999994</v>
      </c>
      <c r="O787" s="2">
        <v>128.48516978461012</v>
      </c>
      <c r="P787" s="2">
        <v>0.34</v>
      </c>
      <c r="Q787" s="2"/>
      <c r="R787" s="2"/>
      <c r="S787" s="2"/>
    </row>
    <row r="788" spans="1:19" x14ac:dyDescent="0.25">
      <c r="A788" t="s">
        <v>215</v>
      </c>
      <c r="F788">
        <v>0.63806712962962964</v>
      </c>
      <c r="G788" t="s">
        <v>231</v>
      </c>
      <c r="H788">
        <v>0</v>
      </c>
      <c r="I788">
        <v>0.85</v>
      </c>
      <c r="J788" t="s">
        <v>232</v>
      </c>
      <c r="K788" t="s">
        <v>27</v>
      </c>
      <c r="L788">
        <v>7343390</v>
      </c>
      <c r="M788">
        <v>1</v>
      </c>
      <c r="N788">
        <v>76658.133000000002</v>
      </c>
      <c r="O788">
        <v>95.794010532450613</v>
      </c>
      <c r="P788">
        <v>0.35</v>
      </c>
    </row>
    <row r="789" spans="1:19" x14ac:dyDescent="0.25">
      <c r="A789" t="s">
        <v>216</v>
      </c>
      <c r="F789">
        <v>0.6399421296296296</v>
      </c>
      <c r="G789" t="s">
        <v>231</v>
      </c>
      <c r="H789">
        <v>0</v>
      </c>
      <c r="I789">
        <v>0.85</v>
      </c>
      <c r="J789" t="s">
        <v>232</v>
      </c>
      <c r="K789" t="s">
        <v>27</v>
      </c>
      <c r="L789">
        <v>7444449.5</v>
      </c>
      <c r="M789">
        <v>1</v>
      </c>
      <c r="N789">
        <v>77482.891000000003</v>
      </c>
      <c r="O789">
        <v>96.07862334408766</v>
      </c>
      <c r="P789">
        <v>0.34</v>
      </c>
    </row>
    <row r="790" spans="1:19" x14ac:dyDescent="0.25">
      <c r="A790" t="s">
        <v>217</v>
      </c>
      <c r="F790">
        <v>0.64180555555555552</v>
      </c>
      <c r="G790" t="s">
        <v>231</v>
      </c>
      <c r="H790">
        <v>0</v>
      </c>
      <c r="I790">
        <v>0.85</v>
      </c>
      <c r="J790" t="s">
        <v>232</v>
      </c>
      <c r="K790" t="s">
        <v>27</v>
      </c>
      <c r="L790">
        <v>8989688</v>
      </c>
      <c r="M790">
        <v>1</v>
      </c>
      <c r="N790">
        <v>81169.391000000003</v>
      </c>
      <c r="O790">
        <v>110.75219228883951</v>
      </c>
      <c r="P790">
        <v>0.34</v>
      </c>
    </row>
    <row r="791" spans="1:19" x14ac:dyDescent="0.25">
      <c r="A791" t="s">
        <v>218</v>
      </c>
      <c r="F791">
        <v>0.64368055555555559</v>
      </c>
      <c r="G791" t="s">
        <v>231</v>
      </c>
      <c r="H791">
        <v>0</v>
      </c>
      <c r="I791">
        <v>0.85</v>
      </c>
      <c r="J791" t="s">
        <v>232</v>
      </c>
      <c r="K791" t="s">
        <v>27</v>
      </c>
      <c r="L791">
        <v>9304612</v>
      </c>
      <c r="M791">
        <v>1</v>
      </c>
      <c r="N791">
        <v>79876.843999999997</v>
      </c>
      <c r="O791">
        <v>116.48697587501078</v>
      </c>
      <c r="P791">
        <v>0.34</v>
      </c>
    </row>
    <row r="792" spans="1:19" x14ac:dyDescent="0.25">
      <c r="A792" t="s">
        <v>219</v>
      </c>
      <c r="F792">
        <v>0.64554398148148151</v>
      </c>
      <c r="G792" t="s">
        <v>231</v>
      </c>
      <c r="H792">
        <v>0</v>
      </c>
      <c r="I792">
        <v>0.86</v>
      </c>
      <c r="J792" t="s">
        <v>232</v>
      </c>
      <c r="K792" t="s">
        <v>27</v>
      </c>
      <c r="L792">
        <v>646917.875</v>
      </c>
      <c r="M792">
        <v>1</v>
      </c>
      <c r="N792">
        <v>199.23699999999999</v>
      </c>
      <c r="O792">
        <v>3246.9765906934958</v>
      </c>
      <c r="P792">
        <v>0.33</v>
      </c>
    </row>
    <row r="793" spans="1:19" x14ac:dyDescent="0.25">
      <c r="A793" t="s">
        <v>220</v>
      </c>
      <c r="F793">
        <v>0.64741898148148147</v>
      </c>
      <c r="G793" t="s">
        <v>231</v>
      </c>
      <c r="H793">
        <v>0</v>
      </c>
      <c r="I793">
        <v>0.85</v>
      </c>
      <c r="J793" t="s">
        <v>232</v>
      </c>
      <c r="K793" t="s">
        <v>27</v>
      </c>
      <c r="L793">
        <v>222166.42199999999</v>
      </c>
      <c r="M793">
        <v>1</v>
      </c>
      <c r="N793">
        <v>87.394999999999996</v>
      </c>
      <c r="O793">
        <v>2542.0953372618569</v>
      </c>
      <c r="P793">
        <v>0.32</v>
      </c>
    </row>
    <row r="794" spans="1:19" x14ac:dyDescent="0.25">
      <c r="A794" t="s">
        <v>19</v>
      </c>
      <c r="F794">
        <v>0.64932870370370377</v>
      </c>
      <c r="G794" t="s">
        <v>223</v>
      </c>
      <c r="H794">
        <v>0</v>
      </c>
      <c r="I794">
        <v>0.86</v>
      </c>
      <c r="J794" t="s">
        <v>224</v>
      </c>
      <c r="M794">
        <v>1</v>
      </c>
      <c r="N794">
        <v>81.486000000000004</v>
      </c>
      <c r="O794">
        <v>0</v>
      </c>
    </row>
    <row r="795" spans="1:19" x14ac:dyDescent="0.25">
      <c r="A795" t="s">
        <v>22</v>
      </c>
      <c r="F795">
        <v>0.65140046296296295</v>
      </c>
      <c r="G795" t="s">
        <v>223</v>
      </c>
      <c r="H795">
        <v>0</v>
      </c>
      <c r="I795">
        <v>0.86</v>
      </c>
      <c r="J795" t="s">
        <v>224</v>
      </c>
      <c r="K795" t="s">
        <v>27</v>
      </c>
      <c r="L795">
        <v>1.4690000000000001</v>
      </c>
      <c r="M795">
        <v>1</v>
      </c>
      <c r="N795">
        <v>37.616999999999997</v>
      </c>
      <c r="O795">
        <v>3.9051492676183644E-2</v>
      </c>
      <c r="P795">
        <v>0.67</v>
      </c>
    </row>
    <row r="796" spans="1:19" x14ac:dyDescent="0.25">
      <c r="A796" s="2" t="s">
        <v>23</v>
      </c>
      <c r="B796" s="2"/>
      <c r="C796" s="2"/>
      <c r="D796" s="2"/>
      <c r="E796" s="2"/>
      <c r="F796" s="2">
        <v>0.65523148148148147</v>
      </c>
      <c r="G796" s="2" t="s">
        <v>223</v>
      </c>
      <c r="H796" s="2">
        <v>0</v>
      </c>
      <c r="I796" s="2">
        <v>0.86</v>
      </c>
      <c r="J796" s="2" t="s">
        <v>224</v>
      </c>
      <c r="K796" s="2" t="s">
        <v>27</v>
      </c>
      <c r="L796" s="2">
        <v>0.20699999999999999</v>
      </c>
      <c r="M796" s="2">
        <v>1</v>
      </c>
      <c r="N796" s="2">
        <v>101225.531</v>
      </c>
      <c r="O796" s="2">
        <v>2.0449386429990668E-6</v>
      </c>
      <c r="P796" s="2">
        <v>0.67</v>
      </c>
      <c r="Q796" s="2"/>
      <c r="R796" s="2"/>
      <c r="S796" s="2"/>
    </row>
    <row r="797" spans="1:19" x14ac:dyDescent="0.25">
      <c r="A797" s="2" t="s">
        <v>25</v>
      </c>
      <c r="B797" s="2"/>
      <c r="C797" s="2"/>
      <c r="D797" s="2"/>
      <c r="E797" s="2"/>
      <c r="F797" s="2">
        <v>0.65708333333333335</v>
      </c>
      <c r="G797" s="2" t="s">
        <v>223</v>
      </c>
      <c r="H797" s="2">
        <v>0</v>
      </c>
      <c r="I797" s="2">
        <v>0.86</v>
      </c>
      <c r="J797" s="2" t="s">
        <v>224</v>
      </c>
      <c r="K797" s="2" t="s">
        <v>24</v>
      </c>
      <c r="L797" s="2">
        <v>0.58599999999999997</v>
      </c>
      <c r="M797" s="2">
        <v>1</v>
      </c>
      <c r="N797" s="2">
        <v>100985.69500000001</v>
      </c>
      <c r="O797" s="2">
        <v>5.802802070134784E-6</v>
      </c>
      <c r="P797" s="2">
        <v>0.7</v>
      </c>
      <c r="Q797" s="2"/>
      <c r="R797" s="2"/>
      <c r="S797" s="2"/>
    </row>
    <row r="798" spans="1:19" x14ac:dyDescent="0.25">
      <c r="A798" s="2" t="s">
        <v>26</v>
      </c>
      <c r="B798" s="2"/>
      <c r="C798" s="2"/>
      <c r="D798" s="2"/>
      <c r="E798" s="2"/>
      <c r="F798" s="2">
        <v>0.65706018518518516</v>
      </c>
      <c r="G798" s="2" t="s">
        <v>223</v>
      </c>
      <c r="H798" s="2">
        <v>0</v>
      </c>
      <c r="I798" s="2">
        <v>0.85</v>
      </c>
      <c r="J798" s="2" t="s">
        <v>224</v>
      </c>
      <c r="K798" s="2" t="s">
        <v>27</v>
      </c>
      <c r="L798" s="2">
        <v>0.39300000000000002</v>
      </c>
      <c r="M798" s="2">
        <v>1</v>
      </c>
      <c r="N798" s="2">
        <v>95940.266000000003</v>
      </c>
      <c r="O798" s="2">
        <v>4.0962988366115227E-6</v>
      </c>
      <c r="P798" s="2">
        <v>0.64</v>
      </c>
      <c r="Q798" s="2"/>
      <c r="R798" s="2"/>
      <c r="S798" s="2"/>
    </row>
    <row r="799" spans="1:19" x14ac:dyDescent="0.25">
      <c r="A799" s="2" t="s">
        <v>28</v>
      </c>
      <c r="B799" s="2"/>
      <c r="C799" s="2"/>
      <c r="D799" s="2"/>
      <c r="E799" s="2"/>
      <c r="F799" s="2">
        <v>0.65893518518518512</v>
      </c>
      <c r="G799" s="2" t="s">
        <v>223</v>
      </c>
      <c r="H799" s="2">
        <v>0</v>
      </c>
      <c r="I799" s="2">
        <v>0.85</v>
      </c>
      <c r="J799" s="2" t="s">
        <v>224</v>
      </c>
      <c r="K799" s="2" t="s">
        <v>27</v>
      </c>
      <c r="L799" s="2">
        <v>7.5999999999999998E-2</v>
      </c>
      <c r="M799" s="2">
        <v>1</v>
      </c>
      <c r="N799" s="2">
        <v>93786.812999999995</v>
      </c>
      <c r="O799" s="2">
        <v>8.1034846551401638E-7</v>
      </c>
      <c r="P799" s="2">
        <v>0.64</v>
      </c>
      <c r="Q799" s="2"/>
      <c r="R799" s="2"/>
      <c r="S799" s="2"/>
    </row>
    <row r="800" spans="1:19" x14ac:dyDescent="0.25">
      <c r="A800" s="2" t="s">
        <v>29</v>
      </c>
      <c r="B800" s="2"/>
      <c r="C800" s="2"/>
      <c r="D800" s="2"/>
      <c r="E800" s="2"/>
      <c r="F800" s="2">
        <v>0.6626967592592593</v>
      </c>
      <c r="G800" s="2" t="s">
        <v>223</v>
      </c>
      <c r="H800" s="2">
        <v>0</v>
      </c>
      <c r="I800" s="2">
        <v>0.86</v>
      </c>
      <c r="J800" s="2" t="s">
        <v>224</v>
      </c>
      <c r="K800" s="2" t="s">
        <v>27</v>
      </c>
      <c r="L800" s="2">
        <v>825.42200000000003</v>
      </c>
      <c r="M800" s="2">
        <v>1</v>
      </c>
      <c r="N800" s="2">
        <v>110901.508</v>
      </c>
      <c r="O800" s="2">
        <v>7.4428383787170866E-3</v>
      </c>
      <c r="P800" s="2">
        <v>0.61</v>
      </c>
      <c r="Q800" s="2"/>
      <c r="R800" s="2"/>
      <c r="S800" s="2"/>
    </row>
    <row r="801" spans="1:19" x14ac:dyDescent="0.25">
      <c r="A801" s="2" t="s">
        <v>30</v>
      </c>
      <c r="B801" s="2"/>
      <c r="C801" s="2"/>
      <c r="D801" s="2"/>
      <c r="E801" s="2"/>
      <c r="F801" s="2">
        <v>0.66468749999999999</v>
      </c>
      <c r="G801" s="2" t="s">
        <v>223</v>
      </c>
      <c r="H801" s="2">
        <v>0</v>
      </c>
      <c r="I801" s="2">
        <v>0.86</v>
      </c>
      <c r="J801" s="2" t="s">
        <v>224</v>
      </c>
      <c r="K801" s="2" t="s">
        <v>27</v>
      </c>
      <c r="L801" s="2">
        <v>976.69799999999998</v>
      </c>
      <c r="M801" s="2">
        <v>1</v>
      </c>
      <c r="N801" s="2">
        <v>107494.43</v>
      </c>
      <c r="O801" s="2">
        <v>9.0860335740186732E-3</v>
      </c>
      <c r="P801" s="2">
        <v>0.61</v>
      </c>
      <c r="Q801" s="2"/>
      <c r="R801" s="2"/>
      <c r="S801" s="2"/>
    </row>
    <row r="802" spans="1:19" x14ac:dyDescent="0.25">
      <c r="A802" t="s">
        <v>31</v>
      </c>
      <c r="F802">
        <v>0.66664351851851855</v>
      </c>
      <c r="G802" t="s">
        <v>223</v>
      </c>
      <c r="H802">
        <v>0</v>
      </c>
      <c r="I802">
        <v>0.86</v>
      </c>
      <c r="J802" t="s">
        <v>224</v>
      </c>
      <c r="M802">
        <v>1</v>
      </c>
      <c r="N802">
        <v>112203.008</v>
      </c>
      <c r="O802">
        <v>0</v>
      </c>
    </row>
    <row r="803" spans="1:19" x14ac:dyDescent="0.25">
      <c r="A803" t="s">
        <v>32</v>
      </c>
      <c r="F803">
        <v>0.66863425925925923</v>
      </c>
      <c r="G803" t="s">
        <v>223</v>
      </c>
      <c r="H803">
        <v>0</v>
      </c>
      <c r="I803">
        <v>0.86</v>
      </c>
      <c r="J803" t="s">
        <v>224</v>
      </c>
      <c r="M803">
        <v>1</v>
      </c>
      <c r="N803">
        <v>111875.18799999999</v>
      </c>
      <c r="O803">
        <v>0</v>
      </c>
    </row>
    <row r="804" spans="1:19" x14ac:dyDescent="0.25">
      <c r="A804" t="s">
        <v>33</v>
      </c>
      <c r="F804">
        <v>0.6705902777777778</v>
      </c>
      <c r="G804" t="s">
        <v>223</v>
      </c>
      <c r="H804">
        <v>0</v>
      </c>
      <c r="I804">
        <v>0.86</v>
      </c>
      <c r="J804" t="s">
        <v>224</v>
      </c>
      <c r="K804" t="s">
        <v>27</v>
      </c>
      <c r="L804">
        <v>1.1930000000000001</v>
      </c>
      <c r="M804">
        <v>1</v>
      </c>
      <c r="N804">
        <v>110901.81299999999</v>
      </c>
      <c r="O804">
        <v>1.0757263273955676E-5</v>
      </c>
      <c r="P804">
        <v>0.64</v>
      </c>
    </row>
    <row r="805" spans="1:19" x14ac:dyDescent="0.25">
      <c r="A805" t="s">
        <v>34</v>
      </c>
      <c r="F805">
        <v>0.6725578703703704</v>
      </c>
      <c r="G805" t="s">
        <v>223</v>
      </c>
      <c r="H805">
        <v>0</v>
      </c>
      <c r="I805">
        <v>0.86</v>
      </c>
      <c r="J805" t="s">
        <v>224</v>
      </c>
      <c r="K805" t="s">
        <v>27</v>
      </c>
      <c r="L805">
        <v>0.78600000000000003</v>
      </c>
      <c r="M805">
        <v>1</v>
      </c>
      <c r="N805">
        <v>110473.492</v>
      </c>
      <c r="O805">
        <v>7.1148289582445717E-6</v>
      </c>
      <c r="P805">
        <v>0.62</v>
      </c>
    </row>
    <row r="806" spans="1:19" x14ac:dyDescent="0.25">
      <c r="A806" t="s">
        <v>35</v>
      </c>
      <c r="F806">
        <v>0.67451388888888886</v>
      </c>
      <c r="G806" t="s">
        <v>223</v>
      </c>
      <c r="H806">
        <v>0</v>
      </c>
      <c r="I806">
        <v>0.86</v>
      </c>
      <c r="J806" t="s">
        <v>224</v>
      </c>
      <c r="M806">
        <v>1</v>
      </c>
      <c r="N806">
        <v>115292.648</v>
      </c>
      <c r="O806">
        <v>0</v>
      </c>
    </row>
    <row r="807" spans="1:19" x14ac:dyDescent="0.25">
      <c r="A807" t="s">
        <v>36</v>
      </c>
      <c r="F807">
        <v>0.67648148148148157</v>
      </c>
      <c r="G807" t="s">
        <v>223</v>
      </c>
      <c r="H807">
        <v>0</v>
      </c>
      <c r="I807">
        <v>0.86</v>
      </c>
      <c r="J807" t="s">
        <v>224</v>
      </c>
      <c r="M807">
        <v>1</v>
      </c>
      <c r="N807">
        <v>111619.56299999999</v>
      </c>
      <c r="O807">
        <v>0</v>
      </c>
    </row>
    <row r="808" spans="1:19" x14ac:dyDescent="0.25">
      <c r="A808" t="s">
        <v>37</v>
      </c>
      <c r="F808">
        <v>0.67843749999999992</v>
      </c>
      <c r="G808" t="s">
        <v>223</v>
      </c>
      <c r="H808">
        <v>0</v>
      </c>
      <c r="I808">
        <v>0.86</v>
      </c>
      <c r="J808" t="s">
        <v>224</v>
      </c>
      <c r="K808" t="s">
        <v>27</v>
      </c>
      <c r="L808">
        <v>0.65900000000000003</v>
      </c>
      <c r="M808">
        <v>1</v>
      </c>
      <c r="N808">
        <v>113838.43799999999</v>
      </c>
      <c r="O808">
        <v>5.7889058526962579E-6</v>
      </c>
      <c r="P808">
        <v>0.62</v>
      </c>
    </row>
    <row r="809" spans="1:19" x14ac:dyDescent="0.25">
      <c r="A809" t="s">
        <v>38</v>
      </c>
      <c r="F809">
        <v>0.68040509259259263</v>
      </c>
      <c r="G809" t="s">
        <v>223</v>
      </c>
      <c r="H809">
        <v>0</v>
      </c>
      <c r="I809">
        <v>0.86</v>
      </c>
      <c r="J809" t="s">
        <v>224</v>
      </c>
      <c r="M809">
        <v>1</v>
      </c>
      <c r="N809">
        <v>115682.109</v>
      </c>
      <c r="O809">
        <v>0</v>
      </c>
    </row>
    <row r="810" spans="1:19" x14ac:dyDescent="0.25">
      <c r="A810" t="s">
        <v>39</v>
      </c>
      <c r="F810">
        <v>0.68228009259259259</v>
      </c>
      <c r="G810" t="s">
        <v>223</v>
      </c>
      <c r="H810">
        <v>0</v>
      </c>
      <c r="I810">
        <v>0.86</v>
      </c>
      <c r="J810" t="s">
        <v>224</v>
      </c>
      <c r="M810">
        <v>1</v>
      </c>
      <c r="N810">
        <v>114083.766</v>
      </c>
      <c r="O810">
        <v>0</v>
      </c>
    </row>
    <row r="811" spans="1:19" x14ac:dyDescent="0.25">
      <c r="A811" t="s">
        <v>40</v>
      </c>
      <c r="F811">
        <v>0.68425925925925923</v>
      </c>
      <c r="G811" t="s">
        <v>223</v>
      </c>
      <c r="H811">
        <v>0</v>
      </c>
      <c r="I811">
        <v>0.86</v>
      </c>
      <c r="J811" t="s">
        <v>224</v>
      </c>
      <c r="M811">
        <v>1</v>
      </c>
      <c r="N811">
        <v>112092.19500000001</v>
      </c>
      <c r="O811">
        <v>0</v>
      </c>
    </row>
    <row r="812" spans="1:19" x14ac:dyDescent="0.25">
      <c r="A812" t="s">
        <v>41</v>
      </c>
      <c r="F812">
        <v>0.6862152777777778</v>
      </c>
      <c r="G812" t="s">
        <v>223</v>
      </c>
      <c r="H812">
        <v>0</v>
      </c>
      <c r="I812">
        <v>0.86</v>
      </c>
      <c r="J812" t="s">
        <v>224</v>
      </c>
      <c r="K812" t="s">
        <v>27</v>
      </c>
      <c r="L812">
        <v>0.76500000000000001</v>
      </c>
      <c r="M812">
        <v>1</v>
      </c>
      <c r="N812">
        <v>109805.56299999999</v>
      </c>
      <c r="O812">
        <v>6.96686013986377E-6</v>
      </c>
      <c r="P812">
        <v>0.59</v>
      </c>
    </row>
    <row r="813" spans="1:19" x14ac:dyDescent="0.25">
      <c r="A813" t="s">
        <v>42</v>
      </c>
      <c r="F813">
        <v>0.68817129629629636</v>
      </c>
      <c r="G813" t="s">
        <v>223</v>
      </c>
      <c r="H813">
        <v>0</v>
      </c>
      <c r="I813">
        <v>0.86</v>
      </c>
      <c r="J813" t="s">
        <v>224</v>
      </c>
      <c r="K813" t="s">
        <v>27</v>
      </c>
      <c r="L813">
        <v>2.3279999999999998</v>
      </c>
      <c r="M813">
        <v>1</v>
      </c>
      <c r="N813">
        <v>105521.125</v>
      </c>
      <c r="O813">
        <v>2.2061933096334975E-5</v>
      </c>
      <c r="P813">
        <v>0.66</v>
      </c>
    </row>
    <row r="814" spans="1:19" x14ac:dyDescent="0.25">
      <c r="A814" t="s">
        <v>43</v>
      </c>
      <c r="F814">
        <v>0.69003472222222229</v>
      </c>
      <c r="G814" t="s">
        <v>223</v>
      </c>
      <c r="H814">
        <v>0</v>
      </c>
      <c r="I814">
        <v>0.86</v>
      </c>
      <c r="J814" t="s">
        <v>224</v>
      </c>
      <c r="K814" t="s">
        <v>27</v>
      </c>
      <c r="L814">
        <v>1.4139999999999999</v>
      </c>
      <c r="M814">
        <v>1</v>
      </c>
      <c r="N814">
        <v>117415.531</v>
      </c>
      <c r="O814">
        <v>1.2042699870769224E-5</v>
      </c>
      <c r="P814">
        <v>0.61</v>
      </c>
    </row>
    <row r="815" spans="1:19" x14ac:dyDescent="0.25">
      <c r="A815" t="s">
        <v>44</v>
      </c>
      <c r="F815">
        <v>0.6918981481481481</v>
      </c>
      <c r="G815" t="s">
        <v>223</v>
      </c>
      <c r="H815">
        <v>0</v>
      </c>
      <c r="I815">
        <v>0.86</v>
      </c>
      <c r="J815" t="s">
        <v>224</v>
      </c>
      <c r="K815" t="s">
        <v>27</v>
      </c>
      <c r="L815">
        <v>0.128</v>
      </c>
      <c r="M815">
        <v>1</v>
      </c>
      <c r="N815">
        <v>118949.492</v>
      </c>
      <c r="O815">
        <v>1.0760869832046026E-6</v>
      </c>
      <c r="P815">
        <v>0.67</v>
      </c>
    </row>
    <row r="816" spans="1:19" x14ac:dyDescent="0.25">
      <c r="A816" t="s">
        <v>45</v>
      </c>
      <c r="F816">
        <v>0.69377314814814817</v>
      </c>
      <c r="G816" t="s">
        <v>223</v>
      </c>
      <c r="H816">
        <v>0</v>
      </c>
      <c r="I816">
        <v>0.86</v>
      </c>
      <c r="J816" t="s">
        <v>224</v>
      </c>
      <c r="M816">
        <v>1</v>
      </c>
      <c r="N816">
        <v>115439.04700000001</v>
      </c>
      <c r="O816">
        <v>0</v>
      </c>
    </row>
    <row r="817" spans="1:16" x14ac:dyDescent="0.25">
      <c r="A817" t="s">
        <v>46</v>
      </c>
      <c r="F817">
        <v>0.69563657407407409</v>
      </c>
      <c r="G817" t="s">
        <v>223</v>
      </c>
      <c r="H817">
        <v>0</v>
      </c>
      <c r="I817">
        <v>0.86</v>
      </c>
      <c r="J817" t="s">
        <v>224</v>
      </c>
      <c r="M817">
        <v>1</v>
      </c>
      <c r="N817">
        <v>120355.344</v>
      </c>
      <c r="O817">
        <v>0</v>
      </c>
    </row>
    <row r="818" spans="1:16" x14ac:dyDescent="0.25">
      <c r="A818" t="s">
        <v>47</v>
      </c>
      <c r="F818">
        <v>0.69751157407407405</v>
      </c>
      <c r="G818" t="s">
        <v>223</v>
      </c>
      <c r="H818">
        <v>0</v>
      </c>
      <c r="I818">
        <v>0.86</v>
      </c>
      <c r="J818" t="s">
        <v>224</v>
      </c>
      <c r="K818" t="s">
        <v>27</v>
      </c>
      <c r="L818">
        <v>0.127</v>
      </c>
      <c r="M818">
        <v>1</v>
      </c>
      <c r="N818">
        <v>119755.094</v>
      </c>
      <c r="O818">
        <v>1.0604976853844731E-6</v>
      </c>
      <c r="P818">
        <v>0.59</v>
      </c>
    </row>
    <row r="819" spans="1:16" x14ac:dyDescent="0.25">
      <c r="A819" t="s">
        <v>48</v>
      </c>
      <c r="F819">
        <v>0.69938657407407412</v>
      </c>
      <c r="G819" t="s">
        <v>223</v>
      </c>
      <c r="H819">
        <v>0</v>
      </c>
      <c r="I819">
        <v>0.86</v>
      </c>
      <c r="J819" t="s">
        <v>224</v>
      </c>
      <c r="M819">
        <v>1</v>
      </c>
      <c r="N819">
        <v>120245.961</v>
      </c>
      <c r="O819">
        <v>0</v>
      </c>
    </row>
    <row r="820" spans="1:16" x14ac:dyDescent="0.25">
      <c r="A820" t="s">
        <v>49</v>
      </c>
      <c r="F820">
        <v>0.70124999999999993</v>
      </c>
      <c r="G820" t="s">
        <v>223</v>
      </c>
      <c r="H820">
        <v>0</v>
      </c>
      <c r="I820">
        <v>0.86</v>
      </c>
      <c r="J820" t="s">
        <v>224</v>
      </c>
      <c r="K820" t="s">
        <v>27</v>
      </c>
      <c r="L820">
        <v>0.32200000000000001</v>
      </c>
      <c r="M820">
        <v>1</v>
      </c>
      <c r="N820">
        <v>117114.414</v>
      </c>
      <c r="O820">
        <v>2.7494480739151375E-6</v>
      </c>
      <c r="P820">
        <v>0.59</v>
      </c>
    </row>
    <row r="821" spans="1:16" x14ac:dyDescent="0.25">
      <c r="A821" t="s">
        <v>50</v>
      </c>
      <c r="F821">
        <v>0.703125</v>
      </c>
      <c r="G821" t="s">
        <v>223</v>
      </c>
      <c r="H821">
        <v>0</v>
      </c>
      <c r="I821">
        <v>0.86</v>
      </c>
      <c r="J821" t="s">
        <v>224</v>
      </c>
      <c r="M821">
        <v>1</v>
      </c>
      <c r="N821">
        <v>115817.31299999999</v>
      </c>
      <c r="O821">
        <v>0</v>
      </c>
    </row>
    <row r="822" spans="1:16" x14ac:dyDescent="0.25">
      <c r="A822" t="s">
        <v>51</v>
      </c>
      <c r="F822">
        <v>0.70498842592592592</v>
      </c>
      <c r="G822" t="s">
        <v>223</v>
      </c>
      <c r="H822">
        <v>0</v>
      </c>
      <c r="I822">
        <v>0.86</v>
      </c>
      <c r="J822" t="s">
        <v>224</v>
      </c>
      <c r="M822">
        <v>1</v>
      </c>
      <c r="N822">
        <v>118291.25</v>
      </c>
      <c r="O822">
        <v>0</v>
      </c>
    </row>
    <row r="823" spans="1:16" x14ac:dyDescent="0.25">
      <c r="A823" t="s">
        <v>52</v>
      </c>
      <c r="F823">
        <v>0.70686342592592588</v>
      </c>
      <c r="G823" t="s">
        <v>223</v>
      </c>
      <c r="H823">
        <v>0</v>
      </c>
      <c r="I823">
        <v>0.86</v>
      </c>
      <c r="J823" t="s">
        <v>224</v>
      </c>
      <c r="M823">
        <v>1</v>
      </c>
      <c r="N823">
        <v>118831.18</v>
      </c>
      <c r="O823">
        <v>0</v>
      </c>
    </row>
    <row r="824" spans="1:16" x14ac:dyDescent="0.25">
      <c r="A824" t="s">
        <v>53</v>
      </c>
      <c r="F824">
        <v>0.7087268518518518</v>
      </c>
      <c r="G824" t="s">
        <v>223</v>
      </c>
      <c r="H824">
        <v>0</v>
      </c>
      <c r="I824">
        <v>0.86</v>
      </c>
      <c r="J824" t="s">
        <v>224</v>
      </c>
      <c r="M824">
        <v>1</v>
      </c>
      <c r="N824">
        <v>118848.914</v>
      </c>
      <c r="O824">
        <v>0</v>
      </c>
    </row>
    <row r="825" spans="1:16" x14ac:dyDescent="0.25">
      <c r="A825" t="s">
        <v>54</v>
      </c>
      <c r="F825">
        <v>0.7106365740740741</v>
      </c>
      <c r="G825" t="s">
        <v>223</v>
      </c>
      <c r="H825">
        <v>0</v>
      </c>
      <c r="I825">
        <v>0.86</v>
      </c>
      <c r="J825" t="s">
        <v>224</v>
      </c>
      <c r="K825" t="s">
        <v>27</v>
      </c>
      <c r="L825">
        <v>1.022</v>
      </c>
      <c r="M825">
        <v>1</v>
      </c>
      <c r="N825">
        <v>115702.79700000001</v>
      </c>
      <c r="O825">
        <v>8.8329757490650809E-6</v>
      </c>
      <c r="P825">
        <v>0.65</v>
      </c>
    </row>
    <row r="826" spans="1:16" x14ac:dyDescent="0.25">
      <c r="A826" t="s">
        <v>55</v>
      </c>
      <c r="F826">
        <v>0.71247685185185183</v>
      </c>
      <c r="G826" t="s">
        <v>223</v>
      </c>
      <c r="H826">
        <v>0</v>
      </c>
      <c r="I826">
        <v>0.86</v>
      </c>
      <c r="J826" t="s">
        <v>224</v>
      </c>
      <c r="K826" t="s">
        <v>27</v>
      </c>
      <c r="L826">
        <v>0.11799999999999999</v>
      </c>
      <c r="M826">
        <v>1</v>
      </c>
      <c r="N826">
        <v>115619.141</v>
      </c>
      <c r="O826">
        <v>1.0205922564326957E-6</v>
      </c>
      <c r="P826">
        <v>0.65</v>
      </c>
    </row>
    <row r="827" spans="1:16" x14ac:dyDescent="0.25">
      <c r="A827" t="s">
        <v>56</v>
      </c>
      <c r="F827">
        <v>0.71434027777777775</v>
      </c>
      <c r="G827" t="s">
        <v>223</v>
      </c>
      <c r="H827">
        <v>0</v>
      </c>
      <c r="I827">
        <v>0.86</v>
      </c>
      <c r="J827" t="s">
        <v>224</v>
      </c>
      <c r="M827">
        <v>1</v>
      </c>
      <c r="N827">
        <v>117289.30499999999</v>
      </c>
      <c r="O827">
        <v>0</v>
      </c>
    </row>
    <row r="828" spans="1:16" x14ac:dyDescent="0.25">
      <c r="A828" t="s">
        <v>57</v>
      </c>
      <c r="F828">
        <v>0.71621527777777771</v>
      </c>
      <c r="G828" t="s">
        <v>223</v>
      </c>
      <c r="H828">
        <v>0</v>
      </c>
      <c r="I828">
        <v>0.86</v>
      </c>
      <c r="J828" t="s">
        <v>224</v>
      </c>
      <c r="K828" t="s">
        <v>27</v>
      </c>
      <c r="L828">
        <v>0.14299999999999999</v>
      </c>
      <c r="M828">
        <v>1</v>
      </c>
      <c r="N828">
        <v>123942.023</v>
      </c>
      <c r="O828">
        <v>1.1537652568410957E-6</v>
      </c>
      <c r="P828">
        <v>0.61</v>
      </c>
    </row>
    <row r="829" spans="1:16" x14ac:dyDescent="0.25">
      <c r="A829" t="s">
        <v>58</v>
      </c>
      <c r="F829">
        <v>0.71809027777777779</v>
      </c>
      <c r="G829" t="s">
        <v>223</v>
      </c>
      <c r="H829">
        <v>0</v>
      </c>
      <c r="I829">
        <v>0.86</v>
      </c>
      <c r="J829" t="s">
        <v>224</v>
      </c>
      <c r="M829">
        <v>1</v>
      </c>
      <c r="N829">
        <v>117239.648</v>
      </c>
      <c r="O829">
        <v>0</v>
      </c>
    </row>
    <row r="830" spans="1:16" x14ac:dyDescent="0.25">
      <c r="A830" t="s">
        <v>59</v>
      </c>
      <c r="F830">
        <v>0.71995370370370371</v>
      </c>
      <c r="G830" t="s">
        <v>223</v>
      </c>
      <c r="H830">
        <v>0</v>
      </c>
      <c r="I830">
        <v>0.86</v>
      </c>
      <c r="J830" t="s">
        <v>224</v>
      </c>
      <c r="M830">
        <v>1</v>
      </c>
      <c r="N830">
        <v>209.88499999999999</v>
      </c>
      <c r="O830">
        <v>0</v>
      </c>
    </row>
    <row r="831" spans="1:16" x14ac:dyDescent="0.25">
      <c r="A831" t="s">
        <v>60</v>
      </c>
      <c r="F831">
        <v>0.72182870370370367</v>
      </c>
      <c r="G831" t="s">
        <v>223</v>
      </c>
      <c r="H831">
        <v>0</v>
      </c>
      <c r="I831">
        <v>0.87</v>
      </c>
      <c r="J831" t="s">
        <v>224</v>
      </c>
      <c r="M831">
        <v>1</v>
      </c>
      <c r="N831">
        <v>3.3149999999999999</v>
      </c>
      <c r="O831">
        <v>0</v>
      </c>
    </row>
    <row r="832" spans="1:16" x14ac:dyDescent="0.25">
      <c r="A832" t="s">
        <v>61</v>
      </c>
      <c r="F832">
        <v>0.72369212962962959</v>
      </c>
      <c r="G832" t="s">
        <v>223</v>
      </c>
      <c r="H832">
        <v>0</v>
      </c>
      <c r="I832">
        <v>0.86</v>
      </c>
      <c r="J832" t="s">
        <v>224</v>
      </c>
      <c r="M832">
        <v>1</v>
      </c>
      <c r="N832">
        <v>113660.352</v>
      </c>
      <c r="O832">
        <v>0</v>
      </c>
    </row>
    <row r="833" spans="1:19" x14ac:dyDescent="0.25">
      <c r="A833" t="s">
        <v>62</v>
      </c>
      <c r="F833">
        <v>0.72556712962962966</v>
      </c>
      <c r="G833" t="s">
        <v>223</v>
      </c>
      <c r="H833">
        <v>0</v>
      </c>
      <c r="I833">
        <v>0.86</v>
      </c>
      <c r="J833" t="s">
        <v>224</v>
      </c>
      <c r="M833">
        <v>1</v>
      </c>
      <c r="N833">
        <v>115519.04700000001</v>
      </c>
      <c r="O833">
        <v>0</v>
      </c>
    </row>
    <row r="834" spans="1:19" x14ac:dyDescent="0.25">
      <c r="A834" s="2" t="s">
        <v>63</v>
      </c>
      <c r="B834" s="2"/>
      <c r="C834" s="2"/>
      <c r="D834" s="2"/>
      <c r="E834" s="2"/>
      <c r="F834" s="2">
        <v>0.72746527777777781</v>
      </c>
      <c r="G834" s="2" t="s">
        <v>223</v>
      </c>
      <c r="H834" s="2">
        <v>0</v>
      </c>
      <c r="I834" s="2">
        <v>0.86</v>
      </c>
      <c r="J834" s="2" t="s">
        <v>224</v>
      </c>
      <c r="K834" s="2" t="s">
        <v>27</v>
      </c>
      <c r="L834" s="2">
        <v>8766.357</v>
      </c>
      <c r="M834" s="2">
        <v>1</v>
      </c>
      <c r="N834" s="2">
        <v>114009.516</v>
      </c>
      <c r="O834" s="2">
        <v>7.6891450008436141E-2</v>
      </c>
      <c r="P834" s="2">
        <v>0.61</v>
      </c>
      <c r="Q834" s="2"/>
      <c r="R834" s="2"/>
      <c r="S834" s="2"/>
    </row>
    <row r="835" spans="1:19" x14ac:dyDescent="0.25">
      <c r="A835" s="2" t="s">
        <v>64</v>
      </c>
      <c r="B835" s="2"/>
      <c r="C835" s="2"/>
      <c r="D835" s="2"/>
      <c r="E835" s="2"/>
      <c r="F835" s="2">
        <v>0.72931712962962969</v>
      </c>
      <c r="G835" s="2" t="s">
        <v>223</v>
      </c>
      <c r="H835" s="2">
        <v>0</v>
      </c>
      <c r="I835" s="2">
        <v>0.86</v>
      </c>
      <c r="J835" s="2" t="s">
        <v>224</v>
      </c>
      <c r="K835" s="2" t="s">
        <v>27</v>
      </c>
      <c r="L835" s="2">
        <v>7955.1670000000004</v>
      </c>
      <c r="M835" s="2">
        <v>1</v>
      </c>
      <c r="N835" s="2">
        <v>113238.109</v>
      </c>
      <c r="O835" s="2">
        <v>7.025167649170122E-2</v>
      </c>
      <c r="P835" s="2">
        <v>0.61</v>
      </c>
      <c r="Q835" s="2"/>
      <c r="R835" s="2"/>
      <c r="S835" s="2"/>
    </row>
    <row r="836" spans="1:19" x14ac:dyDescent="0.25">
      <c r="A836" t="s">
        <v>65</v>
      </c>
      <c r="F836">
        <v>0.73129629629629633</v>
      </c>
      <c r="G836" t="s">
        <v>223</v>
      </c>
      <c r="H836">
        <v>0</v>
      </c>
      <c r="I836">
        <v>0.86</v>
      </c>
      <c r="J836" t="s">
        <v>224</v>
      </c>
      <c r="K836" t="s">
        <v>27</v>
      </c>
      <c r="L836">
        <v>0.113</v>
      </c>
      <c r="M836">
        <v>1</v>
      </c>
      <c r="N836">
        <v>116292.07799999999</v>
      </c>
      <c r="O836">
        <v>9.7169129611735041E-7</v>
      </c>
      <c r="P836">
        <v>0.6</v>
      </c>
    </row>
    <row r="837" spans="1:19" x14ac:dyDescent="0.25">
      <c r="A837" t="s">
        <v>66</v>
      </c>
      <c r="F837">
        <v>0.73326388888888883</v>
      </c>
      <c r="G837" t="s">
        <v>223</v>
      </c>
      <c r="H837">
        <v>0</v>
      </c>
      <c r="I837">
        <v>0.86</v>
      </c>
      <c r="J837" t="s">
        <v>224</v>
      </c>
      <c r="M837">
        <v>1</v>
      </c>
      <c r="N837">
        <v>119564.148</v>
      </c>
      <c r="O837">
        <v>0</v>
      </c>
    </row>
    <row r="838" spans="1:19" x14ac:dyDescent="0.25">
      <c r="A838" t="s">
        <v>67</v>
      </c>
      <c r="F838">
        <v>0.73523148148148154</v>
      </c>
      <c r="G838" t="s">
        <v>223</v>
      </c>
      <c r="H838">
        <v>0</v>
      </c>
      <c r="I838">
        <v>0.86</v>
      </c>
      <c r="J838" t="s">
        <v>224</v>
      </c>
      <c r="M838">
        <v>1</v>
      </c>
      <c r="N838">
        <v>117152.92200000001</v>
      </c>
      <c r="O838">
        <v>0</v>
      </c>
    </row>
    <row r="839" spans="1:19" x14ac:dyDescent="0.25">
      <c r="A839" t="s">
        <v>68</v>
      </c>
      <c r="F839">
        <v>0.7371875</v>
      </c>
      <c r="G839" t="s">
        <v>223</v>
      </c>
      <c r="H839">
        <v>0</v>
      </c>
      <c r="I839">
        <v>0.86</v>
      </c>
      <c r="J839" t="s">
        <v>224</v>
      </c>
      <c r="K839" t="s">
        <v>27</v>
      </c>
      <c r="L839">
        <v>0.34599999999999997</v>
      </c>
      <c r="M839">
        <v>1</v>
      </c>
      <c r="N839">
        <v>111947.391</v>
      </c>
      <c r="O839">
        <v>3.0907375054412833E-6</v>
      </c>
      <c r="P839">
        <v>0.6</v>
      </c>
    </row>
    <row r="840" spans="1:19" x14ac:dyDescent="0.25">
      <c r="A840" t="s">
        <v>69</v>
      </c>
      <c r="F840">
        <v>0.73916666666666664</v>
      </c>
      <c r="G840" t="s">
        <v>223</v>
      </c>
      <c r="H840">
        <v>0</v>
      </c>
      <c r="I840">
        <v>0.86</v>
      </c>
      <c r="J840" t="s">
        <v>224</v>
      </c>
      <c r="K840" t="s">
        <v>27</v>
      </c>
      <c r="L840">
        <v>0.48899999999999999</v>
      </c>
      <c r="M840">
        <v>1</v>
      </c>
      <c r="N840">
        <v>120969.641</v>
      </c>
      <c r="O840">
        <v>4.0423365396281536E-6</v>
      </c>
      <c r="P840">
        <v>0.59</v>
      </c>
    </row>
    <row r="841" spans="1:19" x14ac:dyDescent="0.25">
      <c r="A841" t="s">
        <v>70</v>
      </c>
      <c r="F841">
        <v>0.74113425925925924</v>
      </c>
      <c r="G841" t="s">
        <v>223</v>
      </c>
      <c r="H841">
        <v>0</v>
      </c>
      <c r="I841">
        <v>0.86</v>
      </c>
      <c r="J841" t="s">
        <v>224</v>
      </c>
      <c r="M841">
        <v>1</v>
      </c>
      <c r="N841">
        <v>110966.523</v>
      </c>
      <c r="O841">
        <v>0</v>
      </c>
    </row>
    <row r="842" spans="1:19" x14ac:dyDescent="0.25">
      <c r="A842" t="s">
        <v>71</v>
      </c>
      <c r="F842">
        <v>0.74307870370370377</v>
      </c>
      <c r="G842" t="s">
        <v>223</v>
      </c>
      <c r="H842">
        <v>0</v>
      </c>
      <c r="I842">
        <v>0.86</v>
      </c>
      <c r="J842" t="s">
        <v>224</v>
      </c>
      <c r="K842" t="s">
        <v>27</v>
      </c>
      <c r="L842">
        <v>1.181</v>
      </c>
      <c r="M842">
        <v>1</v>
      </c>
      <c r="N842">
        <v>120331.281</v>
      </c>
      <c r="O842">
        <v>9.8145718235975563E-6</v>
      </c>
      <c r="P842">
        <v>0.61</v>
      </c>
    </row>
    <row r="843" spans="1:19" x14ac:dyDescent="0.25">
      <c r="A843" t="s">
        <v>72</v>
      </c>
      <c r="F843">
        <v>0.74506944444444445</v>
      </c>
      <c r="G843" t="s">
        <v>223</v>
      </c>
      <c r="H843">
        <v>0</v>
      </c>
      <c r="I843">
        <v>0.86</v>
      </c>
      <c r="J843" t="s">
        <v>224</v>
      </c>
      <c r="K843" t="s">
        <v>27</v>
      </c>
      <c r="L843">
        <v>1.9E-2</v>
      </c>
      <c r="M843">
        <v>1</v>
      </c>
      <c r="N843">
        <v>123456.898</v>
      </c>
      <c r="O843">
        <v>1.5389986552229749E-7</v>
      </c>
      <c r="P843">
        <v>0.64</v>
      </c>
    </row>
    <row r="844" spans="1:19" x14ac:dyDescent="0.25">
      <c r="A844" t="s">
        <v>73</v>
      </c>
      <c r="F844">
        <v>0.74703703703703705</v>
      </c>
      <c r="G844" t="s">
        <v>223</v>
      </c>
      <c r="H844">
        <v>0</v>
      </c>
      <c r="I844">
        <v>0.86</v>
      </c>
      <c r="J844" t="s">
        <v>224</v>
      </c>
      <c r="K844" t="s">
        <v>27</v>
      </c>
      <c r="L844">
        <v>0.749</v>
      </c>
      <c r="M844">
        <v>1</v>
      </c>
      <c r="N844">
        <v>119898.906</v>
      </c>
      <c r="O844">
        <v>6.2469293923332373E-6</v>
      </c>
      <c r="P844">
        <v>0.66</v>
      </c>
    </row>
    <row r="845" spans="1:19" x14ac:dyDescent="0.25">
      <c r="A845" t="s">
        <v>74</v>
      </c>
      <c r="F845">
        <v>0.74900462962962966</v>
      </c>
      <c r="G845" t="s">
        <v>223</v>
      </c>
      <c r="H845">
        <v>0</v>
      </c>
      <c r="I845">
        <v>0.86</v>
      </c>
      <c r="J845" t="s">
        <v>224</v>
      </c>
      <c r="K845" t="s">
        <v>27</v>
      </c>
      <c r="L845">
        <v>0.28299999999999997</v>
      </c>
      <c r="M845">
        <v>1</v>
      </c>
      <c r="N845">
        <v>114464.43</v>
      </c>
      <c r="O845">
        <v>2.4723837789608526E-6</v>
      </c>
      <c r="P845">
        <v>0.62</v>
      </c>
    </row>
    <row r="846" spans="1:19" x14ac:dyDescent="0.25">
      <c r="A846" t="s">
        <v>75</v>
      </c>
      <c r="F846">
        <v>0.75096064814814811</v>
      </c>
      <c r="G846" t="s">
        <v>223</v>
      </c>
      <c r="H846">
        <v>0</v>
      </c>
      <c r="I846">
        <v>0.86</v>
      </c>
      <c r="J846" t="s">
        <v>224</v>
      </c>
      <c r="M846">
        <v>1</v>
      </c>
      <c r="N846">
        <v>118488.594</v>
      </c>
      <c r="O846">
        <v>0</v>
      </c>
    </row>
    <row r="847" spans="1:19" x14ac:dyDescent="0.25">
      <c r="A847" t="s">
        <v>76</v>
      </c>
      <c r="F847">
        <v>0.75292824074074083</v>
      </c>
      <c r="G847" t="s">
        <v>223</v>
      </c>
      <c r="H847">
        <v>0</v>
      </c>
      <c r="I847">
        <v>0.86</v>
      </c>
      <c r="J847" t="s">
        <v>224</v>
      </c>
      <c r="K847" t="s">
        <v>27</v>
      </c>
      <c r="L847">
        <v>0.23300000000000001</v>
      </c>
      <c r="M847">
        <v>1</v>
      </c>
      <c r="N847">
        <v>120484.242</v>
      </c>
      <c r="O847">
        <v>1.9338628532019979E-6</v>
      </c>
      <c r="P847">
        <v>0.65</v>
      </c>
    </row>
    <row r="848" spans="1:19" x14ac:dyDescent="0.25">
      <c r="A848" t="s">
        <v>77</v>
      </c>
      <c r="F848">
        <v>0.7547800925925926</v>
      </c>
      <c r="G848" t="s">
        <v>223</v>
      </c>
      <c r="H848">
        <v>0</v>
      </c>
      <c r="I848">
        <v>0.85</v>
      </c>
      <c r="J848" t="s">
        <v>224</v>
      </c>
      <c r="K848" t="s">
        <v>27</v>
      </c>
      <c r="L848">
        <v>0.25800000000000001</v>
      </c>
      <c r="M848">
        <v>1</v>
      </c>
      <c r="N848">
        <v>120868.19500000001</v>
      </c>
      <c r="O848">
        <v>2.134556572140421E-6</v>
      </c>
      <c r="P848">
        <v>0.62</v>
      </c>
    </row>
    <row r="849" spans="1:19" x14ac:dyDescent="0.25">
      <c r="A849" t="s">
        <v>78</v>
      </c>
      <c r="F849">
        <v>0.75665509259259256</v>
      </c>
      <c r="G849" t="s">
        <v>223</v>
      </c>
      <c r="H849">
        <v>0</v>
      </c>
      <c r="I849">
        <v>0.85</v>
      </c>
      <c r="J849" t="s">
        <v>224</v>
      </c>
      <c r="K849" t="s">
        <v>27</v>
      </c>
      <c r="L849">
        <v>0.65500000000000003</v>
      </c>
      <c r="M849">
        <v>1</v>
      </c>
      <c r="N849">
        <v>124093.773</v>
      </c>
      <c r="O849">
        <v>5.2782664606386017E-6</v>
      </c>
      <c r="P849">
        <v>0.59</v>
      </c>
    </row>
    <row r="850" spans="1:19" x14ac:dyDescent="0.25">
      <c r="A850" t="s">
        <v>79</v>
      </c>
      <c r="F850">
        <v>0.75864583333333335</v>
      </c>
      <c r="G850" t="s">
        <v>223</v>
      </c>
      <c r="H850">
        <v>0</v>
      </c>
      <c r="I850">
        <v>0.86</v>
      </c>
      <c r="J850" t="s">
        <v>224</v>
      </c>
      <c r="M850">
        <v>1</v>
      </c>
      <c r="N850">
        <v>120933.44500000001</v>
      </c>
      <c r="O850">
        <v>0</v>
      </c>
    </row>
    <row r="851" spans="1:19" x14ac:dyDescent="0.25">
      <c r="A851" t="s">
        <v>80</v>
      </c>
      <c r="F851">
        <v>0.76061342592592596</v>
      </c>
      <c r="G851" t="s">
        <v>223</v>
      </c>
      <c r="H851">
        <v>0</v>
      </c>
      <c r="I851">
        <v>0.86</v>
      </c>
      <c r="J851" t="s">
        <v>224</v>
      </c>
      <c r="M851">
        <v>1</v>
      </c>
      <c r="N851">
        <v>118392.31299999999</v>
      </c>
      <c r="O851">
        <v>0</v>
      </c>
    </row>
    <row r="852" spans="1:19" x14ac:dyDescent="0.25">
      <c r="A852" t="s">
        <v>81</v>
      </c>
      <c r="F852">
        <v>0.76258101851851856</v>
      </c>
      <c r="G852" t="s">
        <v>223</v>
      </c>
      <c r="H852">
        <v>0</v>
      </c>
      <c r="I852">
        <v>0.86</v>
      </c>
      <c r="J852" t="s">
        <v>224</v>
      </c>
      <c r="K852" t="s">
        <v>27</v>
      </c>
      <c r="L852">
        <v>1.125</v>
      </c>
      <c r="M852">
        <v>1</v>
      </c>
      <c r="N852">
        <v>115258.281</v>
      </c>
      <c r="O852">
        <v>9.7606869566274381E-6</v>
      </c>
      <c r="P852">
        <v>0.6</v>
      </c>
    </row>
    <row r="853" spans="1:19" x14ac:dyDescent="0.25">
      <c r="A853" t="s">
        <v>82</v>
      </c>
      <c r="F853">
        <v>0.76454861111111105</v>
      </c>
      <c r="G853" t="s">
        <v>223</v>
      </c>
      <c r="H853">
        <v>0</v>
      </c>
      <c r="I853">
        <v>0.85</v>
      </c>
      <c r="J853" t="s">
        <v>224</v>
      </c>
      <c r="K853" t="s">
        <v>27</v>
      </c>
      <c r="L853">
        <v>0.11600000000000001</v>
      </c>
      <c r="M853">
        <v>1</v>
      </c>
      <c r="N853">
        <v>114999.148</v>
      </c>
      <c r="O853">
        <v>1.0087031253483721E-6</v>
      </c>
      <c r="P853">
        <v>0.68</v>
      </c>
    </row>
    <row r="854" spans="1:19" x14ac:dyDescent="0.25">
      <c r="A854" t="s">
        <v>83</v>
      </c>
      <c r="F854">
        <v>0.38540509259259265</v>
      </c>
      <c r="G854" t="s">
        <v>223</v>
      </c>
      <c r="H854">
        <v>0</v>
      </c>
      <c r="I854">
        <v>0.85</v>
      </c>
      <c r="J854" t="s">
        <v>224</v>
      </c>
      <c r="M854">
        <v>1</v>
      </c>
      <c r="N854">
        <v>55215.141000000003</v>
      </c>
      <c r="O854">
        <v>0</v>
      </c>
    </row>
    <row r="855" spans="1:19" x14ac:dyDescent="0.25">
      <c r="A855" t="s">
        <v>84</v>
      </c>
      <c r="F855">
        <v>0.38807870370370368</v>
      </c>
      <c r="G855" t="s">
        <v>223</v>
      </c>
      <c r="H855">
        <v>0</v>
      </c>
      <c r="I855">
        <v>0.86</v>
      </c>
      <c r="J855" t="s">
        <v>224</v>
      </c>
      <c r="K855" t="s">
        <v>27</v>
      </c>
      <c r="L855">
        <v>0.126</v>
      </c>
      <c r="M855">
        <v>1</v>
      </c>
      <c r="N855">
        <v>78189.125</v>
      </c>
      <c r="O855">
        <v>1.6114772994326258E-6</v>
      </c>
      <c r="P855">
        <v>0.62</v>
      </c>
    </row>
    <row r="856" spans="1:19" x14ac:dyDescent="0.25">
      <c r="A856" t="s">
        <v>85</v>
      </c>
      <c r="F856">
        <v>0.38995370370370369</v>
      </c>
      <c r="G856" t="s">
        <v>223</v>
      </c>
      <c r="H856">
        <v>0</v>
      </c>
      <c r="I856">
        <v>0.86</v>
      </c>
      <c r="J856" t="s">
        <v>224</v>
      </c>
      <c r="K856" t="s">
        <v>27</v>
      </c>
      <c r="L856">
        <v>0.54700000000000004</v>
      </c>
      <c r="M856">
        <v>1</v>
      </c>
      <c r="N856">
        <v>98311.702999999994</v>
      </c>
      <c r="O856">
        <v>5.563935760526904E-6</v>
      </c>
      <c r="P856">
        <v>0.68</v>
      </c>
    </row>
    <row r="857" spans="1:19" x14ac:dyDescent="0.25">
      <c r="A857" t="s">
        <v>86</v>
      </c>
      <c r="F857">
        <v>0.39181712962962961</v>
      </c>
      <c r="G857" t="s">
        <v>223</v>
      </c>
      <c r="H857">
        <v>0</v>
      </c>
      <c r="I857">
        <v>0.85</v>
      </c>
      <c r="J857" t="s">
        <v>224</v>
      </c>
      <c r="M857">
        <v>1</v>
      </c>
      <c r="N857">
        <v>82892.577999999994</v>
      </c>
      <c r="O857">
        <v>0</v>
      </c>
    </row>
    <row r="858" spans="1:19" x14ac:dyDescent="0.25">
      <c r="A858" t="s">
        <v>87</v>
      </c>
      <c r="F858">
        <v>0.39369212962962963</v>
      </c>
      <c r="G858" t="s">
        <v>223</v>
      </c>
      <c r="H858">
        <v>0</v>
      </c>
      <c r="I858">
        <v>0.85</v>
      </c>
      <c r="J858" t="s">
        <v>224</v>
      </c>
      <c r="K858" t="s">
        <v>27</v>
      </c>
      <c r="L858">
        <v>0.26500000000000001</v>
      </c>
      <c r="M858">
        <v>1</v>
      </c>
      <c r="N858">
        <v>80402.695000000007</v>
      </c>
      <c r="O858">
        <v>3.29590942194164E-6</v>
      </c>
      <c r="P858">
        <v>0.63</v>
      </c>
    </row>
    <row r="859" spans="1:19" x14ac:dyDescent="0.25">
      <c r="A859" t="s">
        <v>88</v>
      </c>
      <c r="F859">
        <v>0.3955555555555556</v>
      </c>
      <c r="G859" t="s">
        <v>223</v>
      </c>
      <c r="H859">
        <v>0</v>
      </c>
      <c r="I859">
        <v>0.85</v>
      </c>
      <c r="J859" t="s">
        <v>224</v>
      </c>
      <c r="K859" t="s">
        <v>27</v>
      </c>
      <c r="L859">
        <v>9.7000000000000003E-2</v>
      </c>
      <c r="M859">
        <v>1</v>
      </c>
      <c r="N859">
        <v>74213.108999999997</v>
      </c>
      <c r="O859">
        <v>1.307046710575082E-6</v>
      </c>
      <c r="P859">
        <v>0.61</v>
      </c>
    </row>
    <row r="860" spans="1:19" x14ac:dyDescent="0.25">
      <c r="A860" t="s">
        <v>89</v>
      </c>
      <c r="F860">
        <v>0.39743055555555556</v>
      </c>
      <c r="G860" t="s">
        <v>223</v>
      </c>
      <c r="H860">
        <v>0</v>
      </c>
      <c r="I860">
        <v>0.86</v>
      </c>
      <c r="J860" t="s">
        <v>224</v>
      </c>
      <c r="K860" t="s">
        <v>27</v>
      </c>
      <c r="L860">
        <v>0.22900000000000001</v>
      </c>
      <c r="M860">
        <v>1</v>
      </c>
      <c r="N860">
        <v>79356.687999999995</v>
      </c>
      <c r="O860">
        <v>2.8857051090640276E-6</v>
      </c>
      <c r="P860">
        <v>0.67</v>
      </c>
    </row>
    <row r="861" spans="1:19" x14ac:dyDescent="0.25">
      <c r="A861" t="s">
        <v>90</v>
      </c>
      <c r="F861">
        <v>0.39930555555555558</v>
      </c>
      <c r="G861" t="s">
        <v>223</v>
      </c>
      <c r="H861">
        <v>0</v>
      </c>
      <c r="I861">
        <v>0.85</v>
      </c>
      <c r="J861" t="s">
        <v>224</v>
      </c>
      <c r="M861">
        <v>1</v>
      </c>
      <c r="N861">
        <v>80031.358999999997</v>
      </c>
      <c r="O861">
        <v>0</v>
      </c>
    </row>
    <row r="862" spans="1:19" x14ac:dyDescent="0.25">
      <c r="A862" t="s">
        <v>91</v>
      </c>
      <c r="F862">
        <v>0.40116898148148145</v>
      </c>
      <c r="G862" t="s">
        <v>223</v>
      </c>
      <c r="H862">
        <v>0</v>
      </c>
      <c r="I862">
        <v>0.87</v>
      </c>
      <c r="J862" t="s">
        <v>224</v>
      </c>
      <c r="K862" t="s">
        <v>27</v>
      </c>
      <c r="L862">
        <v>0.23499999999999999</v>
      </c>
      <c r="M862">
        <v>1</v>
      </c>
      <c r="N862">
        <v>104.651</v>
      </c>
      <c r="O862">
        <v>2.2455590486474089E-3</v>
      </c>
      <c r="P862">
        <v>0.67</v>
      </c>
    </row>
    <row r="863" spans="1:19" x14ac:dyDescent="0.25">
      <c r="A863" t="s">
        <v>92</v>
      </c>
      <c r="F863">
        <v>0.4031481481481482</v>
      </c>
      <c r="G863" t="s">
        <v>223</v>
      </c>
      <c r="H863">
        <v>0</v>
      </c>
      <c r="I863">
        <v>0.85</v>
      </c>
      <c r="J863" t="s">
        <v>224</v>
      </c>
      <c r="K863" t="s">
        <v>27</v>
      </c>
      <c r="L863">
        <v>0.375</v>
      </c>
      <c r="M863">
        <v>1</v>
      </c>
      <c r="N863">
        <v>54.768000000000001</v>
      </c>
      <c r="O863">
        <v>6.8470639789658195E-3</v>
      </c>
      <c r="P863">
        <v>0.61</v>
      </c>
    </row>
    <row r="864" spans="1:19" x14ac:dyDescent="0.25">
      <c r="A864" s="2" t="s">
        <v>93</v>
      </c>
      <c r="B864" s="2"/>
      <c r="C864" s="2"/>
      <c r="D864" s="2"/>
      <c r="E864" s="2"/>
      <c r="F864" s="2">
        <v>0.40502314814814816</v>
      </c>
      <c r="G864" s="2" t="s">
        <v>223</v>
      </c>
      <c r="H864" s="2">
        <v>0</v>
      </c>
      <c r="I864" s="2">
        <v>0.86</v>
      </c>
      <c r="J864" s="2" t="s">
        <v>224</v>
      </c>
      <c r="K864" s="2" t="s">
        <v>27</v>
      </c>
      <c r="L864" s="2">
        <v>169723.18799999999</v>
      </c>
      <c r="M864" s="2">
        <v>1</v>
      </c>
      <c r="N864" s="2">
        <v>86940.445000000007</v>
      </c>
      <c r="O864" s="2">
        <v>1.9521775854724459</v>
      </c>
      <c r="P864" s="2">
        <v>0.61</v>
      </c>
      <c r="Q864" s="2"/>
      <c r="R864" s="2"/>
      <c r="S864" s="2"/>
    </row>
    <row r="865" spans="1:19" x14ac:dyDescent="0.25">
      <c r="A865" s="2" t="s">
        <v>94</v>
      </c>
      <c r="B865" s="2"/>
      <c r="C865" s="2"/>
      <c r="D865" s="2"/>
      <c r="E865" s="2"/>
      <c r="F865" s="2">
        <v>0.40701388888888884</v>
      </c>
      <c r="G865" s="2" t="s">
        <v>223</v>
      </c>
      <c r="H865" s="2">
        <v>0</v>
      </c>
      <c r="I865" s="2">
        <v>0.85</v>
      </c>
      <c r="J865" s="2" t="s">
        <v>224</v>
      </c>
      <c r="K865" s="2" t="s">
        <v>27</v>
      </c>
      <c r="L865" s="2">
        <v>167577.68799999999</v>
      </c>
      <c r="M865" s="2">
        <v>1</v>
      </c>
      <c r="N865" s="2">
        <v>85609.616999999998</v>
      </c>
      <c r="O865" s="2">
        <v>1.9574633536790615</v>
      </c>
      <c r="P865" s="2">
        <v>0.61</v>
      </c>
      <c r="Q865" s="2"/>
      <c r="R865" s="2"/>
      <c r="S865" s="2"/>
    </row>
    <row r="866" spans="1:19" x14ac:dyDescent="0.25">
      <c r="A866" t="s">
        <v>95</v>
      </c>
      <c r="F866">
        <v>0.40896990740740741</v>
      </c>
      <c r="G866" t="s">
        <v>223</v>
      </c>
      <c r="H866">
        <v>0</v>
      </c>
      <c r="I866">
        <v>0.85</v>
      </c>
      <c r="J866" t="s">
        <v>224</v>
      </c>
      <c r="K866" t="s">
        <v>27</v>
      </c>
      <c r="L866">
        <v>399.81700000000001</v>
      </c>
      <c r="M866">
        <v>1</v>
      </c>
      <c r="N866">
        <v>85459.241999999998</v>
      </c>
      <c r="O866">
        <v>4.6784524487123351E-3</v>
      </c>
      <c r="P866">
        <v>0.61</v>
      </c>
    </row>
    <row r="867" spans="1:19" x14ac:dyDescent="0.25">
      <c r="A867" t="s">
        <v>96</v>
      </c>
      <c r="F867">
        <v>0.41090277777777778</v>
      </c>
      <c r="G867" t="s">
        <v>223</v>
      </c>
      <c r="H867">
        <v>0</v>
      </c>
      <c r="I867">
        <v>0.85</v>
      </c>
      <c r="J867" t="s">
        <v>224</v>
      </c>
      <c r="K867" t="s">
        <v>27</v>
      </c>
      <c r="L867">
        <v>93.72</v>
      </c>
      <c r="M867">
        <v>1</v>
      </c>
      <c r="N867">
        <v>86220.406000000003</v>
      </c>
      <c r="O867">
        <v>1.0869816595389262E-3</v>
      </c>
      <c r="P867">
        <v>0.61</v>
      </c>
    </row>
    <row r="868" spans="1:19" x14ac:dyDescent="0.25">
      <c r="A868" t="s">
        <v>97</v>
      </c>
      <c r="F868">
        <v>0.4127662037037037</v>
      </c>
      <c r="G868" t="s">
        <v>223</v>
      </c>
      <c r="H868">
        <v>0</v>
      </c>
      <c r="I868">
        <v>0.85</v>
      </c>
      <c r="J868" t="s">
        <v>224</v>
      </c>
      <c r="K868" t="s">
        <v>27</v>
      </c>
      <c r="L868">
        <v>50.984999999999999</v>
      </c>
      <c r="M868">
        <v>1</v>
      </c>
      <c r="N868">
        <v>87941.781000000003</v>
      </c>
      <c r="O868">
        <v>5.7975855640221791E-4</v>
      </c>
      <c r="P868">
        <v>0.61</v>
      </c>
    </row>
    <row r="869" spans="1:19" x14ac:dyDescent="0.25">
      <c r="A869" t="s">
        <v>98</v>
      </c>
      <c r="F869">
        <v>0.41465277777777776</v>
      </c>
      <c r="G869" t="s">
        <v>223</v>
      </c>
      <c r="H869">
        <v>0</v>
      </c>
      <c r="I869">
        <v>0.85</v>
      </c>
      <c r="J869" t="s">
        <v>224</v>
      </c>
      <c r="K869" t="s">
        <v>27</v>
      </c>
      <c r="L869">
        <v>62.853000000000002</v>
      </c>
      <c r="M869">
        <v>1</v>
      </c>
      <c r="N869">
        <v>93537.976999999999</v>
      </c>
      <c r="O869">
        <v>6.719516715654434E-4</v>
      </c>
      <c r="P869">
        <v>0.6</v>
      </c>
    </row>
    <row r="870" spans="1:19" x14ac:dyDescent="0.25">
      <c r="A870" t="s">
        <v>99</v>
      </c>
      <c r="F870">
        <v>0.41651620370370374</v>
      </c>
      <c r="G870" t="s">
        <v>223</v>
      </c>
      <c r="H870">
        <v>0</v>
      </c>
      <c r="I870">
        <v>0.86</v>
      </c>
      <c r="J870" t="s">
        <v>224</v>
      </c>
      <c r="K870" t="s">
        <v>27</v>
      </c>
      <c r="L870">
        <v>39.331000000000003</v>
      </c>
      <c r="M870">
        <v>1</v>
      </c>
      <c r="N870">
        <v>86879.258000000002</v>
      </c>
      <c r="O870">
        <v>4.5270874666079679E-4</v>
      </c>
      <c r="P870">
        <v>0.61</v>
      </c>
    </row>
    <row r="871" spans="1:19" x14ac:dyDescent="0.25">
      <c r="A871" t="s">
        <v>100</v>
      </c>
      <c r="F871">
        <v>0.41849537037037038</v>
      </c>
      <c r="G871" t="s">
        <v>223</v>
      </c>
      <c r="H871">
        <v>0</v>
      </c>
      <c r="I871">
        <v>0.85</v>
      </c>
      <c r="J871" t="s">
        <v>224</v>
      </c>
      <c r="K871" t="s">
        <v>27</v>
      </c>
      <c r="L871">
        <v>4.3380000000000001</v>
      </c>
      <c r="M871">
        <v>1</v>
      </c>
      <c r="N871">
        <v>85980.991999999998</v>
      </c>
      <c r="O871">
        <v>5.0453011754039778E-5</v>
      </c>
      <c r="P871">
        <v>0.61</v>
      </c>
    </row>
    <row r="872" spans="1:19" x14ac:dyDescent="0.25">
      <c r="A872" t="s">
        <v>101</v>
      </c>
      <c r="F872">
        <v>0.42046296296296298</v>
      </c>
      <c r="G872" t="s">
        <v>223</v>
      </c>
      <c r="H872">
        <v>0</v>
      </c>
      <c r="I872">
        <v>0.85</v>
      </c>
      <c r="J872" t="s">
        <v>224</v>
      </c>
      <c r="K872" t="s">
        <v>27</v>
      </c>
      <c r="L872">
        <v>1.24</v>
      </c>
      <c r="M872">
        <v>1</v>
      </c>
      <c r="N872">
        <v>82045.156000000003</v>
      </c>
      <c r="O872">
        <v>1.5113628402388557E-5</v>
      </c>
      <c r="P872">
        <v>0.64</v>
      </c>
    </row>
    <row r="873" spans="1:19" x14ac:dyDescent="0.25">
      <c r="A873" t="s">
        <v>102</v>
      </c>
      <c r="F873">
        <v>0.4223263888888889</v>
      </c>
      <c r="G873" t="s">
        <v>223</v>
      </c>
      <c r="H873">
        <v>0</v>
      </c>
      <c r="I873">
        <v>0.85</v>
      </c>
      <c r="J873" t="s">
        <v>224</v>
      </c>
      <c r="K873" t="s">
        <v>27</v>
      </c>
      <c r="L873">
        <v>23.253</v>
      </c>
      <c r="M873">
        <v>1</v>
      </c>
      <c r="N873">
        <v>86455.312999999995</v>
      </c>
      <c r="O873">
        <v>2.6895975727946297E-4</v>
      </c>
      <c r="P873">
        <v>0.61</v>
      </c>
    </row>
    <row r="874" spans="1:19" x14ac:dyDescent="0.25">
      <c r="A874" t="s">
        <v>103</v>
      </c>
      <c r="F874">
        <v>0.42429398148148145</v>
      </c>
      <c r="G874" t="s">
        <v>223</v>
      </c>
      <c r="H874">
        <v>0</v>
      </c>
      <c r="I874">
        <v>0.85</v>
      </c>
      <c r="J874" t="s">
        <v>224</v>
      </c>
      <c r="M874">
        <v>1</v>
      </c>
      <c r="N874">
        <v>85804.358999999997</v>
      </c>
      <c r="O874">
        <v>0</v>
      </c>
    </row>
    <row r="875" spans="1:19" x14ac:dyDescent="0.25">
      <c r="A875" t="s">
        <v>104</v>
      </c>
      <c r="F875">
        <v>0.42614583333333328</v>
      </c>
      <c r="G875" t="s">
        <v>223</v>
      </c>
      <c r="H875">
        <v>0</v>
      </c>
      <c r="I875">
        <v>0.85</v>
      </c>
      <c r="J875" t="s">
        <v>224</v>
      </c>
      <c r="K875" t="s">
        <v>27</v>
      </c>
      <c r="L875">
        <v>0.40799999999999997</v>
      </c>
      <c r="M875">
        <v>1</v>
      </c>
      <c r="N875">
        <v>86476.241999999998</v>
      </c>
      <c r="O875">
        <v>4.7180588629186731E-6</v>
      </c>
      <c r="P875">
        <v>0.63</v>
      </c>
    </row>
    <row r="876" spans="1:19" x14ac:dyDescent="0.25">
      <c r="A876" t="s">
        <v>105</v>
      </c>
      <c r="F876">
        <v>0.42802083333333335</v>
      </c>
      <c r="G876" t="s">
        <v>223</v>
      </c>
      <c r="H876">
        <v>0</v>
      </c>
      <c r="I876">
        <v>0.85</v>
      </c>
      <c r="J876" t="s">
        <v>224</v>
      </c>
      <c r="M876">
        <v>1</v>
      </c>
      <c r="N876">
        <v>81312.297000000006</v>
      </c>
      <c r="O876">
        <v>0</v>
      </c>
    </row>
    <row r="877" spans="1:19" x14ac:dyDescent="0.25">
      <c r="A877" t="s">
        <v>106</v>
      </c>
      <c r="F877">
        <v>0.43</v>
      </c>
      <c r="G877" t="s">
        <v>223</v>
      </c>
      <c r="H877">
        <v>0</v>
      </c>
      <c r="I877">
        <v>0.85</v>
      </c>
      <c r="J877" t="s">
        <v>224</v>
      </c>
      <c r="M877">
        <v>1</v>
      </c>
      <c r="N877">
        <v>84202.343999999997</v>
      </c>
      <c r="O877">
        <v>0</v>
      </c>
    </row>
    <row r="878" spans="1:19" x14ac:dyDescent="0.25">
      <c r="A878" t="s">
        <v>107</v>
      </c>
      <c r="F878">
        <v>0.4319675925925926</v>
      </c>
      <c r="G878" t="s">
        <v>223</v>
      </c>
      <c r="H878">
        <v>0</v>
      </c>
      <c r="I878">
        <v>0.86</v>
      </c>
      <c r="J878" t="s">
        <v>224</v>
      </c>
      <c r="K878" t="s">
        <v>27</v>
      </c>
      <c r="L878">
        <v>9.7000000000000003E-2</v>
      </c>
      <c r="M878">
        <v>1</v>
      </c>
      <c r="N878">
        <v>83752.375</v>
      </c>
      <c r="O878">
        <v>1.1581761114237058E-6</v>
      </c>
      <c r="P878">
        <v>0.63</v>
      </c>
    </row>
    <row r="879" spans="1:19" x14ac:dyDescent="0.25">
      <c r="A879" t="s">
        <v>108</v>
      </c>
      <c r="F879">
        <v>0.4339351851851852</v>
      </c>
      <c r="G879" t="s">
        <v>223</v>
      </c>
      <c r="H879">
        <v>0</v>
      </c>
      <c r="I879">
        <v>0.85</v>
      </c>
      <c r="J879" t="s">
        <v>224</v>
      </c>
      <c r="M879">
        <v>1</v>
      </c>
      <c r="N879">
        <v>87009.906000000003</v>
      </c>
      <c r="O879">
        <v>0</v>
      </c>
    </row>
    <row r="880" spans="1:19" x14ac:dyDescent="0.25">
      <c r="A880" t="s">
        <v>109</v>
      </c>
      <c r="F880">
        <v>0.43590277777777775</v>
      </c>
      <c r="G880" t="s">
        <v>223</v>
      </c>
      <c r="H880">
        <v>0</v>
      </c>
      <c r="I880">
        <v>0.85</v>
      </c>
      <c r="J880" t="s">
        <v>224</v>
      </c>
      <c r="K880" t="s">
        <v>27</v>
      </c>
      <c r="L880">
        <v>0.04</v>
      </c>
      <c r="M880">
        <v>1</v>
      </c>
      <c r="N880">
        <v>84301.804999999993</v>
      </c>
      <c r="O880">
        <v>4.7448568865162502E-7</v>
      </c>
      <c r="P880">
        <v>0.65</v>
      </c>
    </row>
    <row r="881" spans="1:16" x14ac:dyDescent="0.25">
      <c r="A881" t="s">
        <v>110</v>
      </c>
      <c r="F881">
        <v>0.43787037037037035</v>
      </c>
      <c r="G881" t="s">
        <v>223</v>
      </c>
      <c r="H881">
        <v>0</v>
      </c>
      <c r="I881">
        <v>0.85</v>
      </c>
      <c r="J881" t="s">
        <v>224</v>
      </c>
      <c r="M881">
        <v>1</v>
      </c>
      <c r="N881">
        <v>87135.851999999999</v>
      </c>
      <c r="O881">
        <v>0</v>
      </c>
    </row>
    <row r="882" spans="1:16" x14ac:dyDescent="0.25">
      <c r="A882" t="s">
        <v>111</v>
      </c>
      <c r="F882">
        <v>0.43983796296296296</v>
      </c>
      <c r="G882" t="s">
        <v>223</v>
      </c>
      <c r="H882">
        <v>0</v>
      </c>
      <c r="I882">
        <v>0.85</v>
      </c>
      <c r="J882" t="s">
        <v>224</v>
      </c>
      <c r="K882" t="s">
        <v>27</v>
      </c>
      <c r="L882">
        <v>3.7290000000000001</v>
      </c>
      <c r="M882">
        <v>1</v>
      </c>
      <c r="N882">
        <v>88461.593999999997</v>
      </c>
      <c r="O882">
        <v>4.2153886578168601E-5</v>
      </c>
      <c r="P882">
        <v>0.67</v>
      </c>
    </row>
    <row r="883" spans="1:16" x14ac:dyDescent="0.25">
      <c r="A883" t="s">
        <v>112</v>
      </c>
      <c r="F883">
        <v>0.44180555555555556</v>
      </c>
      <c r="G883" t="s">
        <v>223</v>
      </c>
      <c r="H883">
        <v>0</v>
      </c>
      <c r="I883">
        <v>0.85</v>
      </c>
      <c r="J883" t="s">
        <v>224</v>
      </c>
      <c r="K883" t="s">
        <v>27</v>
      </c>
      <c r="L883">
        <v>7.2869999999999999</v>
      </c>
      <c r="M883">
        <v>1</v>
      </c>
      <c r="N883">
        <v>96436.241999999998</v>
      </c>
      <c r="O883">
        <v>7.556287811381119E-5</v>
      </c>
      <c r="P883">
        <v>0.67</v>
      </c>
    </row>
    <row r="884" spans="1:16" x14ac:dyDescent="0.25">
      <c r="A884" t="s">
        <v>113</v>
      </c>
      <c r="F884">
        <v>0.44377314814814817</v>
      </c>
      <c r="G884" t="s">
        <v>223</v>
      </c>
      <c r="H884">
        <v>0</v>
      </c>
      <c r="I884">
        <v>0.85</v>
      </c>
      <c r="J884" t="s">
        <v>224</v>
      </c>
      <c r="K884" t="s">
        <v>27</v>
      </c>
      <c r="L884">
        <v>4.3250000000000002</v>
      </c>
      <c r="M884">
        <v>1</v>
      </c>
      <c r="N884">
        <v>86018.039000000004</v>
      </c>
      <c r="O884">
        <v>5.028015112039464E-5</v>
      </c>
      <c r="P884">
        <v>0.61</v>
      </c>
    </row>
    <row r="885" spans="1:16" x14ac:dyDescent="0.25">
      <c r="A885" t="s">
        <v>114</v>
      </c>
      <c r="F885">
        <v>0.44574074074074077</v>
      </c>
      <c r="G885" t="s">
        <v>223</v>
      </c>
      <c r="H885">
        <v>0</v>
      </c>
      <c r="I885">
        <v>0.85</v>
      </c>
      <c r="J885" t="s">
        <v>224</v>
      </c>
      <c r="M885">
        <v>1</v>
      </c>
      <c r="N885">
        <v>85403.312999999995</v>
      </c>
      <c r="O885">
        <v>0</v>
      </c>
    </row>
    <row r="886" spans="1:16" x14ac:dyDescent="0.25">
      <c r="A886" t="s">
        <v>115</v>
      </c>
      <c r="F886">
        <v>0.44769675925925928</v>
      </c>
      <c r="G886" t="s">
        <v>223</v>
      </c>
      <c r="H886">
        <v>0</v>
      </c>
      <c r="I886">
        <v>0.85</v>
      </c>
      <c r="J886" t="s">
        <v>224</v>
      </c>
      <c r="M886">
        <v>1</v>
      </c>
      <c r="N886">
        <v>90109.843999999997</v>
      </c>
      <c r="O886">
        <v>0</v>
      </c>
    </row>
    <row r="887" spans="1:16" x14ac:dyDescent="0.25">
      <c r="A887" t="s">
        <v>116</v>
      </c>
      <c r="F887">
        <v>0.44966435185185188</v>
      </c>
      <c r="G887" t="s">
        <v>223</v>
      </c>
      <c r="H887">
        <v>0</v>
      </c>
      <c r="I887">
        <v>0.85</v>
      </c>
      <c r="J887" t="s">
        <v>224</v>
      </c>
      <c r="K887" t="s">
        <v>27</v>
      </c>
      <c r="L887">
        <v>0.23699999999999999</v>
      </c>
      <c r="M887">
        <v>1</v>
      </c>
      <c r="N887">
        <v>88435.773000000001</v>
      </c>
      <c r="O887">
        <v>2.6799109903183635E-6</v>
      </c>
      <c r="P887">
        <v>0.65</v>
      </c>
    </row>
    <row r="888" spans="1:16" x14ac:dyDescent="0.25">
      <c r="A888" t="s">
        <v>117</v>
      </c>
      <c r="F888">
        <v>0.45163194444444449</v>
      </c>
      <c r="G888" t="s">
        <v>223</v>
      </c>
      <c r="H888">
        <v>0</v>
      </c>
      <c r="I888">
        <v>0.85</v>
      </c>
      <c r="J888" t="s">
        <v>224</v>
      </c>
      <c r="K888" t="s">
        <v>27</v>
      </c>
      <c r="L888">
        <v>5.7000000000000002E-2</v>
      </c>
      <c r="M888">
        <v>1</v>
      </c>
      <c r="N888">
        <v>84868.437999999995</v>
      </c>
      <c r="O888">
        <v>6.7162777285944632E-7</v>
      </c>
      <c r="P888">
        <v>0.63</v>
      </c>
    </row>
    <row r="889" spans="1:16" x14ac:dyDescent="0.25">
      <c r="A889" t="s">
        <v>118</v>
      </c>
      <c r="F889">
        <v>0.45359953703703698</v>
      </c>
      <c r="G889" t="s">
        <v>223</v>
      </c>
      <c r="H889">
        <v>0</v>
      </c>
      <c r="I889">
        <v>0.86</v>
      </c>
      <c r="J889" t="s">
        <v>224</v>
      </c>
      <c r="M889">
        <v>1</v>
      </c>
      <c r="N889">
        <v>85751.210999999996</v>
      </c>
      <c r="O889">
        <v>0</v>
      </c>
    </row>
    <row r="890" spans="1:16" x14ac:dyDescent="0.25">
      <c r="A890" t="s">
        <v>119</v>
      </c>
      <c r="F890">
        <v>0.45555555555555555</v>
      </c>
      <c r="G890" t="s">
        <v>223</v>
      </c>
      <c r="H890">
        <v>0</v>
      </c>
      <c r="I890">
        <v>0.85</v>
      </c>
      <c r="J890" t="s">
        <v>224</v>
      </c>
      <c r="K890" t="s">
        <v>27</v>
      </c>
      <c r="L890">
        <v>0.51</v>
      </c>
      <c r="M890">
        <v>1</v>
      </c>
      <c r="N890">
        <v>86068.866999999998</v>
      </c>
      <c r="O890">
        <v>5.9254875517299422E-6</v>
      </c>
      <c r="P890">
        <v>0.59</v>
      </c>
    </row>
    <row r="891" spans="1:16" x14ac:dyDescent="0.25">
      <c r="A891" t="s">
        <v>120</v>
      </c>
      <c r="F891">
        <v>0.45753472222222219</v>
      </c>
      <c r="G891" t="s">
        <v>223</v>
      </c>
      <c r="H891">
        <v>0</v>
      </c>
      <c r="I891">
        <v>0.85</v>
      </c>
      <c r="J891" t="s">
        <v>224</v>
      </c>
      <c r="M891">
        <v>1</v>
      </c>
      <c r="N891">
        <v>86854.266000000003</v>
      </c>
      <c r="O891">
        <v>0</v>
      </c>
    </row>
    <row r="892" spans="1:16" x14ac:dyDescent="0.25">
      <c r="A892" t="s">
        <v>121</v>
      </c>
      <c r="F892">
        <v>0.45950231481481479</v>
      </c>
      <c r="G892" t="s">
        <v>223</v>
      </c>
      <c r="H892">
        <v>0</v>
      </c>
      <c r="I892">
        <v>0.86</v>
      </c>
      <c r="J892" t="s">
        <v>224</v>
      </c>
      <c r="K892" t="s">
        <v>27</v>
      </c>
      <c r="L892">
        <v>0.70899999999999996</v>
      </c>
      <c r="M892">
        <v>1</v>
      </c>
      <c r="N892">
        <v>83449.437999999995</v>
      </c>
      <c r="O892">
        <v>8.4961626703825128E-6</v>
      </c>
      <c r="P892">
        <v>0.63</v>
      </c>
    </row>
    <row r="893" spans="1:16" x14ac:dyDescent="0.25">
      <c r="A893" t="s">
        <v>122</v>
      </c>
      <c r="F893">
        <v>0.4614583333333333</v>
      </c>
      <c r="G893" t="s">
        <v>223</v>
      </c>
      <c r="H893">
        <v>0</v>
      </c>
      <c r="I893">
        <v>0.85</v>
      </c>
      <c r="J893" t="s">
        <v>224</v>
      </c>
      <c r="K893" t="s">
        <v>27</v>
      </c>
      <c r="L893">
        <v>2.4020000000000001</v>
      </c>
      <c r="M893">
        <v>1</v>
      </c>
      <c r="N893">
        <v>84800.164000000004</v>
      </c>
      <c r="O893">
        <v>2.8325416917825771E-5</v>
      </c>
      <c r="P893">
        <v>0.57999999999999996</v>
      </c>
    </row>
    <row r="894" spans="1:16" x14ac:dyDescent="0.25">
      <c r="A894" t="s">
        <v>123</v>
      </c>
      <c r="F894">
        <v>0.46342592592592591</v>
      </c>
      <c r="G894" t="s">
        <v>223</v>
      </c>
      <c r="H894">
        <v>0</v>
      </c>
      <c r="I894">
        <v>0.85</v>
      </c>
      <c r="J894" t="s">
        <v>224</v>
      </c>
      <c r="K894" t="s">
        <v>27</v>
      </c>
      <c r="L894">
        <v>0.7</v>
      </c>
      <c r="M894">
        <v>1</v>
      </c>
      <c r="N894">
        <v>48.820999999999998</v>
      </c>
      <c r="O894">
        <v>1.4338092214415928E-2</v>
      </c>
      <c r="P894">
        <v>0.59</v>
      </c>
    </row>
    <row r="895" spans="1:16" x14ac:dyDescent="0.25">
      <c r="A895" t="s">
        <v>124</v>
      </c>
      <c r="F895">
        <v>0.46538194444444447</v>
      </c>
      <c r="G895" t="s">
        <v>223</v>
      </c>
      <c r="H895">
        <v>0</v>
      </c>
      <c r="I895">
        <v>0.85</v>
      </c>
      <c r="J895" t="s">
        <v>224</v>
      </c>
      <c r="M895">
        <v>1</v>
      </c>
      <c r="N895">
        <v>108.077</v>
      </c>
      <c r="O895">
        <v>0</v>
      </c>
    </row>
    <row r="896" spans="1:16" x14ac:dyDescent="0.25">
      <c r="A896" t="s">
        <v>125</v>
      </c>
      <c r="F896">
        <v>0.46722222222222221</v>
      </c>
      <c r="G896" t="s">
        <v>223</v>
      </c>
      <c r="H896">
        <v>0</v>
      </c>
      <c r="I896">
        <v>0.85</v>
      </c>
      <c r="J896" t="s">
        <v>224</v>
      </c>
      <c r="K896" t="s">
        <v>27</v>
      </c>
      <c r="L896">
        <v>0.438</v>
      </c>
      <c r="M896">
        <v>1</v>
      </c>
      <c r="N896">
        <v>83808.866999999998</v>
      </c>
      <c r="O896">
        <v>5.2261773208316965E-6</v>
      </c>
      <c r="P896">
        <v>0.61</v>
      </c>
    </row>
    <row r="897" spans="1:19" x14ac:dyDescent="0.25">
      <c r="A897" t="s">
        <v>126</v>
      </c>
      <c r="F897">
        <v>0.46921296296296294</v>
      </c>
      <c r="G897" t="s">
        <v>223</v>
      </c>
      <c r="H897">
        <v>0</v>
      </c>
      <c r="I897">
        <v>0.85</v>
      </c>
      <c r="J897" t="s">
        <v>224</v>
      </c>
      <c r="K897" t="s">
        <v>27</v>
      </c>
      <c r="L897">
        <v>0.875</v>
      </c>
      <c r="M897">
        <v>1</v>
      </c>
      <c r="N897">
        <v>85237.375</v>
      </c>
      <c r="O897">
        <v>1.0265449868675566E-5</v>
      </c>
      <c r="P897">
        <v>0.66</v>
      </c>
    </row>
    <row r="898" spans="1:19" x14ac:dyDescent="0.25">
      <c r="A898" s="2" t="s">
        <v>127</v>
      </c>
      <c r="B898" s="2"/>
      <c r="C898" s="2"/>
      <c r="D898" s="2"/>
      <c r="E898" s="2"/>
      <c r="F898" s="2">
        <v>0.47106481481481483</v>
      </c>
      <c r="G898" s="2" t="s">
        <v>223</v>
      </c>
      <c r="H898" s="2">
        <v>0</v>
      </c>
      <c r="I898" s="2">
        <v>0.85</v>
      </c>
      <c r="J898" s="2" t="s">
        <v>224</v>
      </c>
      <c r="K898" s="2" t="s">
        <v>27</v>
      </c>
      <c r="L898" s="2">
        <v>191464.68799999999</v>
      </c>
      <c r="M898" s="2">
        <v>1</v>
      </c>
      <c r="N898" s="2">
        <v>85078.641000000003</v>
      </c>
      <c r="O898" s="2">
        <v>2.2504436571806545</v>
      </c>
      <c r="P898" s="2">
        <v>0.61</v>
      </c>
      <c r="Q898" s="2"/>
      <c r="R898" s="2"/>
      <c r="S898" s="2"/>
    </row>
    <row r="899" spans="1:19" x14ac:dyDescent="0.25">
      <c r="A899" s="2" t="s">
        <v>128</v>
      </c>
      <c r="B899" s="2"/>
      <c r="C899" s="2"/>
      <c r="D899" s="2"/>
      <c r="E899" s="2"/>
      <c r="F899" s="2">
        <v>0.47292824074074075</v>
      </c>
      <c r="G899" s="2" t="s">
        <v>223</v>
      </c>
      <c r="H899" s="2">
        <v>0</v>
      </c>
      <c r="I899" s="2">
        <v>0.85</v>
      </c>
      <c r="J899" s="2" t="s">
        <v>224</v>
      </c>
      <c r="K899" s="2" t="s">
        <v>27</v>
      </c>
      <c r="L899" s="2">
        <v>193941.46900000001</v>
      </c>
      <c r="M899" s="2">
        <v>1</v>
      </c>
      <c r="N899" s="2">
        <v>85329.452999999994</v>
      </c>
      <c r="O899" s="2">
        <v>2.2728549425952611</v>
      </c>
      <c r="P899" s="2">
        <v>0.61</v>
      </c>
      <c r="Q899" s="2"/>
      <c r="R899" s="2"/>
      <c r="S899" s="2"/>
    </row>
    <row r="900" spans="1:19" x14ac:dyDescent="0.25">
      <c r="A900" t="s">
        <v>129</v>
      </c>
      <c r="F900">
        <v>0.47480324074074076</v>
      </c>
      <c r="G900" t="s">
        <v>223</v>
      </c>
      <c r="H900">
        <v>0</v>
      </c>
      <c r="I900">
        <v>0.85</v>
      </c>
      <c r="J900" t="s">
        <v>224</v>
      </c>
      <c r="K900" t="s">
        <v>27</v>
      </c>
      <c r="L900">
        <v>731.649</v>
      </c>
      <c r="M900">
        <v>1</v>
      </c>
      <c r="N900">
        <v>90051.664000000004</v>
      </c>
      <c r="O900">
        <v>8.12476935462292E-3</v>
      </c>
      <c r="P900">
        <v>0.61</v>
      </c>
    </row>
    <row r="901" spans="1:19" x14ac:dyDescent="0.25">
      <c r="A901" t="s">
        <v>130</v>
      </c>
      <c r="F901">
        <v>0.47667824074074078</v>
      </c>
      <c r="G901" t="s">
        <v>223</v>
      </c>
      <c r="H901">
        <v>0</v>
      </c>
      <c r="I901">
        <v>0.85</v>
      </c>
      <c r="J901" t="s">
        <v>224</v>
      </c>
      <c r="K901" t="s">
        <v>27</v>
      </c>
      <c r="L901">
        <v>303.47199999999998</v>
      </c>
      <c r="M901">
        <v>1</v>
      </c>
      <c r="N901">
        <v>85405.758000000002</v>
      </c>
      <c r="O901">
        <v>3.553296722687011E-3</v>
      </c>
      <c r="P901">
        <v>0.61</v>
      </c>
    </row>
    <row r="902" spans="1:19" x14ac:dyDescent="0.25">
      <c r="A902" t="s">
        <v>131</v>
      </c>
      <c r="F902">
        <v>0.47855324074074074</v>
      </c>
      <c r="G902" t="s">
        <v>223</v>
      </c>
      <c r="H902">
        <v>0</v>
      </c>
      <c r="I902">
        <v>0.85</v>
      </c>
      <c r="J902" t="s">
        <v>224</v>
      </c>
      <c r="K902" t="s">
        <v>27</v>
      </c>
      <c r="L902">
        <v>95.271000000000001</v>
      </c>
      <c r="M902">
        <v>1</v>
      </c>
      <c r="N902">
        <v>83086.016000000003</v>
      </c>
      <c r="O902">
        <v>1.1466550520366748E-3</v>
      </c>
      <c r="P902">
        <v>0.61</v>
      </c>
    </row>
    <row r="903" spans="1:19" x14ac:dyDescent="0.25">
      <c r="A903" t="s">
        <v>132</v>
      </c>
      <c r="F903">
        <v>0.48041666666666666</v>
      </c>
      <c r="G903" t="s">
        <v>223</v>
      </c>
      <c r="H903">
        <v>0</v>
      </c>
      <c r="I903">
        <v>0.86</v>
      </c>
      <c r="J903" t="s">
        <v>224</v>
      </c>
      <c r="K903" t="s">
        <v>27</v>
      </c>
      <c r="L903">
        <v>55.668999999999997</v>
      </c>
      <c r="M903">
        <v>1</v>
      </c>
      <c r="N903">
        <v>83014.070000000007</v>
      </c>
      <c r="O903">
        <v>6.7059716503479463E-4</v>
      </c>
      <c r="P903">
        <v>0.61</v>
      </c>
    </row>
    <row r="904" spans="1:19" x14ac:dyDescent="0.25">
      <c r="A904" t="s">
        <v>133</v>
      </c>
      <c r="F904">
        <v>0.48230324074074077</v>
      </c>
      <c r="G904" t="s">
        <v>223</v>
      </c>
      <c r="H904">
        <v>0</v>
      </c>
      <c r="I904">
        <v>0.86</v>
      </c>
      <c r="J904" t="s">
        <v>224</v>
      </c>
      <c r="K904" t="s">
        <v>27</v>
      </c>
      <c r="L904">
        <v>0.107</v>
      </c>
      <c r="M904">
        <v>1</v>
      </c>
      <c r="N904">
        <v>82167.266000000003</v>
      </c>
      <c r="O904">
        <v>1.3022217387639501E-6</v>
      </c>
      <c r="P904">
        <v>0.6</v>
      </c>
    </row>
    <row r="905" spans="1:19" x14ac:dyDescent="0.25">
      <c r="A905" t="s">
        <v>134</v>
      </c>
      <c r="F905">
        <v>0.4841550925925926</v>
      </c>
      <c r="G905" t="s">
        <v>223</v>
      </c>
      <c r="H905">
        <v>0</v>
      </c>
      <c r="I905">
        <v>0.85</v>
      </c>
      <c r="J905" t="s">
        <v>224</v>
      </c>
      <c r="K905" t="s">
        <v>27</v>
      </c>
      <c r="L905">
        <v>14.411</v>
      </c>
      <c r="M905">
        <v>1</v>
      </c>
      <c r="N905">
        <v>83417.883000000002</v>
      </c>
      <c r="O905">
        <v>1.7275672172116857E-4</v>
      </c>
      <c r="P905">
        <v>0.61</v>
      </c>
    </row>
    <row r="906" spans="1:19" x14ac:dyDescent="0.25">
      <c r="A906" t="s">
        <v>135</v>
      </c>
      <c r="F906">
        <v>0.48603009259259261</v>
      </c>
      <c r="G906" t="s">
        <v>223</v>
      </c>
      <c r="H906">
        <v>0</v>
      </c>
      <c r="I906">
        <v>0.85</v>
      </c>
      <c r="J906" t="s">
        <v>224</v>
      </c>
      <c r="K906" t="s">
        <v>27</v>
      </c>
      <c r="L906">
        <v>5.7809999999999997</v>
      </c>
      <c r="M906">
        <v>1</v>
      </c>
      <c r="N906">
        <v>84251.233999999997</v>
      </c>
      <c r="O906">
        <v>6.8616205668868893E-5</v>
      </c>
      <c r="P906">
        <v>0.6</v>
      </c>
    </row>
    <row r="907" spans="1:19" x14ac:dyDescent="0.25">
      <c r="A907" t="s">
        <v>136</v>
      </c>
      <c r="F907">
        <v>0.48789351851851853</v>
      </c>
      <c r="G907" t="s">
        <v>223</v>
      </c>
      <c r="H907">
        <v>0</v>
      </c>
      <c r="I907">
        <v>0.85</v>
      </c>
      <c r="J907" t="s">
        <v>224</v>
      </c>
      <c r="K907" t="s">
        <v>27</v>
      </c>
      <c r="L907">
        <v>3.0609999999999999</v>
      </c>
      <c r="M907">
        <v>1</v>
      </c>
      <c r="N907">
        <v>85308.608999999997</v>
      </c>
      <c r="O907">
        <v>3.588148999123875E-5</v>
      </c>
      <c r="P907">
        <v>0.62</v>
      </c>
    </row>
    <row r="908" spans="1:19" x14ac:dyDescent="0.25">
      <c r="A908" t="s">
        <v>137</v>
      </c>
      <c r="F908">
        <v>0.48976851851851855</v>
      </c>
      <c r="G908" t="s">
        <v>223</v>
      </c>
      <c r="H908">
        <v>0</v>
      </c>
      <c r="I908">
        <v>0.85</v>
      </c>
      <c r="J908" t="s">
        <v>224</v>
      </c>
      <c r="M908">
        <v>1</v>
      </c>
      <c r="N908">
        <v>84172.116999999998</v>
      </c>
      <c r="O908">
        <v>0</v>
      </c>
    </row>
    <row r="909" spans="1:19" x14ac:dyDescent="0.25">
      <c r="A909" t="s">
        <v>138</v>
      </c>
      <c r="F909">
        <v>0.49164351851851856</v>
      </c>
      <c r="G909" t="s">
        <v>223</v>
      </c>
      <c r="H909">
        <v>0</v>
      </c>
      <c r="I909">
        <v>0.85</v>
      </c>
      <c r="J909" t="s">
        <v>224</v>
      </c>
      <c r="M909">
        <v>1</v>
      </c>
      <c r="N909">
        <v>82786.016000000003</v>
      </c>
      <c r="O909">
        <v>0</v>
      </c>
    </row>
    <row r="910" spans="1:19" x14ac:dyDescent="0.25">
      <c r="A910" t="s">
        <v>139</v>
      </c>
      <c r="F910">
        <v>0.49353009259259256</v>
      </c>
      <c r="G910" t="s">
        <v>223</v>
      </c>
      <c r="H910">
        <v>0</v>
      </c>
      <c r="I910">
        <v>0.85</v>
      </c>
      <c r="J910" t="s">
        <v>224</v>
      </c>
      <c r="M910">
        <v>1</v>
      </c>
      <c r="N910">
        <v>84114.585999999996</v>
      </c>
      <c r="O910">
        <v>0</v>
      </c>
    </row>
    <row r="911" spans="1:19" x14ac:dyDescent="0.25">
      <c r="A911" t="s">
        <v>140</v>
      </c>
      <c r="F911">
        <v>0.49538194444444444</v>
      </c>
      <c r="G911" t="s">
        <v>223</v>
      </c>
      <c r="H911">
        <v>0</v>
      </c>
      <c r="I911">
        <v>0.85</v>
      </c>
      <c r="J911" t="s">
        <v>224</v>
      </c>
      <c r="K911" t="s">
        <v>27</v>
      </c>
      <c r="L911">
        <v>11.234999999999999</v>
      </c>
      <c r="M911">
        <v>1</v>
      </c>
      <c r="N911">
        <v>82948.483999999997</v>
      </c>
      <c r="O911">
        <v>1.3544551338635677E-4</v>
      </c>
      <c r="P911">
        <v>0.6</v>
      </c>
    </row>
    <row r="912" spans="1:19" x14ac:dyDescent="0.25">
      <c r="A912" t="s">
        <v>141</v>
      </c>
      <c r="F912">
        <v>0.49726851851851855</v>
      </c>
      <c r="G912" t="s">
        <v>223</v>
      </c>
      <c r="H912">
        <v>0</v>
      </c>
      <c r="I912">
        <v>0.85</v>
      </c>
      <c r="J912" t="s">
        <v>224</v>
      </c>
      <c r="M912">
        <v>1</v>
      </c>
      <c r="N912">
        <v>84148.991999999998</v>
      </c>
      <c r="O912">
        <v>0</v>
      </c>
    </row>
    <row r="913" spans="1:19" x14ac:dyDescent="0.25">
      <c r="A913" t="s">
        <v>142</v>
      </c>
      <c r="F913">
        <v>0.49912037037037038</v>
      </c>
      <c r="G913" t="s">
        <v>223</v>
      </c>
      <c r="H913">
        <v>0</v>
      </c>
      <c r="I913">
        <v>0.86</v>
      </c>
      <c r="J913" t="s">
        <v>224</v>
      </c>
      <c r="K913" t="s">
        <v>27</v>
      </c>
      <c r="L913">
        <v>0.48199999999999998</v>
      </c>
      <c r="M913">
        <v>1</v>
      </c>
      <c r="N913">
        <v>87653.937999999995</v>
      </c>
      <c r="O913">
        <v>5.4988972657452083E-6</v>
      </c>
      <c r="P913">
        <v>0.61</v>
      </c>
    </row>
    <row r="914" spans="1:19" x14ac:dyDescent="0.25">
      <c r="A914" t="s">
        <v>143</v>
      </c>
      <c r="F914">
        <v>0.50100694444444438</v>
      </c>
      <c r="G914" t="s">
        <v>223</v>
      </c>
      <c r="H914">
        <v>0</v>
      </c>
      <c r="I914">
        <v>0.85</v>
      </c>
      <c r="J914" t="s">
        <v>224</v>
      </c>
      <c r="K914" t="s">
        <v>27</v>
      </c>
      <c r="L914">
        <v>0.29599999999999999</v>
      </c>
      <c r="M914">
        <v>1</v>
      </c>
      <c r="N914">
        <v>87204.741999999998</v>
      </c>
      <c r="O914">
        <v>3.3943108277299872E-6</v>
      </c>
      <c r="P914">
        <v>0.62</v>
      </c>
    </row>
    <row r="915" spans="1:19" x14ac:dyDescent="0.25">
      <c r="A915" t="s">
        <v>144</v>
      </c>
      <c r="F915">
        <v>0.50298611111111113</v>
      </c>
      <c r="G915" t="s">
        <v>223</v>
      </c>
      <c r="H915">
        <v>0</v>
      </c>
      <c r="I915">
        <v>0.85</v>
      </c>
      <c r="J915" t="s">
        <v>224</v>
      </c>
      <c r="M915">
        <v>1</v>
      </c>
      <c r="N915">
        <v>86631.726999999999</v>
      </c>
      <c r="O915">
        <v>0</v>
      </c>
    </row>
    <row r="916" spans="1:19" x14ac:dyDescent="0.25">
      <c r="A916" t="s">
        <v>145</v>
      </c>
      <c r="F916">
        <v>0.50496527777777778</v>
      </c>
      <c r="G916" t="s">
        <v>223</v>
      </c>
      <c r="H916">
        <v>0</v>
      </c>
      <c r="I916">
        <v>0.85</v>
      </c>
      <c r="J916" t="s">
        <v>224</v>
      </c>
      <c r="K916" t="s">
        <v>27</v>
      </c>
      <c r="L916">
        <v>0.27</v>
      </c>
      <c r="M916">
        <v>1</v>
      </c>
      <c r="N916">
        <v>79832.25</v>
      </c>
      <c r="O916">
        <v>3.3820918237930162E-6</v>
      </c>
      <c r="P916">
        <v>0.57999999999999996</v>
      </c>
    </row>
    <row r="917" spans="1:19" x14ac:dyDescent="0.25">
      <c r="A917" t="s">
        <v>146</v>
      </c>
      <c r="F917">
        <v>0.50692129629629623</v>
      </c>
      <c r="G917" t="s">
        <v>223</v>
      </c>
      <c r="H917">
        <v>0</v>
      </c>
      <c r="I917">
        <v>0.85</v>
      </c>
      <c r="J917" t="s">
        <v>224</v>
      </c>
      <c r="K917" t="s">
        <v>27</v>
      </c>
      <c r="L917">
        <v>1.417</v>
      </c>
      <c r="M917">
        <v>1</v>
      </c>
      <c r="N917">
        <v>86690.491999999998</v>
      </c>
      <c r="O917">
        <v>1.6345506494529989E-5</v>
      </c>
      <c r="P917">
        <v>0.61</v>
      </c>
    </row>
    <row r="918" spans="1:19" x14ac:dyDescent="0.25">
      <c r="A918" t="s">
        <v>147</v>
      </c>
      <c r="F918">
        <v>0.5088773148148148</v>
      </c>
      <c r="G918" t="s">
        <v>223</v>
      </c>
      <c r="H918">
        <v>0</v>
      </c>
      <c r="I918">
        <v>0.85</v>
      </c>
      <c r="J918" t="s">
        <v>224</v>
      </c>
      <c r="M918">
        <v>1</v>
      </c>
      <c r="N918">
        <v>88469.531000000003</v>
      </c>
      <c r="O918">
        <v>0</v>
      </c>
    </row>
    <row r="919" spans="1:19" x14ac:dyDescent="0.25">
      <c r="A919" t="s">
        <v>148</v>
      </c>
      <c r="F919">
        <v>0.51083333333333336</v>
      </c>
      <c r="G919" t="s">
        <v>223</v>
      </c>
      <c r="H919">
        <v>0</v>
      </c>
      <c r="I919">
        <v>0.85</v>
      </c>
      <c r="J919" t="s">
        <v>224</v>
      </c>
      <c r="K919" t="s">
        <v>27</v>
      </c>
      <c r="L919">
        <v>0.66200000000000003</v>
      </c>
      <c r="M919">
        <v>1</v>
      </c>
      <c r="N919">
        <v>80173.179999999993</v>
      </c>
      <c r="O919">
        <v>8.2571253878167244E-6</v>
      </c>
      <c r="P919">
        <v>0.61</v>
      </c>
    </row>
    <row r="920" spans="1:19" x14ac:dyDescent="0.25">
      <c r="A920" t="s">
        <v>149</v>
      </c>
      <c r="F920">
        <v>0.5128125</v>
      </c>
      <c r="G920" t="s">
        <v>223</v>
      </c>
      <c r="H920">
        <v>0</v>
      </c>
      <c r="I920">
        <v>0.85</v>
      </c>
      <c r="J920" t="s">
        <v>224</v>
      </c>
      <c r="K920" t="s">
        <v>27</v>
      </c>
      <c r="L920">
        <v>0.35499999999999998</v>
      </c>
      <c r="M920">
        <v>1</v>
      </c>
      <c r="N920">
        <v>84536.241999999998</v>
      </c>
      <c r="O920">
        <v>4.1993823193607301E-6</v>
      </c>
      <c r="P920">
        <v>0.62</v>
      </c>
    </row>
    <row r="921" spans="1:19" x14ac:dyDescent="0.25">
      <c r="A921" t="s">
        <v>150</v>
      </c>
      <c r="F921">
        <v>0.51466435185185189</v>
      </c>
      <c r="G921" t="s">
        <v>223</v>
      </c>
      <c r="H921">
        <v>0</v>
      </c>
      <c r="I921">
        <v>0.85</v>
      </c>
      <c r="J921" t="s">
        <v>224</v>
      </c>
      <c r="M921">
        <v>1</v>
      </c>
      <c r="N921">
        <v>87388.93</v>
      </c>
      <c r="O921">
        <v>0</v>
      </c>
    </row>
    <row r="922" spans="1:19" x14ac:dyDescent="0.25">
      <c r="A922" t="s">
        <v>151</v>
      </c>
      <c r="F922">
        <v>0.51653935185185185</v>
      </c>
      <c r="G922" t="s">
        <v>223</v>
      </c>
      <c r="H922">
        <v>0</v>
      </c>
      <c r="I922">
        <v>0.85</v>
      </c>
      <c r="J922" t="s">
        <v>224</v>
      </c>
      <c r="M922">
        <v>1</v>
      </c>
      <c r="N922">
        <v>87142.672000000006</v>
      </c>
      <c r="O922">
        <v>0</v>
      </c>
    </row>
    <row r="923" spans="1:19" x14ac:dyDescent="0.25">
      <c r="A923" t="s">
        <v>152</v>
      </c>
      <c r="F923">
        <v>0.51849537037037041</v>
      </c>
      <c r="G923" t="s">
        <v>223</v>
      </c>
      <c r="H923">
        <v>0</v>
      </c>
      <c r="I923">
        <v>0.85</v>
      </c>
      <c r="J923" t="s">
        <v>224</v>
      </c>
      <c r="M923">
        <v>1</v>
      </c>
      <c r="N923">
        <v>87144.093999999997</v>
      </c>
      <c r="O923">
        <v>0</v>
      </c>
    </row>
    <row r="924" spans="1:19" x14ac:dyDescent="0.25">
      <c r="A924" t="s">
        <v>153</v>
      </c>
      <c r="F924">
        <v>0.52037037037037037</v>
      </c>
      <c r="G924" t="s">
        <v>223</v>
      </c>
      <c r="H924">
        <v>0</v>
      </c>
      <c r="I924">
        <v>0.85</v>
      </c>
      <c r="J924" t="s">
        <v>224</v>
      </c>
      <c r="M924">
        <v>1</v>
      </c>
      <c r="N924">
        <v>86344.483999999997</v>
      </c>
      <c r="O924">
        <v>0</v>
      </c>
    </row>
    <row r="925" spans="1:19" x14ac:dyDescent="0.25">
      <c r="A925" t="s">
        <v>154</v>
      </c>
      <c r="F925">
        <v>0.52223379629629629</v>
      </c>
      <c r="G925" t="s">
        <v>223</v>
      </c>
      <c r="H925">
        <v>0</v>
      </c>
      <c r="I925">
        <v>0.85</v>
      </c>
      <c r="J925" t="s">
        <v>224</v>
      </c>
      <c r="M925">
        <v>1</v>
      </c>
      <c r="N925">
        <v>86244.25</v>
      </c>
      <c r="O925">
        <v>0</v>
      </c>
    </row>
    <row r="926" spans="1:19" x14ac:dyDescent="0.25">
      <c r="A926" t="s">
        <v>155</v>
      </c>
      <c r="F926">
        <v>0.52409722222222221</v>
      </c>
      <c r="G926" t="s">
        <v>223</v>
      </c>
      <c r="H926">
        <v>0</v>
      </c>
      <c r="I926">
        <v>0.85</v>
      </c>
      <c r="J926" t="s">
        <v>224</v>
      </c>
      <c r="M926">
        <v>1</v>
      </c>
      <c r="N926">
        <v>93.081999999999994</v>
      </c>
      <c r="O926">
        <v>0</v>
      </c>
    </row>
    <row r="927" spans="1:19" x14ac:dyDescent="0.25">
      <c r="A927" t="s">
        <v>156</v>
      </c>
      <c r="F927">
        <v>0.52598379629629632</v>
      </c>
      <c r="G927" t="s">
        <v>223</v>
      </c>
      <c r="H927">
        <v>0</v>
      </c>
      <c r="I927">
        <v>0.86</v>
      </c>
      <c r="J927" t="s">
        <v>224</v>
      </c>
      <c r="M927">
        <v>1</v>
      </c>
      <c r="N927">
        <v>106.667</v>
      </c>
      <c r="O927">
        <v>0</v>
      </c>
    </row>
    <row r="928" spans="1:19" x14ac:dyDescent="0.25">
      <c r="A928" s="2" t="s">
        <v>157</v>
      </c>
      <c r="B928" s="2"/>
      <c r="C928" s="2"/>
      <c r="D928" s="2"/>
      <c r="E928" s="2"/>
      <c r="F928" s="2">
        <v>0.52795138888888882</v>
      </c>
      <c r="G928" s="2" t="s">
        <v>223</v>
      </c>
      <c r="H928" s="2">
        <v>0</v>
      </c>
      <c r="I928" s="2">
        <v>0.86</v>
      </c>
      <c r="J928" s="2" t="s">
        <v>224</v>
      </c>
      <c r="K928" s="2" t="s">
        <v>27</v>
      </c>
      <c r="L928" s="2">
        <v>200523.71900000001</v>
      </c>
      <c r="M928" s="2">
        <v>1</v>
      </c>
      <c r="N928" s="2">
        <v>77598.648000000001</v>
      </c>
      <c r="O928" s="2">
        <v>2.5841135659992429</v>
      </c>
      <c r="P928" s="2">
        <v>0.61</v>
      </c>
      <c r="Q928" s="2"/>
      <c r="R928" s="2"/>
      <c r="S928" s="2"/>
    </row>
    <row r="929" spans="1:19" x14ac:dyDescent="0.25">
      <c r="A929" s="2" t="s">
        <v>158</v>
      </c>
      <c r="B929" s="2"/>
      <c r="C929" s="2"/>
      <c r="D929" s="2"/>
      <c r="E929" s="2"/>
      <c r="F929" s="2">
        <v>0.52990740740740738</v>
      </c>
      <c r="G929" s="2" t="s">
        <v>223</v>
      </c>
      <c r="H929" s="2">
        <v>0</v>
      </c>
      <c r="I929" s="2">
        <v>0.85</v>
      </c>
      <c r="J929" s="2" t="s">
        <v>224</v>
      </c>
      <c r="K929" s="2" t="s">
        <v>27</v>
      </c>
      <c r="L929" s="2">
        <v>196487.5</v>
      </c>
      <c r="M929" s="2">
        <v>1</v>
      </c>
      <c r="N929" s="2">
        <v>76582.883000000002</v>
      </c>
      <c r="O929" s="2">
        <v>2.5656842926636751</v>
      </c>
      <c r="P929" s="2">
        <v>0.61</v>
      </c>
      <c r="Q929" s="2"/>
      <c r="R929" s="2"/>
      <c r="S929" s="2"/>
    </row>
    <row r="930" spans="1:19" x14ac:dyDescent="0.25">
      <c r="A930" t="s">
        <v>159</v>
      </c>
      <c r="F930">
        <v>0.5317708333333333</v>
      </c>
      <c r="G930" t="s">
        <v>223</v>
      </c>
      <c r="H930">
        <v>0</v>
      </c>
      <c r="I930">
        <v>0.85</v>
      </c>
      <c r="J930" t="s">
        <v>224</v>
      </c>
      <c r="K930" t="s">
        <v>27</v>
      </c>
      <c r="L930">
        <v>243.51499999999999</v>
      </c>
      <c r="M930">
        <v>1</v>
      </c>
      <c r="N930">
        <v>81240.422000000006</v>
      </c>
      <c r="O930">
        <v>2.9974610422383082E-3</v>
      </c>
      <c r="P930">
        <v>0.61</v>
      </c>
    </row>
    <row r="931" spans="1:19" x14ac:dyDescent="0.25">
      <c r="A931" t="s">
        <v>160</v>
      </c>
      <c r="F931">
        <v>0.53363425925925922</v>
      </c>
      <c r="G931" t="s">
        <v>223</v>
      </c>
      <c r="H931">
        <v>0</v>
      </c>
      <c r="I931">
        <v>0.85</v>
      </c>
      <c r="J931" t="s">
        <v>224</v>
      </c>
      <c r="K931" t="s">
        <v>27</v>
      </c>
      <c r="L931">
        <v>248.89699999999999</v>
      </c>
      <c r="M931">
        <v>1</v>
      </c>
      <c r="N931">
        <v>79723.312999999995</v>
      </c>
      <c r="O931">
        <v>3.1220102456103399E-3</v>
      </c>
      <c r="P931">
        <v>0.61</v>
      </c>
    </row>
    <row r="932" spans="1:19" x14ac:dyDescent="0.25">
      <c r="A932" t="s">
        <v>161</v>
      </c>
      <c r="F932">
        <v>0.5355092592592593</v>
      </c>
      <c r="G932" t="s">
        <v>223</v>
      </c>
      <c r="H932">
        <v>0</v>
      </c>
      <c r="I932">
        <v>0.85</v>
      </c>
      <c r="J932" t="s">
        <v>224</v>
      </c>
      <c r="K932" t="s">
        <v>27</v>
      </c>
      <c r="L932">
        <v>64.781000000000006</v>
      </c>
      <c r="M932">
        <v>1</v>
      </c>
      <c r="N932">
        <v>82403.797000000006</v>
      </c>
      <c r="O932">
        <v>7.8614095901430368E-4</v>
      </c>
      <c r="P932">
        <v>0.61</v>
      </c>
    </row>
    <row r="933" spans="1:19" x14ac:dyDescent="0.25">
      <c r="A933" t="s">
        <v>162</v>
      </c>
      <c r="F933">
        <v>0.53738425925925926</v>
      </c>
      <c r="G933" t="s">
        <v>223</v>
      </c>
      <c r="H933">
        <v>0</v>
      </c>
      <c r="I933">
        <v>0.86</v>
      </c>
      <c r="J933" t="s">
        <v>224</v>
      </c>
      <c r="K933" t="s">
        <v>27</v>
      </c>
      <c r="L933">
        <v>55.241</v>
      </c>
      <c r="M933">
        <v>1</v>
      </c>
      <c r="N933">
        <v>77816.023000000001</v>
      </c>
      <c r="O933">
        <v>7.0989235725912132E-4</v>
      </c>
      <c r="P933">
        <v>0.61</v>
      </c>
    </row>
    <row r="934" spans="1:19" x14ac:dyDescent="0.25">
      <c r="A934" t="s">
        <v>163</v>
      </c>
      <c r="F934">
        <v>0.53924768518518518</v>
      </c>
      <c r="G934" t="s">
        <v>223</v>
      </c>
      <c r="H934">
        <v>0</v>
      </c>
      <c r="I934">
        <v>0.85</v>
      </c>
      <c r="J934" t="s">
        <v>224</v>
      </c>
      <c r="K934" t="s">
        <v>27</v>
      </c>
      <c r="L934">
        <v>8.7390000000000008</v>
      </c>
      <c r="M934">
        <v>1</v>
      </c>
      <c r="N934">
        <v>82569.054999999993</v>
      </c>
      <c r="O934">
        <v>1.0583868254275166E-4</v>
      </c>
      <c r="P934">
        <v>0.62</v>
      </c>
    </row>
    <row r="935" spans="1:19" x14ac:dyDescent="0.25">
      <c r="A935" t="s">
        <v>164</v>
      </c>
      <c r="F935">
        <v>0.54112268518518525</v>
      </c>
      <c r="G935" t="s">
        <v>223</v>
      </c>
      <c r="H935">
        <v>0</v>
      </c>
      <c r="I935">
        <v>0.85</v>
      </c>
      <c r="J935" t="s">
        <v>224</v>
      </c>
      <c r="M935">
        <v>1</v>
      </c>
      <c r="N935">
        <v>82580.983999999997</v>
      </c>
      <c r="O935">
        <v>0</v>
      </c>
    </row>
    <row r="936" spans="1:19" x14ac:dyDescent="0.25">
      <c r="A936" t="s">
        <v>165</v>
      </c>
      <c r="F936">
        <v>0.54298611111111106</v>
      </c>
      <c r="G936" t="s">
        <v>223</v>
      </c>
      <c r="H936">
        <v>0</v>
      </c>
      <c r="I936">
        <v>0.85</v>
      </c>
      <c r="J936" t="s">
        <v>224</v>
      </c>
      <c r="K936" t="s">
        <v>27</v>
      </c>
      <c r="L936">
        <v>3.3180000000000001</v>
      </c>
      <c r="M936">
        <v>1</v>
      </c>
      <c r="N936">
        <v>82733.391000000003</v>
      </c>
      <c r="O936">
        <v>4.0104726276721815E-5</v>
      </c>
      <c r="P936">
        <v>0.6</v>
      </c>
    </row>
    <row r="937" spans="1:19" x14ac:dyDescent="0.25">
      <c r="A937" t="s">
        <v>166</v>
      </c>
      <c r="F937">
        <v>0.54487268518518517</v>
      </c>
      <c r="G937" t="s">
        <v>223</v>
      </c>
      <c r="H937">
        <v>0</v>
      </c>
      <c r="I937">
        <v>0.85</v>
      </c>
      <c r="J937" t="s">
        <v>224</v>
      </c>
      <c r="K937" t="s">
        <v>27</v>
      </c>
      <c r="L937">
        <v>4.4210000000000003</v>
      </c>
      <c r="M937">
        <v>1</v>
      </c>
      <c r="N937">
        <v>79460.172000000006</v>
      </c>
      <c r="O937">
        <v>5.5637936449470556E-5</v>
      </c>
      <c r="P937">
        <v>0.65</v>
      </c>
    </row>
    <row r="938" spans="1:19" x14ac:dyDescent="0.25">
      <c r="A938" t="s">
        <v>167</v>
      </c>
      <c r="F938">
        <v>0.54673611111111109</v>
      </c>
      <c r="G938" t="s">
        <v>223</v>
      </c>
      <c r="H938">
        <v>0</v>
      </c>
      <c r="I938">
        <v>0.85</v>
      </c>
      <c r="J938" t="s">
        <v>224</v>
      </c>
      <c r="M938">
        <v>1</v>
      </c>
      <c r="N938">
        <v>80189.133000000002</v>
      </c>
      <c r="O938">
        <v>0</v>
      </c>
    </row>
    <row r="939" spans="1:19" x14ac:dyDescent="0.25">
      <c r="A939" t="s">
        <v>168</v>
      </c>
      <c r="F939">
        <v>0.54859953703703701</v>
      </c>
      <c r="G939" t="s">
        <v>223</v>
      </c>
      <c r="H939">
        <v>0</v>
      </c>
      <c r="I939">
        <v>0.85</v>
      </c>
      <c r="J939" t="s">
        <v>224</v>
      </c>
      <c r="K939" t="s">
        <v>27</v>
      </c>
      <c r="L939">
        <v>6.2240000000000002</v>
      </c>
      <c r="M939">
        <v>1</v>
      </c>
      <c r="N939">
        <v>79237.797000000006</v>
      </c>
      <c r="O939">
        <v>7.8548372565178707E-5</v>
      </c>
      <c r="P939">
        <v>0.61</v>
      </c>
    </row>
    <row r="940" spans="1:19" x14ac:dyDescent="0.25">
      <c r="A940" t="s">
        <v>169</v>
      </c>
      <c r="F940">
        <v>0.55048611111111112</v>
      </c>
      <c r="G940" t="s">
        <v>223</v>
      </c>
      <c r="H940">
        <v>0</v>
      </c>
      <c r="I940">
        <v>0.85</v>
      </c>
      <c r="J940" t="s">
        <v>224</v>
      </c>
      <c r="M940">
        <v>1</v>
      </c>
      <c r="N940">
        <v>79373.164000000004</v>
      </c>
      <c r="O940">
        <v>0</v>
      </c>
    </row>
    <row r="941" spans="1:19" x14ac:dyDescent="0.25">
      <c r="A941" t="s">
        <v>170</v>
      </c>
      <c r="F941">
        <v>0.55234953703703704</v>
      </c>
      <c r="G941" t="s">
        <v>223</v>
      </c>
      <c r="H941">
        <v>0</v>
      </c>
      <c r="I941">
        <v>0.85</v>
      </c>
      <c r="J941" t="s">
        <v>224</v>
      </c>
      <c r="M941">
        <v>1</v>
      </c>
      <c r="N941">
        <v>80237.577999999994</v>
      </c>
      <c r="O941">
        <v>0</v>
      </c>
    </row>
    <row r="942" spans="1:19" x14ac:dyDescent="0.25">
      <c r="A942" t="s">
        <v>171</v>
      </c>
      <c r="F942">
        <v>0.55421296296296296</v>
      </c>
      <c r="G942" t="s">
        <v>223</v>
      </c>
      <c r="H942">
        <v>0</v>
      </c>
      <c r="I942">
        <v>0.85</v>
      </c>
      <c r="J942" t="s">
        <v>224</v>
      </c>
      <c r="K942" t="s">
        <v>27</v>
      </c>
      <c r="L942">
        <v>0.36599999999999999</v>
      </c>
      <c r="M942">
        <v>1</v>
      </c>
      <c r="N942">
        <v>76179.664000000004</v>
      </c>
      <c r="O942">
        <v>4.8044317969162997E-6</v>
      </c>
      <c r="P942">
        <v>0.66</v>
      </c>
    </row>
    <row r="943" spans="1:19" x14ac:dyDescent="0.25">
      <c r="A943" t="s">
        <v>172</v>
      </c>
      <c r="F943">
        <v>0.55621527777777779</v>
      </c>
      <c r="G943" t="s">
        <v>223</v>
      </c>
      <c r="H943">
        <v>0</v>
      </c>
      <c r="I943">
        <v>0.85</v>
      </c>
      <c r="J943" t="s">
        <v>224</v>
      </c>
      <c r="K943" t="s">
        <v>27</v>
      </c>
      <c r="L943">
        <v>0.85199999999999998</v>
      </c>
      <c r="M943">
        <v>1</v>
      </c>
      <c r="N943">
        <v>78758.741999999998</v>
      </c>
      <c r="O943">
        <v>1.0817846735032919E-5</v>
      </c>
      <c r="P943">
        <v>0.59</v>
      </c>
    </row>
    <row r="944" spans="1:19" x14ac:dyDescent="0.25">
      <c r="A944" t="s">
        <v>173</v>
      </c>
      <c r="F944">
        <v>0.55815972222222221</v>
      </c>
      <c r="G944" t="s">
        <v>223</v>
      </c>
      <c r="H944">
        <v>0</v>
      </c>
      <c r="I944">
        <v>0.85</v>
      </c>
      <c r="J944" t="s">
        <v>224</v>
      </c>
      <c r="K944" t="s">
        <v>27</v>
      </c>
      <c r="L944">
        <v>1.032</v>
      </c>
      <c r="M944">
        <v>1</v>
      </c>
      <c r="N944">
        <v>76535.437999999995</v>
      </c>
      <c r="O944">
        <v>1.3483949748873196E-5</v>
      </c>
      <c r="P944">
        <v>0.64</v>
      </c>
    </row>
    <row r="945" spans="1:16" x14ac:dyDescent="0.25">
      <c r="A945" t="s">
        <v>174</v>
      </c>
      <c r="F945">
        <v>0.56003472222222228</v>
      </c>
      <c r="G945" t="s">
        <v>223</v>
      </c>
      <c r="H945">
        <v>0</v>
      </c>
      <c r="I945">
        <v>0.85</v>
      </c>
      <c r="J945" t="s">
        <v>224</v>
      </c>
      <c r="K945" t="s">
        <v>27</v>
      </c>
      <c r="L945">
        <v>0.191</v>
      </c>
      <c r="M945">
        <v>1</v>
      </c>
      <c r="N945">
        <v>79696.898000000001</v>
      </c>
      <c r="O945">
        <v>2.3965801027789062E-6</v>
      </c>
      <c r="P945">
        <v>0.59</v>
      </c>
    </row>
    <row r="946" spans="1:16" x14ac:dyDescent="0.25">
      <c r="A946" t="s">
        <v>175</v>
      </c>
      <c r="F946">
        <v>0.56200231481481489</v>
      </c>
      <c r="G946" t="s">
        <v>223</v>
      </c>
      <c r="H946">
        <v>0</v>
      </c>
      <c r="I946">
        <v>0.85</v>
      </c>
      <c r="J946" t="s">
        <v>224</v>
      </c>
      <c r="K946" t="s">
        <v>27</v>
      </c>
      <c r="L946">
        <v>0.186</v>
      </c>
      <c r="M946">
        <v>1</v>
      </c>
      <c r="N946">
        <v>81888.945000000007</v>
      </c>
      <c r="O946">
        <v>2.2713688642587835E-6</v>
      </c>
      <c r="P946">
        <v>0.62</v>
      </c>
    </row>
    <row r="947" spans="1:16" x14ac:dyDescent="0.25">
      <c r="A947" t="s">
        <v>176</v>
      </c>
      <c r="F947">
        <v>0.56396990740740738</v>
      </c>
      <c r="G947" t="s">
        <v>223</v>
      </c>
      <c r="H947">
        <v>0</v>
      </c>
      <c r="I947">
        <v>0.85</v>
      </c>
      <c r="J947" t="s">
        <v>224</v>
      </c>
      <c r="M947">
        <v>1</v>
      </c>
      <c r="N947">
        <v>80283.141000000003</v>
      </c>
      <c r="O947">
        <v>0</v>
      </c>
    </row>
    <row r="948" spans="1:16" x14ac:dyDescent="0.25">
      <c r="A948" t="s">
        <v>177</v>
      </c>
      <c r="F948">
        <v>0.56581018518518522</v>
      </c>
      <c r="G948" t="s">
        <v>223</v>
      </c>
      <c r="H948">
        <v>0</v>
      </c>
      <c r="I948">
        <v>0.86</v>
      </c>
      <c r="J948" t="s">
        <v>224</v>
      </c>
      <c r="M948">
        <v>1</v>
      </c>
      <c r="N948">
        <v>77920.398000000001</v>
      </c>
      <c r="O948">
        <v>0</v>
      </c>
    </row>
    <row r="949" spans="1:16" x14ac:dyDescent="0.25">
      <c r="A949" t="s">
        <v>178</v>
      </c>
      <c r="F949">
        <v>0.56781249999999994</v>
      </c>
      <c r="G949" t="s">
        <v>223</v>
      </c>
      <c r="H949">
        <v>0</v>
      </c>
      <c r="I949">
        <v>0.86</v>
      </c>
      <c r="J949" t="s">
        <v>224</v>
      </c>
      <c r="K949" t="s">
        <v>27</v>
      </c>
      <c r="L949">
        <v>1.2010000000000001</v>
      </c>
      <c r="M949">
        <v>1</v>
      </c>
      <c r="N949">
        <v>78458.289000000004</v>
      </c>
      <c r="O949">
        <v>1.5307496700571689E-5</v>
      </c>
      <c r="P949">
        <v>0.64</v>
      </c>
    </row>
    <row r="950" spans="1:16" x14ac:dyDescent="0.25">
      <c r="A950" t="s">
        <v>179</v>
      </c>
      <c r="F950">
        <v>0.56967592592592597</v>
      </c>
      <c r="G950" t="s">
        <v>223</v>
      </c>
      <c r="H950">
        <v>0</v>
      </c>
      <c r="I950">
        <v>0.85</v>
      </c>
      <c r="J950" t="s">
        <v>224</v>
      </c>
      <c r="K950" t="s">
        <v>27</v>
      </c>
      <c r="L950">
        <v>0.56799999999999995</v>
      </c>
      <c r="M950">
        <v>1</v>
      </c>
      <c r="N950">
        <v>81069.625</v>
      </c>
      <c r="O950">
        <v>7.0063232684251337E-6</v>
      </c>
      <c r="P950">
        <v>0.59</v>
      </c>
    </row>
    <row r="951" spans="1:16" x14ac:dyDescent="0.25">
      <c r="A951" t="s">
        <v>180</v>
      </c>
      <c r="F951">
        <v>0.57153935185185178</v>
      </c>
      <c r="G951" t="s">
        <v>223</v>
      </c>
      <c r="H951">
        <v>0</v>
      </c>
      <c r="I951">
        <v>0.85</v>
      </c>
      <c r="J951" t="s">
        <v>224</v>
      </c>
      <c r="M951">
        <v>1</v>
      </c>
      <c r="N951">
        <v>81783.843999999997</v>
      </c>
      <c r="O951">
        <v>0</v>
      </c>
    </row>
    <row r="952" spans="1:16" x14ac:dyDescent="0.25">
      <c r="A952" t="s">
        <v>181</v>
      </c>
      <c r="F952">
        <v>0.57351851851851854</v>
      </c>
      <c r="G952" t="s">
        <v>223</v>
      </c>
      <c r="H952">
        <v>0</v>
      </c>
      <c r="I952">
        <v>0.85</v>
      </c>
      <c r="J952" t="s">
        <v>224</v>
      </c>
      <c r="M952">
        <v>1</v>
      </c>
      <c r="N952">
        <v>82280.218999999997</v>
      </c>
      <c r="O952">
        <v>0</v>
      </c>
    </row>
    <row r="953" spans="1:16" x14ac:dyDescent="0.25">
      <c r="A953" t="s">
        <v>182</v>
      </c>
      <c r="F953">
        <v>0.57548611111111114</v>
      </c>
      <c r="G953" t="s">
        <v>223</v>
      </c>
      <c r="H953">
        <v>0</v>
      </c>
      <c r="I953">
        <v>0.85</v>
      </c>
      <c r="J953" t="s">
        <v>224</v>
      </c>
      <c r="M953">
        <v>1</v>
      </c>
      <c r="N953">
        <v>82015.625</v>
      </c>
      <c r="O953">
        <v>0</v>
      </c>
    </row>
    <row r="954" spans="1:16" x14ac:dyDescent="0.25">
      <c r="A954" t="s">
        <v>183</v>
      </c>
      <c r="F954">
        <v>0.57743055555555556</v>
      </c>
      <c r="G954" t="s">
        <v>223</v>
      </c>
      <c r="H954">
        <v>0</v>
      </c>
      <c r="I954">
        <v>0.85</v>
      </c>
      <c r="J954" t="s">
        <v>224</v>
      </c>
      <c r="K954" t="s">
        <v>27</v>
      </c>
      <c r="L954">
        <v>1.0589999999999999</v>
      </c>
      <c r="M954">
        <v>1</v>
      </c>
      <c r="N954">
        <v>83588.202999999994</v>
      </c>
      <c r="O954">
        <v>1.2669251903884093E-5</v>
      </c>
      <c r="P954">
        <v>0.59</v>
      </c>
    </row>
    <row r="955" spans="1:16" x14ac:dyDescent="0.25">
      <c r="A955" t="s">
        <v>184</v>
      </c>
      <c r="F955">
        <v>0.57929398148148148</v>
      </c>
      <c r="G955" t="s">
        <v>223</v>
      </c>
      <c r="H955">
        <v>0</v>
      </c>
      <c r="I955">
        <v>0.85</v>
      </c>
      <c r="J955" t="s">
        <v>224</v>
      </c>
      <c r="M955">
        <v>1</v>
      </c>
      <c r="N955">
        <v>80724.952999999994</v>
      </c>
      <c r="O955">
        <v>0</v>
      </c>
    </row>
    <row r="956" spans="1:16" x14ac:dyDescent="0.25">
      <c r="A956" t="s">
        <v>185</v>
      </c>
      <c r="F956">
        <v>0.5811574074074074</v>
      </c>
      <c r="G956" t="s">
        <v>223</v>
      </c>
      <c r="H956">
        <v>0</v>
      </c>
      <c r="I956">
        <v>0.85</v>
      </c>
      <c r="J956" t="s">
        <v>224</v>
      </c>
      <c r="M956">
        <v>1</v>
      </c>
      <c r="N956">
        <v>85890</v>
      </c>
      <c r="O956">
        <v>0</v>
      </c>
    </row>
    <row r="957" spans="1:16" x14ac:dyDescent="0.25">
      <c r="A957" t="s">
        <v>186</v>
      </c>
      <c r="F957">
        <v>0.58302083333333332</v>
      </c>
      <c r="G957" t="s">
        <v>223</v>
      </c>
      <c r="H957">
        <v>0</v>
      </c>
      <c r="I957">
        <v>0.85</v>
      </c>
      <c r="J957" t="s">
        <v>224</v>
      </c>
      <c r="K957" t="s">
        <v>27</v>
      </c>
      <c r="L957">
        <v>0.16700000000000001</v>
      </c>
      <c r="M957">
        <v>1</v>
      </c>
      <c r="N957">
        <v>87285.202999999994</v>
      </c>
      <c r="O957">
        <v>1.9132681629897799E-6</v>
      </c>
      <c r="P957">
        <v>0.62</v>
      </c>
    </row>
    <row r="958" spans="1:16" x14ac:dyDescent="0.25">
      <c r="A958" t="s">
        <v>187</v>
      </c>
      <c r="F958">
        <v>0.58489583333333328</v>
      </c>
      <c r="G958" t="s">
        <v>223</v>
      </c>
      <c r="H958">
        <v>0</v>
      </c>
      <c r="I958">
        <v>0.86</v>
      </c>
      <c r="J958" t="s">
        <v>224</v>
      </c>
      <c r="K958" t="s">
        <v>27</v>
      </c>
      <c r="L958">
        <v>0.25800000000000001</v>
      </c>
      <c r="M958">
        <v>1</v>
      </c>
      <c r="N958">
        <v>266.41899999999998</v>
      </c>
      <c r="O958">
        <v>9.6839940094362649E-4</v>
      </c>
      <c r="P958">
        <v>0.62</v>
      </c>
    </row>
    <row r="959" spans="1:16" x14ac:dyDescent="0.25">
      <c r="A959" t="s">
        <v>188</v>
      </c>
      <c r="F959">
        <v>0.58678240740740739</v>
      </c>
      <c r="G959" t="s">
        <v>223</v>
      </c>
      <c r="H959">
        <v>0</v>
      </c>
      <c r="I959">
        <v>0.86</v>
      </c>
      <c r="J959" t="s">
        <v>224</v>
      </c>
      <c r="M959">
        <v>1</v>
      </c>
      <c r="N959">
        <v>109.754</v>
      </c>
      <c r="O959">
        <v>0</v>
      </c>
    </row>
    <row r="960" spans="1:16" x14ac:dyDescent="0.25">
      <c r="A960" t="s">
        <v>189</v>
      </c>
      <c r="F960">
        <v>0.58876157407407403</v>
      </c>
      <c r="G960" t="s">
        <v>223</v>
      </c>
      <c r="H960">
        <v>0</v>
      </c>
      <c r="I960">
        <v>0.85</v>
      </c>
      <c r="J960" t="s">
        <v>224</v>
      </c>
      <c r="K960" t="s">
        <v>27</v>
      </c>
      <c r="L960">
        <v>0.11600000000000001</v>
      </c>
      <c r="M960">
        <v>1</v>
      </c>
      <c r="N960">
        <v>78006.75</v>
      </c>
      <c r="O960">
        <v>1.4870508000910179E-6</v>
      </c>
      <c r="P960">
        <v>0.63</v>
      </c>
    </row>
    <row r="961" spans="1:19" x14ac:dyDescent="0.25">
      <c r="A961" t="s">
        <v>190</v>
      </c>
      <c r="F961">
        <v>0.5907175925925926</v>
      </c>
      <c r="G961" t="s">
        <v>223</v>
      </c>
      <c r="H961">
        <v>0</v>
      </c>
      <c r="I961">
        <v>0.85</v>
      </c>
      <c r="J961" t="s">
        <v>224</v>
      </c>
      <c r="K961" t="s">
        <v>27</v>
      </c>
      <c r="L961">
        <v>0.158</v>
      </c>
      <c r="M961">
        <v>1</v>
      </c>
      <c r="N961">
        <v>81092.922000000006</v>
      </c>
      <c r="O961">
        <v>1.9483821288373355E-6</v>
      </c>
      <c r="P961">
        <v>0.57999999999999996</v>
      </c>
    </row>
    <row r="962" spans="1:19" x14ac:dyDescent="0.25">
      <c r="A962" s="2" t="s">
        <v>191</v>
      </c>
      <c r="B962" s="2"/>
      <c r="C962" s="2"/>
      <c r="D962" s="2"/>
      <c r="E962" s="2"/>
      <c r="F962" s="2">
        <v>0.59258101851851852</v>
      </c>
      <c r="G962" s="2" t="s">
        <v>223</v>
      </c>
      <c r="H962" s="2">
        <v>0</v>
      </c>
      <c r="I962" s="2">
        <v>0.85</v>
      </c>
      <c r="J962" s="2" t="s">
        <v>224</v>
      </c>
      <c r="K962" s="2" t="s">
        <v>27</v>
      </c>
      <c r="L962" s="2">
        <v>210103.40599999999</v>
      </c>
      <c r="M962" s="2">
        <v>1</v>
      </c>
      <c r="N962" s="2">
        <v>78620.616999999998</v>
      </c>
      <c r="O962" s="2">
        <v>2.6723703529317251</v>
      </c>
      <c r="P962" s="2">
        <v>0.61</v>
      </c>
      <c r="Q962" s="2"/>
      <c r="R962" s="2"/>
      <c r="S962" s="2"/>
    </row>
    <row r="963" spans="1:19" x14ac:dyDescent="0.25">
      <c r="A963" s="2" t="s">
        <v>192</v>
      </c>
      <c r="B963" s="2"/>
      <c r="C963" s="2"/>
      <c r="D963" s="2"/>
      <c r="E963" s="2"/>
      <c r="F963" s="2">
        <v>0.59444444444444444</v>
      </c>
      <c r="G963" s="2" t="s">
        <v>223</v>
      </c>
      <c r="H963" s="2">
        <v>0</v>
      </c>
      <c r="I963" s="2">
        <v>0.85</v>
      </c>
      <c r="J963" s="2" t="s">
        <v>224</v>
      </c>
      <c r="K963" s="2" t="s">
        <v>27</v>
      </c>
      <c r="L963" s="2">
        <v>209417.54699999999</v>
      </c>
      <c r="M963" s="2">
        <v>1</v>
      </c>
      <c r="N963" s="2">
        <v>76617.766000000003</v>
      </c>
      <c r="O963" s="2">
        <v>2.7332766006254996</v>
      </c>
      <c r="P963" s="2">
        <v>0.61</v>
      </c>
      <c r="Q963" s="2"/>
      <c r="R963" s="2"/>
      <c r="S963" s="2"/>
    </row>
    <row r="964" spans="1:19" x14ac:dyDescent="0.25">
      <c r="A964" t="s">
        <v>193</v>
      </c>
      <c r="F964">
        <v>0.59630787037037036</v>
      </c>
      <c r="G964" t="s">
        <v>223</v>
      </c>
      <c r="H964">
        <v>0</v>
      </c>
      <c r="I964">
        <v>0.86</v>
      </c>
      <c r="J964" t="s">
        <v>224</v>
      </c>
      <c r="K964" t="s">
        <v>27</v>
      </c>
      <c r="L964">
        <v>703.27700000000004</v>
      </c>
      <c r="M964">
        <v>1</v>
      </c>
      <c r="N964">
        <v>79449.320000000007</v>
      </c>
      <c r="O964">
        <v>8.8518945159001983E-3</v>
      </c>
      <c r="P964">
        <v>0.61</v>
      </c>
    </row>
    <row r="965" spans="1:19" x14ac:dyDescent="0.25">
      <c r="A965" t="s">
        <v>194</v>
      </c>
      <c r="F965">
        <v>0.59819444444444447</v>
      </c>
      <c r="G965" t="s">
        <v>223</v>
      </c>
      <c r="H965">
        <v>0</v>
      </c>
      <c r="I965">
        <v>0.85</v>
      </c>
      <c r="J965" t="s">
        <v>224</v>
      </c>
      <c r="K965" t="s">
        <v>27</v>
      </c>
      <c r="L965">
        <v>313.03800000000001</v>
      </c>
      <c r="M965">
        <v>1</v>
      </c>
      <c r="N965">
        <v>81529.766000000003</v>
      </c>
      <c r="O965">
        <v>3.8395547461769976E-3</v>
      </c>
      <c r="P965">
        <v>0.61</v>
      </c>
    </row>
    <row r="966" spans="1:19" x14ac:dyDescent="0.25">
      <c r="A966" t="s">
        <v>195</v>
      </c>
      <c r="F966">
        <v>0.60005787037037039</v>
      </c>
      <c r="G966" t="s">
        <v>223</v>
      </c>
      <c r="H966">
        <v>0</v>
      </c>
      <c r="I966">
        <v>0.85</v>
      </c>
      <c r="J966" t="s">
        <v>224</v>
      </c>
      <c r="K966" t="s">
        <v>27</v>
      </c>
      <c r="L966">
        <v>143.386</v>
      </c>
      <c r="M966">
        <v>1</v>
      </c>
      <c r="N966">
        <v>80463.766000000003</v>
      </c>
      <c r="O966">
        <v>1.7819946434025967E-3</v>
      </c>
      <c r="P966">
        <v>0.61</v>
      </c>
    </row>
    <row r="967" spans="1:19" x14ac:dyDescent="0.25">
      <c r="A967" t="s">
        <v>196</v>
      </c>
      <c r="F967">
        <v>0.60192129629629632</v>
      </c>
      <c r="G967" t="s">
        <v>223</v>
      </c>
      <c r="H967">
        <v>0</v>
      </c>
      <c r="I967">
        <v>0.85</v>
      </c>
      <c r="J967" t="s">
        <v>224</v>
      </c>
      <c r="K967" t="s">
        <v>27</v>
      </c>
      <c r="L967">
        <v>40.648000000000003</v>
      </c>
      <c r="M967">
        <v>1</v>
      </c>
      <c r="N967">
        <v>81377.547000000006</v>
      </c>
      <c r="O967">
        <v>4.9949895884671971E-4</v>
      </c>
      <c r="P967">
        <v>0.61</v>
      </c>
    </row>
    <row r="968" spans="1:19" x14ac:dyDescent="0.25">
      <c r="A968" t="s">
        <v>197</v>
      </c>
      <c r="F968">
        <v>0.60380787037037031</v>
      </c>
      <c r="G968" t="s">
        <v>223</v>
      </c>
      <c r="H968">
        <v>0</v>
      </c>
      <c r="I968">
        <v>0.85</v>
      </c>
      <c r="J968" t="s">
        <v>224</v>
      </c>
      <c r="K968" t="s">
        <v>27</v>
      </c>
      <c r="L968">
        <v>16.838000000000001</v>
      </c>
      <c r="M968">
        <v>1</v>
      </c>
      <c r="N968">
        <v>79696.797000000006</v>
      </c>
      <c r="O968">
        <v>2.1127574298876779E-4</v>
      </c>
      <c r="P968">
        <v>0.6</v>
      </c>
    </row>
    <row r="969" spans="1:19" x14ac:dyDescent="0.25">
      <c r="A969" t="s">
        <v>198</v>
      </c>
      <c r="F969">
        <v>0.60577546296296292</v>
      </c>
      <c r="G969" t="s">
        <v>223</v>
      </c>
      <c r="H969">
        <v>0</v>
      </c>
      <c r="I969">
        <v>0.86</v>
      </c>
      <c r="J969" t="s">
        <v>224</v>
      </c>
      <c r="K969" t="s">
        <v>27</v>
      </c>
      <c r="L969">
        <v>18.263000000000002</v>
      </c>
      <c r="M969">
        <v>1</v>
      </c>
      <c r="N969">
        <v>80965.358999999997</v>
      </c>
      <c r="O969">
        <v>2.2556560269188707E-4</v>
      </c>
      <c r="P969">
        <v>0.62</v>
      </c>
    </row>
    <row r="970" spans="1:19" x14ac:dyDescent="0.25">
      <c r="A970" t="s">
        <v>199</v>
      </c>
      <c r="F970">
        <v>0.60774305555555552</v>
      </c>
      <c r="G970" t="s">
        <v>223</v>
      </c>
      <c r="H970">
        <v>0</v>
      </c>
      <c r="I970">
        <v>0.85</v>
      </c>
      <c r="J970" t="s">
        <v>224</v>
      </c>
      <c r="K970" t="s">
        <v>27</v>
      </c>
      <c r="L970">
        <v>6.92</v>
      </c>
      <c r="M970">
        <v>1</v>
      </c>
      <c r="N970">
        <v>79312.156000000003</v>
      </c>
      <c r="O970">
        <v>8.7250181422378673E-5</v>
      </c>
      <c r="P970">
        <v>0.6</v>
      </c>
    </row>
    <row r="971" spans="1:19" x14ac:dyDescent="0.25">
      <c r="A971" t="s">
        <v>200</v>
      </c>
      <c r="F971">
        <v>0.60971064814814813</v>
      </c>
      <c r="G971" t="s">
        <v>223</v>
      </c>
      <c r="H971">
        <v>0</v>
      </c>
      <c r="I971">
        <v>0.85</v>
      </c>
      <c r="J971" t="s">
        <v>224</v>
      </c>
      <c r="K971" t="s">
        <v>27</v>
      </c>
      <c r="L971">
        <v>35.091999999999999</v>
      </c>
      <c r="M971">
        <v>1</v>
      </c>
      <c r="N971">
        <v>78685.695000000007</v>
      </c>
      <c r="O971">
        <v>4.4597687038285672E-4</v>
      </c>
      <c r="P971">
        <v>0.61</v>
      </c>
    </row>
    <row r="972" spans="1:19" x14ac:dyDescent="0.25">
      <c r="A972" t="s">
        <v>201</v>
      </c>
      <c r="F972">
        <v>0.61165509259259265</v>
      </c>
      <c r="G972" t="s">
        <v>223</v>
      </c>
      <c r="H972">
        <v>0</v>
      </c>
      <c r="I972">
        <v>0.85</v>
      </c>
      <c r="J972" t="s">
        <v>224</v>
      </c>
      <c r="K972" t="s">
        <v>27</v>
      </c>
      <c r="L972">
        <v>11.525</v>
      </c>
      <c r="M972">
        <v>1</v>
      </c>
      <c r="N972">
        <v>77538.351999999999</v>
      </c>
      <c r="O972">
        <v>1.4863612267642729E-4</v>
      </c>
      <c r="P972">
        <v>0.61</v>
      </c>
    </row>
    <row r="973" spans="1:19" x14ac:dyDescent="0.25">
      <c r="A973" t="s">
        <v>202</v>
      </c>
      <c r="F973">
        <v>0.61353009259259261</v>
      </c>
      <c r="G973" t="s">
        <v>223</v>
      </c>
      <c r="H973">
        <v>0</v>
      </c>
      <c r="I973">
        <v>0.85</v>
      </c>
      <c r="J973" t="s">
        <v>224</v>
      </c>
      <c r="K973" t="s">
        <v>27</v>
      </c>
      <c r="L973">
        <v>13.933</v>
      </c>
      <c r="M973">
        <v>1</v>
      </c>
      <c r="N973">
        <v>76484.452999999994</v>
      </c>
      <c r="O973">
        <v>1.8216774067796498E-4</v>
      </c>
      <c r="P973">
        <v>0.62</v>
      </c>
    </row>
    <row r="974" spans="1:19" x14ac:dyDescent="0.25">
      <c r="A974" t="s">
        <v>203</v>
      </c>
      <c r="F974">
        <v>0.61539351851851853</v>
      </c>
      <c r="G974" t="s">
        <v>223</v>
      </c>
      <c r="H974">
        <v>0</v>
      </c>
      <c r="I974">
        <v>0.85</v>
      </c>
      <c r="J974" t="s">
        <v>224</v>
      </c>
      <c r="K974" t="s">
        <v>27</v>
      </c>
      <c r="L974">
        <v>8.4000000000000005E-2</v>
      </c>
      <c r="M974">
        <v>1</v>
      </c>
      <c r="N974">
        <v>77630.75</v>
      </c>
      <c r="O974">
        <v>1.0820454523497455E-6</v>
      </c>
      <c r="P974">
        <v>0.65</v>
      </c>
    </row>
    <row r="975" spans="1:19" x14ac:dyDescent="0.25">
      <c r="A975" t="s">
        <v>204</v>
      </c>
      <c r="F975">
        <v>0.61725694444444446</v>
      </c>
      <c r="G975" t="s">
        <v>223</v>
      </c>
      <c r="H975">
        <v>0</v>
      </c>
      <c r="I975">
        <v>0.86</v>
      </c>
      <c r="J975" t="s">
        <v>224</v>
      </c>
      <c r="K975" t="s">
        <v>27</v>
      </c>
      <c r="L975">
        <v>2.9140000000000001</v>
      </c>
      <c r="M975">
        <v>1</v>
      </c>
      <c r="N975">
        <v>74698.75</v>
      </c>
      <c r="O975">
        <v>3.9010023594772336E-5</v>
      </c>
      <c r="P975">
        <v>0.6</v>
      </c>
    </row>
    <row r="976" spans="1:19" x14ac:dyDescent="0.25">
      <c r="A976" t="s">
        <v>205</v>
      </c>
      <c r="F976">
        <v>0.61913194444444442</v>
      </c>
      <c r="G976" t="s">
        <v>223</v>
      </c>
      <c r="H976">
        <v>0</v>
      </c>
      <c r="I976">
        <v>0.86</v>
      </c>
      <c r="J976" t="s">
        <v>224</v>
      </c>
      <c r="M976">
        <v>1</v>
      </c>
      <c r="N976">
        <v>73690.656000000003</v>
      </c>
      <c r="O976">
        <v>0</v>
      </c>
    </row>
    <row r="977" spans="1:16" x14ac:dyDescent="0.25">
      <c r="A977" t="s">
        <v>206</v>
      </c>
      <c r="F977">
        <v>0.62100694444444449</v>
      </c>
      <c r="G977" t="s">
        <v>223</v>
      </c>
      <c r="H977">
        <v>0</v>
      </c>
      <c r="I977">
        <v>0.85</v>
      </c>
      <c r="J977" t="s">
        <v>224</v>
      </c>
      <c r="K977" t="s">
        <v>27</v>
      </c>
      <c r="L977">
        <v>5.2030000000000003</v>
      </c>
      <c r="M977">
        <v>1</v>
      </c>
      <c r="N977">
        <v>75456.952999999994</v>
      </c>
      <c r="O977">
        <v>6.8953221580521552E-5</v>
      </c>
      <c r="P977">
        <v>0.63</v>
      </c>
    </row>
    <row r="978" spans="1:16" x14ac:dyDescent="0.25">
      <c r="A978" t="s">
        <v>207</v>
      </c>
      <c r="F978">
        <v>0.62288194444444445</v>
      </c>
      <c r="G978" t="s">
        <v>223</v>
      </c>
      <c r="H978">
        <v>0</v>
      </c>
      <c r="I978">
        <v>0.85</v>
      </c>
      <c r="J978" t="s">
        <v>224</v>
      </c>
      <c r="M978">
        <v>1</v>
      </c>
      <c r="N978">
        <v>79055.422000000006</v>
      </c>
      <c r="O978">
        <v>0</v>
      </c>
    </row>
    <row r="979" spans="1:16" x14ac:dyDescent="0.25">
      <c r="A979" t="s">
        <v>208</v>
      </c>
      <c r="F979">
        <v>0.62475694444444441</v>
      </c>
      <c r="G979" t="s">
        <v>223</v>
      </c>
      <c r="H979">
        <v>0</v>
      </c>
      <c r="I979">
        <v>0.85</v>
      </c>
      <c r="J979" t="s">
        <v>224</v>
      </c>
      <c r="K979" t="s">
        <v>27</v>
      </c>
      <c r="L979">
        <v>1.103</v>
      </c>
      <c r="M979">
        <v>1</v>
      </c>
      <c r="N979">
        <v>79091.718999999997</v>
      </c>
      <c r="O979">
        <v>1.3945834202946076E-5</v>
      </c>
      <c r="P979">
        <v>0.61</v>
      </c>
    </row>
    <row r="980" spans="1:16" x14ac:dyDescent="0.25">
      <c r="A980" t="s">
        <v>209</v>
      </c>
      <c r="F980">
        <v>0.62672453703703701</v>
      </c>
      <c r="G980" t="s">
        <v>223</v>
      </c>
      <c r="H980">
        <v>0</v>
      </c>
      <c r="I980">
        <v>0.85</v>
      </c>
      <c r="J980" t="s">
        <v>224</v>
      </c>
      <c r="K980" t="s">
        <v>27</v>
      </c>
      <c r="L980">
        <v>0.25800000000000001</v>
      </c>
      <c r="M980">
        <v>1</v>
      </c>
      <c r="N980">
        <v>77321.656000000003</v>
      </c>
      <c r="O980">
        <v>3.336710739873445E-6</v>
      </c>
      <c r="P980">
        <v>0.62</v>
      </c>
    </row>
    <row r="981" spans="1:16" x14ac:dyDescent="0.25">
      <c r="A981" t="s">
        <v>210</v>
      </c>
      <c r="F981">
        <v>0.62858796296296293</v>
      </c>
      <c r="G981" t="s">
        <v>223</v>
      </c>
      <c r="H981">
        <v>0</v>
      </c>
      <c r="I981">
        <v>0.85</v>
      </c>
      <c r="J981" t="s">
        <v>224</v>
      </c>
      <c r="K981" t="s">
        <v>27</v>
      </c>
      <c r="L981">
        <v>0.95599999999999996</v>
      </c>
      <c r="M981">
        <v>1</v>
      </c>
      <c r="N981">
        <v>73440.116999999998</v>
      </c>
      <c r="O981">
        <v>1.301740845538141E-5</v>
      </c>
      <c r="P981">
        <v>0.59</v>
      </c>
    </row>
    <row r="982" spans="1:16" x14ac:dyDescent="0.25">
      <c r="A982" t="s">
        <v>211</v>
      </c>
      <c r="F982">
        <v>0.63056712962962969</v>
      </c>
      <c r="G982" t="s">
        <v>223</v>
      </c>
      <c r="H982">
        <v>0</v>
      </c>
      <c r="I982">
        <v>0.85</v>
      </c>
      <c r="J982" t="s">
        <v>224</v>
      </c>
      <c r="M982">
        <v>1</v>
      </c>
      <c r="N982">
        <v>77216.827999999994</v>
      </c>
      <c r="O982">
        <v>0</v>
      </c>
    </row>
    <row r="983" spans="1:16" x14ac:dyDescent="0.25">
      <c r="A983" t="s">
        <v>212</v>
      </c>
      <c r="F983">
        <v>0.63240740740740742</v>
      </c>
      <c r="G983" t="s">
        <v>223</v>
      </c>
      <c r="H983">
        <v>0</v>
      </c>
      <c r="I983">
        <v>0.85</v>
      </c>
      <c r="J983" t="s">
        <v>224</v>
      </c>
      <c r="M983">
        <v>1</v>
      </c>
      <c r="N983">
        <v>74267.241999999998</v>
      </c>
      <c r="O983">
        <v>0</v>
      </c>
    </row>
    <row r="984" spans="1:16" x14ac:dyDescent="0.25">
      <c r="A984" t="s">
        <v>213</v>
      </c>
      <c r="F984">
        <v>0.63429398148148153</v>
      </c>
      <c r="G984" t="s">
        <v>223</v>
      </c>
      <c r="H984">
        <v>0</v>
      </c>
      <c r="I984">
        <v>0.86</v>
      </c>
      <c r="J984" t="s">
        <v>224</v>
      </c>
      <c r="K984" t="s">
        <v>27</v>
      </c>
      <c r="L984">
        <v>0.22900000000000001</v>
      </c>
      <c r="M984">
        <v>1</v>
      </c>
      <c r="N984">
        <v>77316.695000000007</v>
      </c>
      <c r="O984">
        <v>2.9618441398717315E-6</v>
      </c>
      <c r="P984">
        <v>0.57999999999999996</v>
      </c>
    </row>
    <row r="985" spans="1:16" x14ac:dyDescent="0.25">
      <c r="A985" t="s">
        <v>214</v>
      </c>
      <c r="F985">
        <v>0.63615740740740734</v>
      </c>
      <c r="G985" t="s">
        <v>223</v>
      </c>
      <c r="H985">
        <v>0</v>
      </c>
      <c r="I985">
        <v>0.85</v>
      </c>
      <c r="J985" t="s">
        <v>224</v>
      </c>
      <c r="K985" t="s">
        <v>27</v>
      </c>
      <c r="L985">
        <v>0.22</v>
      </c>
      <c r="M985">
        <v>1</v>
      </c>
      <c r="N985">
        <v>70950.452999999994</v>
      </c>
      <c r="O985">
        <v>3.1007553961635739E-6</v>
      </c>
      <c r="P985">
        <v>0.64</v>
      </c>
    </row>
    <row r="986" spans="1:16" x14ac:dyDescent="0.25">
      <c r="A986" t="s">
        <v>215</v>
      </c>
      <c r="F986">
        <v>0.63806712962962964</v>
      </c>
      <c r="G986" t="s">
        <v>223</v>
      </c>
      <c r="H986">
        <v>0</v>
      </c>
      <c r="I986">
        <v>0.85</v>
      </c>
      <c r="J986" t="s">
        <v>224</v>
      </c>
      <c r="K986" t="s">
        <v>27</v>
      </c>
      <c r="L986">
        <v>0.69199999999999995</v>
      </c>
      <c r="M986">
        <v>1</v>
      </c>
      <c r="N986">
        <v>76658.133000000002</v>
      </c>
      <c r="O986">
        <v>9.0270917503300001E-6</v>
      </c>
      <c r="P986">
        <v>0.63</v>
      </c>
    </row>
    <row r="987" spans="1:16" x14ac:dyDescent="0.25">
      <c r="A987" t="s">
        <v>216</v>
      </c>
      <c r="F987">
        <v>0.6399421296296296</v>
      </c>
      <c r="G987" t="s">
        <v>223</v>
      </c>
      <c r="H987">
        <v>0</v>
      </c>
      <c r="I987">
        <v>0.85</v>
      </c>
      <c r="J987" t="s">
        <v>224</v>
      </c>
      <c r="M987">
        <v>1</v>
      </c>
      <c r="N987">
        <v>77482.891000000003</v>
      </c>
      <c r="O987">
        <v>0</v>
      </c>
    </row>
    <row r="988" spans="1:16" x14ac:dyDescent="0.25">
      <c r="A988" t="s">
        <v>217</v>
      </c>
      <c r="F988">
        <v>0.64180555555555552</v>
      </c>
      <c r="G988" t="s">
        <v>223</v>
      </c>
      <c r="H988">
        <v>0</v>
      </c>
      <c r="I988">
        <v>0.85</v>
      </c>
      <c r="J988" t="s">
        <v>224</v>
      </c>
      <c r="K988" t="s">
        <v>27</v>
      </c>
      <c r="L988">
        <v>0.251</v>
      </c>
      <c r="M988">
        <v>1</v>
      </c>
      <c r="N988">
        <v>81169.391000000003</v>
      </c>
      <c r="O988">
        <v>3.0922986720449828E-6</v>
      </c>
      <c r="P988">
        <v>0.61</v>
      </c>
    </row>
    <row r="989" spans="1:16" x14ac:dyDescent="0.25">
      <c r="A989" t="s">
        <v>218</v>
      </c>
      <c r="F989">
        <v>0.64368055555555559</v>
      </c>
      <c r="G989" t="s">
        <v>223</v>
      </c>
      <c r="H989">
        <v>0</v>
      </c>
      <c r="I989">
        <v>0.85</v>
      </c>
      <c r="J989" t="s">
        <v>224</v>
      </c>
      <c r="M989">
        <v>1</v>
      </c>
      <c r="N989">
        <v>79876.843999999997</v>
      </c>
      <c r="O989">
        <v>0</v>
      </c>
    </row>
    <row r="990" spans="1:16" x14ac:dyDescent="0.25">
      <c r="A990" t="s">
        <v>219</v>
      </c>
      <c r="F990">
        <v>0.64554398148148151</v>
      </c>
      <c r="G990" t="s">
        <v>223</v>
      </c>
      <c r="H990">
        <v>0</v>
      </c>
      <c r="I990">
        <v>0.86</v>
      </c>
      <c r="J990" t="s">
        <v>224</v>
      </c>
      <c r="K990" t="s">
        <v>27</v>
      </c>
      <c r="L990">
        <v>0.67300000000000004</v>
      </c>
      <c r="M990">
        <v>1</v>
      </c>
      <c r="N990">
        <v>199.23699999999999</v>
      </c>
      <c r="O990">
        <v>3.3778866375221471E-3</v>
      </c>
      <c r="P990">
        <v>0.6</v>
      </c>
    </row>
    <row r="991" spans="1:16" x14ac:dyDescent="0.25">
      <c r="A991" t="s">
        <v>220</v>
      </c>
      <c r="F991">
        <v>0.64741898148148147</v>
      </c>
      <c r="G991" t="s">
        <v>223</v>
      </c>
      <c r="H991">
        <v>0</v>
      </c>
      <c r="I991">
        <v>0.85</v>
      </c>
      <c r="J991" t="s">
        <v>224</v>
      </c>
      <c r="M991">
        <v>1</v>
      </c>
      <c r="N991">
        <v>87.394999999999996</v>
      </c>
      <c r="O991">
        <v>0</v>
      </c>
    </row>
    <row r="992" spans="1:16" x14ac:dyDescent="0.25">
      <c r="A992" t="s">
        <v>19</v>
      </c>
      <c r="F992">
        <v>0.64932870370370377</v>
      </c>
      <c r="G992" t="s">
        <v>20</v>
      </c>
      <c r="H992">
        <v>0</v>
      </c>
      <c r="I992">
        <v>0.86</v>
      </c>
      <c r="J992" t="s">
        <v>21</v>
      </c>
      <c r="M992">
        <v>1</v>
      </c>
      <c r="N992">
        <v>81.486000000000004</v>
      </c>
      <c r="O992">
        <v>0</v>
      </c>
    </row>
    <row r="993" spans="1:19" x14ac:dyDescent="0.25">
      <c r="A993" t="s">
        <v>22</v>
      </c>
      <c r="F993">
        <v>0.65140046296296295</v>
      </c>
      <c r="G993" t="s">
        <v>20</v>
      </c>
      <c r="H993">
        <v>0</v>
      </c>
      <c r="I993">
        <v>0.86</v>
      </c>
      <c r="J993" t="s">
        <v>21</v>
      </c>
      <c r="M993">
        <v>1</v>
      </c>
      <c r="N993">
        <v>37.616999999999997</v>
      </c>
      <c r="O993">
        <v>0</v>
      </c>
    </row>
    <row r="994" spans="1:19" x14ac:dyDescent="0.25">
      <c r="A994" s="2" t="s">
        <v>23</v>
      </c>
      <c r="B994" s="2"/>
      <c r="C994" s="2"/>
      <c r="D994" s="2"/>
      <c r="E994" s="2"/>
      <c r="F994" s="2">
        <v>0.65523148148148147</v>
      </c>
      <c r="G994" s="2" t="s">
        <v>20</v>
      </c>
      <c r="H994" s="2">
        <v>0</v>
      </c>
      <c r="I994" s="2">
        <v>0.86</v>
      </c>
      <c r="J994" s="2" t="s">
        <v>21</v>
      </c>
      <c r="K994" s="2" t="s">
        <v>24</v>
      </c>
      <c r="L994" s="2">
        <v>2.8769999999999998</v>
      </c>
      <c r="M994" s="2">
        <v>1</v>
      </c>
      <c r="N994" s="2">
        <v>101225.531</v>
      </c>
      <c r="O994" s="2">
        <v>2.8421683458494279E-5</v>
      </c>
      <c r="P994" s="2">
        <v>0.86</v>
      </c>
      <c r="Q994" s="2"/>
      <c r="R994" s="2"/>
      <c r="S994" s="2"/>
    </row>
    <row r="995" spans="1:19" x14ac:dyDescent="0.25">
      <c r="A995" s="2" t="s">
        <v>25</v>
      </c>
      <c r="B995" s="2"/>
      <c r="C995" s="2"/>
      <c r="D995" s="2"/>
      <c r="E995" s="2"/>
      <c r="F995" s="2">
        <v>0.65708333333333335</v>
      </c>
      <c r="G995" s="2" t="s">
        <v>20</v>
      </c>
      <c r="H995" s="2">
        <v>0</v>
      </c>
      <c r="I995" s="2">
        <v>0.86</v>
      </c>
      <c r="J995" s="2" t="s">
        <v>21</v>
      </c>
      <c r="K995" s="2" t="s">
        <v>24</v>
      </c>
      <c r="L995" s="2">
        <v>2.4489999999999998</v>
      </c>
      <c r="M995" s="2">
        <v>1</v>
      </c>
      <c r="N995" s="2">
        <v>100985.69500000001</v>
      </c>
      <c r="O995" s="2">
        <v>2.4250959504710047E-5</v>
      </c>
      <c r="P995" s="2">
        <v>0.86</v>
      </c>
      <c r="Q995" s="2"/>
      <c r="R995" s="2"/>
      <c r="S995" s="2"/>
    </row>
    <row r="996" spans="1:19" x14ac:dyDescent="0.25">
      <c r="A996" s="2" t="s">
        <v>26</v>
      </c>
      <c r="B996" s="2"/>
      <c r="C996" s="2"/>
      <c r="D996" s="2"/>
      <c r="E996" s="2"/>
      <c r="F996" s="2">
        <v>0.65706018518518516</v>
      </c>
      <c r="G996" s="2" t="s">
        <v>20</v>
      </c>
      <c r="H996" s="2">
        <v>0</v>
      </c>
      <c r="I996" s="2">
        <v>0.85</v>
      </c>
      <c r="J996" s="2" t="s">
        <v>21</v>
      </c>
      <c r="K996" s="2" t="s">
        <v>27</v>
      </c>
      <c r="L996" s="2">
        <v>1.454</v>
      </c>
      <c r="M996" s="2">
        <v>1</v>
      </c>
      <c r="N996" s="2">
        <v>95940.266000000003</v>
      </c>
      <c r="O996" s="2">
        <v>1.5155263380237031E-5</v>
      </c>
      <c r="P996" s="2">
        <v>0.85</v>
      </c>
      <c r="Q996" s="2"/>
      <c r="R996" s="2"/>
      <c r="S996" s="2"/>
    </row>
    <row r="997" spans="1:19" x14ac:dyDescent="0.25">
      <c r="A997" s="2" t="s">
        <v>28</v>
      </c>
      <c r="B997" s="2"/>
      <c r="C997" s="2"/>
      <c r="D997" s="2"/>
      <c r="E997" s="2"/>
      <c r="F997" s="2">
        <v>0.65893518518518512</v>
      </c>
      <c r="G997" s="2" t="s">
        <v>20</v>
      </c>
      <c r="H997" s="2">
        <v>0</v>
      </c>
      <c r="I997" s="2">
        <v>0.85</v>
      </c>
      <c r="J997" s="2" t="s">
        <v>21</v>
      </c>
      <c r="K997" s="2" t="s">
        <v>24</v>
      </c>
      <c r="L997" s="2">
        <v>0.39500000000000002</v>
      </c>
      <c r="M997" s="2">
        <v>1</v>
      </c>
      <c r="N997" s="2">
        <v>93786.812999999995</v>
      </c>
      <c r="O997" s="2">
        <v>4.2116795247110068E-6</v>
      </c>
      <c r="P997" s="2">
        <v>0.8</v>
      </c>
      <c r="Q997" s="2"/>
      <c r="R997" s="2"/>
      <c r="S997" s="2"/>
    </row>
    <row r="998" spans="1:19" x14ac:dyDescent="0.25">
      <c r="A998" t="s">
        <v>29</v>
      </c>
      <c r="F998">
        <v>0.6626967592592593</v>
      </c>
      <c r="G998" t="s">
        <v>20</v>
      </c>
      <c r="H998">
        <v>0</v>
      </c>
      <c r="I998">
        <v>0.86</v>
      </c>
      <c r="J998" t="s">
        <v>21</v>
      </c>
      <c r="M998">
        <v>1</v>
      </c>
      <c r="N998">
        <v>110901.508</v>
      </c>
      <c r="O998">
        <v>0</v>
      </c>
    </row>
    <row r="999" spans="1:19" x14ac:dyDescent="0.25">
      <c r="A999" t="s">
        <v>30</v>
      </c>
      <c r="F999">
        <v>0.66468749999999999</v>
      </c>
      <c r="G999" t="s">
        <v>20</v>
      </c>
      <c r="H999">
        <v>0</v>
      </c>
      <c r="I999">
        <v>0.86</v>
      </c>
      <c r="J999" t="s">
        <v>21</v>
      </c>
      <c r="K999" t="s">
        <v>27</v>
      </c>
      <c r="L999">
        <v>0.64100000000000001</v>
      </c>
      <c r="M999">
        <v>1</v>
      </c>
      <c r="N999">
        <v>107494.43</v>
      </c>
      <c r="O999">
        <v>5.963099669443338E-6</v>
      </c>
      <c r="P999">
        <v>0.85</v>
      </c>
    </row>
    <row r="1000" spans="1:19" x14ac:dyDescent="0.25">
      <c r="A1000" s="2" t="s">
        <v>31</v>
      </c>
      <c r="B1000" s="2"/>
      <c r="C1000" s="2"/>
      <c r="D1000" s="2"/>
      <c r="E1000" s="2"/>
      <c r="F1000" s="2">
        <v>0.66664351851851855</v>
      </c>
      <c r="G1000" s="2" t="s">
        <v>20</v>
      </c>
      <c r="H1000" s="2">
        <v>0</v>
      </c>
      <c r="I1000" s="2">
        <v>0.86</v>
      </c>
      <c r="J1000" s="2" t="s">
        <v>21</v>
      </c>
      <c r="K1000" s="2" t="s">
        <v>27</v>
      </c>
      <c r="L1000" s="2">
        <v>141.03899999999999</v>
      </c>
      <c r="M1000" s="2">
        <v>1</v>
      </c>
      <c r="N1000" s="2">
        <v>112203.008</v>
      </c>
      <c r="O1000" s="2">
        <v>1.2569983863534209E-3</v>
      </c>
      <c r="P1000" s="2">
        <v>0.79</v>
      </c>
      <c r="Q1000" s="2"/>
      <c r="R1000" s="2"/>
      <c r="S1000" s="2"/>
    </row>
    <row r="1001" spans="1:19" x14ac:dyDescent="0.25">
      <c r="A1001" s="2" t="s">
        <v>32</v>
      </c>
      <c r="B1001" s="2"/>
      <c r="C1001" s="2"/>
      <c r="D1001" s="2"/>
      <c r="E1001" s="2"/>
      <c r="F1001" s="2">
        <v>0.66863425925925923</v>
      </c>
      <c r="G1001" s="2" t="s">
        <v>20</v>
      </c>
      <c r="H1001" s="2">
        <v>0</v>
      </c>
      <c r="I1001" s="2">
        <v>0.86</v>
      </c>
      <c r="J1001" s="2" t="s">
        <v>21</v>
      </c>
      <c r="K1001" s="2" t="s">
        <v>27</v>
      </c>
      <c r="L1001" s="2">
        <v>54.265000000000001</v>
      </c>
      <c r="M1001" s="2">
        <v>1</v>
      </c>
      <c r="N1001" s="2">
        <v>111875.18799999999</v>
      </c>
      <c r="O1001" s="2">
        <v>4.8504946422972718E-4</v>
      </c>
      <c r="P1001" s="2">
        <v>0.79</v>
      </c>
      <c r="Q1001" s="2"/>
      <c r="R1001" s="2"/>
      <c r="S1001" s="2"/>
    </row>
    <row r="1002" spans="1:19" x14ac:dyDescent="0.25">
      <c r="A1002" t="s">
        <v>33</v>
      </c>
      <c r="F1002">
        <v>0.6705902777777778</v>
      </c>
      <c r="G1002" t="s">
        <v>20</v>
      </c>
      <c r="H1002">
        <v>0</v>
      </c>
      <c r="I1002">
        <v>0.86</v>
      </c>
      <c r="J1002" t="s">
        <v>21</v>
      </c>
      <c r="K1002" t="s">
        <v>27</v>
      </c>
      <c r="L1002">
        <v>0.89500000000000002</v>
      </c>
      <c r="M1002">
        <v>1</v>
      </c>
      <c r="N1002">
        <v>110901.81299999999</v>
      </c>
      <c r="O1002">
        <v>8.0702017017521623E-6</v>
      </c>
      <c r="P1002">
        <v>0.86</v>
      </c>
    </row>
    <row r="1003" spans="1:19" x14ac:dyDescent="0.25">
      <c r="A1003" t="s">
        <v>34</v>
      </c>
      <c r="F1003">
        <v>0.6725578703703704</v>
      </c>
      <c r="G1003" t="s">
        <v>20</v>
      </c>
      <c r="H1003">
        <v>0</v>
      </c>
      <c r="I1003">
        <v>0.86</v>
      </c>
      <c r="J1003" t="s">
        <v>21</v>
      </c>
      <c r="K1003" t="s">
        <v>27</v>
      </c>
      <c r="L1003">
        <v>2.806</v>
      </c>
      <c r="M1003">
        <v>1</v>
      </c>
      <c r="N1003">
        <v>110473.492</v>
      </c>
      <c r="O1003">
        <v>2.5399758342028332E-5</v>
      </c>
      <c r="P1003">
        <v>0.77</v>
      </c>
    </row>
    <row r="1004" spans="1:19" x14ac:dyDescent="0.25">
      <c r="A1004" t="s">
        <v>35</v>
      </c>
      <c r="F1004">
        <v>0.67451388888888886</v>
      </c>
      <c r="G1004" t="s">
        <v>20</v>
      </c>
      <c r="H1004">
        <v>0</v>
      </c>
      <c r="I1004">
        <v>0.86</v>
      </c>
      <c r="J1004" t="s">
        <v>21</v>
      </c>
      <c r="K1004" t="s">
        <v>27</v>
      </c>
      <c r="L1004">
        <v>0.53</v>
      </c>
      <c r="M1004">
        <v>1</v>
      </c>
      <c r="N1004">
        <v>115292.648</v>
      </c>
      <c r="O1004">
        <v>4.5969973731542708E-6</v>
      </c>
      <c r="P1004">
        <v>0.81</v>
      </c>
    </row>
    <row r="1005" spans="1:19" x14ac:dyDescent="0.25">
      <c r="A1005" t="s">
        <v>36</v>
      </c>
      <c r="F1005">
        <v>0.67648148148148157</v>
      </c>
      <c r="G1005" t="s">
        <v>20</v>
      </c>
      <c r="H1005">
        <v>0</v>
      </c>
      <c r="I1005">
        <v>0.86</v>
      </c>
      <c r="J1005" t="s">
        <v>21</v>
      </c>
      <c r="K1005" t="s">
        <v>27</v>
      </c>
      <c r="L1005">
        <v>0.86</v>
      </c>
      <c r="M1005">
        <v>1</v>
      </c>
      <c r="N1005">
        <v>111619.56299999999</v>
      </c>
      <c r="O1005">
        <v>7.7047425817282581E-6</v>
      </c>
      <c r="P1005">
        <v>0.85</v>
      </c>
    </row>
    <row r="1006" spans="1:19" x14ac:dyDescent="0.25">
      <c r="A1006" t="s">
        <v>37</v>
      </c>
      <c r="F1006">
        <v>0.67843749999999992</v>
      </c>
      <c r="G1006" t="s">
        <v>20</v>
      </c>
      <c r="H1006">
        <v>0</v>
      </c>
      <c r="I1006">
        <v>0.86</v>
      </c>
      <c r="J1006" t="s">
        <v>21</v>
      </c>
      <c r="K1006" t="s">
        <v>27</v>
      </c>
      <c r="L1006">
        <v>0.95599999999999996</v>
      </c>
      <c r="M1006">
        <v>1</v>
      </c>
      <c r="N1006">
        <v>113838.43799999999</v>
      </c>
      <c r="O1006">
        <v>8.3978664570221883E-6</v>
      </c>
      <c r="P1006">
        <v>0.85</v>
      </c>
    </row>
    <row r="1007" spans="1:19" x14ac:dyDescent="0.25">
      <c r="A1007" t="s">
        <v>38</v>
      </c>
      <c r="F1007">
        <v>0.68040509259259263</v>
      </c>
      <c r="G1007" t="s">
        <v>20</v>
      </c>
      <c r="H1007">
        <v>0</v>
      </c>
      <c r="I1007">
        <v>0.86</v>
      </c>
      <c r="J1007" t="s">
        <v>21</v>
      </c>
      <c r="M1007">
        <v>1</v>
      </c>
      <c r="N1007">
        <v>115682.109</v>
      </c>
      <c r="O1007">
        <v>0</v>
      </c>
    </row>
    <row r="1008" spans="1:19" x14ac:dyDescent="0.25">
      <c r="A1008" t="s">
        <v>39</v>
      </c>
      <c r="F1008">
        <v>0.68228009259259259</v>
      </c>
      <c r="G1008" t="s">
        <v>20</v>
      </c>
      <c r="H1008">
        <v>0</v>
      </c>
      <c r="I1008">
        <v>0.86</v>
      </c>
      <c r="J1008" t="s">
        <v>21</v>
      </c>
      <c r="K1008" t="s">
        <v>27</v>
      </c>
      <c r="L1008">
        <v>1.702</v>
      </c>
      <c r="M1008">
        <v>1</v>
      </c>
      <c r="N1008">
        <v>114083.766</v>
      </c>
      <c r="O1008">
        <v>1.4918862338397909E-5</v>
      </c>
      <c r="P1008">
        <v>0.85</v>
      </c>
    </row>
    <row r="1009" spans="1:16" x14ac:dyDescent="0.25">
      <c r="A1009" t="s">
        <v>40</v>
      </c>
      <c r="F1009">
        <v>0.68425925925925923</v>
      </c>
      <c r="G1009" t="s">
        <v>20</v>
      </c>
      <c r="H1009">
        <v>0</v>
      </c>
      <c r="I1009">
        <v>0.86</v>
      </c>
      <c r="J1009" t="s">
        <v>21</v>
      </c>
      <c r="K1009" t="s">
        <v>27</v>
      </c>
      <c r="L1009">
        <v>0.97399999999999998</v>
      </c>
      <c r="M1009">
        <v>1</v>
      </c>
      <c r="N1009">
        <v>112092.19500000001</v>
      </c>
      <c r="O1009">
        <v>8.6892758233523742E-6</v>
      </c>
      <c r="P1009">
        <v>0.85</v>
      </c>
    </row>
    <row r="1010" spans="1:16" x14ac:dyDescent="0.25">
      <c r="A1010" t="s">
        <v>41</v>
      </c>
      <c r="F1010">
        <v>0.6862152777777778</v>
      </c>
      <c r="G1010" t="s">
        <v>20</v>
      </c>
      <c r="H1010">
        <v>0</v>
      </c>
      <c r="I1010">
        <v>0.86</v>
      </c>
      <c r="J1010" t="s">
        <v>21</v>
      </c>
      <c r="K1010" t="s">
        <v>27</v>
      </c>
      <c r="L1010">
        <v>0.11600000000000001</v>
      </c>
      <c r="M1010">
        <v>1</v>
      </c>
      <c r="N1010">
        <v>109805.56299999999</v>
      </c>
      <c r="O1010">
        <v>1.0564127793780357E-6</v>
      </c>
      <c r="P1010">
        <v>0.82</v>
      </c>
    </row>
    <row r="1011" spans="1:16" x14ac:dyDescent="0.25">
      <c r="A1011" t="s">
        <v>42</v>
      </c>
      <c r="F1011">
        <v>0.68817129629629636</v>
      </c>
      <c r="G1011" t="s">
        <v>20</v>
      </c>
      <c r="H1011">
        <v>0</v>
      </c>
      <c r="I1011">
        <v>0.86</v>
      </c>
      <c r="J1011" t="s">
        <v>21</v>
      </c>
      <c r="M1011">
        <v>1</v>
      </c>
      <c r="N1011">
        <v>105521.125</v>
      </c>
      <c r="O1011">
        <v>0</v>
      </c>
    </row>
    <row r="1012" spans="1:16" x14ac:dyDescent="0.25">
      <c r="A1012" t="s">
        <v>43</v>
      </c>
      <c r="F1012">
        <v>0.69003472222222229</v>
      </c>
      <c r="G1012" t="s">
        <v>20</v>
      </c>
      <c r="H1012">
        <v>0</v>
      </c>
      <c r="I1012">
        <v>0.86</v>
      </c>
      <c r="J1012" t="s">
        <v>21</v>
      </c>
      <c r="M1012">
        <v>1</v>
      </c>
      <c r="N1012">
        <v>117415.531</v>
      </c>
      <c r="O1012">
        <v>0</v>
      </c>
    </row>
    <row r="1013" spans="1:16" x14ac:dyDescent="0.25">
      <c r="A1013" t="s">
        <v>44</v>
      </c>
      <c r="F1013">
        <v>0.6918981481481481</v>
      </c>
      <c r="G1013" t="s">
        <v>20</v>
      </c>
      <c r="H1013">
        <v>0</v>
      </c>
      <c r="I1013">
        <v>0.86</v>
      </c>
      <c r="J1013" t="s">
        <v>21</v>
      </c>
      <c r="K1013" t="s">
        <v>27</v>
      </c>
      <c r="L1013">
        <v>0.44900000000000001</v>
      </c>
      <c r="M1013">
        <v>1</v>
      </c>
      <c r="N1013">
        <v>118949.492</v>
      </c>
      <c r="O1013">
        <v>3.7747113707723949E-6</v>
      </c>
      <c r="P1013">
        <v>0.86</v>
      </c>
    </row>
    <row r="1014" spans="1:16" x14ac:dyDescent="0.25">
      <c r="A1014" t="s">
        <v>45</v>
      </c>
      <c r="F1014">
        <v>0.69377314814814817</v>
      </c>
      <c r="G1014" t="s">
        <v>20</v>
      </c>
      <c r="H1014">
        <v>0</v>
      </c>
      <c r="I1014">
        <v>0.86</v>
      </c>
      <c r="J1014" t="s">
        <v>21</v>
      </c>
      <c r="K1014" t="s">
        <v>27</v>
      </c>
      <c r="L1014">
        <v>2.11</v>
      </c>
      <c r="M1014">
        <v>1</v>
      </c>
      <c r="N1014">
        <v>115439.04700000001</v>
      </c>
      <c r="O1014">
        <v>1.8278044169924581E-5</v>
      </c>
      <c r="P1014">
        <v>0.86</v>
      </c>
    </row>
    <row r="1015" spans="1:16" x14ac:dyDescent="0.25">
      <c r="A1015" t="s">
        <v>46</v>
      </c>
      <c r="F1015">
        <v>0.69563657407407409</v>
      </c>
      <c r="G1015" t="s">
        <v>20</v>
      </c>
      <c r="H1015">
        <v>0</v>
      </c>
      <c r="I1015">
        <v>0.86</v>
      </c>
      <c r="J1015" t="s">
        <v>21</v>
      </c>
      <c r="K1015" t="s">
        <v>27</v>
      </c>
      <c r="L1015">
        <v>1.0309999999999999</v>
      </c>
      <c r="M1015">
        <v>1</v>
      </c>
      <c r="N1015">
        <v>120355.344</v>
      </c>
      <c r="O1015">
        <v>8.5663001386959594E-6</v>
      </c>
      <c r="P1015">
        <v>0.82</v>
      </c>
    </row>
    <row r="1016" spans="1:16" x14ac:dyDescent="0.25">
      <c r="A1016" t="s">
        <v>47</v>
      </c>
      <c r="F1016">
        <v>0.69751157407407405</v>
      </c>
      <c r="G1016" t="s">
        <v>20</v>
      </c>
      <c r="H1016">
        <v>0</v>
      </c>
      <c r="I1016">
        <v>0.86</v>
      </c>
      <c r="J1016" t="s">
        <v>21</v>
      </c>
      <c r="K1016" t="s">
        <v>27</v>
      </c>
      <c r="L1016">
        <v>0.65</v>
      </c>
      <c r="M1016">
        <v>1</v>
      </c>
      <c r="N1016">
        <v>119755.094</v>
      </c>
      <c r="O1016">
        <v>5.4277440590543901E-6</v>
      </c>
      <c r="P1016">
        <v>0.81</v>
      </c>
    </row>
    <row r="1017" spans="1:16" x14ac:dyDescent="0.25">
      <c r="A1017" t="s">
        <v>48</v>
      </c>
      <c r="F1017">
        <v>0.69938657407407412</v>
      </c>
      <c r="G1017" t="s">
        <v>20</v>
      </c>
      <c r="H1017">
        <v>0</v>
      </c>
      <c r="I1017">
        <v>0.86</v>
      </c>
      <c r="J1017" t="s">
        <v>21</v>
      </c>
      <c r="K1017" t="s">
        <v>27</v>
      </c>
      <c r="L1017">
        <v>1.5189999999999999</v>
      </c>
      <c r="M1017">
        <v>1</v>
      </c>
      <c r="N1017">
        <v>120245.961</v>
      </c>
      <c r="O1017">
        <v>1.2632440934959969E-5</v>
      </c>
      <c r="P1017">
        <v>0.86</v>
      </c>
    </row>
    <row r="1018" spans="1:16" x14ac:dyDescent="0.25">
      <c r="A1018" t="s">
        <v>49</v>
      </c>
      <c r="F1018">
        <v>0.70124999999999993</v>
      </c>
      <c r="G1018" t="s">
        <v>20</v>
      </c>
      <c r="H1018">
        <v>0</v>
      </c>
      <c r="I1018">
        <v>0.86</v>
      </c>
      <c r="J1018" t="s">
        <v>21</v>
      </c>
      <c r="K1018" t="s">
        <v>27</v>
      </c>
      <c r="L1018">
        <v>0.126</v>
      </c>
      <c r="M1018">
        <v>1</v>
      </c>
      <c r="N1018">
        <v>117114.414</v>
      </c>
      <c r="O1018">
        <v>1.0758709854450538E-6</v>
      </c>
      <c r="P1018">
        <v>0.77</v>
      </c>
    </row>
    <row r="1019" spans="1:16" x14ac:dyDescent="0.25">
      <c r="A1019" t="s">
        <v>50</v>
      </c>
      <c r="F1019">
        <v>0.703125</v>
      </c>
      <c r="G1019" t="s">
        <v>20</v>
      </c>
      <c r="H1019">
        <v>0</v>
      </c>
      <c r="I1019">
        <v>0.86</v>
      </c>
      <c r="J1019" t="s">
        <v>21</v>
      </c>
      <c r="K1019" t="s">
        <v>27</v>
      </c>
      <c r="L1019">
        <v>0.38600000000000001</v>
      </c>
      <c r="M1019">
        <v>1</v>
      </c>
      <c r="N1019">
        <v>115817.31299999999</v>
      </c>
      <c r="O1019">
        <v>3.3328350485907061E-6</v>
      </c>
      <c r="P1019">
        <v>0.81</v>
      </c>
    </row>
    <row r="1020" spans="1:16" x14ac:dyDescent="0.25">
      <c r="A1020" t="s">
        <v>51</v>
      </c>
      <c r="F1020">
        <v>0.70498842592592592</v>
      </c>
      <c r="G1020" t="s">
        <v>20</v>
      </c>
      <c r="H1020">
        <v>0</v>
      </c>
      <c r="I1020">
        <v>0.86</v>
      </c>
      <c r="J1020" t="s">
        <v>21</v>
      </c>
      <c r="K1020" t="s">
        <v>27</v>
      </c>
      <c r="L1020">
        <v>0.76800000000000002</v>
      </c>
      <c r="M1020">
        <v>1</v>
      </c>
      <c r="N1020">
        <v>118291.25</v>
      </c>
      <c r="O1020">
        <v>6.4924497796751667E-6</v>
      </c>
      <c r="P1020">
        <v>0.8</v>
      </c>
    </row>
    <row r="1021" spans="1:16" x14ac:dyDescent="0.25">
      <c r="A1021" t="s">
        <v>52</v>
      </c>
      <c r="F1021">
        <v>0.70686342592592588</v>
      </c>
      <c r="G1021" t="s">
        <v>20</v>
      </c>
      <c r="H1021">
        <v>0</v>
      </c>
      <c r="I1021">
        <v>0.86</v>
      </c>
      <c r="J1021" t="s">
        <v>21</v>
      </c>
      <c r="M1021">
        <v>1</v>
      </c>
      <c r="N1021">
        <v>118831.18</v>
      </c>
      <c r="O1021">
        <v>0</v>
      </c>
    </row>
    <row r="1022" spans="1:16" x14ac:dyDescent="0.25">
      <c r="A1022" t="s">
        <v>53</v>
      </c>
      <c r="F1022">
        <v>0.7087268518518518</v>
      </c>
      <c r="G1022" t="s">
        <v>20</v>
      </c>
      <c r="H1022">
        <v>0</v>
      </c>
      <c r="I1022">
        <v>0.86</v>
      </c>
      <c r="J1022" t="s">
        <v>21</v>
      </c>
      <c r="K1022" t="s">
        <v>27</v>
      </c>
      <c r="L1022">
        <v>0.253</v>
      </c>
      <c r="M1022">
        <v>1</v>
      </c>
      <c r="N1022">
        <v>118848.914</v>
      </c>
      <c r="O1022">
        <v>2.1287531495660112E-6</v>
      </c>
      <c r="P1022">
        <v>0.86</v>
      </c>
    </row>
    <row r="1023" spans="1:16" x14ac:dyDescent="0.25">
      <c r="A1023" t="s">
        <v>54</v>
      </c>
      <c r="F1023">
        <v>0.7106365740740741</v>
      </c>
      <c r="G1023" t="s">
        <v>20</v>
      </c>
      <c r="H1023">
        <v>0</v>
      </c>
      <c r="I1023">
        <v>0.86</v>
      </c>
      <c r="J1023" t="s">
        <v>21</v>
      </c>
      <c r="K1023" t="s">
        <v>27</v>
      </c>
      <c r="L1023">
        <v>0.83</v>
      </c>
      <c r="M1023">
        <v>1</v>
      </c>
      <c r="N1023">
        <v>115702.79700000001</v>
      </c>
      <c r="O1023">
        <v>7.1735517335851434E-6</v>
      </c>
      <c r="P1023">
        <v>0.86</v>
      </c>
    </row>
    <row r="1024" spans="1:16" x14ac:dyDescent="0.25">
      <c r="A1024" t="s">
        <v>55</v>
      </c>
      <c r="F1024">
        <v>0.71247685185185183</v>
      </c>
      <c r="G1024" t="s">
        <v>20</v>
      </c>
      <c r="H1024">
        <v>0</v>
      </c>
      <c r="I1024">
        <v>0.86</v>
      </c>
      <c r="J1024" t="s">
        <v>21</v>
      </c>
      <c r="M1024">
        <v>1</v>
      </c>
      <c r="N1024">
        <v>115619.141</v>
      </c>
      <c r="O1024">
        <v>0</v>
      </c>
    </row>
    <row r="1025" spans="1:19" x14ac:dyDescent="0.25">
      <c r="A1025" t="s">
        <v>56</v>
      </c>
      <c r="F1025">
        <v>0.71434027777777775</v>
      </c>
      <c r="G1025" t="s">
        <v>20</v>
      </c>
      <c r="H1025">
        <v>0</v>
      </c>
      <c r="I1025">
        <v>0.86</v>
      </c>
      <c r="J1025" t="s">
        <v>21</v>
      </c>
      <c r="M1025">
        <v>1</v>
      </c>
      <c r="N1025">
        <v>117289.30499999999</v>
      </c>
      <c r="O1025">
        <v>0</v>
      </c>
    </row>
    <row r="1026" spans="1:19" x14ac:dyDescent="0.25">
      <c r="A1026" t="s">
        <v>57</v>
      </c>
      <c r="F1026">
        <v>0.71621527777777771</v>
      </c>
      <c r="G1026" t="s">
        <v>20</v>
      </c>
      <c r="H1026">
        <v>0</v>
      </c>
      <c r="I1026">
        <v>0.86</v>
      </c>
      <c r="J1026" t="s">
        <v>21</v>
      </c>
      <c r="M1026">
        <v>1</v>
      </c>
      <c r="N1026">
        <v>123942.023</v>
      </c>
      <c r="O1026">
        <v>0</v>
      </c>
    </row>
    <row r="1027" spans="1:19" x14ac:dyDescent="0.25">
      <c r="A1027" t="s">
        <v>58</v>
      </c>
      <c r="F1027">
        <v>0.71809027777777779</v>
      </c>
      <c r="G1027" t="s">
        <v>20</v>
      </c>
      <c r="H1027">
        <v>0</v>
      </c>
      <c r="I1027">
        <v>0.86</v>
      </c>
      <c r="J1027" t="s">
        <v>21</v>
      </c>
      <c r="K1027" t="s">
        <v>27</v>
      </c>
      <c r="L1027">
        <v>7.0999999999999994E-2</v>
      </c>
      <c r="M1027">
        <v>1</v>
      </c>
      <c r="N1027">
        <v>117239.648</v>
      </c>
      <c r="O1027">
        <v>6.0559717818327115E-7</v>
      </c>
      <c r="P1027">
        <v>0.86</v>
      </c>
    </row>
    <row r="1028" spans="1:19" x14ac:dyDescent="0.25">
      <c r="A1028" t="s">
        <v>59</v>
      </c>
      <c r="F1028">
        <v>0.71995370370370371</v>
      </c>
      <c r="G1028" t="s">
        <v>20</v>
      </c>
      <c r="H1028">
        <v>0</v>
      </c>
      <c r="I1028">
        <v>0.86</v>
      </c>
      <c r="J1028" t="s">
        <v>21</v>
      </c>
      <c r="M1028">
        <v>1</v>
      </c>
      <c r="N1028">
        <v>209.88499999999999</v>
      </c>
      <c r="O1028">
        <v>0</v>
      </c>
    </row>
    <row r="1029" spans="1:19" x14ac:dyDescent="0.25">
      <c r="A1029" t="s">
        <v>60</v>
      </c>
      <c r="F1029">
        <v>0.72182870370370367</v>
      </c>
      <c r="G1029" t="s">
        <v>20</v>
      </c>
      <c r="H1029">
        <v>0</v>
      </c>
      <c r="I1029">
        <v>0.87</v>
      </c>
      <c r="J1029" t="s">
        <v>21</v>
      </c>
      <c r="K1029" t="s">
        <v>27</v>
      </c>
      <c r="L1029">
        <v>0.26500000000000001</v>
      </c>
      <c r="M1029">
        <v>1</v>
      </c>
      <c r="N1029">
        <v>3.3149999999999999</v>
      </c>
      <c r="O1029">
        <v>7.99396681749623E-2</v>
      </c>
      <c r="P1029">
        <v>0.82</v>
      </c>
    </row>
    <row r="1030" spans="1:19" x14ac:dyDescent="0.25">
      <c r="A1030" s="2" t="s">
        <v>61</v>
      </c>
      <c r="B1030" s="2"/>
      <c r="C1030" s="2"/>
      <c r="D1030" s="2"/>
      <c r="E1030" s="2"/>
      <c r="F1030" s="2">
        <v>0.72369212962962959</v>
      </c>
      <c r="G1030" s="2" t="s">
        <v>20</v>
      </c>
      <c r="H1030" s="2">
        <v>0</v>
      </c>
      <c r="I1030" s="2">
        <v>0.86</v>
      </c>
      <c r="J1030" s="2" t="s">
        <v>21</v>
      </c>
      <c r="K1030" s="2" t="s">
        <v>27</v>
      </c>
      <c r="L1030" s="2">
        <v>6018.7820000000002</v>
      </c>
      <c r="M1030" s="2">
        <v>1</v>
      </c>
      <c r="N1030" s="2">
        <v>113660.352</v>
      </c>
      <c r="O1030" s="2">
        <v>5.295410311592208E-2</v>
      </c>
      <c r="P1030" s="2">
        <v>0.79</v>
      </c>
      <c r="Q1030" s="2"/>
      <c r="R1030" s="2"/>
      <c r="S1030" s="2"/>
    </row>
    <row r="1031" spans="1:19" x14ac:dyDescent="0.25">
      <c r="A1031" s="2" t="s">
        <v>62</v>
      </c>
      <c r="B1031" s="2"/>
      <c r="C1031" s="2"/>
      <c r="D1031" s="2"/>
      <c r="E1031" s="2"/>
      <c r="F1031" s="2">
        <v>0.72556712962962966</v>
      </c>
      <c r="G1031" s="2" t="s">
        <v>20</v>
      </c>
      <c r="H1031" s="2">
        <v>0</v>
      </c>
      <c r="I1031" s="2">
        <v>0.86</v>
      </c>
      <c r="J1031" s="2" t="s">
        <v>21</v>
      </c>
      <c r="K1031" s="2" t="s">
        <v>27</v>
      </c>
      <c r="L1031" s="2">
        <v>6077.9080000000004</v>
      </c>
      <c r="M1031" s="2">
        <v>1</v>
      </c>
      <c r="N1031" s="2">
        <v>115519.04700000001</v>
      </c>
      <c r="O1031" s="2">
        <v>5.261390357557226E-2</v>
      </c>
      <c r="P1031" s="2">
        <v>0.79</v>
      </c>
      <c r="Q1031" s="2"/>
      <c r="R1031" s="2"/>
      <c r="S1031" s="2"/>
    </row>
    <row r="1032" spans="1:19" x14ac:dyDescent="0.25">
      <c r="A1032" t="s">
        <v>63</v>
      </c>
      <c r="F1032">
        <v>0.72746527777777781</v>
      </c>
      <c r="G1032" t="s">
        <v>20</v>
      </c>
      <c r="H1032">
        <v>0</v>
      </c>
      <c r="I1032">
        <v>0.86</v>
      </c>
      <c r="J1032" t="s">
        <v>21</v>
      </c>
      <c r="M1032">
        <v>1</v>
      </c>
      <c r="N1032">
        <v>114009.516</v>
      </c>
      <c r="O1032">
        <v>0</v>
      </c>
    </row>
    <row r="1033" spans="1:19" x14ac:dyDescent="0.25">
      <c r="A1033" t="s">
        <v>64</v>
      </c>
      <c r="F1033">
        <v>0.72931712962962969</v>
      </c>
      <c r="G1033" t="s">
        <v>20</v>
      </c>
      <c r="H1033">
        <v>0</v>
      </c>
      <c r="I1033">
        <v>0.86</v>
      </c>
      <c r="J1033" t="s">
        <v>21</v>
      </c>
      <c r="K1033" t="s">
        <v>27</v>
      </c>
      <c r="L1033">
        <v>1.7529999999999999</v>
      </c>
      <c r="M1033">
        <v>1</v>
      </c>
      <c r="N1033">
        <v>113238.109</v>
      </c>
      <c r="O1033">
        <v>1.5480654132081984E-5</v>
      </c>
      <c r="P1033">
        <v>0.85</v>
      </c>
    </row>
    <row r="1034" spans="1:19" x14ac:dyDescent="0.25">
      <c r="A1034" t="s">
        <v>65</v>
      </c>
      <c r="F1034">
        <v>0.73129629629629633</v>
      </c>
      <c r="G1034" t="s">
        <v>20</v>
      </c>
      <c r="H1034">
        <v>0</v>
      </c>
      <c r="I1034">
        <v>0.86</v>
      </c>
      <c r="J1034" t="s">
        <v>21</v>
      </c>
      <c r="K1034" t="s">
        <v>27</v>
      </c>
      <c r="L1034">
        <v>1.008</v>
      </c>
      <c r="M1034">
        <v>1</v>
      </c>
      <c r="N1034">
        <v>116292.07799999999</v>
      </c>
      <c r="O1034">
        <v>8.6678303228875151E-6</v>
      </c>
      <c r="P1034">
        <v>0.84</v>
      </c>
    </row>
    <row r="1035" spans="1:19" x14ac:dyDescent="0.25">
      <c r="A1035" t="s">
        <v>66</v>
      </c>
      <c r="F1035">
        <v>0.73326388888888883</v>
      </c>
      <c r="G1035" t="s">
        <v>20</v>
      </c>
      <c r="H1035">
        <v>0</v>
      </c>
      <c r="I1035">
        <v>0.86</v>
      </c>
      <c r="J1035" t="s">
        <v>21</v>
      </c>
      <c r="M1035">
        <v>1</v>
      </c>
      <c r="N1035">
        <v>119564.148</v>
      </c>
      <c r="O1035">
        <v>0</v>
      </c>
    </row>
    <row r="1036" spans="1:19" x14ac:dyDescent="0.25">
      <c r="A1036" t="s">
        <v>67</v>
      </c>
      <c r="F1036">
        <v>0.73523148148148154</v>
      </c>
      <c r="G1036" t="s">
        <v>20</v>
      </c>
      <c r="H1036">
        <v>0</v>
      </c>
      <c r="I1036">
        <v>0.86</v>
      </c>
      <c r="J1036" t="s">
        <v>21</v>
      </c>
      <c r="M1036">
        <v>1</v>
      </c>
      <c r="N1036">
        <v>117152.92200000001</v>
      </c>
      <c r="O1036">
        <v>0</v>
      </c>
    </row>
    <row r="1037" spans="1:19" x14ac:dyDescent="0.25">
      <c r="A1037" t="s">
        <v>68</v>
      </c>
      <c r="F1037">
        <v>0.7371875</v>
      </c>
      <c r="G1037" t="s">
        <v>20</v>
      </c>
      <c r="H1037">
        <v>0</v>
      </c>
      <c r="I1037">
        <v>0.86</v>
      </c>
      <c r="J1037" t="s">
        <v>21</v>
      </c>
      <c r="K1037" t="s">
        <v>27</v>
      </c>
      <c r="L1037">
        <v>0.67300000000000004</v>
      </c>
      <c r="M1037">
        <v>1</v>
      </c>
      <c r="N1037">
        <v>111947.391</v>
      </c>
      <c r="O1037">
        <v>6.0117524311040001E-6</v>
      </c>
      <c r="P1037">
        <v>0.79</v>
      </c>
    </row>
    <row r="1038" spans="1:19" x14ac:dyDescent="0.25">
      <c r="A1038" t="s">
        <v>69</v>
      </c>
      <c r="F1038">
        <v>0.73916666666666664</v>
      </c>
      <c r="G1038" t="s">
        <v>20</v>
      </c>
      <c r="H1038">
        <v>0</v>
      </c>
      <c r="I1038">
        <v>0.86</v>
      </c>
      <c r="J1038" t="s">
        <v>21</v>
      </c>
      <c r="M1038">
        <v>1</v>
      </c>
      <c r="N1038">
        <v>120969.641</v>
      </c>
      <c r="O1038">
        <v>0</v>
      </c>
    </row>
    <row r="1039" spans="1:19" x14ac:dyDescent="0.25">
      <c r="A1039" t="s">
        <v>70</v>
      </c>
      <c r="F1039">
        <v>0.74113425925925924</v>
      </c>
      <c r="G1039" t="s">
        <v>20</v>
      </c>
      <c r="H1039">
        <v>0</v>
      </c>
      <c r="I1039">
        <v>0.86</v>
      </c>
      <c r="J1039" t="s">
        <v>21</v>
      </c>
      <c r="K1039" t="s">
        <v>27</v>
      </c>
      <c r="L1039">
        <v>1.7350000000000001</v>
      </c>
      <c r="M1039">
        <v>1</v>
      </c>
      <c r="N1039">
        <v>110966.523</v>
      </c>
      <c r="O1039">
        <v>1.5635346166519069E-5</v>
      </c>
      <c r="P1039">
        <v>0.86</v>
      </c>
    </row>
    <row r="1040" spans="1:19" x14ac:dyDescent="0.25">
      <c r="A1040" t="s">
        <v>71</v>
      </c>
      <c r="F1040">
        <v>0.74307870370370377</v>
      </c>
      <c r="G1040" t="s">
        <v>20</v>
      </c>
      <c r="H1040">
        <v>0</v>
      </c>
      <c r="I1040">
        <v>0.86</v>
      </c>
      <c r="J1040" t="s">
        <v>21</v>
      </c>
      <c r="M1040">
        <v>1</v>
      </c>
      <c r="N1040">
        <v>120331.281</v>
      </c>
      <c r="O1040">
        <v>0</v>
      </c>
    </row>
    <row r="1041" spans="1:16" x14ac:dyDescent="0.25">
      <c r="A1041" t="s">
        <v>72</v>
      </c>
      <c r="F1041">
        <v>0.74506944444444445</v>
      </c>
      <c r="G1041" t="s">
        <v>20</v>
      </c>
      <c r="H1041">
        <v>0</v>
      </c>
      <c r="I1041">
        <v>0.86</v>
      </c>
      <c r="J1041" t="s">
        <v>21</v>
      </c>
      <c r="K1041" t="s">
        <v>27</v>
      </c>
      <c r="L1041">
        <v>0.83399999999999996</v>
      </c>
      <c r="M1041">
        <v>1</v>
      </c>
      <c r="N1041">
        <v>123456.898</v>
      </c>
      <c r="O1041">
        <v>6.7553940971366372E-6</v>
      </c>
      <c r="P1041">
        <v>0.86</v>
      </c>
    </row>
    <row r="1042" spans="1:16" x14ac:dyDescent="0.25">
      <c r="A1042" t="s">
        <v>73</v>
      </c>
      <c r="F1042">
        <v>0.74703703703703705</v>
      </c>
      <c r="G1042" t="s">
        <v>20</v>
      </c>
      <c r="H1042">
        <v>0</v>
      </c>
      <c r="I1042">
        <v>0.86</v>
      </c>
      <c r="J1042" t="s">
        <v>21</v>
      </c>
      <c r="K1042" t="s">
        <v>27</v>
      </c>
      <c r="L1042">
        <v>0.69199999999999995</v>
      </c>
      <c r="M1042">
        <v>1</v>
      </c>
      <c r="N1042">
        <v>119898.906</v>
      </c>
      <c r="O1042">
        <v>5.7715288911810419E-6</v>
      </c>
      <c r="P1042">
        <v>0.86</v>
      </c>
    </row>
    <row r="1043" spans="1:16" x14ac:dyDescent="0.25">
      <c r="A1043" t="s">
        <v>74</v>
      </c>
      <c r="F1043">
        <v>0.74900462962962966</v>
      </c>
      <c r="G1043" t="s">
        <v>20</v>
      </c>
      <c r="H1043">
        <v>0</v>
      </c>
      <c r="I1043">
        <v>0.86</v>
      </c>
      <c r="J1043" t="s">
        <v>21</v>
      </c>
      <c r="M1043">
        <v>1</v>
      </c>
      <c r="N1043">
        <v>114464.43</v>
      </c>
      <c r="O1043">
        <v>0</v>
      </c>
    </row>
    <row r="1044" spans="1:16" x14ac:dyDescent="0.25">
      <c r="A1044" t="s">
        <v>75</v>
      </c>
      <c r="F1044">
        <v>0.75096064814814811</v>
      </c>
      <c r="G1044" t="s">
        <v>20</v>
      </c>
      <c r="H1044">
        <v>0</v>
      </c>
      <c r="I1044">
        <v>0.86</v>
      </c>
      <c r="J1044" t="s">
        <v>21</v>
      </c>
      <c r="M1044">
        <v>1</v>
      </c>
      <c r="N1044">
        <v>118488.594</v>
      </c>
      <c r="O1044">
        <v>0</v>
      </c>
    </row>
    <row r="1045" spans="1:16" x14ac:dyDescent="0.25">
      <c r="A1045" t="s">
        <v>76</v>
      </c>
      <c r="F1045">
        <v>0.75292824074074083</v>
      </c>
      <c r="G1045" t="s">
        <v>20</v>
      </c>
      <c r="H1045">
        <v>0</v>
      </c>
      <c r="I1045">
        <v>0.86</v>
      </c>
      <c r="J1045" t="s">
        <v>21</v>
      </c>
      <c r="K1045" t="s">
        <v>27</v>
      </c>
      <c r="L1045">
        <v>0.53700000000000003</v>
      </c>
      <c r="M1045">
        <v>1</v>
      </c>
      <c r="N1045">
        <v>120484.242</v>
      </c>
      <c r="O1045">
        <v>4.4570143869934461E-6</v>
      </c>
      <c r="P1045">
        <v>0.86</v>
      </c>
    </row>
    <row r="1046" spans="1:16" x14ac:dyDescent="0.25">
      <c r="A1046" t="s">
        <v>77</v>
      </c>
      <c r="F1046">
        <v>0.7547800925925926</v>
      </c>
      <c r="G1046" t="s">
        <v>20</v>
      </c>
      <c r="H1046">
        <v>0</v>
      </c>
      <c r="I1046">
        <v>0.85</v>
      </c>
      <c r="J1046" t="s">
        <v>21</v>
      </c>
      <c r="K1046" t="s">
        <v>27</v>
      </c>
      <c r="L1046">
        <v>0.45200000000000001</v>
      </c>
      <c r="M1046">
        <v>1</v>
      </c>
      <c r="N1046">
        <v>120868.19500000001</v>
      </c>
      <c r="O1046">
        <v>3.7396107387886448E-6</v>
      </c>
      <c r="P1046">
        <v>0.79</v>
      </c>
    </row>
    <row r="1047" spans="1:16" x14ac:dyDescent="0.25">
      <c r="A1047" t="s">
        <v>78</v>
      </c>
      <c r="F1047">
        <v>0.75665509259259256</v>
      </c>
      <c r="G1047" t="s">
        <v>20</v>
      </c>
      <c r="H1047">
        <v>0</v>
      </c>
      <c r="I1047">
        <v>0.85</v>
      </c>
      <c r="J1047" t="s">
        <v>21</v>
      </c>
      <c r="K1047" t="s">
        <v>27</v>
      </c>
      <c r="L1047">
        <v>0.27700000000000002</v>
      </c>
      <c r="M1047">
        <v>1</v>
      </c>
      <c r="N1047">
        <v>124093.773</v>
      </c>
      <c r="O1047">
        <v>2.2321829154151033E-6</v>
      </c>
      <c r="P1047">
        <v>0.86</v>
      </c>
    </row>
    <row r="1048" spans="1:16" x14ac:dyDescent="0.25">
      <c r="A1048" t="s">
        <v>79</v>
      </c>
      <c r="F1048">
        <v>0.75864583333333335</v>
      </c>
      <c r="G1048" t="s">
        <v>20</v>
      </c>
      <c r="H1048">
        <v>0</v>
      </c>
      <c r="I1048">
        <v>0.86</v>
      </c>
      <c r="J1048" t="s">
        <v>21</v>
      </c>
      <c r="M1048">
        <v>1</v>
      </c>
      <c r="N1048">
        <v>120933.44500000001</v>
      </c>
      <c r="O1048">
        <v>0</v>
      </c>
    </row>
    <row r="1049" spans="1:16" x14ac:dyDescent="0.25">
      <c r="A1049" t="s">
        <v>80</v>
      </c>
      <c r="F1049">
        <v>0.76061342592592596</v>
      </c>
      <c r="G1049" t="s">
        <v>20</v>
      </c>
      <c r="H1049">
        <v>0</v>
      </c>
      <c r="I1049">
        <v>0.86</v>
      </c>
      <c r="J1049" t="s">
        <v>21</v>
      </c>
      <c r="K1049" t="s">
        <v>27</v>
      </c>
      <c r="L1049">
        <v>2.5760000000000001</v>
      </c>
      <c r="M1049">
        <v>1</v>
      </c>
      <c r="N1049">
        <v>118392.31299999999</v>
      </c>
      <c r="O1049">
        <v>2.1758169383851808E-5</v>
      </c>
      <c r="P1049">
        <v>0.86</v>
      </c>
    </row>
    <row r="1050" spans="1:16" x14ac:dyDescent="0.25">
      <c r="A1050" t="s">
        <v>81</v>
      </c>
      <c r="F1050">
        <v>0.76258101851851856</v>
      </c>
      <c r="G1050" t="s">
        <v>20</v>
      </c>
      <c r="H1050">
        <v>0</v>
      </c>
      <c r="I1050">
        <v>0.86</v>
      </c>
      <c r="J1050" t="s">
        <v>21</v>
      </c>
      <c r="M1050">
        <v>1</v>
      </c>
      <c r="N1050">
        <v>115258.281</v>
      </c>
      <c r="O1050">
        <v>0</v>
      </c>
    </row>
    <row r="1051" spans="1:16" x14ac:dyDescent="0.25">
      <c r="A1051" t="s">
        <v>82</v>
      </c>
      <c r="F1051">
        <v>0.76454861111111105</v>
      </c>
      <c r="G1051" t="s">
        <v>20</v>
      </c>
      <c r="H1051">
        <v>0</v>
      </c>
      <c r="I1051">
        <v>0.85</v>
      </c>
      <c r="J1051" t="s">
        <v>21</v>
      </c>
      <c r="M1051">
        <v>1</v>
      </c>
      <c r="N1051">
        <v>114999.148</v>
      </c>
      <c r="O1051">
        <v>0</v>
      </c>
    </row>
    <row r="1052" spans="1:16" x14ac:dyDescent="0.25">
      <c r="A1052" t="s">
        <v>83</v>
      </c>
      <c r="F1052">
        <v>0.38540509259259265</v>
      </c>
      <c r="G1052" t="s">
        <v>20</v>
      </c>
      <c r="H1052">
        <v>0</v>
      </c>
      <c r="I1052">
        <v>0.85</v>
      </c>
      <c r="J1052" t="s">
        <v>21</v>
      </c>
      <c r="M1052">
        <v>1</v>
      </c>
      <c r="N1052">
        <v>55215.141000000003</v>
      </c>
      <c r="O1052">
        <v>0</v>
      </c>
    </row>
    <row r="1053" spans="1:16" x14ac:dyDescent="0.25">
      <c r="A1053" t="s">
        <v>84</v>
      </c>
      <c r="F1053">
        <v>0.38807870370370368</v>
      </c>
      <c r="G1053" t="s">
        <v>20</v>
      </c>
      <c r="H1053">
        <v>0</v>
      </c>
      <c r="I1053">
        <v>0.86</v>
      </c>
      <c r="J1053" t="s">
        <v>21</v>
      </c>
      <c r="M1053">
        <v>1</v>
      </c>
      <c r="N1053">
        <v>78189.125</v>
      </c>
      <c r="O1053">
        <v>0</v>
      </c>
    </row>
    <row r="1054" spans="1:16" x14ac:dyDescent="0.25">
      <c r="A1054" t="s">
        <v>85</v>
      </c>
      <c r="F1054">
        <v>0.38995370370370369</v>
      </c>
      <c r="G1054" t="s">
        <v>20</v>
      </c>
      <c r="H1054">
        <v>0</v>
      </c>
      <c r="I1054">
        <v>0.86</v>
      </c>
      <c r="J1054" t="s">
        <v>21</v>
      </c>
      <c r="M1054">
        <v>1</v>
      </c>
      <c r="N1054">
        <v>98311.702999999994</v>
      </c>
      <c r="O1054">
        <v>0</v>
      </c>
    </row>
    <row r="1055" spans="1:16" x14ac:dyDescent="0.25">
      <c r="A1055" t="s">
        <v>86</v>
      </c>
      <c r="F1055">
        <v>0.39181712962962961</v>
      </c>
      <c r="G1055" t="s">
        <v>20</v>
      </c>
      <c r="H1055">
        <v>0</v>
      </c>
      <c r="I1055">
        <v>0.85</v>
      </c>
      <c r="J1055" t="s">
        <v>21</v>
      </c>
      <c r="M1055">
        <v>1</v>
      </c>
      <c r="N1055">
        <v>82892.577999999994</v>
      </c>
      <c r="O1055">
        <v>0</v>
      </c>
    </row>
    <row r="1056" spans="1:16" x14ac:dyDescent="0.25">
      <c r="A1056" t="s">
        <v>87</v>
      </c>
      <c r="F1056">
        <v>0.39369212962962963</v>
      </c>
      <c r="G1056" t="s">
        <v>20</v>
      </c>
      <c r="H1056">
        <v>0</v>
      </c>
      <c r="I1056">
        <v>0.85</v>
      </c>
      <c r="J1056" t="s">
        <v>21</v>
      </c>
      <c r="K1056" t="s">
        <v>27</v>
      </c>
      <c r="L1056">
        <v>0.316</v>
      </c>
      <c r="M1056">
        <v>1</v>
      </c>
      <c r="N1056">
        <v>80402.695000000007</v>
      </c>
      <c r="O1056">
        <v>3.9302165182398425E-6</v>
      </c>
      <c r="P1056">
        <v>0.85</v>
      </c>
    </row>
    <row r="1057" spans="1:19" x14ac:dyDescent="0.25">
      <c r="A1057" t="s">
        <v>88</v>
      </c>
      <c r="F1057">
        <v>0.3955555555555556</v>
      </c>
      <c r="G1057" t="s">
        <v>20</v>
      </c>
      <c r="H1057">
        <v>0</v>
      </c>
      <c r="I1057">
        <v>0.85</v>
      </c>
      <c r="J1057" t="s">
        <v>21</v>
      </c>
      <c r="M1057">
        <v>1</v>
      </c>
      <c r="N1057">
        <v>74213.108999999997</v>
      </c>
      <c r="O1057">
        <v>0</v>
      </c>
    </row>
    <row r="1058" spans="1:19" x14ac:dyDescent="0.25">
      <c r="A1058" t="s">
        <v>89</v>
      </c>
      <c r="F1058">
        <v>0.39743055555555556</v>
      </c>
      <c r="G1058" t="s">
        <v>20</v>
      </c>
      <c r="H1058">
        <v>0</v>
      </c>
      <c r="I1058">
        <v>0.86</v>
      </c>
      <c r="J1058" t="s">
        <v>21</v>
      </c>
      <c r="M1058">
        <v>1</v>
      </c>
      <c r="N1058">
        <v>79356.687999999995</v>
      </c>
      <c r="O1058">
        <v>0</v>
      </c>
    </row>
    <row r="1059" spans="1:19" x14ac:dyDescent="0.25">
      <c r="A1059" t="s">
        <v>90</v>
      </c>
      <c r="F1059">
        <v>0.39930555555555558</v>
      </c>
      <c r="G1059" t="s">
        <v>20</v>
      </c>
      <c r="H1059">
        <v>0</v>
      </c>
      <c r="I1059">
        <v>0.85</v>
      </c>
      <c r="J1059" t="s">
        <v>21</v>
      </c>
      <c r="K1059" t="s">
        <v>27</v>
      </c>
      <c r="L1059">
        <v>0.90200000000000002</v>
      </c>
      <c r="M1059">
        <v>1</v>
      </c>
      <c r="N1059">
        <v>80031.358999999997</v>
      </c>
      <c r="O1059">
        <v>1.1270582072709775E-5</v>
      </c>
      <c r="P1059">
        <v>0.86</v>
      </c>
    </row>
    <row r="1060" spans="1:19" x14ac:dyDescent="0.25">
      <c r="A1060" t="s">
        <v>91</v>
      </c>
      <c r="F1060">
        <v>0.40116898148148145</v>
      </c>
      <c r="G1060" t="s">
        <v>20</v>
      </c>
      <c r="H1060">
        <v>0</v>
      </c>
      <c r="I1060">
        <v>0.87</v>
      </c>
      <c r="J1060" t="s">
        <v>21</v>
      </c>
      <c r="M1060">
        <v>1</v>
      </c>
      <c r="N1060">
        <v>104.651</v>
      </c>
      <c r="O1060">
        <v>0</v>
      </c>
    </row>
    <row r="1061" spans="1:19" x14ac:dyDescent="0.25">
      <c r="A1061" t="s">
        <v>92</v>
      </c>
      <c r="F1061">
        <v>0.4031481481481482</v>
      </c>
      <c r="G1061" t="s">
        <v>20</v>
      </c>
      <c r="H1061">
        <v>0</v>
      </c>
      <c r="I1061">
        <v>0.85</v>
      </c>
      <c r="J1061" t="s">
        <v>21</v>
      </c>
      <c r="K1061" t="s">
        <v>27</v>
      </c>
      <c r="L1061">
        <v>2.3E-2</v>
      </c>
      <c r="M1061">
        <v>1</v>
      </c>
      <c r="N1061">
        <v>54.768000000000001</v>
      </c>
      <c r="O1061">
        <v>4.1995325737657023E-4</v>
      </c>
      <c r="P1061">
        <v>0.78</v>
      </c>
    </row>
    <row r="1062" spans="1:19" x14ac:dyDescent="0.25">
      <c r="A1062" t="s">
        <v>93</v>
      </c>
      <c r="F1062">
        <v>0.40502314814814816</v>
      </c>
      <c r="G1062" t="s">
        <v>20</v>
      </c>
      <c r="H1062">
        <v>0</v>
      </c>
      <c r="I1062">
        <v>0.86</v>
      </c>
      <c r="J1062" t="s">
        <v>21</v>
      </c>
      <c r="M1062">
        <v>1</v>
      </c>
      <c r="N1062">
        <v>86940.445000000007</v>
      </c>
      <c r="O1062">
        <v>0</v>
      </c>
    </row>
    <row r="1063" spans="1:19" x14ac:dyDescent="0.25">
      <c r="A1063" t="s">
        <v>94</v>
      </c>
      <c r="F1063">
        <v>0.40701388888888884</v>
      </c>
      <c r="G1063" t="s">
        <v>20</v>
      </c>
      <c r="H1063">
        <v>0</v>
      </c>
      <c r="I1063">
        <v>0.85</v>
      </c>
      <c r="J1063" t="s">
        <v>21</v>
      </c>
      <c r="K1063" t="s">
        <v>27</v>
      </c>
      <c r="L1063">
        <v>0.86699999999999999</v>
      </c>
      <c r="M1063">
        <v>1</v>
      </c>
      <c r="N1063">
        <v>85609.616999999998</v>
      </c>
      <c r="O1063">
        <v>1.0127366882157644E-5</v>
      </c>
      <c r="P1063">
        <v>0.81</v>
      </c>
    </row>
    <row r="1064" spans="1:19" x14ac:dyDescent="0.25">
      <c r="A1064" s="2" t="s">
        <v>95</v>
      </c>
      <c r="B1064" s="2"/>
      <c r="C1064" s="2"/>
      <c r="D1064" s="2"/>
      <c r="E1064" s="2"/>
      <c r="F1064" s="2">
        <v>0.40896990740740741</v>
      </c>
      <c r="G1064" s="2" t="s">
        <v>20</v>
      </c>
      <c r="H1064" s="2">
        <v>0</v>
      </c>
      <c r="I1064" s="2">
        <v>0.85</v>
      </c>
      <c r="J1064" s="2" t="s">
        <v>21</v>
      </c>
      <c r="K1064" s="2" t="s">
        <v>27</v>
      </c>
      <c r="L1064" s="2">
        <v>52394.491999999998</v>
      </c>
      <c r="M1064" s="2">
        <v>1</v>
      </c>
      <c r="N1064" s="2">
        <v>85459.241999999998</v>
      </c>
      <c r="O1064" s="2">
        <v>0.61309333869354932</v>
      </c>
      <c r="P1064" s="2">
        <v>0.79</v>
      </c>
      <c r="Q1064" s="2"/>
      <c r="R1064" s="2"/>
      <c r="S1064" s="2"/>
    </row>
    <row r="1065" spans="1:19" x14ac:dyDescent="0.25">
      <c r="A1065" s="2" t="s">
        <v>96</v>
      </c>
      <c r="B1065" s="2"/>
      <c r="C1065" s="2"/>
      <c r="D1065" s="2"/>
      <c r="E1065" s="2"/>
      <c r="F1065" s="2">
        <v>0.41090277777777778</v>
      </c>
      <c r="G1065" s="2" t="s">
        <v>20</v>
      </c>
      <c r="H1065" s="2">
        <v>0</v>
      </c>
      <c r="I1065" s="2">
        <v>0.85</v>
      </c>
      <c r="J1065" s="2" t="s">
        <v>21</v>
      </c>
      <c r="K1065" s="2" t="s">
        <v>27</v>
      </c>
      <c r="L1065" s="2">
        <v>44960.226999999999</v>
      </c>
      <c r="M1065" s="2">
        <v>1</v>
      </c>
      <c r="N1065" s="2">
        <v>86220.406000000003</v>
      </c>
      <c r="O1065" s="2">
        <v>0.52145691589529275</v>
      </c>
      <c r="P1065" s="2">
        <v>0.79</v>
      </c>
      <c r="Q1065" s="2"/>
      <c r="R1065" s="2"/>
      <c r="S1065" s="2"/>
    </row>
    <row r="1066" spans="1:19" x14ac:dyDescent="0.25">
      <c r="A1066" t="s">
        <v>97</v>
      </c>
      <c r="F1066">
        <v>0.4127662037037037</v>
      </c>
      <c r="G1066" t="s">
        <v>20</v>
      </c>
      <c r="H1066">
        <v>0</v>
      </c>
      <c r="I1066">
        <v>0.85</v>
      </c>
      <c r="J1066" t="s">
        <v>21</v>
      </c>
      <c r="K1066" t="s">
        <v>27</v>
      </c>
      <c r="L1066">
        <v>34.936999999999998</v>
      </c>
      <c r="M1066">
        <v>1</v>
      </c>
      <c r="N1066">
        <v>87941.781000000003</v>
      </c>
      <c r="O1066">
        <v>3.9727419211580442E-4</v>
      </c>
      <c r="P1066">
        <v>0.79</v>
      </c>
    </row>
    <row r="1067" spans="1:19" x14ac:dyDescent="0.25">
      <c r="A1067" t="s">
        <v>98</v>
      </c>
      <c r="F1067">
        <v>0.41465277777777776</v>
      </c>
      <c r="G1067" t="s">
        <v>20</v>
      </c>
      <c r="H1067">
        <v>0</v>
      </c>
      <c r="I1067">
        <v>0.85</v>
      </c>
      <c r="J1067" t="s">
        <v>21</v>
      </c>
      <c r="K1067" t="s">
        <v>27</v>
      </c>
      <c r="L1067">
        <v>33.701000000000001</v>
      </c>
      <c r="M1067">
        <v>1</v>
      </c>
      <c r="N1067">
        <v>93537.976999999999</v>
      </c>
      <c r="O1067">
        <v>3.6029216240158796E-4</v>
      </c>
      <c r="P1067">
        <v>0.78</v>
      </c>
    </row>
    <row r="1068" spans="1:19" x14ac:dyDescent="0.25">
      <c r="A1068" t="s">
        <v>99</v>
      </c>
      <c r="F1068">
        <v>0.41651620370370374</v>
      </c>
      <c r="G1068" t="s">
        <v>20</v>
      </c>
      <c r="H1068">
        <v>0</v>
      </c>
      <c r="I1068">
        <v>0.86</v>
      </c>
      <c r="J1068" t="s">
        <v>21</v>
      </c>
      <c r="K1068" t="s">
        <v>27</v>
      </c>
      <c r="L1068">
        <v>0.11600000000000001</v>
      </c>
      <c r="M1068">
        <v>1</v>
      </c>
      <c r="N1068">
        <v>86879.258000000002</v>
      </c>
      <c r="O1068">
        <v>1.3351863571394683E-6</v>
      </c>
      <c r="P1068">
        <v>0.81</v>
      </c>
    </row>
    <row r="1069" spans="1:19" x14ac:dyDescent="0.25">
      <c r="A1069" t="s">
        <v>100</v>
      </c>
      <c r="F1069">
        <v>0.41849537037037038</v>
      </c>
      <c r="G1069" t="s">
        <v>20</v>
      </c>
      <c r="H1069">
        <v>0</v>
      </c>
      <c r="I1069">
        <v>0.85</v>
      </c>
      <c r="J1069" t="s">
        <v>21</v>
      </c>
      <c r="M1069">
        <v>1</v>
      </c>
      <c r="N1069">
        <v>85980.991999999998</v>
      </c>
      <c r="O1069">
        <v>0</v>
      </c>
    </row>
    <row r="1070" spans="1:19" x14ac:dyDescent="0.25">
      <c r="A1070" t="s">
        <v>101</v>
      </c>
      <c r="F1070">
        <v>0.42046296296296298</v>
      </c>
      <c r="G1070" t="s">
        <v>20</v>
      </c>
      <c r="H1070">
        <v>0</v>
      </c>
      <c r="I1070">
        <v>0.85</v>
      </c>
      <c r="J1070" t="s">
        <v>21</v>
      </c>
      <c r="M1070">
        <v>1</v>
      </c>
      <c r="N1070">
        <v>82045.156000000003</v>
      </c>
      <c r="O1070">
        <v>0</v>
      </c>
    </row>
    <row r="1071" spans="1:19" x14ac:dyDescent="0.25">
      <c r="A1071" t="s">
        <v>102</v>
      </c>
      <c r="F1071">
        <v>0.4223263888888889</v>
      </c>
      <c r="G1071" t="s">
        <v>20</v>
      </c>
      <c r="H1071">
        <v>0</v>
      </c>
      <c r="I1071">
        <v>0.85</v>
      </c>
      <c r="J1071" t="s">
        <v>21</v>
      </c>
      <c r="K1071" t="s">
        <v>27</v>
      </c>
      <c r="L1071">
        <v>1.583</v>
      </c>
      <c r="M1071">
        <v>1</v>
      </c>
      <c r="N1071">
        <v>86455.312999999995</v>
      </c>
      <c r="O1071">
        <v>1.8310037232760931E-5</v>
      </c>
      <c r="P1071">
        <v>0.85</v>
      </c>
    </row>
    <row r="1072" spans="1:19" x14ac:dyDescent="0.25">
      <c r="A1072" t="s">
        <v>103</v>
      </c>
      <c r="F1072">
        <v>0.42429398148148145</v>
      </c>
      <c r="G1072" t="s">
        <v>20</v>
      </c>
      <c r="H1072">
        <v>0</v>
      </c>
      <c r="I1072">
        <v>0.85</v>
      </c>
      <c r="J1072" t="s">
        <v>21</v>
      </c>
      <c r="K1072" t="s">
        <v>27</v>
      </c>
      <c r="L1072">
        <v>1.2829999999999999</v>
      </c>
      <c r="M1072">
        <v>1</v>
      </c>
      <c r="N1072">
        <v>85804.358999999997</v>
      </c>
      <c r="O1072">
        <v>1.4952620297530571E-5</v>
      </c>
      <c r="P1072">
        <v>0.85</v>
      </c>
    </row>
    <row r="1073" spans="1:16" x14ac:dyDescent="0.25">
      <c r="A1073" t="s">
        <v>104</v>
      </c>
      <c r="F1073">
        <v>0.42614583333333328</v>
      </c>
      <c r="G1073" t="s">
        <v>20</v>
      </c>
      <c r="H1073">
        <v>0</v>
      </c>
      <c r="I1073">
        <v>0.85</v>
      </c>
      <c r="J1073" t="s">
        <v>21</v>
      </c>
      <c r="M1073">
        <v>1</v>
      </c>
      <c r="N1073">
        <v>86476.241999999998</v>
      </c>
      <c r="O1073">
        <v>0</v>
      </c>
    </row>
    <row r="1074" spans="1:16" x14ac:dyDescent="0.25">
      <c r="A1074" t="s">
        <v>105</v>
      </c>
      <c r="F1074">
        <v>0.42802083333333335</v>
      </c>
      <c r="G1074" t="s">
        <v>20</v>
      </c>
      <c r="H1074">
        <v>0</v>
      </c>
      <c r="I1074">
        <v>0.85</v>
      </c>
      <c r="J1074" t="s">
        <v>21</v>
      </c>
      <c r="M1074">
        <v>1</v>
      </c>
      <c r="N1074">
        <v>81312.297000000006</v>
      </c>
      <c r="O1074">
        <v>0</v>
      </c>
    </row>
    <row r="1075" spans="1:16" x14ac:dyDescent="0.25">
      <c r="A1075" t="s">
        <v>106</v>
      </c>
      <c r="F1075">
        <v>0.43</v>
      </c>
      <c r="G1075" t="s">
        <v>20</v>
      </c>
      <c r="H1075">
        <v>0</v>
      </c>
      <c r="I1075">
        <v>0.85</v>
      </c>
      <c r="J1075" t="s">
        <v>21</v>
      </c>
      <c r="M1075">
        <v>1</v>
      </c>
      <c r="N1075">
        <v>84202.343999999997</v>
      </c>
      <c r="O1075">
        <v>0</v>
      </c>
    </row>
    <row r="1076" spans="1:16" x14ac:dyDescent="0.25">
      <c r="A1076" t="s">
        <v>107</v>
      </c>
      <c r="F1076">
        <v>0.4319675925925926</v>
      </c>
      <c r="G1076" t="s">
        <v>20</v>
      </c>
      <c r="H1076">
        <v>0</v>
      </c>
      <c r="I1076">
        <v>0.86</v>
      </c>
      <c r="J1076" t="s">
        <v>21</v>
      </c>
      <c r="M1076">
        <v>1</v>
      </c>
      <c r="N1076">
        <v>83752.375</v>
      </c>
      <c r="O1076">
        <v>0</v>
      </c>
    </row>
    <row r="1077" spans="1:16" x14ac:dyDescent="0.25">
      <c r="A1077" t="s">
        <v>108</v>
      </c>
      <c r="F1077">
        <v>0.4339351851851852</v>
      </c>
      <c r="G1077" t="s">
        <v>20</v>
      </c>
      <c r="H1077">
        <v>0</v>
      </c>
      <c r="I1077">
        <v>0.85</v>
      </c>
      <c r="J1077" t="s">
        <v>21</v>
      </c>
      <c r="M1077">
        <v>1</v>
      </c>
      <c r="N1077">
        <v>87009.906000000003</v>
      </c>
      <c r="O1077">
        <v>0</v>
      </c>
    </row>
    <row r="1078" spans="1:16" x14ac:dyDescent="0.25">
      <c r="A1078" t="s">
        <v>109</v>
      </c>
      <c r="F1078">
        <v>0.43590277777777775</v>
      </c>
      <c r="G1078" t="s">
        <v>20</v>
      </c>
      <c r="H1078">
        <v>0</v>
      </c>
      <c r="I1078">
        <v>0.85</v>
      </c>
      <c r="J1078" t="s">
        <v>21</v>
      </c>
      <c r="M1078">
        <v>1</v>
      </c>
      <c r="N1078">
        <v>84301.804999999993</v>
      </c>
      <c r="O1078">
        <v>0</v>
      </c>
    </row>
    <row r="1079" spans="1:16" x14ac:dyDescent="0.25">
      <c r="A1079" t="s">
        <v>110</v>
      </c>
      <c r="F1079">
        <v>0.43787037037037035</v>
      </c>
      <c r="G1079" t="s">
        <v>20</v>
      </c>
      <c r="H1079">
        <v>0</v>
      </c>
      <c r="I1079">
        <v>0.85</v>
      </c>
      <c r="J1079" t="s">
        <v>21</v>
      </c>
      <c r="K1079" t="s">
        <v>27</v>
      </c>
      <c r="L1079">
        <v>3.2000000000000001E-2</v>
      </c>
      <c r="M1079">
        <v>1</v>
      </c>
      <c r="N1079">
        <v>87135.851999999999</v>
      </c>
      <c r="O1079">
        <v>3.6724263624575568E-7</v>
      </c>
      <c r="P1079">
        <v>0.81</v>
      </c>
    </row>
    <row r="1080" spans="1:16" x14ac:dyDescent="0.25">
      <c r="A1080" t="s">
        <v>111</v>
      </c>
      <c r="F1080">
        <v>0.43983796296296296</v>
      </c>
      <c r="G1080" t="s">
        <v>20</v>
      </c>
      <c r="H1080">
        <v>0</v>
      </c>
      <c r="I1080">
        <v>0.85</v>
      </c>
      <c r="J1080" t="s">
        <v>21</v>
      </c>
      <c r="M1080">
        <v>1</v>
      </c>
      <c r="N1080">
        <v>88461.593999999997</v>
      </c>
      <c r="O1080">
        <v>0</v>
      </c>
    </row>
    <row r="1081" spans="1:16" x14ac:dyDescent="0.25">
      <c r="A1081" t="s">
        <v>112</v>
      </c>
      <c r="F1081">
        <v>0.44180555555555556</v>
      </c>
      <c r="G1081" t="s">
        <v>20</v>
      </c>
      <c r="H1081">
        <v>0</v>
      </c>
      <c r="I1081">
        <v>0.85</v>
      </c>
      <c r="J1081" t="s">
        <v>21</v>
      </c>
      <c r="K1081" t="s">
        <v>27</v>
      </c>
      <c r="L1081">
        <v>1.258</v>
      </c>
      <c r="M1081">
        <v>1</v>
      </c>
      <c r="N1081">
        <v>96436.241999999998</v>
      </c>
      <c r="O1081">
        <v>1.3044888248548715E-5</v>
      </c>
      <c r="P1081">
        <v>0.86</v>
      </c>
    </row>
    <row r="1082" spans="1:16" x14ac:dyDescent="0.25">
      <c r="A1082" t="s">
        <v>113</v>
      </c>
      <c r="F1082">
        <v>0.44377314814814817</v>
      </c>
      <c r="G1082" t="s">
        <v>20</v>
      </c>
      <c r="H1082">
        <v>0</v>
      </c>
      <c r="I1082">
        <v>0.85</v>
      </c>
      <c r="J1082" t="s">
        <v>21</v>
      </c>
      <c r="K1082" t="s">
        <v>27</v>
      </c>
      <c r="L1082">
        <v>0.30399999999999999</v>
      </c>
      <c r="M1082">
        <v>1</v>
      </c>
      <c r="N1082">
        <v>86018.039000000004</v>
      </c>
      <c r="O1082">
        <v>3.5341424140115536E-6</v>
      </c>
      <c r="P1082">
        <v>0.84</v>
      </c>
    </row>
    <row r="1083" spans="1:16" x14ac:dyDescent="0.25">
      <c r="A1083" t="s">
        <v>114</v>
      </c>
      <c r="F1083">
        <v>0.44574074074074077</v>
      </c>
      <c r="G1083" t="s">
        <v>20</v>
      </c>
      <c r="H1083">
        <v>0</v>
      </c>
      <c r="I1083">
        <v>0.85</v>
      </c>
      <c r="J1083" t="s">
        <v>21</v>
      </c>
      <c r="K1083" t="s">
        <v>27</v>
      </c>
      <c r="L1083">
        <v>7.5999999999999998E-2</v>
      </c>
      <c r="M1083">
        <v>1</v>
      </c>
      <c r="N1083">
        <v>85403.312999999995</v>
      </c>
      <c r="O1083">
        <v>8.8989521987279351E-7</v>
      </c>
      <c r="P1083">
        <v>0.78</v>
      </c>
    </row>
    <row r="1084" spans="1:16" x14ac:dyDescent="0.25">
      <c r="A1084" t="s">
        <v>115</v>
      </c>
      <c r="F1084">
        <v>0.44769675925925928</v>
      </c>
      <c r="G1084" t="s">
        <v>20</v>
      </c>
      <c r="H1084">
        <v>0</v>
      </c>
      <c r="I1084">
        <v>0.85</v>
      </c>
      <c r="J1084" t="s">
        <v>21</v>
      </c>
      <c r="K1084" t="s">
        <v>27</v>
      </c>
      <c r="L1084">
        <v>1.889</v>
      </c>
      <c r="M1084">
        <v>1</v>
      </c>
      <c r="N1084">
        <v>90109.843999999997</v>
      </c>
      <c r="O1084">
        <v>2.0963303410002576E-5</v>
      </c>
      <c r="P1084">
        <v>0.86</v>
      </c>
    </row>
    <row r="1085" spans="1:16" x14ac:dyDescent="0.25">
      <c r="A1085" t="s">
        <v>116</v>
      </c>
      <c r="F1085">
        <v>0.44966435185185188</v>
      </c>
      <c r="G1085" t="s">
        <v>20</v>
      </c>
      <c r="H1085">
        <v>0</v>
      </c>
      <c r="I1085">
        <v>0.85</v>
      </c>
      <c r="J1085" t="s">
        <v>21</v>
      </c>
      <c r="K1085" t="s">
        <v>27</v>
      </c>
      <c r="L1085">
        <v>1.8440000000000001</v>
      </c>
      <c r="M1085">
        <v>1</v>
      </c>
      <c r="N1085">
        <v>88435.773000000001</v>
      </c>
      <c r="O1085">
        <v>2.0851290574460178E-5</v>
      </c>
      <c r="P1085">
        <v>0.85</v>
      </c>
    </row>
    <row r="1086" spans="1:16" x14ac:dyDescent="0.25">
      <c r="A1086" t="s">
        <v>117</v>
      </c>
      <c r="F1086">
        <v>0.45163194444444449</v>
      </c>
      <c r="G1086" t="s">
        <v>20</v>
      </c>
      <c r="H1086">
        <v>0</v>
      </c>
      <c r="I1086">
        <v>0.85</v>
      </c>
      <c r="J1086" t="s">
        <v>21</v>
      </c>
      <c r="M1086">
        <v>1</v>
      </c>
      <c r="N1086">
        <v>84868.437999999995</v>
      </c>
      <c r="O1086">
        <v>0</v>
      </c>
    </row>
    <row r="1087" spans="1:16" x14ac:dyDescent="0.25">
      <c r="A1087" t="s">
        <v>118</v>
      </c>
      <c r="F1087">
        <v>0.45359953703703698</v>
      </c>
      <c r="G1087" t="s">
        <v>20</v>
      </c>
      <c r="H1087">
        <v>0</v>
      </c>
      <c r="I1087">
        <v>0.86</v>
      </c>
      <c r="J1087" t="s">
        <v>21</v>
      </c>
      <c r="M1087">
        <v>1</v>
      </c>
      <c r="N1087">
        <v>85751.210999999996</v>
      </c>
      <c r="O1087">
        <v>0</v>
      </c>
    </row>
    <row r="1088" spans="1:16" x14ac:dyDescent="0.25">
      <c r="A1088" t="s">
        <v>119</v>
      </c>
      <c r="F1088">
        <v>0.45555555555555555</v>
      </c>
      <c r="G1088" t="s">
        <v>20</v>
      </c>
      <c r="H1088">
        <v>0</v>
      </c>
      <c r="I1088">
        <v>0.85</v>
      </c>
      <c r="J1088" t="s">
        <v>21</v>
      </c>
      <c r="K1088" t="s">
        <v>27</v>
      </c>
      <c r="L1088">
        <v>2.5739999999999998</v>
      </c>
      <c r="M1088">
        <v>1</v>
      </c>
      <c r="N1088">
        <v>86068.866999999998</v>
      </c>
      <c r="O1088">
        <v>2.9906284231672295E-5</v>
      </c>
      <c r="P1088">
        <v>0.83</v>
      </c>
    </row>
    <row r="1089" spans="1:19" x14ac:dyDescent="0.25">
      <c r="A1089" t="s">
        <v>120</v>
      </c>
      <c r="F1089">
        <v>0.45753472222222219</v>
      </c>
      <c r="G1089" t="s">
        <v>20</v>
      </c>
      <c r="H1089">
        <v>0</v>
      </c>
      <c r="I1089">
        <v>0.85</v>
      </c>
      <c r="J1089" t="s">
        <v>21</v>
      </c>
      <c r="K1089" t="s">
        <v>27</v>
      </c>
      <c r="L1089">
        <v>0.23200000000000001</v>
      </c>
      <c r="M1089">
        <v>1</v>
      </c>
      <c r="N1089">
        <v>86854.266000000003</v>
      </c>
      <c r="O1089">
        <v>2.6711411043413803E-6</v>
      </c>
      <c r="P1089">
        <v>0.85</v>
      </c>
    </row>
    <row r="1090" spans="1:19" x14ac:dyDescent="0.25">
      <c r="A1090" t="s">
        <v>121</v>
      </c>
      <c r="F1090">
        <v>0.45950231481481479</v>
      </c>
      <c r="G1090" t="s">
        <v>20</v>
      </c>
      <c r="H1090">
        <v>0</v>
      </c>
      <c r="I1090">
        <v>0.86</v>
      </c>
      <c r="J1090" t="s">
        <v>21</v>
      </c>
      <c r="M1090">
        <v>1</v>
      </c>
      <c r="N1090">
        <v>83449.437999999995</v>
      </c>
      <c r="O1090">
        <v>0</v>
      </c>
    </row>
    <row r="1091" spans="1:19" x14ac:dyDescent="0.25">
      <c r="A1091" t="s">
        <v>122</v>
      </c>
      <c r="F1091">
        <v>0.4614583333333333</v>
      </c>
      <c r="G1091" t="s">
        <v>20</v>
      </c>
      <c r="H1091">
        <v>0</v>
      </c>
      <c r="I1091">
        <v>0.85</v>
      </c>
      <c r="J1091" t="s">
        <v>21</v>
      </c>
      <c r="M1091">
        <v>1</v>
      </c>
      <c r="N1091">
        <v>84800.164000000004</v>
      </c>
      <c r="O1091">
        <v>0</v>
      </c>
    </row>
    <row r="1092" spans="1:19" x14ac:dyDescent="0.25">
      <c r="A1092" t="s">
        <v>123</v>
      </c>
      <c r="F1092">
        <v>0.46342592592592591</v>
      </c>
      <c r="G1092" t="s">
        <v>20</v>
      </c>
      <c r="H1092">
        <v>0</v>
      </c>
      <c r="I1092">
        <v>0.85</v>
      </c>
      <c r="J1092" t="s">
        <v>21</v>
      </c>
      <c r="K1092" t="s">
        <v>27</v>
      </c>
      <c r="L1092">
        <v>0.23</v>
      </c>
      <c r="M1092">
        <v>1</v>
      </c>
      <c r="N1092">
        <v>48.820999999999998</v>
      </c>
      <c r="O1092">
        <v>4.7110874418795192E-3</v>
      </c>
      <c r="P1092">
        <v>0.8</v>
      </c>
    </row>
    <row r="1093" spans="1:19" x14ac:dyDescent="0.25">
      <c r="A1093" t="s">
        <v>124</v>
      </c>
      <c r="F1093">
        <v>0.46538194444444447</v>
      </c>
      <c r="G1093" t="s">
        <v>20</v>
      </c>
      <c r="H1093">
        <v>0</v>
      </c>
      <c r="I1093">
        <v>0.85</v>
      </c>
      <c r="J1093" t="s">
        <v>21</v>
      </c>
      <c r="M1093">
        <v>1</v>
      </c>
      <c r="N1093">
        <v>108.077</v>
      </c>
      <c r="O1093">
        <v>0</v>
      </c>
    </row>
    <row r="1094" spans="1:19" x14ac:dyDescent="0.25">
      <c r="A1094" s="2" t="s">
        <v>125</v>
      </c>
      <c r="B1094" s="2"/>
      <c r="C1094" s="2"/>
      <c r="D1094" s="2"/>
      <c r="E1094" s="2"/>
      <c r="F1094" s="2">
        <v>0.46722222222222221</v>
      </c>
      <c r="G1094" s="2" t="s">
        <v>20</v>
      </c>
      <c r="H1094" s="2">
        <v>0</v>
      </c>
      <c r="I1094" s="2">
        <v>0.85</v>
      </c>
      <c r="J1094" s="2" t="s">
        <v>21</v>
      </c>
      <c r="K1094" s="2" t="s">
        <v>27</v>
      </c>
      <c r="L1094" s="2">
        <v>57104.141000000003</v>
      </c>
      <c r="M1094" s="2">
        <v>1</v>
      </c>
      <c r="N1094" s="2">
        <v>83808.866999999998</v>
      </c>
      <c r="O1094" s="2">
        <v>0.68136156762505817</v>
      </c>
      <c r="P1094" s="2">
        <v>0.79</v>
      </c>
      <c r="Q1094" s="2"/>
      <c r="R1094" s="2"/>
      <c r="S1094" s="2"/>
    </row>
    <row r="1095" spans="1:19" x14ac:dyDescent="0.25">
      <c r="A1095" s="2" t="s">
        <v>126</v>
      </c>
      <c r="B1095" s="2"/>
      <c r="C1095" s="2"/>
      <c r="D1095" s="2"/>
      <c r="E1095" s="2"/>
      <c r="F1095" s="2">
        <v>0.46921296296296294</v>
      </c>
      <c r="G1095" s="2" t="s">
        <v>20</v>
      </c>
      <c r="H1095" s="2">
        <v>0</v>
      </c>
      <c r="I1095" s="2">
        <v>0.85</v>
      </c>
      <c r="J1095" s="2" t="s">
        <v>21</v>
      </c>
      <c r="K1095" s="2" t="s">
        <v>27</v>
      </c>
      <c r="L1095" s="2">
        <v>59962.800999999999</v>
      </c>
      <c r="M1095" s="2">
        <v>1</v>
      </c>
      <c r="N1095" s="2">
        <v>85237.375</v>
      </c>
      <c r="O1095" s="2">
        <v>0.7034801458867076</v>
      </c>
      <c r="P1095" s="2">
        <v>0.79</v>
      </c>
      <c r="Q1095" s="2"/>
      <c r="R1095" s="2"/>
      <c r="S1095" s="2"/>
    </row>
    <row r="1096" spans="1:19" x14ac:dyDescent="0.25">
      <c r="A1096" t="s">
        <v>127</v>
      </c>
      <c r="F1096">
        <v>0.47106481481481483</v>
      </c>
      <c r="G1096" t="s">
        <v>20</v>
      </c>
      <c r="H1096">
        <v>0</v>
      </c>
      <c r="I1096">
        <v>0.85</v>
      </c>
      <c r="J1096" t="s">
        <v>21</v>
      </c>
      <c r="K1096" t="s">
        <v>27</v>
      </c>
      <c r="L1096">
        <v>28.966999999999999</v>
      </c>
      <c r="M1096">
        <v>1</v>
      </c>
      <c r="N1096">
        <v>85078.641000000003</v>
      </c>
      <c r="O1096">
        <v>3.404732334640841E-4</v>
      </c>
      <c r="P1096">
        <v>0.78</v>
      </c>
    </row>
    <row r="1097" spans="1:19" x14ac:dyDescent="0.25">
      <c r="A1097" t="s">
        <v>128</v>
      </c>
      <c r="F1097">
        <v>0.47292824074074075</v>
      </c>
      <c r="G1097" t="s">
        <v>20</v>
      </c>
      <c r="H1097">
        <v>0</v>
      </c>
      <c r="I1097">
        <v>0.85</v>
      </c>
      <c r="J1097" t="s">
        <v>21</v>
      </c>
      <c r="K1097" t="s">
        <v>27</v>
      </c>
      <c r="L1097">
        <v>1.224</v>
      </c>
      <c r="M1097">
        <v>1</v>
      </c>
      <c r="N1097">
        <v>85329.452999999994</v>
      </c>
      <c r="O1097">
        <v>1.4344402278073903E-5</v>
      </c>
      <c r="P1097">
        <v>0.84</v>
      </c>
    </row>
    <row r="1098" spans="1:19" x14ac:dyDescent="0.25">
      <c r="A1098" t="s">
        <v>129</v>
      </c>
      <c r="F1098">
        <v>0.47480324074074076</v>
      </c>
      <c r="G1098" t="s">
        <v>20</v>
      </c>
      <c r="H1098">
        <v>0</v>
      </c>
      <c r="I1098">
        <v>0.85</v>
      </c>
      <c r="J1098" t="s">
        <v>21</v>
      </c>
      <c r="M1098">
        <v>1</v>
      </c>
      <c r="N1098">
        <v>90051.664000000004</v>
      </c>
      <c r="O1098">
        <v>0</v>
      </c>
    </row>
    <row r="1099" spans="1:19" x14ac:dyDescent="0.25">
      <c r="A1099" t="s">
        <v>130</v>
      </c>
      <c r="F1099">
        <v>0.47667824074074078</v>
      </c>
      <c r="G1099" t="s">
        <v>20</v>
      </c>
      <c r="H1099">
        <v>0</v>
      </c>
      <c r="I1099">
        <v>0.85</v>
      </c>
      <c r="J1099" t="s">
        <v>21</v>
      </c>
      <c r="K1099" t="s">
        <v>27</v>
      </c>
      <c r="L1099">
        <v>63.475999999999999</v>
      </c>
      <c r="M1099">
        <v>1</v>
      </c>
      <c r="N1099">
        <v>85405.758000000002</v>
      </c>
      <c r="O1099">
        <v>7.4322857716455136E-4</v>
      </c>
      <c r="P1099">
        <v>0.79</v>
      </c>
    </row>
    <row r="1100" spans="1:19" x14ac:dyDescent="0.25">
      <c r="A1100" t="s">
        <v>131</v>
      </c>
      <c r="F1100">
        <v>0.47855324074074074</v>
      </c>
      <c r="G1100" t="s">
        <v>20</v>
      </c>
      <c r="H1100">
        <v>0</v>
      </c>
      <c r="I1100">
        <v>0.85</v>
      </c>
      <c r="J1100" t="s">
        <v>21</v>
      </c>
      <c r="K1100" t="s">
        <v>27</v>
      </c>
      <c r="L1100">
        <v>7.3780000000000001</v>
      </c>
      <c r="M1100">
        <v>1</v>
      </c>
      <c r="N1100">
        <v>83086.016000000003</v>
      </c>
      <c r="O1100">
        <v>8.8799539985164291E-5</v>
      </c>
      <c r="P1100">
        <v>0.79</v>
      </c>
    </row>
    <row r="1101" spans="1:19" x14ac:dyDescent="0.25">
      <c r="A1101" t="s">
        <v>132</v>
      </c>
      <c r="F1101">
        <v>0.48041666666666666</v>
      </c>
      <c r="G1101" t="s">
        <v>20</v>
      </c>
      <c r="H1101">
        <v>0</v>
      </c>
      <c r="I1101">
        <v>0.86</v>
      </c>
      <c r="J1101" t="s">
        <v>21</v>
      </c>
      <c r="M1101">
        <v>1</v>
      </c>
      <c r="N1101">
        <v>83014.070000000007</v>
      </c>
      <c r="O1101">
        <v>0</v>
      </c>
    </row>
    <row r="1102" spans="1:19" x14ac:dyDescent="0.25">
      <c r="A1102" t="s">
        <v>133</v>
      </c>
      <c r="F1102">
        <v>0.48230324074074077</v>
      </c>
      <c r="G1102" t="s">
        <v>20</v>
      </c>
      <c r="H1102">
        <v>0</v>
      </c>
      <c r="I1102">
        <v>0.86</v>
      </c>
      <c r="J1102" t="s">
        <v>21</v>
      </c>
      <c r="M1102">
        <v>1</v>
      </c>
      <c r="N1102">
        <v>82167.266000000003</v>
      </c>
      <c r="O1102">
        <v>0</v>
      </c>
    </row>
    <row r="1103" spans="1:19" x14ac:dyDescent="0.25">
      <c r="A1103" t="s">
        <v>134</v>
      </c>
      <c r="F1103">
        <v>0.4841550925925926</v>
      </c>
      <c r="G1103" t="s">
        <v>20</v>
      </c>
      <c r="H1103">
        <v>0</v>
      </c>
      <c r="I1103">
        <v>0.85</v>
      </c>
      <c r="J1103" t="s">
        <v>21</v>
      </c>
      <c r="K1103" t="s">
        <v>27</v>
      </c>
      <c r="L1103">
        <v>0.109</v>
      </c>
      <c r="M1103">
        <v>1</v>
      </c>
      <c r="N1103">
        <v>83417.883000000002</v>
      </c>
      <c r="O1103">
        <v>1.3066742535290663E-6</v>
      </c>
      <c r="P1103">
        <v>0.86</v>
      </c>
    </row>
    <row r="1104" spans="1:19" x14ac:dyDescent="0.25">
      <c r="A1104" t="s">
        <v>135</v>
      </c>
      <c r="F1104">
        <v>0.48603009259259261</v>
      </c>
      <c r="G1104" t="s">
        <v>20</v>
      </c>
      <c r="H1104">
        <v>0</v>
      </c>
      <c r="I1104">
        <v>0.85</v>
      </c>
      <c r="J1104" t="s">
        <v>21</v>
      </c>
      <c r="K1104" t="s">
        <v>27</v>
      </c>
      <c r="L1104">
        <v>0.46200000000000002</v>
      </c>
      <c r="M1104">
        <v>1</v>
      </c>
      <c r="N1104">
        <v>84251.233999999997</v>
      </c>
      <c r="O1104">
        <v>5.4835992075795591E-6</v>
      </c>
      <c r="P1104">
        <v>0.81</v>
      </c>
    </row>
    <row r="1105" spans="1:16" x14ac:dyDescent="0.25">
      <c r="A1105" t="s">
        <v>136</v>
      </c>
      <c r="F1105">
        <v>0.48789351851851853</v>
      </c>
      <c r="G1105" t="s">
        <v>20</v>
      </c>
      <c r="H1105">
        <v>0</v>
      </c>
      <c r="I1105">
        <v>0.85</v>
      </c>
      <c r="J1105" t="s">
        <v>21</v>
      </c>
      <c r="K1105" t="s">
        <v>27</v>
      </c>
      <c r="L1105">
        <v>1.173</v>
      </c>
      <c r="M1105">
        <v>1</v>
      </c>
      <c r="N1105">
        <v>85308.608999999997</v>
      </c>
      <c r="O1105">
        <v>1.3750077673872284E-5</v>
      </c>
      <c r="P1105">
        <v>0.86</v>
      </c>
    </row>
    <row r="1106" spans="1:16" x14ac:dyDescent="0.25">
      <c r="A1106" t="s">
        <v>137</v>
      </c>
      <c r="F1106">
        <v>0.48976851851851855</v>
      </c>
      <c r="G1106" t="s">
        <v>20</v>
      </c>
      <c r="H1106">
        <v>0</v>
      </c>
      <c r="I1106">
        <v>0.85</v>
      </c>
      <c r="J1106" t="s">
        <v>21</v>
      </c>
      <c r="M1106">
        <v>1</v>
      </c>
      <c r="N1106">
        <v>84172.116999999998</v>
      </c>
      <c r="O1106">
        <v>0</v>
      </c>
    </row>
    <row r="1107" spans="1:16" x14ac:dyDescent="0.25">
      <c r="A1107" t="s">
        <v>138</v>
      </c>
      <c r="F1107">
        <v>0.49164351851851856</v>
      </c>
      <c r="G1107" t="s">
        <v>20</v>
      </c>
      <c r="H1107">
        <v>0</v>
      </c>
      <c r="I1107">
        <v>0.85</v>
      </c>
      <c r="J1107" t="s">
        <v>21</v>
      </c>
      <c r="K1107" t="s">
        <v>27</v>
      </c>
      <c r="L1107">
        <v>0.88300000000000001</v>
      </c>
      <c r="M1107">
        <v>1</v>
      </c>
      <c r="N1107">
        <v>82786.016000000003</v>
      </c>
      <c r="O1107">
        <v>1.0666052585499465E-5</v>
      </c>
      <c r="P1107">
        <v>0.78</v>
      </c>
    </row>
    <row r="1108" spans="1:16" x14ac:dyDescent="0.25">
      <c r="A1108" t="s">
        <v>139</v>
      </c>
      <c r="F1108">
        <v>0.49353009259259256</v>
      </c>
      <c r="G1108" t="s">
        <v>20</v>
      </c>
      <c r="H1108">
        <v>0</v>
      </c>
      <c r="I1108">
        <v>0.85</v>
      </c>
      <c r="J1108" t="s">
        <v>21</v>
      </c>
      <c r="K1108" t="s">
        <v>27</v>
      </c>
      <c r="L1108">
        <v>1.5009999999999999</v>
      </c>
      <c r="M1108">
        <v>1</v>
      </c>
      <c r="N1108">
        <v>84114.585999999996</v>
      </c>
      <c r="O1108">
        <v>1.7844705316626061E-5</v>
      </c>
      <c r="P1108">
        <v>0.86</v>
      </c>
    </row>
    <row r="1109" spans="1:16" x14ac:dyDescent="0.25">
      <c r="A1109" t="s">
        <v>140</v>
      </c>
      <c r="F1109">
        <v>0.49538194444444444</v>
      </c>
      <c r="G1109" t="s">
        <v>20</v>
      </c>
      <c r="H1109">
        <v>0</v>
      </c>
      <c r="I1109">
        <v>0.85</v>
      </c>
      <c r="J1109" t="s">
        <v>21</v>
      </c>
      <c r="K1109" t="s">
        <v>27</v>
      </c>
      <c r="L1109">
        <v>0.46300000000000002</v>
      </c>
      <c r="M1109">
        <v>1</v>
      </c>
      <c r="N1109">
        <v>82948.483999999997</v>
      </c>
      <c r="O1109">
        <v>5.5817777212179073E-6</v>
      </c>
      <c r="P1109">
        <v>0.79</v>
      </c>
    </row>
    <row r="1110" spans="1:16" x14ac:dyDescent="0.25">
      <c r="A1110" t="s">
        <v>141</v>
      </c>
      <c r="F1110">
        <v>0.49726851851851855</v>
      </c>
      <c r="G1110" t="s">
        <v>20</v>
      </c>
      <c r="H1110">
        <v>0</v>
      </c>
      <c r="I1110">
        <v>0.85</v>
      </c>
      <c r="J1110" t="s">
        <v>21</v>
      </c>
      <c r="M1110">
        <v>1</v>
      </c>
      <c r="N1110">
        <v>84148.991999999998</v>
      </c>
      <c r="O1110">
        <v>0</v>
      </c>
    </row>
    <row r="1111" spans="1:16" x14ac:dyDescent="0.25">
      <c r="A1111" t="s">
        <v>142</v>
      </c>
      <c r="F1111">
        <v>0.49912037037037038</v>
      </c>
      <c r="G1111" t="s">
        <v>20</v>
      </c>
      <c r="H1111">
        <v>0</v>
      </c>
      <c r="I1111">
        <v>0.86</v>
      </c>
      <c r="J1111" t="s">
        <v>21</v>
      </c>
      <c r="K1111" t="s">
        <v>27</v>
      </c>
      <c r="L1111">
        <v>0.17100000000000001</v>
      </c>
      <c r="M1111">
        <v>1</v>
      </c>
      <c r="N1111">
        <v>87653.937999999995</v>
      </c>
      <c r="O1111">
        <v>1.9508535942789019E-6</v>
      </c>
      <c r="P1111">
        <v>0.78</v>
      </c>
    </row>
    <row r="1112" spans="1:16" x14ac:dyDescent="0.25">
      <c r="A1112" t="s">
        <v>143</v>
      </c>
      <c r="F1112">
        <v>0.50100694444444438</v>
      </c>
      <c r="G1112" t="s">
        <v>20</v>
      </c>
      <c r="H1112">
        <v>0</v>
      </c>
      <c r="I1112">
        <v>0.85</v>
      </c>
      <c r="J1112" t="s">
        <v>21</v>
      </c>
      <c r="K1112" t="s">
        <v>27</v>
      </c>
      <c r="L1112">
        <v>4.5270000000000001</v>
      </c>
      <c r="M1112">
        <v>1</v>
      </c>
      <c r="N1112">
        <v>87204.741999999998</v>
      </c>
      <c r="O1112">
        <v>5.1912314584910991E-5</v>
      </c>
      <c r="P1112">
        <v>0.78</v>
      </c>
    </row>
    <row r="1113" spans="1:16" x14ac:dyDescent="0.25">
      <c r="A1113" t="s">
        <v>144</v>
      </c>
      <c r="F1113">
        <v>0.50298611111111113</v>
      </c>
      <c r="G1113" t="s">
        <v>20</v>
      </c>
      <c r="H1113">
        <v>0</v>
      </c>
      <c r="I1113">
        <v>0.85</v>
      </c>
      <c r="J1113" t="s">
        <v>21</v>
      </c>
      <c r="M1113">
        <v>1</v>
      </c>
      <c r="N1113">
        <v>86631.726999999999</v>
      </c>
      <c r="O1113">
        <v>0</v>
      </c>
    </row>
    <row r="1114" spans="1:16" x14ac:dyDescent="0.25">
      <c r="A1114" t="s">
        <v>145</v>
      </c>
      <c r="F1114">
        <v>0.50496527777777778</v>
      </c>
      <c r="G1114" t="s">
        <v>20</v>
      </c>
      <c r="H1114">
        <v>0</v>
      </c>
      <c r="I1114">
        <v>0.85</v>
      </c>
      <c r="J1114" t="s">
        <v>21</v>
      </c>
      <c r="M1114">
        <v>1</v>
      </c>
      <c r="N1114">
        <v>79832.25</v>
      </c>
      <c r="O1114">
        <v>0</v>
      </c>
    </row>
    <row r="1115" spans="1:16" x14ac:dyDescent="0.25">
      <c r="A1115" t="s">
        <v>146</v>
      </c>
      <c r="F1115">
        <v>0.50692129629629623</v>
      </c>
      <c r="G1115" t="s">
        <v>20</v>
      </c>
      <c r="H1115">
        <v>0</v>
      </c>
      <c r="I1115">
        <v>0.85</v>
      </c>
      <c r="J1115" t="s">
        <v>21</v>
      </c>
      <c r="M1115">
        <v>1</v>
      </c>
      <c r="N1115">
        <v>86690.491999999998</v>
      </c>
      <c r="O1115">
        <v>0</v>
      </c>
    </row>
    <row r="1116" spans="1:16" x14ac:dyDescent="0.25">
      <c r="A1116" t="s">
        <v>147</v>
      </c>
      <c r="F1116">
        <v>0.5088773148148148</v>
      </c>
      <c r="G1116" t="s">
        <v>20</v>
      </c>
      <c r="H1116">
        <v>0</v>
      </c>
      <c r="I1116">
        <v>0.85</v>
      </c>
      <c r="J1116" t="s">
        <v>21</v>
      </c>
      <c r="K1116" t="s">
        <v>27</v>
      </c>
      <c r="L1116">
        <v>3.1259999999999999</v>
      </c>
      <c r="M1116">
        <v>1</v>
      </c>
      <c r="N1116">
        <v>88469.531000000003</v>
      </c>
      <c r="O1116">
        <v>3.533419884411956E-5</v>
      </c>
      <c r="P1116">
        <v>0.86</v>
      </c>
    </row>
    <row r="1117" spans="1:16" x14ac:dyDescent="0.25">
      <c r="A1117" t="s">
        <v>148</v>
      </c>
      <c r="F1117">
        <v>0.51083333333333336</v>
      </c>
      <c r="G1117" t="s">
        <v>20</v>
      </c>
      <c r="H1117">
        <v>0</v>
      </c>
      <c r="I1117">
        <v>0.85</v>
      </c>
      <c r="J1117" t="s">
        <v>21</v>
      </c>
      <c r="M1117">
        <v>1</v>
      </c>
      <c r="N1117">
        <v>80173.179999999993</v>
      </c>
      <c r="O1117">
        <v>0</v>
      </c>
    </row>
    <row r="1118" spans="1:16" x14ac:dyDescent="0.25">
      <c r="A1118" t="s">
        <v>149</v>
      </c>
      <c r="F1118">
        <v>0.5128125</v>
      </c>
      <c r="G1118" t="s">
        <v>20</v>
      </c>
      <c r="H1118">
        <v>0</v>
      </c>
      <c r="I1118">
        <v>0.85</v>
      </c>
      <c r="J1118" t="s">
        <v>21</v>
      </c>
      <c r="M1118">
        <v>1</v>
      </c>
      <c r="N1118">
        <v>84536.241999999998</v>
      </c>
      <c r="O1118">
        <v>0</v>
      </c>
    </row>
    <row r="1119" spans="1:16" x14ac:dyDescent="0.25">
      <c r="A1119" t="s">
        <v>150</v>
      </c>
      <c r="F1119">
        <v>0.51466435185185189</v>
      </c>
      <c r="G1119" t="s">
        <v>20</v>
      </c>
      <c r="H1119">
        <v>0</v>
      </c>
      <c r="I1119">
        <v>0.85</v>
      </c>
      <c r="J1119" t="s">
        <v>21</v>
      </c>
      <c r="M1119">
        <v>1</v>
      </c>
      <c r="N1119">
        <v>87388.93</v>
      </c>
      <c r="O1119">
        <v>0</v>
      </c>
    </row>
    <row r="1120" spans="1:16" x14ac:dyDescent="0.25">
      <c r="A1120" t="s">
        <v>151</v>
      </c>
      <c r="F1120">
        <v>0.51653935185185185</v>
      </c>
      <c r="G1120" t="s">
        <v>20</v>
      </c>
      <c r="H1120">
        <v>0</v>
      </c>
      <c r="I1120">
        <v>0.85</v>
      </c>
      <c r="J1120" t="s">
        <v>21</v>
      </c>
      <c r="M1120">
        <v>1</v>
      </c>
      <c r="N1120">
        <v>87142.672000000006</v>
      </c>
      <c r="O1120">
        <v>0</v>
      </c>
    </row>
    <row r="1121" spans="1:19" x14ac:dyDescent="0.25">
      <c r="A1121" t="s">
        <v>152</v>
      </c>
      <c r="F1121">
        <v>0.51849537037037041</v>
      </c>
      <c r="G1121" t="s">
        <v>20</v>
      </c>
      <c r="H1121">
        <v>0</v>
      </c>
      <c r="I1121">
        <v>0.85</v>
      </c>
      <c r="J1121" t="s">
        <v>21</v>
      </c>
      <c r="M1121">
        <v>1</v>
      </c>
      <c r="N1121">
        <v>87144.093999999997</v>
      </c>
      <c r="O1121">
        <v>0</v>
      </c>
    </row>
    <row r="1122" spans="1:19" x14ac:dyDescent="0.25">
      <c r="A1122" t="s">
        <v>153</v>
      </c>
      <c r="F1122">
        <v>0.52037037037037037</v>
      </c>
      <c r="G1122" t="s">
        <v>20</v>
      </c>
      <c r="H1122">
        <v>0</v>
      </c>
      <c r="I1122">
        <v>0.85</v>
      </c>
      <c r="J1122" t="s">
        <v>21</v>
      </c>
      <c r="M1122">
        <v>1</v>
      </c>
      <c r="N1122">
        <v>86344.483999999997</v>
      </c>
      <c r="O1122">
        <v>0</v>
      </c>
    </row>
    <row r="1123" spans="1:19" x14ac:dyDescent="0.25">
      <c r="A1123" t="s">
        <v>154</v>
      </c>
      <c r="F1123">
        <v>0.52223379629629629</v>
      </c>
      <c r="G1123" t="s">
        <v>20</v>
      </c>
      <c r="H1123">
        <v>0</v>
      </c>
      <c r="I1123">
        <v>0.85</v>
      </c>
      <c r="J1123" t="s">
        <v>21</v>
      </c>
      <c r="K1123" t="s">
        <v>27</v>
      </c>
      <c r="L1123">
        <v>0.307</v>
      </c>
      <c r="M1123">
        <v>1</v>
      </c>
      <c r="N1123">
        <v>86244.25</v>
      </c>
      <c r="O1123">
        <v>3.559657600361763E-6</v>
      </c>
      <c r="P1123">
        <v>0.79</v>
      </c>
    </row>
    <row r="1124" spans="1:19" x14ac:dyDescent="0.25">
      <c r="A1124" t="s">
        <v>155</v>
      </c>
      <c r="F1124">
        <v>0.52409722222222221</v>
      </c>
      <c r="G1124" t="s">
        <v>20</v>
      </c>
      <c r="H1124">
        <v>0</v>
      </c>
      <c r="I1124">
        <v>0.85</v>
      </c>
      <c r="J1124" t="s">
        <v>21</v>
      </c>
      <c r="M1124">
        <v>1</v>
      </c>
      <c r="N1124">
        <v>93.081999999999994</v>
      </c>
      <c r="O1124">
        <v>0</v>
      </c>
    </row>
    <row r="1125" spans="1:19" x14ac:dyDescent="0.25">
      <c r="A1125" t="s">
        <v>156</v>
      </c>
      <c r="F1125">
        <v>0.52598379629629632</v>
      </c>
      <c r="G1125" t="s">
        <v>20</v>
      </c>
      <c r="H1125">
        <v>0</v>
      </c>
      <c r="I1125">
        <v>0.86</v>
      </c>
      <c r="J1125" t="s">
        <v>21</v>
      </c>
      <c r="M1125">
        <v>1</v>
      </c>
      <c r="N1125">
        <v>106.667</v>
      </c>
      <c r="O1125">
        <v>0</v>
      </c>
    </row>
    <row r="1126" spans="1:19" x14ac:dyDescent="0.25">
      <c r="A1126" t="s">
        <v>157</v>
      </c>
      <c r="F1126">
        <v>0.52795138888888882</v>
      </c>
      <c r="G1126" t="s">
        <v>20</v>
      </c>
      <c r="H1126">
        <v>0</v>
      </c>
      <c r="I1126">
        <v>0.86</v>
      </c>
      <c r="J1126" t="s">
        <v>21</v>
      </c>
      <c r="M1126">
        <v>1</v>
      </c>
      <c r="N1126">
        <v>77598.648000000001</v>
      </c>
      <c r="O1126">
        <v>0</v>
      </c>
    </row>
    <row r="1127" spans="1:19" x14ac:dyDescent="0.25">
      <c r="A1127" t="s">
        <v>158</v>
      </c>
      <c r="F1127">
        <v>0.52990740740740738</v>
      </c>
      <c r="G1127" t="s">
        <v>20</v>
      </c>
      <c r="H1127">
        <v>0</v>
      </c>
      <c r="I1127">
        <v>0.85</v>
      </c>
      <c r="J1127" t="s">
        <v>21</v>
      </c>
      <c r="M1127">
        <v>1</v>
      </c>
      <c r="N1127">
        <v>76582.883000000002</v>
      </c>
      <c r="O1127">
        <v>0</v>
      </c>
    </row>
    <row r="1128" spans="1:19" x14ac:dyDescent="0.25">
      <c r="A1128" s="2" t="s">
        <v>159</v>
      </c>
      <c r="B1128" s="2"/>
      <c r="C1128" s="2"/>
      <c r="D1128" s="2"/>
      <c r="E1128" s="2"/>
      <c r="F1128" s="2">
        <v>0.5317708333333333</v>
      </c>
      <c r="G1128" s="2" t="s">
        <v>20</v>
      </c>
      <c r="H1128" s="2">
        <v>0</v>
      </c>
      <c r="I1128" s="2">
        <v>0.85</v>
      </c>
      <c r="J1128" s="2" t="s">
        <v>21</v>
      </c>
      <c r="K1128" s="2" t="s">
        <v>27</v>
      </c>
      <c r="L1128" s="2">
        <v>68433.179999999993</v>
      </c>
      <c r="M1128" s="2">
        <v>1</v>
      </c>
      <c r="N1128" s="2">
        <v>81240.422000000006</v>
      </c>
      <c r="O1128" s="2">
        <v>0.842353822337358</v>
      </c>
      <c r="P1128" s="2">
        <v>0.79</v>
      </c>
      <c r="Q1128" s="2"/>
      <c r="R1128" s="2"/>
      <c r="S1128" s="2"/>
    </row>
    <row r="1129" spans="1:19" x14ac:dyDescent="0.25">
      <c r="A1129" s="2" t="s">
        <v>160</v>
      </c>
      <c r="B1129" s="2"/>
      <c r="C1129" s="2"/>
      <c r="D1129" s="2"/>
      <c r="E1129" s="2"/>
      <c r="F1129" s="2">
        <v>0.53363425925925922</v>
      </c>
      <c r="G1129" s="2" t="s">
        <v>20</v>
      </c>
      <c r="H1129" s="2">
        <v>0</v>
      </c>
      <c r="I1129" s="2">
        <v>0.85</v>
      </c>
      <c r="J1129" s="2" t="s">
        <v>21</v>
      </c>
      <c r="K1129" s="2" t="s">
        <v>27</v>
      </c>
      <c r="L1129" s="2">
        <v>67319.358999999997</v>
      </c>
      <c r="M1129" s="2">
        <v>1</v>
      </c>
      <c r="N1129" s="2">
        <v>79723.312999999995</v>
      </c>
      <c r="O1129" s="2">
        <v>0.84441246188552155</v>
      </c>
      <c r="P1129" s="2">
        <v>0.79</v>
      </c>
      <c r="Q1129" s="2"/>
      <c r="R1129" s="2"/>
      <c r="S1129" s="2"/>
    </row>
    <row r="1130" spans="1:19" x14ac:dyDescent="0.25">
      <c r="A1130" t="s">
        <v>161</v>
      </c>
      <c r="F1130">
        <v>0.5355092592592593</v>
      </c>
      <c r="G1130" t="s">
        <v>20</v>
      </c>
      <c r="H1130">
        <v>0</v>
      </c>
      <c r="I1130">
        <v>0.85</v>
      </c>
      <c r="J1130" t="s">
        <v>21</v>
      </c>
      <c r="K1130" t="s">
        <v>27</v>
      </c>
      <c r="L1130">
        <v>67.7</v>
      </c>
      <c r="M1130">
        <v>1</v>
      </c>
      <c r="N1130">
        <v>82403.797000000006</v>
      </c>
      <c r="O1130">
        <v>8.215640839948188E-4</v>
      </c>
      <c r="P1130">
        <v>0.79</v>
      </c>
    </row>
    <row r="1131" spans="1:19" x14ac:dyDescent="0.25">
      <c r="A1131" t="s">
        <v>162</v>
      </c>
      <c r="F1131">
        <v>0.53738425925925926</v>
      </c>
      <c r="G1131" t="s">
        <v>20</v>
      </c>
      <c r="H1131">
        <v>0</v>
      </c>
      <c r="I1131">
        <v>0.86</v>
      </c>
      <c r="J1131" t="s">
        <v>21</v>
      </c>
      <c r="K1131" t="s">
        <v>27</v>
      </c>
      <c r="L1131">
        <v>11.571</v>
      </c>
      <c r="M1131">
        <v>1</v>
      </c>
      <c r="N1131">
        <v>77816.023000000001</v>
      </c>
      <c r="O1131">
        <v>1.4869688213184576E-4</v>
      </c>
      <c r="P1131">
        <v>0.78</v>
      </c>
    </row>
    <row r="1132" spans="1:19" x14ac:dyDescent="0.25">
      <c r="A1132" t="s">
        <v>163</v>
      </c>
      <c r="F1132">
        <v>0.53924768518518518</v>
      </c>
      <c r="G1132" t="s">
        <v>20</v>
      </c>
      <c r="H1132">
        <v>0</v>
      </c>
      <c r="I1132">
        <v>0.85</v>
      </c>
      <c r="J1132" t="s">
        <v>21</v>
      </c>
      <c r="K1132" t="s">
        <v>27</v>
      </c>
      <c r="L1132">
        <v>4.68</v>
      </c>
      <c r="M1132">
        <v>1</v>
      </c>
      <c r="N1132">
        <v>82569.054999999993</v>
      </c>
      <c r="O1132">
        <v>5.6679829991998819E-5</v>
      </c>
      <c r="P1132">
        <v>0.79</v>
      </c>
    </row>
    <row r="1133" spans="1:19" x14ac:dyDescent="0.25">
      <c r="A1133" t="s">
        <v>164</v>
      </c>
      <c r="F1133">
        <v>0.54112268518518525</v>
      </c>
      <c r="G1133" t="s">
        <v>20</v>
      </c>
      <c r="H1133">
        <v>0</v>
      </c>
      <c r="I1133">
        <v>0.85</v>
      </c>
      <c r="J1133" t="s">
        <v>21</v>
      </c>
      <c r="K1133" t="s">
        <v>27</v>
      </c>
      <c r="L1133">
        <v>0.33800000000000002</v>
      </c>
      <c r="M1133">
        <v>1</v>
      </c>
      <c r="N1133">
        <v>82580.983999999997</v>
      </c>
      <c r="O1133">
        <v>4.0929519561065053E-6</v>
      </c>
      <c r="P1133">
        <v>0.86</v>
      </c>
    </row>
    <row r="1134" spans="1:19" x14ac:dyDescent="0.25">
      <c r="A1134" t="s">
        <v>165</v>
      </c>
      <c r="F1134">
        <v>0.54298611111111106</v>
      </c>
      <c r="G1134" t="s">
        <v>20</v>
      </c>
      <c r="H1134">
        <v>0</v>
      </c>
      <c r="I1134">
        <v>0.85</v>
      </c>
      <c r="J1134" t="s">
        <v>21</v>
      </c>
      <c r="K1134" t="s">
        <v>27</v>
      </c>
      <c r="L1134">
        <v>0.26800000000000002</v>
      </c>
      <c r="M1134">
        <v>1</v>
      </c>
      <c r="N1134">
        <v>82733.391000000003</v>
      </c>
      <c r="O1134">
        <v>3.2393208686441973E-6</v>
      </c>
      <c r="P1134">
        <v>0.82</v>
      </c>
    </row>
    <row r="1135" spans="1:19" x14ac:dyDescent="0.25">
      <c r="A1135" t="s">
        <v>166</v>
      </c>
      <c r="F1135">
        <v>0.54487268518518517</v>
      </c>
      <c r="G1135" t="s">
        <v>20</v>
      </c>
      <c r="H1135">
        <v>0</v>
      </c>
      <c r="I1135">
        <v>0.85</v>
      </c>
      <c r="J1135" t="s">
        <v>21</v>
      </c>
      <c r="M1135">
        <v>1</v>
      </c>
      <c r="N1135">
        <v>79460.172000000006</v>
      </c>
      <c r="O1135">
        <v>0</v>
      </c>
    </row>
    <row r="1136" spans="1:19" x14ac:dyDescent="0.25">
      <c r="A1136" t="s">
        <v>167</v>
      </c>
      <c r="F1136">
        <v>0.54673611111111109</v>
      </c>
      <c r="G1136" t="s">
        <v>20</v>
      </c>
      <c r="H1136">
        <v>0</v>
      </c>
      <c r="I1136">
        <v>0.85</v>
      </c>
      <c r="J1136" t="s">
        <v>21</v>
      </c>
      <c r="M1136">
        <v>1</v>
      </c>
      <c r="N1136">
        <v>80189.133000000002</v>
      </c>
      <c r="O1136">
        <v>0</v>
      </c>
    </row>
    <row r="1137" spans="1:16" x14ac:dyDescent="0.25">
      <c r="A1137" t="s">
        <v>168</v>
      </c>
      <c r="F1137">
        <v>0.54859953703703701</v>
      </c>
      <c r="G1137" t="s">
        <v>20</v>
      </c>
      <c r="H1137">
        <v>0</v>
      </c>
      <c r="I1137">
        <v>0.85</v>
      </c>
      <c r="J1137" t="s">
        <v>21</v>
      </c>
      <c r="M1137">
        <v>1</v>
      </c>
      <c r="N1137">
        <v>79237.797000000006</v>
      </c>
      <c r="O1137">
        <v>0</v>
      </c>
    </row>
    <row r="1138" spans="1:16" x14ac:dyDescent="0.25">
      <c r="A1138" t="s">
        <v>169</v>
      </c>
      <c r="F1138">
        <v>0.55048611111111112</v>
      </c>
      <c r="G1138" t="s">
        <v>20</v>
      </c>
      <c r="H1138">
        <v>0</v>
      </c>
      <c r="I1138">
        <v>0.85</v>
      </c>
      <c r="J1138" t="s">
        <v>21</v>
      </c>
      <c r="M1138">
        <v>1</v>
      </c>
      <c r="N1138">
        <v>79373.164000000004</v>
      </c>
      <c r="O1138">
        <v>0</v>
      </c>
    </row>
    <row r="1139" spans="1:16" x14ac:dyDescent="0.25">
      <c r="A1139" t="s">
        <v>170</v>
      </c>
      <c r="F1139">
        <v>0.55234953703703704</v>
      </c>
      <c r="G1139" t="s">
        <v>20</v>
      </c>
      <c r="H1139">
        <v>0</v>
      </c>
      <c r="I1139">
        <v>0.85</v>
      </c>
      <c r="J1139" t="s">
        <v>21</v>
      </c>
      <c r="K1139" t="s">
        <v>27</v>
      </c>
      <c r="L1139">
        <v>0.81499999999999995</v>
      </c>
      <c r="M1139">
        <v>1</v>
      </c>
      <c r="N1139">
        <v>80237.577999999994</v>
      </c>
      <c r="O1139">
        <v>1.0157335506812033E-5</v>
      </c>
      <c r="P1139">
        <v>0.85</v>
      </c>
    </row>
    <row r="1140" spans="1:16" x14ac:dyDescent="0.25">
      <c r="A1140" t="s">
        <v>171</v>
      </c>
      <c r="F1140">
        <v>0.55421296296296296</v>
      </c>
      <c r="G1140" t="s">
        <v>20</v>
      </c>
      <c r="H1140">
        <v>0</v>
      </c>
      <c r="I1140">
        <v>0.85</v>
      </c>
      <c r="J1140" t="s">
        <v>21</v>
      </c>
      <c r="M1140">
        <v>1</v>
      </c>
      <c r="N1140">
        <v>76179.664000000004</v>
      </c>
      <c r="O1140">
        <v>0</v>
      </c>
    </row>
    <row r="1141" spans="1:16" x14ac:dyDescent="0.25">
      <c r="A1141" t="s">
        <v>172</v>
      </c>
      <c r="F1141">
        <v>0.55621527777777779</v>
      </c>
      <c r="G1141" t="s">
        <v>20</v>
      </c>
      <c r="H1141">
        <v>0</v>
      </c>
      <c r="I1141">
        <v>0.85</v>
      </c>
      <c r="J1141" t="s">
        <v>21</v>
      </c>
      <c r="M1141">
        <v>1</v>
      </c>
      <c r="N1141">
        <v>78758.741999999998</v>
      </c>
      <c r="O1141">
        <v>0</v>
      </c>
    </row>
    <row r="1142" spans="1:16" x14ac:dyDescent="0.25">
      <c r="A1142" t="s">
        <v>173</v>
      </c>
      <c r="F1142">
        <v>0.55815972222222221</v>
      </c>
      <c r="G1142" t="s">
        <v>20</v>
      </c>
      <c r="H1142">
        <v>0</v>
      </c>
      <c r="I1142">
        <v>0.85</v>
      </c>
      <c r="J1142" t="s">
        <v>21</v>
      </c>
      <c r="K1142" t="s">
        <v>27</v>
      </c>
      <c r="L1142">
        <v>0.17199999999999999</v>
      </c>
      <c r="M1142">
        <v>1</v>
      </c>
      <c r="N1142">
        <v>76535.437999999995</v>
      </c>
      <c r="O1142">
        <v>2.2473249581455323E-6</v>
      </c>
      <c r="P1142">
        <v>0.81</v>
      </c>
    </row>
    <row r="1143" spans="1:16" x14ac:dyDescent="0.25">
      <c r="A1143" t="s">
        <v>174</v>
      </c>
      <c r="F1143">
        <v>0.56003472222222228</v>
      </c>
      <c r="G1143" t="s">
        <v>20</v>
      </c>
      <c r="H1143">
        <v>0</v>
      </c>
      <c r="I1143">
        <v>0.85</v>
      </c>
      <c r="J1143" t="s">
        <v>21</v>
      </c>
      <c r="M1143">
        <v>1</v>
      </c>
      <c r="N1143">
        <v>79696.898000000001</v>
      </c>
      <c r="O1143">
        <v>0</v>
      </c>
    </row>
    <row r="1144" spans="1:16" x14ac:dyDescent="0.25">
      <c r="A1144" t="s">
        <v>175</v>
      </c>
      <c r="F1144">
        <v>0.56200231481481489</v>
      </c>
      <c r="G1144" t="s">
        <v>20</v>
      </c>
      <c r="H1144">
        <v>0</v>
      </c>
      <c r="I1144">
        <v>0.85</v>
      </c>
      <c r="J1144" t="s">
        <v>21</v>
      </c>
      <c r="K1144" t="s">
        <v>27</v>
      </c>
      <c r="L1144">
        <v>0.86099999999999999</v>
      </c>
      <c r="M1144">
        <v>1</v>
      </c>
      <c r="N1144">
        <v>81888.945000000007</v>
      </c>
      <c r="O1144">
        <v>1.0514239742617271E-5</v>
      </c>
      <c r="P1144">
        <v>0.79</v>
      </c>
    </row>
    <row r="1145" spans="1:16" x14ac:dyDescent="0.25">
      <c r="A1145" t="s">
        <v>176</v>
      </c>
      <c r="F1145">
        <v>0.56396990740740738</v>
      </c>
      <c r="G1145" t="s">
        <v>20</v>
      </c>
      <c r="H1145">
        <v>0</v>
      </c>
      <c r="I1145">
        <v>0.85</v>
      </c>
      <c r="J1145" t="s">
        <v>21</v>
      </c>
      <c r="M1145">
        <v>1</v>
      </c>
      <c r="N1145">
        <v>80283.141000000003</v>
      </c>
      <c r="O1145">
        <v>0</v>
      </c>
    </row>
    <row r="1146" spans="1:16" x14ac:dyDescent="0.25">
      <c r="A1146" t="s">
        <v>177</v>
      </c>
      <c r="F1146">
        <v>0.56581018518518522</v>
      </c>
      <c r="G1146" t="s">
        <v>20</v>
      </c>
      <c r="H1146">
        <v>0</v>
      </c>
      <c r="I1146">
        <v>0.86</v>
      </c>
      <c r="J1146" t="s">
        <v>21</v>
      </c>
      <c r="M1146">
        <v>1</v>
      </c>
      <c r="N1146">
        <v>77920.398000000001</v>
      </c>
      <c r="O1146">
        <v>0</v>
      </c>
    </row>
    <row r="1147" spans="1:16" x14ac:dyDescent="0.25">
      <c r="A1147" t="s">
        <v>178</v>
      </c>
      <c r="F1147">
        <v>0.56781249999999994</v>
      </c>
      <c r="G1147" t="s">
        <v>20</v>
      </c>
      <c r="H1147">
        <v>0</v>
      </c>
      <c r="I1147">
        <v>0.86</v>
      </c>
      <c r="J1147" t="s">
        <v>21</v>
      </c>
      <c r="K1147" t="s">
        <v>27</v>
      </c>
      <c r="L1147">
        <v>1.944</v>
      </c>
      <c r="M1147">
        <v>1</v>
      </c>
      <c r="N1147">
        <v>78458.289000000004</v>
      </c>
      <c r="O1147">
        <v>2.4777496740975322E-5</v>
      </c>
      <c r="P1147">
        <v>0.86</v>
      </c>
    </row>
    <row r="1148" spans="1:16" x14ac:dyDescent="0.25">
      <c r="A1148" t="s">
        <v>179</v>
      </c>
      <c r="F1148">
        <v>0.56967592592592597</v>
      </c>
      <c r="G1148" t="s">
        <v>20</v>
      </c>
      <c r="H1148">
        <v>0</v>
      </c>
      <c r="I1148">
        <v>0.85</v>
      </c>
      <c r="J1148" t="s">
        <v>21</v>
      </c>
      <c r="M1148">
        <v>1</v>
      </c>
      <c r="N1148">
        <v>81069.625</v>
      </c>
      <c r="O1148">
        <v>0</v>
      </c>
    </row>
    <row r="1149" spans="1:16" x14ac:dyDescent="0.25">
      <c r="A1149" t="s">
        <v>180</v>
      </c>
      <c r="F1149">
        <v>0.57153935185185178</v>
      </c>
      <c r="G1149" t="s">
        <v>20</v>
      </c>
      <c r="H1149">
        <v>0</v>
      </c>
      <c r="I1149">
        <v>0.85</v>
      </c>
      <c r="J1149" t="s">
        <v>21</v>
      </c>
      <c r="K1149" t="s">
        <v>27</v>
      </c>
      <c r="L1149">
        <v>1.9410000000000001</v>
      </c>
      <c r="M1149">
        <v>1</v>
      </c>
      <c r="N1149">
        <v>81783.843999999997</v>
      </c>
      <c r="O1149">
        <v>2.3733293827568194E-5</v>
      </c>
      <c r="P1149">
        <v>0.86</v>
      </c>
    </row>
    <row r="1150" spans="1:16" x14ac:dyDescent="0.25">
      <c r="A1150" t="s">
        <v>181</v>
      </c>
      <c r="F1150">
        <v>0.57351851851851854</v>
      </c>
      <c r="G1150" t="s">
        <v>20</v>
      </c>
      <c r="H1150">
        <v>0</v>
      </c>
      <c r="I1150">
        <v>0.85</v>
      </c>
      <c r="J1150" t="s">
        <v>21</v>
      </c>
      <c r="M1150">
        <v>1</v>
      </c>
      <c r="N1150">
        <v>82280.218999999997</v>
      </c>
      <c r="O1150">
        <v>0</v>
      </c>
    </row>
    <row r="1151" spans="1:16" x14ac:dyDescent="0.25">
      <c r="A1151" t="s">
        <v>182</v>
      </c>
      <c r="F1151">
        <v>0.57548611111111114</v>
      </c>
      <c r="G1151" t="s">
        <v>20</v>
      </c>
      <c r="H1151">
        <v>0</v>
      </c>
      <c r="I1151">
        <v>0.85</v>
      </c>
      <c r="J1151" t="s">
        <v>21</v>
      </c>
      <c r="K1151" t="s">
        <v>27</v>
      </c>
      <c r="L1151">
        <v>2.113</v>
      </c>
      <c r="M1151">
        <v>1</v>
      </c>
      <c r="N1151">
        <v>82015.625</v>
      </c>
      <c r="O1151">
        <v>2.5763383501619357E-5</v>
      </c>
      <c r="P1151">
        <v>0.85</v>
      </c>
    </row>
    <row r="1152" spans="1:16" x14ac:dyDescent="0.25">
      <c r="A1152" t="s">
        <v>183</v>
      </c>
      <c r="F1152">
        <v>0.57743055555555556</v>
      </c>
      <c r="G1152" t="s">
        <v>20</v>
      </c>
      <c r="H1152">
        <v>0</v>
      </c>
      <c r="I1152">
        <v>0.85</v>
      </c>
      <c r="J1152" t="s">
        <v>21</v>
      </c>
      <c r="K1152" t="s">
        <v>27</v>
      </c>
      <c r="L1152">
        <v>0.77300000000000002</v>
      </c>
      <c r="M1152">
        <v>1</v>
      </c>
      <c r="N1152">
        <v>83588.202999999994</v>
      </c>
      <c r="O1152">
        <v>9.2477164510882008E-6</v>
      </c>
      <c r="P1152">
        <v>0.85</v>
      </c>
    </row>
    <row r="1153" spans="1:19" x14ac:dyDescent="0.25">
      <c r="A1153" t="s">
        <v>184</v>
      </c>
      <c r="F1153">
        <v>0.57929398148148148</v>
      </c>
      <c r="G1153" t="s">
        <v>20</v>
      </c>
      <c r="H1153">
        <v>0</v>
      </c>
      <c r="I1153">
        <v>0.85</v>
      </c>
      <c r="J1153" t="s">
        <v>21</v>
      </c>
      <c r="K1153" t="s">
        <v>27</v>
      </c>
      <c r="L1153">
        <v>2.0750000000000002</v>
      </c>
      <c r="M1153">
        <v>1</v>
      </c>
      <c r="N1153">
        <v>80724.952999999994</v>
      </c>
      <c r="O1153">
        <v>2.5704567458837671E-5</v>
      </c>
      <c r="P1153">
        <v>0.86</v>
      </c>
    </row>
    <row r="1154" spans="1:19" x14ac:dyDescent="0.25">
      <c r="A1154" t="s">
        <v>185</v>
      </c>
      <c r="F1154">
        <v>0.5811574074074074</v>
      </c>
      <c r="G1154" t="s">
        <v>20</v>
      </c>
      <c r="H1154">
        <v>0</v>
      </c>
      <c r="I1154">
        <v>0.85</v>
      </c>
      <c r="J1154" t="s">
        <v>21</v>
      </c>
      <c r="M1154">
        <v>1</v>
      </c>
      <c r="N1154">
        <v>85890</v>
      </c>
      <c r="O1154">
        <v>0</v>
      </c>
    </row>
    <row r="1155" spans="1:19" x14ac:dyDescent="0.25">
      <c r="A1155" t="s">
        <v>186</v>
      </c>
      <c r="F1155">
        <v>0.58302083333333332</v>
      </c>
      <c r="G1155" t="s">
        <v>20</v>
      </c>
      <c r="H1155">
        <v>0</v>
      </c>
      <c r="I1155">
        <v>0.85</v>
      </c>
      <c r="J1155" t="s">
        <v>21</v>
      </c>
      <c r="M1155">
        <v>1</v>
      </c>
      <c r="N1155">
        <v>87285.202999999994</v>
      </c>
      <c r="O1155">
        <v>0</v>
      </c>
    </row>
    <row r="1156" spans="1:19" x14ac:dyDescent="0.25">
      <c r="A1156" t="s">
        <v>187</v>
      </c>
      <c r="F1156">
        <v>0.58489583333333328</v>
      </c>
      <c r="G1156" t="s">
        <v>20</v>
      </c>
      <c r="H1156">
        <v>0</v>
      </c>
      <c r="I1156">
        <v>0.86</v>
      </c>
      <c r="J1156" t="s">
        <v>21</v>
      </c>
      <c r="K1156" t="s">
        <v>27</v>
      </c>
      <c r="L1156">
        <v>0.63700000000000001</v>
      </c>
      <c r="M1156">
        <v>1</v>
      </c>
      <c r="N1156">
        <v>266.41899999999998</v>
      </c>
      <c r="O1156">
        <v>2.3909706139577133E-3</v>
      </c>
      <c r="P1156">
        <v>0.85</v>
      </c>
    </row>
    <row r="1157" spans="1:19" x14ac:dyDescent="0.25">
      <c r="A1157" t="s">
        <v>188</v>
      </c>
      <c r="F1157">
        <v>0.58678240740740739</v>
      </c>
      <c r="G1157" t="s">
        <v>20</v>
      </c>
      <c r="H1157">
        <v>0</v>
      </c>
      <c r="I1157">
        <v>0.86</v>
      </c>
      <c r="J1157" t="s">
        <v>21</v>
      </c>
      <c r="K1157" t="s">
        <v>27</v>
      </c>
      <c r="L1157">
        <v>0.754</v>
      </c>
      <c r="M1157">
        <v>1</v>
      </c>
      <c r="N1157">
        <v>109.754</v>
      </c>
      <c r="O1157">
        <v>6.8699090693733252E-3</v>
      </c>
      <c r="P1157">
        <v>0.83</v>
      </c>
    </row>
    <row r="1158" spans="1:19" x14ac:dyDescent="0.25">
      <c r="A1158" s="2" t="s">
        <v>189</v>
      </c>
      <c r="B1158" s="2"/>
      <c r="C1158" s="2"/>
      <c r="D1158" s="2"/>
      <c r="E1158" s="2"/>
      <c r="F1158" s="2">
        <v>0.58876157407407403</v>
      </c>
      <c r="G1158" s="2" t="s">
        <v>20</v>
      </c>
      <c r="H1158" s="2">
        <v>0</v>
      </c>
      <c r="I1158" s="2">
        <v>0.85</v>
      </c>
      <c r="J1158" s="2" t="s">
        <v>21</v>
      </c>
      <c r="K1158" s="2" t="s">
        <v>27</v>
      </c>
      <c r="L1158" s="2">
        <v>67560.054999999993</v>
      </c>
      <c r="M1158" s="2">
        <v>1</v>
      </c>
      <c r="N1158" s="2">
        <v>78006.75</v>
      </c>
      <c r="O1158" s="2">
        <v>0.86607960208571688</v>
      </c>
      <c r="P1158" s="2">
        <v>0.79</v>
      </c>
      <c r="Q1158" s="2"/>
      <c r="R1158" s="2"/>
      <c r="S1158" s="2"/>
    </row>
    <row r="1159" spans="1:19" x14ac:dyDescent="0.25">
      <c r="A1159" s="2" t="s">
        <v>190</v>
      </c>
      <c r="B1159" s="2"/>
      <c r="C1159" s="2"/>
      <c r="D1159" s="2"/>
      <c r="E1159" s="2"/>
      <c r="F1159" s="2">
        <v>0.5907175925925926</v>
      </c>
      <c r="G1159" s="2" t="s">
        <v>20</v>
      </c>
      <c r="H1159" s="2">
        <v>0</v>
      </c>
      <c r="I1159" s="2">
        <v>0.85</v>
      </c>
      <c r="J1159" s="2" t="s">
        <v>21</v>
      </c>
      <c r="K1159" s="2" t="s">
        <v>27</v>
      </c>
      <c r="L1159" s="2">
        <v>69932.085999999996</v>
      </c>
      <c r="M1159" s="2">
        <v>1</v>
      </c>
      <c r="N1159" s="2">
        <v>81092.922000000006</v>
      </c>
      <c r="O1159" s="2">
        <v>0.86236978857414948</v>
      </c>
      <c r="P1159" s="2">
        <v>0.79</v>
      </c>
      <c r="Q1159" s="2"/>
      <c r="R1159" s="2"/>
      <c r="S1159" s="2"/>
    </row>
    <row r="1160" spans="1:19" x14ac:dyDescent="0.25">
      <c r="A1160" t="s">
        <v>191</v>
      </c>
      <c r="F1160">
        <v>0.59258101851851852</v>
      </c>
      <c r="G1160" t="s">
        <v>20</v>
      </c>
      <c r="H1160">
        <v>0</v>
      </c>
      <c r="I1160">
        <v>0.85</v>
      </c>
      <c r="J1160" t="s">
        <v>21</v>
      </c>
      <c r="K1160" t="s">
        <v>27</v>
      </c>
      <c r="L1160">
        <v>13.489000000000001</v>
      </c>
      <c r="M1160">
        <v>1</v>
      </c>
      <c r="N1160">
        <v>78620.616999999998</v>
      </c>
      <c r="O1160">
        <v>1.715707725875517E-4</v>
      </c>
      <c r="P1160">
        <v>0.78</v>
      </c>
    </row>
    <row r="1161" spans="1:19" x14ac:dyDescent="0.25">
      <c r="A1161" t="s">
        <v>192</v>
      </c>
      <c r="F1161">
        <v>0.59444444444444444</v>
      </c>
      <c r="G1161" t="s">
        <v>20</v>
      </c>
      <c r="H1161">
        <v>0</v>
      </c>
      <c r="I1161">
        <v>0.85</v>
      </c>
      <c r="J1161" t="s">
        <v>21</v>
      </c>
      <c r="K1161" t="s">
        <v>27</v>
      </c>
      <c r="L1161">
        <v>22.056000000000001</v>
      </c>
      <c r="M1161">
        <v>1</v>
      </c>
      <c r="N1161">
        <v>76617.766000000003</v>
      </c>
      <c r="O1161">
        <v>2.8787057038441973E-4</v>
      </c>
      <c r="P1161">
        <v>0.81</v>
      </c>
    </row>
    <row r="1162" spans="1:19" x14ac:dyDescent="0.25">
      <c r="A1162" t="s">
        <v>193</v>
      </c>
      <c r="F1162">
        <v>0.59630787037037036</v>
      </c>
      <c r="G1162" t="s">
        <v>20</v>
      </c>
      <c r="H1162">
        <v>0</v>
      </c>
      <c r="I1162">
        <v>0.86</v>
      </c>
      <c r="J1162" t="s">
        <v>21</v>
      </c>
      <c r="K1162" t="s">
        <v>27</v>
      </c>
      <c r="L1162">
        <v>23.181999999999999</v>
      </c>
      <c r="M1162">
        <v>1</v>
      </c>
      <c r="N1162">
        <v>79449.320000000007</v>
      </c>
      <c r="O1162">
        <v>2.9178349166487515E-4</v>
      </c>
      <c r="P1162">
        <v>0.79</v>
      </c>
    </row>
    <row r="1163" spans="1:19" x14ac:dyDescent="0.25">
      <c r="A1163" t="s">
        <v>194</v>
      </c>
      <c r="F1163">
        <v>0.59819444444444447</v>
      </c>
      <c r="G1163" t="s">
        <v>20</v>
      </c>
      <c r="H1163">
        <v>0</v>
      </c>
      <c r="I1163">
        <v>0.85</v>
      </c>
      <c r="J1163" t="s">
        <v>21</v>
      </c>
      <c r="K1163" t="s">
        <v>27</v>
      </c>
      <c r="L1163">
        <v>0.28299999999999997</v>
      </c>
      <c r="M1163">
        <v>1</v>
      </c>
      <c r="N1163">
        <v>81529.766000000003</v>
      </c>
      <c r="O1163">
        <v>3.4711248895280768E-6</v>
      </c>
      <c r="P1163">
        <v>0.77</v>
      </c>
    </row>
    <row r="1164" spans="1:19" x14ac:dyDescent="0.25">
      <c r="A1164" t="s">
        <v>195</v>
      </c>
      <c r="F1164">
        <v>0.60005787037037039</v>
      </c>
      <c r="G1164" t="s">
        <v>20</v>
      </c>
      <c r="H1164">
        <v>0</v>
      </c>
      <c r="I1164">
        <v>0.85</v>
      </c>
      <c r="J1164" t="s">
        <v>21</v>
      </c>
      <c r="M1164">
        <v>1</v>
      </c>
      <c r="N1164">
        <v>80463.766000000003</v>
      </c>
      <c r="O1164">
        <v>0</v>
      </c>
    </row>
    <row r="1165" spans="1:19" x14ac:dyDescent="0.25">
      <c r="A1165" t="s">
        <v>196</v>
      </c>
      <c r="F1165">
        <v>0.60192129629629632</v>
      </c>
      <c r="G1165" t="s">
        <v>20</v>
      </c>
      <c r="H1165">
        <v>0</v>
      </c>
      <c r="I1165">
        <v>0.85</v>
      </c>
      <c r="J1165" t="s">
        <v>21</v>
      </c>
      <c r="K1165" t="s">
        <v>27</v>
      </c>
      <c r="L1165">
        <v>2.0179999999999998</v>
      </c>
      <c r="M1165">
        <v>1</v>
      </c>
      <c r="N1165">
        <v>81377.547000000006</v>
      </c>
      <c r="O1165">
        <v>2.4797994955537301E-5</v>
      </c>
      <c r="P1165">
        <v>0.86</v>
      </c>
    </row>
    <row r="1166" spans="1:19" x14ac:dyDescent="0.25">
      <c r="A1166" t="s">
        <v>197</v>
      </c>
      <c r="F1166">
        <v>0.60380787037037031</v>
      </c>
      <c r="G1166" t="s">
        <v>20</v>
      </c>
      <c r="H1166">
        <v>0</v>
      </c>
      <c r="I1166">
        <v>0.85</v>
      </c>
      <c r="J1166" t="s">
        <v>21</v>
      </c>
      <c r="M1166">
        <v>1</v>
      </c>
      <c r="N1166">
        <v>79696.797000000006</v>
      </c>
      <c r="O1166">
        <v>0</v>
      </c>
    </row>
    <row r="1167" spans="1:19" x14ac:dyDescent="0.25">
      <c r="A1167" t="s">
        <v>198</v>
      </c>
      <c r="F1167">
        <v>0.60577546296296292</v>
      </c>
      <c r="G1167" t="s">
        <v>20</v>
      </c>
      <c r="H1167">
        <v>0</v>
      </c>
      <c r="I1167">
        <v>0.86</v>
      </c>
      <c r="J1167" t="s">
        <v>21</v>
      </c>
      <c r="M1167">
        <v>1</v>
      </c>
      <c r="N1167">
        <v>80965.358999999997</v>
      </c>
      <c r="O1167">
        <v>0</v>
      </c>
    </row>
    <row r="1168" spans="1:19" x14ac:dyDescent="0.25">
      <c r="A1168" t="s">
        <v>199</v>
      </c>
      <c r="F1168">
        <v>0.60774305555555552</v>
      </c>
      <c r="G1168" t="s">
        <v>20</v>
      </c>
      <c r="H1168">
        <v>0</v>
      </c>
      <c r="I1168">
        <v>0.85</v>
      </c>
      <c r="J1168" t="s">
        <v>21</v>
      </c>
      <c r="K1168" t="s">
        <v>27</v>
      </c>
      <c r="L1168">
        <v>7.1999999999999995E-2</v>
      </c>
      <c r="M1168">
        <v>1</v>
      </c>
      <c r="N1168">
        <v>79312.156000000003</v>
      </c>
      <c r="O1168">
        <v>9.0780535583977807E-7</v>
      </c>
      <c r="P1168">
        <v>0.86</v>
      </c>
    </row>
    <row r="1169" spans="1:16" x14ac:dyDescent="0.25">
      <c r="A1169" t="s">
        <v>200</v>
      </c>
      <c r="F1169">
        <v>0.60971064814814813</v>
      </c>
      <c r="G1169" t="s">
        <v>20</v>
      </c>
      <c r="H1169">
        <v>0</v>
      </c>
      <c r="I1169">
        <v>0.85</v>
      </c>
      <c r="J1169" t="s">
        <v>21</v>
      </c>
      <c r="M1169">
        <v>1</v>
      </c>
      <c r="N1169">
        <v>78685.695000000007</v>
      </c>
      <c r="O1169">
        <v>0</v>
      </c>
    </row>
    <row r="1170" spans="1:16" x14ac:dyDescent="0.25">
      <c r="A1170" t="s">
        <v>201</v>
      </c>
      <c r="F1170">
        <v>0.61165509259259265</v>
      </c>
      <c r="G1170" t="s">
        <v>20</v>
      </c>
      <c r="H1170">
        <v>0</v>
      </c>
      <c r="I1170">
        <v>0.85</v>
      </c>
      <c r="J1170" t="s">
        <v>21</v>
      </c>
      <c r="M1170">
        <v>1</v>
      </c>
      <c r="N1170">
        <v>77538.351999999999</v>
      </c>
      <c r="O1170">
        <v>0</v>
      </c>
    </row>
    <row r="1171" spans="1:16" x14ac:dyDescent="0.25">
      <c r="A1171" t="s">
        <v>202</v>
      </c>
      <c r="F1171">
        <v>0.61353009259259261</v>
      </c>
      <c r="G1171" t="s">
        <v>20</v>
      </c>
      <c r="H1171">
        <v>0</v>
      </c>
      <c r="I1171">
        <v>0.85</v>
      </c>
      <c r="J1171" t="s">
        <v>21</v>
      </c>
      <c r="M1171">
        <v>1</v>
      </c>
      <c r="N1171">
        <v>76484.452999999994</v>
      </c>
      <c r="O1171">
        <v>0</v>
      </c>
    </row>
    <row r="1172" spans="1:16" x14ac:dyDescent="0.25">
      <c r="A1172" t="s">
        <v>203</v>
      </c>
      <c r="F1172">
        <v>0.61539351851851853</v>
      </c>
      <c r="G1172" t="s">
        <v>20</v>
      </c>
      <c r="H1172">
        <v>0</v>
      </c>
      <c r="I1172">
        <v>0.85</v>
      </c>
      <c r="J1172" t="s">
        <v>21</v>
      </c>
      <c r="M1172">
        <v>1</v>
      </c>
      <c r="N1172">
        <v>77630.75</v>
      </c>
      <c r="O1172">
        <v>0</v>
      </c>
    </row>
    <row r="1173" spans="1:16" x14ac:dyDescent="0.25">
      <c r="A1173" t="s">
        <v>204</v>
      </c>
      <c r="F1173">
        <v>0.61725694444444446</v>
      </c>
      <c r="G1173" t="s">
        <v>20</v>
      </c>
      <c r="H1173">
        <v>0</v>
      </c>
      <c r="I1173">
        <v>0.86</v>
      </c>
      <c r="J1173" t="s">
        <v>21</v>
      </c>
      <c r="M1173">
        <v>1</v>
      </c>
      <c r="N1173">
        <v>74698.75</v>
      </c>
      <c r="O1173">
        <v>0</v>
      </c>
    </row>
    <row r="1174" spans="1:16" x14ac:dyDescent="0.25">
      <c r="A1174" t="s">
        <v>205</v>
      </c>
      <c r="F1174">
        <v>0.61913194444444442</v>
      </c>
      <c r="G1174" t="s">
        <v>20</v>
      </c>
      <c r="H1174">
        <v>0</v>
      </c>
      <c r="I1174">
        <v>0.86</v>
      </c>
      <c r="J1174" t="s">
        <v>21</v>
      </c>
      <c r="K1174" t="s">
        <v>27</v>
      </c>
      <c r="L1174">
        <v>1.125</v>
      </c>
      <c r="M1174">
        <v>1</v>
      </c>
      <c r="N1174">
        <v>73690.656000000003</v>
      </c>
      <c r="O1174">
        <v>1.5266521714774801E-5</v>
      </c>
      <c r="P1174">
        <v>0.85</v>
      </c>
    </row>
    <row r="1175" spans="1:16" x14ac:dyDescent="0.25">
      <c r="A1175" t="s">
        <v>206</v>
      </c>
      <c r="F1175">
        <v>0.62100694444444449</v>
      </c>
      <c r="G1175" t="s">
        <v>20</v>
      </c>
      <c r="H1175">
        <v>0</v>
      </c>
      <c r="I1175">
        <v>0.85</v>
      </c>
      <c r="J1175" t="s">
        <v>21</v>
      </c>
      <c r="M1175">
        <v>1</v>
      </c>
      <c r="N1175">
        <v>75456.952999999994</v>
      </c>
      <c r="O1175">
        <v>0</v>
      </c>
    </row>
    <row r="1176" spans="1:16" x14ac:dyDescent="0.25">
      <c r="A1176" t="s">
        <v>207</v>
      </c>
      <c r="F1176">
        <v>0.62288194444444445</v>
      </c>
      <c r="G1176" t="s">
        <v>20</v>
      </c>
      <c r="H1176">
        <v>0</v>
      </c>
      <c r="I1176">
        <v>0.85</v>
      </c>
      <c r="J1176" t="s">
        <v>21</v>
      </c>
      <c r="K1176" t="s">
        <v>27</v>
      </c>
      <c r="L1176">
        <v>0.221</v>
      </c>
      <c r="M1176">
        <v>1</v>
      </c>
      <c r="N1176">
        <v>79055.422000000006</v>
      </c>
      <c r="O1176">
        <v>2.795507182290419E-6</v>
      </c>
      <c r="P1176">
        <v>0.86</v>
      </c>
    </row>
    <row r="1177" spans="1:16" x14ac:dyDescent="0.25">
      <c r="A1177" t="s">
        <v>208</v>
      </c>
      <c r="F1177">
        <v>0.62475694444444441</v>
      </c>
      <c r="G1177" t="s">
        <v>20</v>
      </c>
      <c r="H1177">
        <v>0</v>
      </c>
      <c r="I1177">
        <v>0.85</v>
      </c>
      <c r="J1177" t="s">
        <v>21</v>
      </c>
      <c r="K1177" t="s">
        <v>27</v>
      </c>
      <c r="L1177">
        <v>1.349</v>
      </c>
      <c r="M1177">
        <v>1</v>
      </c>
      <c r="N1177">
        <v>79091.718999999997</v>
      </c>
      <c r="O1177">
        <v>1.7056147180212381E-5</v>
      </c>
      <c r="P1177">
        <v>0.85</v>
      </c>
    </row>
    <row r="1178" spans="1:16" x14ac:dyDescent="0.25">
      <c r="A1178" t="s">
        <v>209</v>
      </c>
      <c r="F1178">
        <v>0.62672453703703701</v>
      </c>
      <c r="G1178" t="s">
        <v>20</v>
      </c>
      <c r="H1178">
        <v>0</v>
      </c>
      <c r="I1178">
        <v>0.85</v>
      </c>
      <c r="J1178" t="s">
        <v>21</v>
      </c>
      <c r="M1178">
        <v>1</v>
      </c>
      <c r="N1178">
        <v>77321.656000000003</v>
      </c>
      <c r="O1178">
        <v>0</v>
      </c>
    </row>
    <row r="1179" spans="1:16" x14ac:dyDescent="0.25">
      <c r="A1179" t="s">
        <v>210</v>
      </c>
      <c r="F1179">
        <v>0.62858796296296293</v>
      </c>
      <c r="G1179" t="s">
        <v>20</v>
      </c>
      <c r="H1179">
        <v>0</v>
      </c>
      <c r="I1179">
        <v>0.85</v>
      </c>
      <c r="J1179" t="s">
        <v>21</v>
      </c>
      <c r="K1179" t="s">
        <v>27</v>
      </c>
      <c r="L1179">
        <v>1.002</v>
      </c>
      <c r="M1179">
        <v>1</v>
      </c>
      <c r="N1179">
        <v>73440.116999999998</v>
      </c>
      <c r="O1179">
        <v>1.3643769113276332E-5</v>
      </c>
      <c r="P1179">
        <v>0.85</v>
      </c>
    </row>
    <row r="1180" spans="1:16" x14ac:dyDescent="0.25">
      <c r="A1180" t="s">
        <v>211</v>
      </c>
      <c r="F1180">
        <v>0.63056712962962969</v>
      </c>
      <c r="G1180" t="s">
        <v>20</v>
      </c>
      <c r="H1180">
        <v>0</v>
      </c>
      <c r="I1180">
        <v>0.85</v>
      </c>
      <c r="J1180" t="s">
        <v>21</v>
      </c>
      <c r="M1180">
        <v>1</v>
      </c>
      <c r="N1180">
        <v>77216.827999999994</v>
      </c>
      <c r="O1180">
        <v>0</v>
      </c>
    </row>
    <row r="1181" spans="1:16" x14ac:dyDescent="0.25">
      <c r="A1181" t="s">
        <v>212</v>
      </c>
      <c r="F1181">
        <v>0.63240740740740742</v>
      </c>
      <c r="G1181" t="s">
        <v>20</v>
      </c>
      <c r="H1181">
        <v>0</v>
      </c>
      <c r="I1181">
        <v>0.85</v>
      </c>
      <c r="J1181" t="s">
        <v>21</v>
      </c>
      <c r="K1181" t="s">
        <v>27</v>
      </c>
      <c r="L1181">
        <v>7.9000000000000001E-2</v>
      </c>
      <c r="M1181">
        <v>1</v>
      </c>
      <c r="N1181">
        <v>74267.241999999998</v>
      </c>
      <c r="O1181">
        <v>1.0637260503089641E-6</v>
      </c>
      <c r="P1181">
        <v>0.78</v>
      </c>
    </row>
    <row r="1182" spans="1:16" x14ac:dyDescent="0.25">
      <c r="A1182" t="s">
        <v>213</v>
      </c>
      <c r="F1182">
        <v>0.63429398148148153</v>
      </c>
      <c r="G1182" t="s">
        <v>20</v>
      </c>
      <c r="H1182">
        <v>0</v>
      </c>
      <c r="I1182">
        <v>0.86</v>
      </c>
      <c r="J1182" t="s">
        <v>21</v>
      </c>
      <c r="M1182">
        <v>1</v>
      </c>
      <c r="N1182">
        <v>77316.695000000007</v>
      </c>
      <c r="O1182">
        <v>0</v>
      </c>
    </row>
    <row r="1183" spans="1:16" x14ac:dyDescent="0.25">
      <c r="A1183" t="s">
        <v>214</v>
      </c>
      <c r="F1183">
        <v>0.63615740740740734</v>
      </c>
      <c r="G1183" t="s">
        <v>20</v>
      </c>
      <c r="H1183">
        <v>0</v>
      </c>
      <c r="I1183">
        <v>0.85</v>
      </c>
      <c r="J1183" t="s">
        <v>21</v>
      </c>
      <c r="M1183">
        <v>1</v>
      </c>
      <c r="N1183">
        <v>70950.452999999994</v>
      </c>
      <c r="O1183">
        <v>0</v>
      </c>
    </row>
    <row r="1184" spans="1:16" x14ac:dyDescent="0.25">
      <c r="A1184" t="s">
        <v>215</v>
      </c>
      <c r="F1184">
        <v>0.63806712962962964</v>
      </c>
      <c r="G1184" t="s">
        <v>20</v>
      </c>
      <c r="H1184">
        <v>0</v>
      </c>
      <c r="I1184">
        <v>0.85</v>
      </c>
      <c r="J1184" t="s">
        <v>21</v>
      </c>
      <c r="M1184">
        <v>1</v>
      </c>
      <c r="N1184">
        <v>76658.133000000002</v>
      </c>
      <c r="O1184">
        <v>0</v>
      </c>
    </row>
    <row r="1185" spans="1:19" x14ac:dyDescent="0.25">
      <c r="A1185" t="s">
        <v>216</v>
      </c>
      <c r="F1185">
        <v>0.6399421296296296</v>
      </c>
      <c r="G1185" t="s">
        <v>20</v>
      </c>
      <c r="H1185">
        <v>0</v>
      </c>
      <c r="I1185">
        <v>0.85</v>
      </c>
      <c r="J1185" t="s">
        <v>21</v>
      </c>
      <c r="K1185" t="s">
        <v>27</v>
      </c>
      <c r="L1185">
        <v>1.155</v>
      </c>
      <c r="M1185">
        <v>1</v>
      </c>
      <c r="N1185">
        <v>77482.891000000003</v>
      </c>
      <c r="O1185">
        <v>1.4906516588287857E-5</v>
      </c>
      <c r="P1185">
        <v>0.85</v>
      </c>
    </row>
    <row r="1186" spans="1:19" x14ac:dyDescent="0.25">
      <c r="A1186" t="s">
        <v>217</v>
      </c>
      <c r="F1186">
        <v>0.64180555555555552</v>
      </c>
      <c r="G1186" t="s">
        <v>20</v>
      </c>
      <c r="H1186">
        <v>0</v>
      </c>
      <c r="I1186">
        <v>0.85</v>
      </c>
      <c r="J1186" t="s">
        <v>21</v>
      </c>
      <c r="M1186">
        <v>1</v>
      </c>
      <c r="N1186">
        <v>81169.391000000003</v>
      </c>
      <c r="O1186">
        <v>0</v>
      </c>
    </row>
    <row r="1187" spans="1:19" x14ac:dyDescent="0.25">
      <c r="A1187" t="s">
        <v>218</v>
      </c>
      <c r="F1187">
        <v>0.64368055555555559</v>
      </c>
      <c r="G1187" t="s">
        <v>20</v>
      </c>
      <c r="H1187">
        <v>0</v>
      </c>
      <c r="I1187">
        <v>0.85</v>
      </c>
      <c r="J1187" t="s">
        <v>21</v>
      </c>
      <c r="M1187">
        <v>1</v>
      </c>
      <c r="N1187">
        <v>79876.843999999997</v>
      </c>
      <c r="O1187">
        <v>0</v>
      </c>
    </row>
    <row r="1188" spans="1:19" x14ac:dyDescent="0.25">
      <c r="A1188" t="s">
        <v>219</v>
      </c>
      <c r="F1188">
        <v>0.64554398148148151</v>
      </c>
      <c r="G1188" t="s">
        <v>20</v>
      </c>
      <c r="H1188">
        <v>0</v>
      </c>
      <c r="I1188">
        <v>0.86</v>
      </c>
      <c r="J1188" t="s">
        <v>21</v>
      </c>
      <c r="M1188">
        <v>1</v>
      </c>
      <c r="N1188">
        <v>199.23699999999999</v>
      </c>
      <c r="O1188">
        <v>0</v>
      </c>
    </row>
    <row r="1189" spans="1:19" x14ac:dyDescent="0.25">
      <c r="A1189" t="s">
        <v>220</v>
      </c>
      <c r="F1189">
        <v>0.64741898148148147</v>
      </c>
      <c r="G1189" t="s">
        <v>20</v>
      </c>
      <c r="H1189">
        <v>0</v>
      </c>
      <c r="I1189">
        <v>0.85</v>
      </c>
      <c r="J1189" t="s">
        <v>21</v>
      </c>
      <c r="K1189" t="s">
        <v>27</v>
      </c>
      <c r="L1189">
        <v>5.1999999999999998E-2</v>
      </c>
      <c r="M1189">
        <v>1</v>
      </c>
      <c r="N1189">
        <v>87.394999999999996</v>
      </c>
      <c r="O1189">
        <v>5.9499971394244523E-4</v>
      </c>
      <c r="P1189">
        <v>0.78</v>
      </c>
    </row>
    <row r="1190" spans="1:19" x14ac:dyDescent="0.25">
      <c r="A1190" t="s">
        <v>19</v>
      </c>
      <c r="F1190">
        <v>0.64932870370370377</v>
      </c>
      <c r="G1190" t="s">
        <v>221</v>
      </c>
      <c r="H1190">
        <v>0</v>
      </c>
      <c r="I1190">
        <v>0.86</v>
      </c>
      <c r="J1190" t="s">
        <v>222</v>
      </c>
      <c r="K1190" t="s">
        <v>27</v>
      </c>
      <c r="L1190">
        <v>0.92800000000000005</v>
      </c>
      <c r="M1190">
        <v>1</v>
      </c>
      <c r="N1190">
        <v>81.486000000000004</v>
      </c>
      <c r="O1190">
        <v>1.1388459367253271E-2</v>
      </c>
      <c r="P1190">
        <v>1.0900000000000001</v>
      </c>
    </row>
    <row r="1191" spans="1:19" x14ac:dyDescent="0.25">
      <c r="A1191" t="s">
        <v>22</v>
      </c>
      <c r="F1191">
        <v>0.65140046296296295</v>
      </c>
      <c r="G1191" t="s">
        <v>221</v>
      </c>
      <c r="H1191">
        <v>0</v>
      </c>
      <c r="I1191">
        <v>0.86</v>
      </c>
      <c r="J1191" t="s">
        <v>222</v>
      </c>
      <c r="M1191">
        <v>1</v>
      </c>
      <c r="N1191">
        <v>37.616999999999997</v>
      </c>
      <c r="O1191">
        <v>0</v>
      </c>
    </row>
    <row r="1192" spans="1:19" x14ac:dyDescent="0.25">
      <c r="A1192" s="2" t="s">
        <v>23</v>
      </c>
      <c r="B1192" s="2"/>
      <c r="C1192" s="2"/>
      <c r="D1192" s="2"/>
      <c r="E1192" s="2"/>
      <c r="F1192" s="2">
        <v>0.65523148148148147</v>
      </c>
      <c r="G1192" s="2" t="s">
        <v>221</v>
      </c>
      <c r="H1192" s="2">
        <v>0</v>
      </c>
      <c r="I1192" s="2">
        <v>0.86</v>
      </c>
      <c r="J1192" s="2" t="s">
        <v>222</v>
      </c>
      <c r="K1192" s="2" t="s">
        <v>27</v>
      </c>
      <c r="L1192" s="2">
        <v>5.4740000000000002</v>
      </c>
      <c r="M1192" s="2">
        <v>1</v>
      </c>
      <c r="N1192" s="2">
        <v>101225.531</v>
      </c>
      <c r="O1192" s="2">
        <v>5.4077266337086443E-5</v>
      </c>
      <c r="P1192" s="2">
        <v>1.08</v>
      </c>
      <c r="Q1192" s="2"/>
      <c r="R1192" s="2"/>
      <c r="S1192" s="2"/>
    </row>
    <row r="1193" spans="1:19" x14ac:dyDescent="0.25">
      <c r="A1193" s="2" t="s">
        <v>25</v>
      </c>
      <c r="B1193" s="2"/>
      <c r="C1193" s="2"/>
      <c r="D1193" s="2"/>
      <c r="E1193" s="2"/>
      <c r="F1193" s="2">
        <v>0.65708333333333335</v>
      </c>
      <c r="G1193" s="2" t="s">
        <v>221</v>
      </c>
      <c r="H1193" s="2">
        <v>0</v>
      </c>
      <c r="I1193" s="2">
        <v>0.86</v>
      </c>
      <c r="J1193" s="2" t="s">
        <v>222</v>
      </c>
      <c r="K1193" s="2" t="s">
        <v>27</v>
      </c>
      <c r="L1193" s="2">
        <v>6.4039999999999999</v>
      </c>
      <c r="M1193" s="2">
        <v>1</v>
      </c>
      <c r="N1193" s="2">
        <v>100985.69500000001</v>
      </c>
      <c r="O1193" s="2">
        <v>6.341492228181426E-5</v>
      </c>
      <c r="P1193" s="2">
        <v>1.1100000000000001</v>
      </c>
      <c r="Q1193" s="2"/>
      <c r="R1193" s="2"/>
      <c r="S1193" s="2"/>
    </row>
    <row r="1194" spans="1:19" x14ac:dyDescent="0.25">
      <c r="A1194" s="2" t="s">
        <v>26</v>
      </c>
      <c r="B1194" s="2"/>
      <c r="C1194" s="2"/>
      <c r="D1194" s="2"/>
      <c r="E1194" s="2"/>
      <c r="F1194" s="2">
        <v>0.65706018518518516</v>
      </c>
      <c r="G1194" s="2" t="s">
        <v>221</v>
      </c>
      <c r="H1194" s="2">
        <v>0</v>
      </c>
      <c r="I1194" s="2">
        <v>0.85</v>
      </c>
      <c r="J1194" s="2" t="s">
        <v>222</v>
      </c>
      <c r="K1194" s="2" t="s">
        <v>24</v>
      </c>
      <c r="L1194" s="2">
        <v>1.083</v>
      </c>
      <c r="M1194" s="2">
        <v>1</v>
      </c>
      <c r="N1194" s="2">
        <v>95940.266000000003</v>
      </c>
      <c r="O1194" s="2">
        <v>1.1288273893257706E-5</v>
      </c>
      <c r="P1194" s="2">
        <v>1.1599999999999999</v>
      </c>
      <c r="Q1194" s="2"/>
      <c r="R1194" s="2"/>
      <c r="S1194" s="2"/>
    </row>
    <row r="1195" spans="1:19" x14ac:dyDescent="0.25">
      <c r="A1195" s="2" t="s">
        <v>28</v>
      </c>
      <c r="B1195" s="2"/>
      <c r="C1195" s="2"/>
      <c r="D1195" s="2"/>
      <c r="E1195" s="2"/>
      <c r="F1195" s="2">
        <v>0.65893518518518512</v>
      </c>
      <c r="G1195" s="2" t="s">
        <v>221</v>
      </c>
      <c r="H1195" s="2">
        <v>0</v>
      </c>
      <c r="I1195" s="2">
        <v>0.85</v>
      </c>
      <c r="J1195" s="2" t="s">
        <v>222</v>
      </c>
      <c r="K1195" s="2" t="s">
        <v>27</v>
      </c>
      <c r="L1195" s="2">
        <v>0.41</v>
      </c>
      <c r="M1195" s="2">
        <v>1</v>
      </c>
      <c r="N1195" s="2">
        <v>93786.812999999995</v>
      </c>
      <c r="O1195" s="2">
        <v>4.3716167218519303E-6</v>
      </c>
      <c r="P1195" s="2">
        <v>1.1100000000000001</v>
      </c>
      <c r="Q1195" s="2"/>
      <c r="R1195" s="2"/>
      <c r="S1195" s="2"/>
    </row>
    <row r="1196" spans="1:19" x14ac:dyDescent="0.25">
      <c r="A1196" t="s">
        <v>29</v>
      </c>
      <c r="F1196">
        <v>0.6626967592592593</v>
      </c>
      <c r="G1196" t="s">
        <v>221</v>
      </c>
      <c r="H1196">
        <v>0</v>
      </c>
      <c r="I1196">
        <v>0.86</v>
      </c>
      <c r="J1196" t="s">
        <v>222</v>
      </c>
      <c r="M1196">
        <v>1</v>
      </c>
      <c r="N1196">
        <v>110901.508</v>
      </c>
      <c r="O1196">
        <v>0</v>
      </c>
    </row>
    <row r="1197" spans="1:19" x14ac:dyDescent="0.25">
      <c r="A1197" t="s">
        <v>30</v>
      </c>
      <c r="F1197">
        <v>0.66468749999999999</v>
      </c>
      <c r="G1197" t="s">
        <v>221</v>
      </c>
      <c r="H1197">
        <v>0</v>
      </c>
      <c r="I1197">
        <v>0.86</v>
      </c>
      <c r="J1197" t="s">
        <v>222</v>
      </c>
      <c r="K1197" t="s">
        <v>27</v>
      </c>
      <c r="L1197">
        <v>2.2290000000000001</v>
      </c>
      <c r="M1197">
        <v>1</v>
      </c>
      <c r="N1197">
        <v>107494.43</v>
      </c>
      <c r="O1197">
        <v>2.073595813290047E-5</v>
      </c>
      <c r="P1197">
        <v>1.08</v>
      </c>
    </row>
    <row r="1198" spans="1:19" x14ac:dyDescent="0.25">
      <c r="A1198" t="s">
        <v>31</v>
      </c>
      <c r="F1198">
        <v>0.66664351851851855</v>
      </c>
      <c r="G1198" t="s">
        <v>221</v>
      </c>
      <c r="H1198">
        <v>0</v>
      </c>
      <c r="I1198">
        <v>0.86</v>
      </c>
      <c r="J1198" t="s">
        <v>222</v>
      </c>
      <c r="K1198" t="s">
        <v>27</v>
      </c>
      <c r="L1198">
        <v>9.3460000000000001</v>
      </c>
      <c r="M1198">
        <v>1</v>
      </c>
      <c r="N1198">
        <v>112203.008</v>
      </c>
      <c r="O1198">
        <v>8.3295449619318578E-5</v>
      </c>
      <c r="P1198">
        <v>1.1000000000000001</v>
      </c>
    </row>
    <row r="1199" spans="1:19" x14ac:dyDescent="0.25">
      <c r="A1199" t="s">
        <v>32</v>
      </c>
      <c r="F1199">
        <v>0.66863425925925923</v>
      </c>
      <c r="G1199" t="s">
        <v>221</v>
      </c>
      <c r="H1199">
        <v>0</v>
      </c>
      <c r="I1199">
        <v>0.86</v>
      </c>
      <c r="J1199" t="s">
        <v>222</v>
      </c>
      <c r="K1199" t="s">
        <v>27</v>
      </c>
      <c r="L1199">
        <v>6.6150000000000002</v>
      </c>
      <c r="M1199">
        <v>1</v>
      </c>
      <c r="N1199">
        <v>111875.18799999999</v>
      </c>
      <c r="O1199">
        <v>5.9128392257986645E-5</v>
      </c>
      <c r="P1199">
        <v>1.0900000000000001</v>
      </c>
    </row>
    <row r="1200" spans="1:19" x14ac:dyDescent="0.25">
      <c r="A1200" t="s">
        <v>33</v>
      </c>
      <c r="F1200">
        <v>0.6705902777777778</v>
      </c>
      <c r="G1200" t="s">
        <v>221</v>
      </c>
      <c r="H1200">
        <v>0</v>
      </c>
      <c r="I1200">
        <v>0.86</v>
      </c>
      <c r="J1200" t="s">
        <v>222</v>
      </c>
      <c r="M1200">
        <v>1</v>
      </c>
      <c r="N1200">
        <v>110901.81299999999</v>
      </c>
      <c r="O1200">
        <v>0</v>
      </c>
    </row>
    <row r="1201" spans="1:19" x14ac:dyDescent="0.25">
      <c r="A1201" t="s">
        <v>34</v>
      </c>
      <c r="F1201">
        <v>0.6725578703703704</v>
      </c>
      <c r="G1201" t="s">
        <v>221</v>
      </c>
      <c r="H1201">
        <v>0</v>
      </c>
      <c r="I1201">
        <v>0.86</v>
      </c>
      <c r="J1201" t="s">
        <v>222</v>
      </c>
      <c r="M1201">
        <v>1</v>
      </c>
      <c r="N1201">
        <v>110473.492</v>
      </c>
      <c r="O1201">
        <v>0</v>
      </c>
    </row>
    <row r="1202" spans="1:19" x14ac:dyDescent="0.25">
      <c r="A1202" s="2" t="s">
        <v>35</v>
      </c>
      <c r="B1202" s="2"/>
      <c r="C1202" s="2"/>
      <c r="D1202" s="2"/>
      <c r="E1202" s="2"/>
      <c r="F1202" s="2">
        <v>0.67451388888888886</v>
      </c>
      <c r="G1202" s="2" t="s">
        <v>221</v>
      </c>
      <c r="H1202" s="2">
        <v>0</v>
      </c>
      <c r="I1202" s="2">
        <v>0.86</v>
      </c>
      <c r="J1202" s="2" t="s">
        <v>222</v>
      </c>
      <c r="K1202" s="2" t="s">
        <v>27</v>
      </c>
      <c r="L1202" s="2">
        <v>33376.586000000003</v>
      </c>
      <c r="M1202" s="2">
        <v>1</v>
      </c>
      <c r="N1202" s="2">
        <v>115292.648</v>
      </c>
      <c r="O1202" s="2">
        <v>0.28949448710727854</v>
      </c>
      <c r="P1202" s="2">
        <v>1.1000000000000001</v>
      </c>
      <c r="Q1202" s="2"/>
      <c r="R1202" s="2"/>
      <c r="S1202" s="2"/>
    </row>
    <row r="1203" spans="1:19" x14ac:dyDescent="0.25">
      <c r="A1203" s="2" t="s">
        <v>36</v>
      </c>
      <c r="B1203" s="2"/>
      <c r="C1203" s="2"/>
      <c r="D1203" s="2"/>
      <c r="E1203" s="2"/>
      <c r="F1203" s="2">
        <v>0.67648148148148157</v>
      </c>
      <c r="G1203" s="2" t="s">
        <v>221</v>
      </c>
      <c r="H1203" s="2">
        <v>0</v>
      </c>
      <c r="I1203" s="2">
        <v>0.86</v>
      </c>
      <c r="J1203" s="2" t="s">
        <v>222</v>
      </c>
      <c r="K1203" s="2" t="s">
        <v>27</v>
      </c>
      <c r="L1203" s="2">
        <v>26981.636999999999</v>
      </c>
      <c r="M1203" s="2">
        <v>1</v>
      </c>
      <c r="N1203" s="2">
        <v>111619.56299999999</v>
      </c>
      <c r="O1203" s="2">
        <v>0.24172856688213337</v>
      </c>
      <c r="P1203" s="2">
        <v>1.0900000000000001</v>
      </c>
      <c r="Q1203" s="2"/>
      <c r="R1203" s="2"/>
      <c r="S1203" s="2"/>
    </row>
    <row r="1204" spans="1:19" x14ac:dyDescent="0.25">
      <c r="A1204" t="s">
        <v>37</v>
      </c>
      <c r="F1204">
        <v>0.67843749999999992</v>
      </c>
      <c r="G1204" t="s">
        <v>221</v>
      </c>
      <c r="H1204">
        <v>0</v>
      </c>
      <c r="I1204">
        <v>0.86</v>
      </c>
      <c r="J1204" t="s">
        <v>222</v>
      </c>
      <c r="K1204" t="s">
        <v>27</v>
      </c>
      <c r="L1204">
        <v>44.185000000000002</v>
      </c>
      <c r="M1204">
        <v>1</v>
      </c>
      <c r="N1204">
        <v>113838.43799999999</v>
      </c>
      <c r="O1204">
        <v>3.881377922631019E-4</v>
      </c>
      <c r="P1204">
        <v>1.0900000000000001</v>
      </c>
    </row>
    <row r="1205" spans="1:19" x14ac:dyDescent="0.25">
      <c r="A1205" t="s">
        <v>38</v>
      </c>
      <c r="F1205">
        <v>0.68040509259259263</v>
      </c>
      <c r="G1205" t="s">
        <v>221</v>
      </c>
      <c r="H1205">
        <v>0</v>
      </c>
      <c r="I1205">
        <v>0.86</v>
      </c>
      <c r="J1205" t="s">
        <v>222</v>
      </c>
      <c r="K1205" t="s">
        <v>27</v>
      </c>
      <c r="L1205">
        <v>172.70599999999999</v>
      </c>
      <c r="M1205">
        <v>1</v>
      </c>
      <c r="N1205">
        <v>115682.109</v>
      </c>
      <c r="O1205">
        <v>1.4929361289566392E-3</v>
      </c>
      <c r="P1205">
        <v>1.1000000000000001</v>
      </c>
    </row>
    <row r="1206" spans="1:19" x14ac:dyDescent="0.25">
      <c r="A1206" t="s">
        <v>39</v>
      </c>
      <c r="F1206">
        <v>0.68228009259259259</v>
      </c>
      <c r="G1206" t="s">
        <v>221</v>
      </c>
      <c r="H1206">
        <v>0</v>
      </c>
      <c r="I1206">
        <v>0.86</v>
      </c>
      <c r="J1206" t="s">
        <v>222</v>
      </c>
      <c r="K1206" t="s">
        <v>27</v>
      </c>
      <c r="L1206">
        <v>1.0029999999999999</v>
      </c>
      <c r="M1206">
        <v>1</v>
      </c>
      <c r="N1206">
        <v>114083.766</v>
      </c>
      <c r="O1206">
        <v>8.7917855025928913E-6</v>
      </c>
      <c r="P1206">
        <v>1.06</v>
      </c>
    </row>
    <row r="1207" spans="1:19" x14ac:dyDescent="0.25">
      <c r="A1207" t="s">
        <v>40</v>
      </c>
      <c r="F1207">
        <v>0.68425925925925923</v>
      </c>
      <c r="G1207" t="s">
        <v>221</v>
      </c>
      <c r="H1207">
        <v>0</v>
      </c>
      <c r="I1207">
        <v>0.86</v>
      </c>
      <c r="J1207" t="s">
        <v>222</v>
      </c>
      <c r="M1207">
        <v>1</v>
      </c>
      <c r="N1207">
        <v>112092.19500000001</v>
      </c>
      <c r="O1207">
        <v>0</v>
      </c>
    </row>
    <row r="1208" spans="1:19" x14ac:dyDescent="0.25">
      <c r="A1208" t="s">
        <v>41</v>
      </c>
      <c r="F1208">
        <v>0.6862152777777778</v>
      </c>
      <c r="G1208" t="s">
        <v>221</v>
      </c>
      <c r="H1208">
        <v>0</v>
      </c>
      <c r="I1208">
        <v>0.86</v>
      </c>
      <c r="J1208" t="s">
        <v>222</v>
      </c>
      <c r="K1208" t="s">
        <v>27</v>
      </c>
      <c r="L1208">
        <v>0.85</v>
      </c>
      <c r="M1208">
        <v>1</v>
      </c>
      <c r="N1208">
        <v>109805.56299999999</v>
      </c>
      <c r="O1208">
        <v>7.7409557109597448E-6</v>
      </c>
      <c r="P1208">
        <v>1.1100000000000001</v>
      </c>
    </row>
    <row r="1209" spans="1:19" x14ac:dyDescent="0.25">
      <c r="A1209" t="s">
        <v>42</v>
      </c>
      <c r="F1209">
        <v>0.68817129629629636</v>
      </c>
      <c r="G1209" t="s">
        <v>221</v>
      </c>
      <c r="H1209">
        <v>0</v>
      </c>
      <c r="I1209">
        <v>0.86</v>
      </c>
      <c r="J1209" t="s">
        <v>222</v>
      </c>
      <c r="K1209" t="s">
        <v>27</v>
      </c>
      <c r="L1209">
        <v>5.2450000000000001</v>
      </c>
      <c r="M1209">
        <v>1</v>
      </c>
      <c r="N1209">
        <v>105521.125</v>
      </c>
      <c r="O1209">
        <v>4.9705686894448858E-5</v>
      </c>
      <c r="P1209">
        <v>1.0900000000000001</v>
      </c>
    </row>
    <row r="1210" spans="1:19" x14ac:dyDescent="0.25">
      <c r="A1210" t="s">
        <v>43</v>
      </c>
      <c r="F1210">
        <v>0.69003472222222229</v>
      </c>
      <c r="G1210" t="s">
        <v>221</v>
      </c>
      <c r="H1210">
        <v>0</v>
      </c>
      <c r="I1210">
        <v>0.86</v>
      </c>
      <c r="J1210" t="s">
        <v>222</v>
      </c>
      <c r="K1210" t="s">
        <v>27</v>
      </c>
      <c r="L1210">
        <v>3.3980000000000001</v>
      </c>
      <c r="M1210">
        <v>1</v>
      </c>
      <c r="N1210">
        <v>117415.531</v>
      </c>
      <c r="O1210">
        <v>2.8939953437675977E-5</v>
      </c>
      <c r="P1210">
        <v>1.0900000000000001</v>
      </c>
    </row>
    <row r="1211" spans="1:19" x14ac:dyDescent="0.25">
      <c r="A1211" t="s">
        <v>44</v>
      </c>
      <c r="F1211">
        <v>0.6918981481481481</v>
      </c>
      <c r="G1211" t="s">
        <v>221</v>
      </c>
      <c r="H1211">
        <v>0</v>
      </c>
      <c r="I1211">
        <v>0.86</v>
      </c>
      <c r="J1211" t="s">
        <v>222</v>
      </c>
      <c r="M1211">
        <v>1</v>
      </c>
      <c r="N1211">
        <v>118949.492</v>
      </c>
      <c r="O1211">
        <v>0</v>
      </c>
    </row>
    <row r="1212" spans="1:19" x14ac:dyDescent="0.25">
      <c r="A1212" t="s">
        <v>45</v>
      </c>
      <c r="F1212">
        <v>0.69377314814814817</v>
      </c>
      <c r="G1212" t="s">
        <v>221</v>
      </c>
      <c r="H1212">
        <v>0</v>
      </c>
      <c r="I1212">
        <v>0.86</v>
      </c>
      <c r="J1212" t="s">
        <v>222</v>
      </c>
      <c r="M1212">
        <v>1</v>
      </c>
      <c r="N1212">
        <v>115439.04700000001</v>
      </c>
      <c r="O1212">
        <v>0</v>
      </c>
    </row>
    <row r="1213" spans="1:19" x14ac:dyDescent="0.25">
      <c r="A1213" t="s">
        <v>46</v>
      </c>
      <c r="F1213">
        <v>0.69563657407407409</v>
      </c>
      <c r="G1213" t="s">
        <v>221</v>
      </c>
      <c r="H1213">
        <v>0</v>
      </c>
      <c r="I1213">
        <v>0.86</v>
      </c>
      <c r="J1213" t="s">
        <v>222</v>
      </c>
      <c r="K1213" t="s">
        <v>27</v>
      </c>
      <c r="L1213">
        <v>7.8959999999999999</v>
      </c>
      <c r="M1213">
        <v>1</v>
      </c>
      <c r="N1213">
        <v>120355.344</v>
      </c>
      <c r="O1213">
        <v>6.5605728317306793E-5</v>
      </c>
      <c r="P1213">
        <v>1.1100000000000001</v>
      </c>
    </row>
    <row r="1214" spans="1:19" x14ac:dyDescent="0.25">
      <c r="A1214" t="s">
        <v>47</v>
      </c>
      <c r="F1214">
        <v>0.69751157407407405</v>
      </c>
      <c r="G1214" t="s">
        <v>221</v>
      </c>
      <c r="H1214">
        <v>0</v>
      </c>
      <c r="I1214">
        <v>0.86</v>
      </c>
      <c r="J1214" t="s">
        <v>222</v>
      </c>
      <c r="M1214">
        <v>1</v>
      </c>
      <c r="N1214">
        <v>119755.094</v>
      </c>
      <c r="O1214">
        <v>0</v>
      </c>
    </row>
    <row r="1215" spans="1:19" x14ac:dyDescent="0.25">
      <c r="A1215" t="s">
        <v>48</v>
      </c>
      <c r="F1215">
        <v>0.69938657407407412</v>
      </c>
      <c r="G1215" t="s">
        <v>221</v>
      </c>
      <c r="H1215">
        <v>0</v>
      </c>
      <c r="I1215">
        <v>0.86</v>
      </c>
      <c r="J1215" t="s">
        <v>222</v>
      </c>
      <c r="M1215">
        <v>1</v>
      </c>
      <c r="N1215">
        <v>120245.961</v>
      </c>
      <c r="O1215">
        <v>0</v>
      </c>
    </row>
    <row r="1216" spans="1:19" x14ac:dyDescent="0.25">
      <c r="A1216" t="s">
        <v>49</v>
      </c>
      <c r="F1216">
        <v>0.70124999999999993</v>
      </c>
      <c r="G1216" t="s">
        <v>221</v>
      </c>
      <c r="H1216">
        <v>0</v>
      </c>
      <c r="I1216">
        <v>0.86</v>
      </c>
      <c r="J1216" t="s">
        <v>222</v>
      </c>
      <c r="M1216">
        <v>1</v>
      </c>
      <c r="N1216">
        <v>117114.414</v>
      </c>
      <c r="O1216">
        <v>0</v>
      </c>
    </row>
    <row r="1217" spans="1:16" x14ac:dyDescent="0.25">
      <c r="A1217" t="s">
        <v>50</v>
      </c>
      <c r="F1217">
        <v>0.703125</v>
      </c>
      <c r="G1217" t="s">
        <v>221</v>
      </c>
      <c r="H1217">
        <v>0</v>
      </c>
      <c r="I1217">
        <v>0.86</v>
      </c>
      <c r="J1217" t="s">
        <v>222</v>
      </c>
      <c r="K1217" t="s">
        <v>27</v>
      </c>
      <c r="L1217">
        <v>0.67400000000000004</v>
      </c>
      <c r="M1217">
        <v>1</v>
      </c>
      <c r="N1217">
        <v>115817.31299999999</v>
      </c>
      <c r="O1217">
        <v>5.8195099034977614E-6</v>
      </c>
      <c r="P1217">
        <v>1.07</v>
      </c>
    </row>
    <row r="1218" spans="1:16" x14ac:dyDescent="0.25">
      <c r="A1218" t="s">
        <v>51</v>
      </c>
      <c r="F1218">
        <v>0.70498842592592592</v>
      </c>
      <c r="G1218" t="s">
        <v>221</v>
      </c>
      <c r="H1218">
        <v>0</v>
      </c>
      <c r="I1218">
        <v>0.86</v>
      </c>
      <c r="J1218" t="s">
        <v>222</v>
      </c>
      <c r="K1218" t="s">
        <v>27</v>
      </c>
      <c r="L1218">
        <v>1.22</v>
      </c>
      <c r="M1218">
        <v>1</v>
      </c>
      <c r="N1218">
        <v>118291.25</v>
      </c>
      <c r="O1218">
        <v>1.031352699375482E-5</v>
      </c>
      <c r="P1218">
        <v>1.1299999999999999</v>
      </c>
    </row>
    <row r="1219" spans="1:16" x14ac:dyDescent="0.25">
      <c r="A1219" t="s">
        <v>52</v>
      </c>
      <c r="F1219">
        <v>0.70686342592592588</v>
      </c>
      <c r="G1219" t="s">
        <v>221</v>
      </c>
      <c r="H1219">
        <v>0</v>
      </c>
      <c r="I1219">
        <v>0.86</v>
      </c>
      <c r="J1219" t="s">
        <v>222</v>
      </c>
      <c r="K1219" t="s">
        <v>27</v>
      </c>
      <c r="L1219">
        <v>0.76100000000000001</v>
      </c>
      <c r="M1219">
        <v>1</v>
      </c>
      <c r="N1219">
        <v>118831.18</v>
      </c>
      <c r="O1219">
        <v>6.404043113936932E-6</v>
      </c>
      <c r="P1219">
        <v>1.08</v>
      </c>
    </row>
    <row r="1220" spans="1:16" x14ac:dyDescent="0.25">
      <c r="A1220" t="s">
        <v>53</v>
      </c>
      <c r="F1220">
        <v>0.7087268518518518</v>
      </c>
      <c r="G1220" t="s">
        <v>221</v>
      </c>
      <c r="H1220">
        <v>0</v>
      </c>
      <c r="I1220">
        <v>0.86</v>
      </c>
      <c r="J1220" t="s">
        <v>222</v>
      </c>
      <c r="M1220">
        <v>1</v>
      </c>
      <c r="N1220">
        <v>118848.914</v>
      </c>
      <c r="O1220">
        <v>0</v>
      </c>
    </row>
    <row r="1221" spans="1:16" x14ac:dyDescent="0.25">
      <c r="A1221" t="s">
        <v>54</v>
      </c>
      <c r="F1221">
        <v>0.7106365740740741</v>
      </c>
      <c r="G1221" t="s">
        <v>221</v>
      </c>
      <c r="H1221">
        <v>0</v>
      </c>
      <c r="I1221">
        <v>0.86</v>
      </c>
      <c r="J1221" t="s">
        <v>222</v>
      </c>
      <c r="K1221" t="s">
        <v>27</v>
      </c>
      <c r="L1221">
        <v>1.0860000000000001</v>
      </c>
      <c r="M1221">
        <v>1</v>
      </c>
      <c r="N1221">
        <v>115702.79700000001</v>
      </c>
      <c r="O1221">
        <v>9.3861170875583934E-6</v>
      </c>
      <c r="P1221">
        <v>1.1200000000000001</v>
      </c>
    </row>
    <row r="1222" spans="1:16" x14ac:dyDescent="0.25">
      <c r="A1222" t="s">
        <v>55</v>
      </c>
      <c r="F1222">
        <v>0.71247685185185183</v>
      </c>
      <c r="G1222" t="s">
        <v>221</v>
      </c>
      <c r="H1222">
        <v>0</v>
      </c>
      <c r="I1222">
        <v>0.86</v>
      </c>
      <c r="J1222" t="s">
        <v>222</v>
      </c>
      <c r="K1222" t="s">
        <v>27</v>
      </c>
      <c r="L1222">
        <v>0.55500000000000005</v>
      </c>
      <c r="M1222">
        <v>1</v>
      </c>
      <c r="N1222">
        <v>115619.141</v>
      </c>
      <c r="O1222">
        <v>4.8002432400012387E-6</v>
      </c>
      <c r="P1222">
        <v>1.1200000000000001</v>
      </c>
    </row>
    <row r="1223" spans="1:16" x14ac:dyDescent="0.25">
      <c r="A1223" t="s">
        <v>56</v>
      </c>
      <c r="F1223">
        <v>0.71434027777777775</v>
      </c>
      <c r="G1223" t="s">
        <v>221</v>
      </c>
      <c r="H1223">
        <v>0</v>
      </c>
      <c r="I1223">
        <v>0.86</v>
      </c>
      <c r="J1223" t="s">
        <v>222</v>
      </c>
      <c r="K1223" t="s">
        <v>27</v>
      </c>
      <c r="L1223">
        <v>1.5</v>
      </c>
      <c r="M1223">
        <v>1</v>
      </c>
      <c r="N1223">
        <v>117289.30499999999</v>
      </c>
      <c r="O1223">
        <v>1.2788889831003774E-5</v>
      </c>
      <c r="P1223">
        <v>1.1000000000000001</v>
      </c>
    </row>
    <row r="1224" spans="1:16" x14ac:dyDescent="0.25">
      <c r="A1224" t="s">
        <v>57</v>
      </c>
      <c r="F1224">
        <v>0.71621527777777771</v>
      </c>
      <c r="G1224" t="s">
        <v>221</v>
      </c>
      <c r="H1224">
        <v>0</v>
      </c>
      <c r="I1224">
        <v>0.86</v>
      </c>
      <c r="J1224" t="s">
        <v>222</v>
      </c>
      <c r="K1224" t="s">
        <v>27</v>
      </c>
      <c r="L1224">
        <v>5.2320000000000002</v>
      </c>
      <c r="M1224">
        <v>1</v>
      </c>
      <c r="N1224">
        <v>123942.023</v>
      </c>
      <c r="O1224">
        <v>4.2213285481067223E-5</v>
      </c>
      <c r="P1224">
        <v>1.07</v>
      </c>
    </row>
    <row r="1225" spans="1:16" x14ac:dyDescent="0.25">
      <c r="A1225" t="s">
        <v>58</v>
      </c>
      <c r="F1225">
        <v>0.71809027777777779</v>
      </c>
      <c r="G1225" t="s">
        <v>221</v>
      </c>
      <c r="H1225">
        <v>0</v>
      </c>
      <c r="I1225">
        <v>0.86</v>
      </c>
      <c r="J1225" t="s">
        <v>222</v>
      </c>
      <c r="K1225" t="s">
        <v>27</v>
      </c>
      <c r="L1225">
        <v>0.78800000000000003</v>
      </c>
      <c r="M1225">
        <v>1</v>
      </c>
      <c r="N1225">
        <v>117239.648</v>
      </c>
      <c r="O1225">
        <v>6.7212757240622221E-6</v>
      </c>
      <c r="P1225">
        <v>1.06</v>
      </c>
    </row>
    <row r="1226" spans="1:16" x14ac:dyDescent="0.25">
      <c r="A1226" t="s">
        <v>59</v>
      </c>
      <c r="F1226">
        <v>0.71995370370370371</v>
      </c>
      <c r="G1226" t="s">
        <v>221</v>
      </c>
      <c r="H1226">
        <v>0</v>
      </c>
      <c r="I1226">
        <v>0.86</v>
      </c>
      <c r="J1226" t="s">
        <v>222</v>
      </c>
      <c r="M1226">
        <v>1</v>
      </c>
      <c r="N1226">
        <v>209.88499999999999</v>
      </c>
      <c r="O1226">
        <v>0</v>
      </c>
    </row>
    <row r="1227" spans="1:16" x14ac:dyDescent="0.25">
      <c r="A1227" t="s">
        <v>60</v>
      </c>
      <c r="F1227">
        <v>0.72182870370370367</v>
      </c>
      <c r="G1227" t="s">
        <v>221</v>
      </c>
      <c r="H1227">
        <v>0</v>
      </c>
      <c r="I1227">
        <v>0.87</v>
      </c>
      <c r="J1227" t="s">
        <v>222</v>
      </c>
      <c r="K1227" t="s">
        <v>27</v>
      </c>
      <c r="L1227">
        <v>17.731000000000002</v>
      </c>
      <c r="M1227">
        <v>1</v>
      </c>
      <c r="N1227">
        <v>3.3149999999999999</v>
      </c>
      <c r="O1227">
        <v>5.3487179487179493</v>
      </c>
      <c r="P1227">
        <v>1.06</v>
      </c>
    </row>
    <row r="1228" spans="1:16" x14ac:dyDescent="0.25">
      <c r="A1228" t="s">
        <v>61</v>
      </c>
      <c r="F1228">
        <v>0.72369212962962959</v>
      </c>
      <c r="G1228" t="s">
        <v>221</v>
      </c>
      <c r="H1228">
        <v>0</v>
      </c>
      <c r="I1228">
        <v>0.86</v>
      </c>
      <c r="J1228" t="s">
        <v>222</v>
      </c>
      <c r="K1228" t="s">
        <v>27</v>
      </c>
      <c r="L1228">
        <v>0.215</v>
      </c>
      <c r="M1228">
        <v>1</v>
      </c>
      <c r="N1228">
        <v>113660.352</v>
      </c>
      <c r="O1228">
        <v>1.8916006876346819E-6</v>
      </c>
      <c r="P1228">
        <v>1.1200000000000001</v>
      </c>
    </row>
    <row r="1229" spans="1:16" x14ac:dyDescent="0.25">
      <c r="A1229" t="s">
        <v>62</v>
      </c>
      <c r="F1229">
        <v>0.72556712962962966</v>
      </c>
      <c r="G1229" t="s">
        <v>221</v>
      </c>
      <c r="H1229">
        <v>0</v>
      </c>
      <c r="I1229">
        <v>0.86</v>
      </c>
      <c r="J1229" t="s">
        <v>222</v>
      </c>
      <c r="K1229" t="s">
        <v>27</v>
      </c>
      <c r="L1229">
        <v>0.80200000000000005</v>
      </c>
      <c r="M1229">
        <v>1</v>
      </c>
      <c r="N1229">
        <v>115519.04700000001</v>
      </c>
      <c r="O1229">
        <v>6.9425780494882371E-6</v>
      </c>
      <c r="P1229">
        <v>1.1100000000000001</v>
      </c>
    </row>
    <row r="1230" spans="1:16" x14ac:dyDescent="0.25">
      <c r="A1230" t="s">
        <v>63</v>
      </c>
      <c r="F1230">
        <v>0.72746527777777781</v>
      </c>
      <c r="G1230" t="s">
        <v>221</v>
      </c>
      <c r="H1230">
        <v>0</v>
      </c>
      <c r="I1230">
        <v>0.86</v>
      </c>
      <c r="J1230" t="s">
        <v>222</v>
      </c>
      <c r="K1230" t="s">
        <v>27</v>
      </c>
      <c r="L1230">
        <v>4.8639999999999999</v>
      </c>
      <c r="M1230">
        <v>1</v>
      </c>
      <c r="N1230">
        <v>114009.516</v>
      </c>
      <c r="O1230">
        <v>4.2663105420077386E-5</v>
      </c>
      <c r="P1230">
        <v>1.1000000000000001</v>
      </c>
    </row>
    <row r="1231" spans="1:16" x14ac:dyDescent="0.25">
      <c r="A1231" t="s">
        <v>64</v>
      </c>
      <c r="F1231">
        <v>0.72931712962962969</v>
      </c>
      <c r="G1231" t="s">
        <v>221</v>
      </c>
      <c r="H1231">
        <v>0</v>
      </c>
      <c r="I1231">
        <v>0.86</v>
      </c>
      <c r="J1231" t="s">
        <v>222</v>
      </c>
      <c r="M1231">
        <v>1</v>
      </c>
      <c r="N1231">
        <v>113238.109</v>
      </c>
      <c r="O1231">
        <v>0</v>
      </c>
    </row>
    <row r="1232" spans="1:16" x14ac:dyDescent="0.25">
      <c r="A1232" t="s">
        <v>65</v>
      </c>
      <c r="F1232">
        <v>0.73129629629629633</v>
      </c>
      <c r="G1232" t="s">
        <v>221</v>
      </c>
      <c r="H1232">
        <v>0</v>
      </c>
      <c r="I1232">
        <v>0.86</v>
      </c>
      <c r="J1232" t="s">
        <v>222</v>
      </c>
      <c r="M1232">
        <v>1</v>
      </c>
      <c r="N1232">
        <v>116292.07799999999</v>
      </c>
      <c r="O1232">
        <v>0</v>
      </c>
    </row>
    <row r="1233" spans="1:19" x14ac:dyDescent="0.25">
      <c r="A1233" t="s">
        <v>66</v>
      </c>
      <c r="F1233">
        <v>0.73326388888888883</v>
      </c>
      <c r="G1233" t="s">
        <v>221</v>
      </c>
      <c r="H1233">
        <v>0</v>
      </c>
      <c r="I1233">
        <v>0.86</v>
      </c>
      <c r="J1233" t="s">
        <v>222</v>
      </c>
      <c r="M1233">
        <v>1</v>
      </c>
      <c r="N1233">
        <v>119564.148</v>
      </c>
      <c r="O1233">
        <v>0</v>
      </c>
    </row>
    <row r="1234" spans="1:19" x14ac:dyDescent="0.25">
      <c r="A1234" s="2" t="s">
        <v>67</v>
      </c>
      <c r="B1234" s="2"/>
      <c r="C1234" s="2"/>
      <c r="D1234" s="2"/>
      <c r="E1234" s="2"/>
      <c r="F1234" s="2">
        <v>0.73523148148148154</v>
      </c>
      <c r="G1234" s="2" t="s">
        <v>221</v>
      </c>
      <c r="H1234" s="2">
        <v>0</v>
      </c>
      <c r="I1234" s="2">
        <v>0.86</v>
      </c>
      <c r="J1234" s="2" t="s">
        <v>222</v>
      </c>
      <c r="K1234" s="2" t="s">
        <v>27</v>
      </c>
      <c r="L1234" s="2">
        <v>62856.512000000002</v>
      </c>
      <c r="M1234" s="2">
        <v>1</v>
      </c>
      <c r="N1234" s="2">
        <v>117152.92200000001</v>
      </c>
      <c r="O1234" s="2">
        <v>0.53653388175840799</v>
      </c>
      <c r="P1234" s="2">
        <v>1.0900000000000001</v>
      </c>
      <c r="Q1234" s="2"/>
      <c r="R1234" s="2"/>
      <c r="S1234" s="2"/>
    </row>
    <row r="1235" spans="1:19" x14ac:dyDescent="0.25">
      <c r="A1235" s="2" t="s">
        <v>68</v>
      </c>
      <c r="B1235" s="2"/>
      <c r="C1235" s="2"/>
      <c r="D1235" s="2"/>
      <c r="E1235" s="2"/>
      <c r="F1235" s="2">
        <v>0.7371875</v>
      </c>
      <c r="G1235" s="2" t="s">
        <v>221</v>
      </c>
      <c r="H1235" s="2">
        <v>0</v>
      </c>
      <c r="I1235" s="2">
        <v>0.86</v>
      </c>
      <c r="J1235" s="2" t="s">
        <v>222</v>
      </c>
      <c r="K1235" s="2" t="s">
        <v>27</v>
      </c>
      <c r="L1235" s="2">
        <v>68319.827999999994</v>
      </c>
      <c r="M1235" s="2">
        <v>1</v>
      </c>
      <c r="N1235" s="2">
        <v>111947.391</v>
      </c>
      <c r="O1235" s="2">
        <v>0.61028512937831658</v>
      </c>
      <c r="P1235" s="2">
        <v>1.0900000000000001</v>
      </c>
      <c r="Q1235" s="2"/>
      <c r="R1235" s="2"/>
      <c r="S1235" s="2"/>
    </row>
    <row r="1236" spans="1:19" x14ac:dyDescent="0.25">
      <c r="A1236" t="s">
        <v>69</v>
      </c>
      <c r="F1236">
        <v>0.73916666666666664</v>
      </c>
      <c r="G1236" t="s">
        <v>221</v>
      </c>
      <c r="H1236">
        <v>0</v>
      </c>
      <c r="I1236">
        <v>0.86</v>
      </c>
      <c r="J1236" t="s">
        <v>222</v>
      </c>
      <c r="K1236" t="s">
        <v>27</v>
      </c>
      <c r="L1236">
        <v>68.959000000000003</v>
      </c>
      <c r="M1236">
        <v>1</v>
      </c>
      <c r="N1236">
        <v>120969.641</v>
      </c>
      <c r="O1236">
        <v>5.7005211745647817E-4</v>
      </c>
      <c r="P1236">
        <v>1.0900000000000001</v>
      </c>
    </row>
    <row r="1237" spans="1:19" x14ac:dyDescent="0.25">
      <c r="A1237" t="s">
        <v>70</v>
      </c>
      <c r="F1237">
        <v>0.74113425925925924</v>
      </c>
      <c r="G1237" t="s">
        <v>221</v>
      </c>
      <c r="H1237">
        <v>0</v>
      </c>
      <c r="I1237">
        <v>0.86</v>
      </c>
      <c r="J1237" t="s">
        <v>222</v>
      </c>
      <c r="K1237" t="s">
        <v>27</v>
      </c>
      <c r="L1237">
        <v>52.103999999999999</v>
      </c>
      <c r="M1237">
        <v>1</v>
      </c>
      <c r="N1237">
        <v>110966.523</v>
      </c>
      <c r="O1237">
        <v>4.6954701824801698E-4</v>
      </c>
      <c r="P1237">
        <v>1.08</v>
      </c>
    </row>
    <row r="1238" spans="1:19" x14ac:dyDescent="0.25">
      <c r="A1238" t="s">
        <v>71</v>
      </c>
      <c r="F1238">
        <v>0.74307870370370377</v>
      </c>
      <c r="G1238" t="s">
        <v>221</v>
      </c>
      <c r="H1238">
        <v>0</v>
      </c>
      <c r="I1238">
        <v>0.86</v>
      </c>
      <c r="J1238" t="s">
        <v>222</v>
      </c>
      <c r="K1238" t="s">
        <v>27</v>
      </c>
      <c r="L1238">
        <v>9.5879999999999992</v>
      </c>
      <c r="M1238">
        <v>1</v>
      </c>
      <c r="N1238">
        <v>120331.281</v>
      </c>
      <c r="O1238">
        <v>7.9680029335015546E-5</v>
      </c>
      <c r="P1238">
        <v>1.0900000000000001</v>
      </c>
    </row>
    <row r="1239" spans="1:19" x14ac:dyDescent="0.25">
      <c r="A1239" t="s">
        <v>72</v>
      </c>
      <c r="F1239">
        <v>0.74506944444444445</v>
      </c>
      <c r="G1239" t="s">
        <v>221</v>
      </c>
      <c r="H1239">
        <v>0</v>
      </c>
      <c r="I1239">
        <v>0.86</v>
      </c>
      <c r="J1239" t="s">
        <v>222</v>
      </c>
      <c r="K1239" t="s">
        <v>27</v>
      </c>
      <c r="L1239">
        <v>12.598000000000001</v>
      </c>
      <c r="M1239">
        <v>1</v>
      </c>
      <c r="N1239">
        <v>123456.898</v>
      </c>
      <c r="O1239">
        <v>1.0204371083420547E-4</v>
      </c>
      <c r="P1239">
        <v>1.1000000000000001</v>
      </c>
    </row>
    <row r="1240" spans="1:19" x14ac:dyDescent="0.25">
      <c r="A1240" t="s">
        <v>73</v>
      </c>
      <c r="F1240">
        <v>0.74703703703703705</v>
      </c>
      <c r="G1240" t="s">
        <v>221</v>
      </c>
      <c r="H1240">
        <v>0</v>
      </c>
      <c r="I1240">
        <v>0.86</v>
      </c>
      <c r="J1240" t="s">
        <v>222</v>
      </c>
      <c r="K1240" t="s">
        <v>27</v>
      </c>
      <c r="L1240">
        <v>0.55000000000000004</v>
      </c>
      <c r="M1240">
        <v>1</v>
      </c>
      <c r="N1240">
        <v>119898.906</v>
      </c>
      <c r="O1240">
        <v>4.5871978181352214E-6</v>
      </c>
      <c r="P1240">
        <v>1.08</v>
      </c>
    </row>
    <row r="1241" spans="1:19" x14ac:dyDescent="0.25">
      <c r="A1241" t="s">
        <v>74</v>
      </c>
      <c r="F1241">
        <v>0.74900462962962966</v>
      </c>
      <c r="G1241" t="s">
        <v>221</v>
      </c>
      <c r="H1241">
        <v>0</v>
      </c>
      <c r="I1241">
        <v>0.86</v>
      </c>
      <c r="J1241" t="s">
        <v>222</v>
      </c>
      <c r="M1241">
        <v>1</v>
      </c>
      <c r="N1241">
        <v>114464.43</v>
      </c>
      <c r="O1241">
        <v>0</v>
      </c>
    </row>
    <row r="1242" spans="1:19" x14ac:dyDescent="0.25">
      <c r="A1242" t="s">
        <v>75</v>
      </c>
      <c r="F1242">
        <v>0.75096064814814811</v>
      </c>
      <c r="G1242" t="s">
        <v>221</v>
      </c>
      <c r="H1242">
        <v>0</v>
      </c>
      <c r="I1242">
        <v>0.86</v>
      </c>
      <c r="J1242" t="s">
        <v>222</v>
      </c>
      <c r="K1242" t="s">
        <v>27</v>
      </c>
      <c r="L1242">
        <v>1.6359999999999999</v>
      </c>
      <c r="M1242">
        <v>1</v>
      </c>
      <c r="N1242">
        <v>118488.594</v>
      </c>
      <c r="O1242">
        <v>1.3807236163170271E-5</v>
      </c>
      <c r="P1242">
        <v>1.0900000000000001</v>
      </c>
    </row>
    <row r="1243" spans="1:19" x14ac:dyDescent="0.25">
      <c r="A1243" t="s">
        <v>76</v>
      </c>
      <c r="F1243">
        <v>0.75292824074074083</v>
      </c>
      <c r="G1243" t="s">
        <v>221</v>
      </c>
      <c r="H1243">
        <v>0</v>
      </c>
      <c r="I1243">
        <v>0.86</v>
      </c>
      <c r="J1243" t="s">
        <v>222</v>
      </c>
      <c r="K1243" t="s">
        <v>27</v>
      </c>
      <c r="L1243">
        <v>5.0270000000000001</v>
      </c>
      <c r="M1243">
        <v>1</v>
      </c>
      <c r="N1243">
        <v>120484.242</v>
      </c>
      <c r="O1243">
        <v>4.1723298553847402E-5</v>
      </c>
      <c r="P1243">
        <v>1.1200000000000001</v>
      </c>
    </row>
    <row r="1244" spans="1:19" x14ac:dyDescent="0.25">
      <c r="A1244" t="s">
        <v>77</v>
      </c>
      <c r="F1244">
        <v>0.7547800925925926</v>
      </c>
      <c r="G1244" t="s">
        <v>221</v>
      </c>
      <c r="H1244">
        <v>0</v>
      </c>
      <c r="I1244">
        <v>0.85</v>
      </c>
      <c r="J1244" t="s">
        <v>222</v>
      </c>
      <c r="K1244" t="s">
        <v>27</v>
      </c>
      <c r="L1244">
        <v>11.301</v>
      </c>
      <c r="M1244">
        <v>1</v>
      </c>
      <c r="N1244">
        <v>120868.19500000001</v>
      </c>
      <c r="O1244">
        <v>9.3498541944801933E-5</v>
      </c>
      <c r="P1244">
        <v>1.1200000000000001</v>
      </c>
    </row>
    <row r="1245" spans="1:19" x14ac:dyDescent="0.25">
      <c r="A1245" t="s">
        <v>78</v>
      </c>
      <c r="F1245">
        <v>0.75665509259259256</v>
      </c>
      <c r="G1245" t="s">
        <v>221</v>
      </c>
      <c r="H1245">
        <v>0</v>
      </c>
      <c r="I1245">
        <v>0.85</v>
      </c>
      <c r="J1245" t="s">
        <v>222</v>
      </c>
      <c r="K1245" t="s">
        <v>27</v>
      </c>
      <c r="L1245">
        <v>4.2590000000000003</v>
      </c>
      <c r="M1245">
        <v>1</v>
      </c>
      <c r="N1245">
        <v>124093.773</v>
      </c>
      <c r="O1245">
        <v>3.4320819627266878E-5</v>
      </c>
      <c r="P1245">
        <v>1.1100000000000001</v>
      </c>
    </row>
    <row r="1246" spans="1:19" x14ac:dyDescent="0.25">
      <c r="A1246" t="s">
        <v>79</v>
      </c>
      <c r="F1246">
        <v>0.75864583333333335</v>
      </c>
      <c r="G1246" t="s">
        <v>221</v>
      </c>
      <c r="H1246">
        <v>0</v>
      </c>
      <c r="I1246">
        <v>0.86</v>
      </c>
      <c r="J1246" t="s">
        <v>222</v>
      </c>
      <c r="K1246" t="s">
        <v>27</v>
      </c>
      <c r="L1246">
        <v>5.7640000000000002</v>
      </c>
      <c r="M1246">
        <v>1</v>
      </c>
      <c r="N1246">
        <v>120933.44500000001</v>
      </c>
      <c r="O1246">
        <v>4.7662580024905437E-5</v>
      </c>
      <c r="P1246">
        <v>1.1100000000000001</v>
      </c>
    </row>
    <row r="1247" spans="1:19" x14ac:dyDescent="0.25">
      <c r="A1247" t="s">
        <v>80</v>
      </c>
      <c r="F1247">
        <v>0.76061342592592596</v>
      </c>
      <c r="G1247" t="s">
        <v>221</v>
      </c>
      <c r="H1247">
        <v>0</v>
      </c>
      <c r="I1247">
        <v>0.86</v>
      </c>
      <c r="J1247" t="s">
        <v>222</v>
      </c>
      <c r="K1247" t="s">
        <v>27</v>
      </c>
      <c r="L1247">
        <v>6.1520000000000001</v>
      </c>
      <c r="M1247">
        <v>1</v>
      </c>
      <c r="N1247">
        <v>118392.31299999999</v>
      </c>
      <c r="O1247">
        <v>5.1962833093733039E-5</v>
      </c>
      <c r="P1247">
        <v>1.1299999999999999</v>
      </c>
    </row>
    <row r="1248" spans="1:19" x14ac:dyDescent="0.25">
      <c r="A1248" t="s">
        <v>81</v>
      </c>
      <c r="F1248">
        <v>0.76258101851851856</v>
      </c>
      <c r="G1248" t="s">
        <v>221</v>
      </c>
      <c r="H1248">
        <v>0</v>
      </c>
      <c r="I1248">
        <v>0.86</v>
      </c>
      <c r="J1248" t="s">
        <v>222</v>
      </c>
      <c r="M1248">
        <v>1</v>
      </c>
      <c r="N1248">
        <v>115258.281</v>
      </c>
      <c r="O1248">
        <v>0</v>
      </c>
    </row>
    <row r="1249" spans="1:16" x14ac:dyDescent="0.25">
      <c r="A1249" t="s">
        <v>82</v>
      </c>
      <c r="F1249">
        <v>0.76454861111111105</v>
      </c>
      <c r="G1249" t="s">
        <v>221</v>
      </c>
      <c r="H1249">
        <v>0</v>
      </c>
      <c r="I1249">
        <v>0.85</v>
      </c>
      <c r="J1249" t="s">
        <v>222</v>
      </c>
      <c r="K1249" t="s">
        <v>27</v>
      </c>
      <c r="L1249">
        <v>12.842000000000001</v>
      </c>
      <c r="M1249">
        <v>1</v>
      </c>
      <c r="N1249">
        <v>114999.148</v>
      </c>
      <c r="O1249">
        <v>1.1167039254934307E-4</v>
      </c>
      <c r="P1249">
        <v>1.1000000000000001</v>
      </c>
    </row>
    <row r="1250" spans="1:16" x14ac:dyDescent="0.25">
      <c r="A1250" t="s">
        <v>83</v>
      </c>
      <c r="F1250">
        <v>0.38540509259259265</v>
      </c>
      <c r="G1250" t="s">
        <v>221</v>
      </c>
      <c r="H1250">
        <v>0</v>
      </c>
      <c r="I1250">
        <v>0.85</v>
      </c>
      <c r="J1250" t="s">
        <v>222</v>
      </c>
      <c r="K1250" t="s">
        <v>27</v>
      </c>
      <c r="L1250">
        <v>15.052</v>
      </c>
      <c r="M1250">
        <v>1</v>
      </c>
      <c r="N1250">
        <v>55215.141000000003</v>
      </c>
      <c r="O1250">
        <v>2.7260638526667891E-4</v>
      </c>
      <c r="P1250">
        <v>1.08</v>
      </c>
    </row>
    <row r="1251" spans="1:16" x14ac:dyDescent="0.25">
      <c r="A1251" t="s">
        <v>84</v>
      </c>
      <c r="F1251">
        <v>0.38807870370370368</v>
      </c>
      <c r="G1251" t="s">
        <v>221</v>
      </c>
      <c r="H1251">
        <v>0</v>
      </c>
      <c r="I1251">
        <v>0.86</v>
      </c>
      <c r="J1251" t="s">
        <v>222</v>
      </c>
      <c r="K1251" t="s">
        <v>27</v>
      </c>
      <c r="L1251">
        <v>14.257999999999999</v>
      </c>
      <c r="M1251">
        <v>1</v>
      </c>
      <c r="N1251">
        <v>78189.125</v>
      </c>
      <c r="O1251">
        <v>1.8235272488341568E-4</v>
      </c>
      <c r="P1251">
        <v>1.1200000000000001</v>
      </c>
    </row>
    <row r="1252" spans="1:16" x14ac:dyDescent="0.25">
      <c r="A1252" t="s">
        <v>85</v>
      </c>
      <c r="F1252">
        <v>0.38995370370370369</v>
      </c>
      <c r="G1252" t="s">
        <v>221</v>
      </c>
      <c r="H1252">
        <v>0</v>
      </c>
      <c r="I1252">
        <v>0.86</v>
      </c>
      <c r="J1252" t="s">
        <v>222</v>
      </c>
      <c r="M1252">
        <v>1</v>
      </c>
      <c r="N1252">
        <v>98311.702999999994</v>
      </c>
      <c r="O1252">
        <v>0</v>
      </c>
    </row>
    <row r="1253" spans="1:16" x14ac:dyDescent="0.25">
      <c r="A1253" t="s">
        <v>86</v>
      </c>
      <c r="F1253">
        <v>0.39181712962962961</v>
      </c>
      <c r="G1253" t="s">
        <v>221</v>
      </c>
      <c r="H1253">
        <v>0</v>
      </c>
      <c r="I1253">
        <v>0.85</v>
      </c>
      <c r="J1253" t="s">
        <v>222</v>
      </c>
      <c r="K1253" t="s">
        <v>27</v>
      </c>
      <c r="L1253">
        <v>0.161</v>
      </c>
      <c r="M1253">
        <v>1</v>
      </c>
      <c r="N1253">
        <v>82892.577999999994</v>
      </c>
      <c r="O1253">
        <v>1.9422728051720145E-6</v>
      </c>
      <c r="P1253">
        <v>1.06</v>
      </c>
    </row>
    <row r="1254" spans="1:16" x14ac:dyDescent="0.25">
      <c r="A1254" t="s">
        <v>87</v>
      </c>
      <c r="F1254">
        <v>0.39369212962962963</v>
      </c>
      <c r="G1254" t="s">
        <v>221</v>
      </c>
      <c r="H1254">
        <v>0</v>
      </c>
      <c r="I1254">
        <v>0.85</v>
      </c>
      <c r="J1254" t="s">
        <v>222</v>
      </c>
      <c r="K1254" t="s">
        <v>27</v>
      </c>
      <c r="L1254">
        <v>1.974</v>
      </c>
      <c r="M1254">
        <v>1</v>
      </c>
      <c r="N1254">
        <v>80402.695000000007</v>
      </c>
      <c r="O1254">
        <v>2.455141584495395E-5</v>
      </c>
      <c r="P1254">
        <v>1.05</v>
      </c>
    </row>
    <row r="1255" spans="1:16" x14ac:dyDescent="0.25">
      <c r="A1255" t="s">
        <v>88</v>
      </c>
      <c r="F1255">
        <v>0.3955555555555556</v>
      </c>
      <c r="G1255" t="s">
        <v>221</v>
      </c>
      <c r="H1255">
        <v>0</v>
      </c>
      <c r="I1255">
        <v>0.85</v>
      </c>
      <c r="J1255" t="s">
        <v>222</v>
      </c>
      <c r="M1255">
        <v>1</v>
      </c>
      <c r="N1255">
        <v>74213.108999999997</v>
      </c>
      <c r="O1255">
        <v>0</v>
      </c>
    </row>
    <row r="1256" spans="1:16" x14ac:dyDescent="0.25">
      <c r="A1256" t="s">
        <v>89</v>
      </c>
      <c r="F1256">
        <v>0.39743055555555556</v>
      </c>
      <c r="G1256" t="s">
        <v>221</v>
      </c>
      <c r="H1256">
        <v>0</v>
      </c>
      <c r="I1256">
        <v>0.86</v>
      </c>
      <c r="J1256" t="s">
        <v>222</v>
      </c>
      <c r="M1256">
        <v>1</v>
      </c>
      <c r="N1256">
        <v>79356.687999999995</v>
      </c>
      <c r="O1256">
        <v>0</v>
      </c>
    </row>
    <row r="1257" spans="1:16" x14ac:dyDescent="0.25">
      <c r="A1257" t="s">
        <v>90</v>
      </c>
      <c r="F1257">
        <v>0.39930555555555558</v>
      </c>
      <c r="G1257" t="s">
        <v>221</v>
      </c>
      <c r="H1257">
        <v>0</v>
      </c>
      <c r="I1257">
        <v>0.85</v>
      </c>
      <c r="J1257" t="s">
        <v>222</v>
      </c>
      <c r="K1257" t="s">
        <v>27</v>
      </c>
      <c r="L1257">
        <v>0.69699999999999995</v>
      </c>
      <c r="M1257">
        <v>1</v>
      </c>
      <c r="N1257">
        <v>80031.358999999997</v>
      </c>
      <c r="O1257">
        <v>8.7090861470939165E-6</v>
      </c>
      <c r="P1257">
        <v>1.06</v>
      </c>
    </row>
    <row r="1258" spans="1:16" x14ac:dyDescent="0.25">
      <c r="A1258" t="s">
        <v>91</v>
      </c>
      <c r="F1258">
        <v>0.40116898148148145</v>
      </c>
      <c r="G1258" t="s">
        <v>221</v>
      </c>
      <c r="H1258">
        <v>0</v>
      </c>
      <c r="I1258">
        <v>0.87</v>
      </c>
      <c r="J1258" t="s">
        <v>222</v>
      </c>
      <c r="M1258">
        <v>1</v>
      </c>
      <c r="N1258">
        <v>104.651</v>
      </c>
      <c r="O1258">
        <v>0</v>
      </c>
    </row>
    <row r="1259" spans="1:16" x14ac:dyDescent="0.25">
      <c r="A1259" t="s">
        <v>92</v>
      </c>
      <c r="F1259">
        <v>0.4031481481481482</v>
      </c>
      <c r="G1259" t="s">
        <v>221</v>
      </c>
      <c r="H1259">
        <v>0</v>
      </c>
      <c r="I1259">
        <v>0.85</v>
      </c>
      <c r="J1259" t="s">
        <v>222</v>
      </c>
      <c r="K1259" t="s">
        <v>27</v>
      </c>
      <c r="L1259">
        <v>8.3960000000000008</v>
      </c>
      <c r="M1259">
        <v>1</v>
      </c>
      <c r="N1259">
        <v>54.768000000000001</v>
      </c>
      <c r="O1259">
        <v>0.1533011977797254</v>
      </c>
      <c r="P1259">
        <v>1.06</v>
      </c>
    </row>
    <row r="1260" spans="1:16" x14ac:dyDescent="0.25">
      <c r="A1260" t="s">
        <v>93</v>
      </c>
      <c r="F1260">
        <v>0.40502314814814816</v>
      </c>
      <c r="G1260" t="s">
        <v>221</v>
      </c>
      <c r="H1260">
        <v>0</v>
      </c>
      <c r="I1260">
        <v>0.86</v>
      </c>
      <c r="J1260" t="s">
        <v>222</v>
      </c>
      <c r="K1260" t="s">
        <v>27</v>
      </c>
      <c r="L1260">
        <v>0.29599999999999999</v>
      </c>
      <c r="M1260">
        <v>1</v>
      </c>
      <c r="N1260">
        <v>86940.445000000007</v>
      </c>
      <c r="O1260">
        <v>3.4046294564054735E-6</v>
      </c>
      <c r="P1260">
        <v>1.08</v>
      </c>
    </row>
    <row r="1261" spans="1:16" x14ac:dyDescent="0.25">
      <c r="A1261" t="s">
        <v>94</v>
      </c>
      <c r="F1261">
        <v>0.40701388888888884</v>
      </c>
      <c r="G1261" t="s">
        <v>221</v>
      </c>
      <c r="H1261">
        <v>0</v>
      </c>
      <c r="I1261">
        <v>0.85</v>
      </c>
      <c r="J1261" t="s">
        <v>222</v>
      </c>
      <c r="K1261" t="s">
        <v>27</v>
      </c>
      <c r="L1261">
        <v>1.0780000000000001</v>
      </c>
      <c r="M1261">
        <v>1</v>
      </c>
      <c r="N1261">
        <v>85609.616999999998</v>
      </c>
      <c r="O1261">
        <v>1.2592043251402469E-5</v>
      </c>
      <c r="P1261">
        <v>1.0900000000000001</v>
      </c>
    </row>
    <row r="1262" spans="1:16" x14ac:dyDescent="0.25">
      <c r="A1262" t="s">
        <v>95</v>
      </c>
      <c r="F1262">
        <v>0.40896990740740741</v>
      </c>
      <c r="G1262" t="s">
        <v>221</v>
      </c>
      <c r="H1262">
        <v>0</v>
      </c>
      <c r="I1262">
        <v>0.85</v>
      </c>
      <c r="J1262" t="s">
        <v>222</v>
      </c>
      <c r="K1262" t="s">
        <v>27</v>
      </c>
      <c r="L1262">
        <v>0.97699999999999998</v>
      </c>
      <c r="M1262">
        <v>1</v>
      </c>
      <c r="N1262">
        <v>85459.241999999998</v>
      </c>
      <c r="O1262">
        <v>1.1432350406290755E-5</v>
      </c>
      <c r="P1262">
        <v>1.1200000000000001</v>
      </c>
    </row>
    <row r="1263" spans="1:16" x14ac:dyDescent="0.25">
      <c r="A1263" t="s">
        <v>96</v>
      </c>
      <c r="F1263">
        <v>0.41090277777777778</v>
      </c>
      <c r="G1263" t="s">
        <v>221</v>
      </c>
      <c r="H1263">
        <v>0</v>
      </c>
      <c r="I1263">
        <v>0.85</v>
      </c>
      <c r="J1263" t="s">
        <v>222</v>
      </c>
      <c r="K1263" t="s">
        <v>27</v>
      </c>
      <c r="L1263">
        <v>0.56799999999999995</v>
      </c>
      <c r="M1263">
        <v>1</v>
      </c>
      <c r="N1263">
        <v>86220.406000000003</v>
      </c>
      <c r="O1263">
        <v>6.5877676335692498E-6</v>
      </c>
      <c r="P1263">
        <v>1.0900000000000001</v>
      </c>
    </row>
    <row r="1264" spans="1:16" x14ac:dyDescent="0.25">
      <c r="A1264" t="s">
        <v>97</v>
      </c>
      <c r="F1264">
        <v>0.4127662037037037</v>
      </c>
      <c r="G1264" t="s">
        <v>221</v>
      </c>
      <c r="H1264">
        <v>0</v>
      </c>
      <c r="I1264">
        <v>0.85</v>
      </c>
      <c r="J1264" t="s">
        <v>222</v>
      </c>
      <c r="K1264" t="s">
        <v>27</v>
      </c>
      <c r="L1264">
        <v>2.621</v>
      </c>
      <c r="M1264">
        <v>1</v>
      </c>
      <c r="N1264">
        <v>87941.781000000003</v>
      </c>
      <c r="O1264">
        <v>2.9803808499170603E-5</v>
      </c>
      <c r="P1264">
        <v>1.07</v>
      </c>
    </row>
    <row r="1265" spans="1:19" x14ac:dyDescent="0.25">
      <c r="A1265" t="s">
        <v>98</v>
      </c>
      <c r="F1265">
        <v>0.41465277777777776</v>
      </c>
      <c r="G1265" t="s">
        <v>221</v>
      </c>
      <c r="H1265">
        <v>0</v>
      </c>
      <c r="I1265">
        <v>0.85</v>
      </c>
      <c r="J1265" t="s">
        <v>222</v>
      </c>
      <c r="M1265">
        <v>1</v>
      </c>
      <c r="N1265">
        <v>93537.976999999999</v>
      </c>
      <c r="O1265">
        <v>0</v>
      </c>
    </row>
    <row r="1266" spans="1:19" x14ac:dyDescent="0.25">
      <c r="A1266" s="2" t="s">
        <v>99</v>
      </c>
      <c r="B1266" s="2"/>
      <c r="C1266" s="2"/>
      <c r="D1266" s="2"/>
      <c r="E1266" s="2"/>
      <c r="F1266" s="2">
        <v>0.41651620370370374</v>
      </c>
      <c r="G1266" s="2" t="s">
        <v>221</v>
      </c>
      <c r="H1266" s="2">
        <v>0</v>
      </c>
      <c r="I1266" s="2">
        <v>0.86</v>
      </c>
      <c r="J1266" s="2" t="s">
        <v>222</v>
      </c>
      <c r="K1266" s="2" t="s">
        <v>27</v>
      </c>
      <c r="L1266" s="2">
        <v>92224.335999999996</v>
      </c>
      <c r="M1266" s="2">
        <v>1</v>
      </c>
      <c r="N1266" s="2">
        <v>86879.258000000002</v>
      </c>
      <c r="O1266" s="2">
        <v>1.0615230622710889</v>
      </c>
      <c r="P1266" s="2">
        <v>1.0900000000000001</v>
      </c>
      <c r="Q1266" s="2"/>
      <c r="R1266" s="2"/>
      <c r="S1266" s="2"/>
    </row>
    <row r="1267" spans="1:19" x14ac:dyDescent="0.25">
      <c r="A1267" s="2" t="s">
        <v>100</v>
      </c>
      <c r="B1267" s="2"/>
      <c r="C1267" s="2"/>
      <c r="D1267" s="2"/>
      <c r="E1267" s="2"/>
      <c r="F1267" s="2">
        <v>0.41849537037037038</v>
      </c>
      <c r="G1267" s="2" t="s">
        <v>221</v>
      </c>
      <c r="H1267" s="2">
        <v>0</v>
      </c>
      <c r="I1267" s="2">
        <v>0.85</v>
      </c>
      <c r="J1267" s="2" t="s">
        <v>222</v>
      </c>
      <c r="K1267" s="2" t="s">
        <v>27</v>
      </c>
      <c r="L1267" s="2">
        <v>91650.57</v>
      </c>
      <c r="M1267" s="2">
        <v>1</v>
      </c>
      <c r="N1267" s="2">
        <v>85980.991999999998</v>
      </c>
      <c r="O1267" s="2">
        <v>1.0659398998327445</v>
      </c>
      <c r="P1267" s="2">
        <v>1.0900000000000001</v>
      </c>
      <c r="Q1267" s="2"/>
      <c r="R1267" s="2"/>
      <c r="S1267" s="2"/>
    </row>
    <row r="1268" spans="1:19" x14ac:dyDescent="0.25">
      <c r="A1268" t="s">
        <v>101</v>
      </c>
      <c r="F1268">
        <v>0.42046296296296298</v>
      </c>
      <c r="G1268" t="s">
        <v>221</v>
      </c>
      <c r="H1268">
        <v>0</v>
      </c>
      <c r="I1268">
        <v>0.85</v>
      </c>
      <c r="J1268" t="s">
        <v>222</v>
      </c>
      <c r="K1268" t="s">
        <v>27</v>
      </c>
      <c r="L1268">
        <v>311.13900000000001</v>
      </c>
      <c r="M1268">
        <v>1</v>
      </c>
      <c r="N1268">
        <v>82045.156000000003</v>
      </c>
      <c r="O1268">
        <v>3.7922896995893334E-3</v>
      </c>
      <c r="P1268">
        <v>1.0900000000000001</v>
      </c>
    </row>
    <row r="1269" spans="1:19" x14ac:dyDescent="0.25">
      <c r="A1269" t="s">
        <v>102</v>
      </c>
      <c r="F1269">
        <v>0.4223263888888889</v>
      </c>
      <c r="G1269" t="s">
        <v>221</v>
      </c>
      <c r="H1269">
        <v>0</v>
      </c>
      <c r="I1269">
        <v>0.85</v>
      </c>
      <c r="J1269" t="s">
        <v>222</v>
      </c>
      <c r="K1269" t="s">
        <v>27</v>
      </c>
      <c r="L1269">
        <v>31.175000000000001</v>
      </c>
      <c r="M1269">
        <v>1</v>
      </c>
      <c r="N1269">
        <v>86455.312999999995</v>
      </c>
      <c r="O1269">
        <v>3.6059091012717755E-4</v>
      </c>
      <c r="P1269">
        <v>1.0900000000000001</v>
      </c>
    </row>
    <row r="1270" spans="1:19" x14ac:dyDescent="0.25">
      <c r="A1270" t="s">
        <v>103</v>
      </c>
      <c r="F1270">
        <v>0.42429398148148145</v>
      </c>
      <c r="G1270" t="s">
        <v>221</v>
      </c>
      <c r="H1270">
        <v>0</v>
      </c>
      <c r="I1270">
        <v>0.85</v>
      </c>
      <c r="J1270" t="s">
        <v>222</v>
      </c>
      <c r="K1270" t="s">
        <v>27</v>
      </c>
      <c r="L1270">
        <v>119.152</v>
      </c>
      <c r="M1270">
        <v>1</v>
      </c>
      <c r="N1270">
        <v>85804.358999999997</v>
      </c>
      <c r="O1270">
        <v>1.3886473996035564E-3</v>
      </c>
      <c r="P1270">
        <v>1.0900000000000001</v>
      </c>
    </row>
    <row r="1271" spans="1:19" x14ac:dyDescent="0.25">
      <c r="A1271" t="s">
        <v>104</v>
      </c>
      <c r="F1271">
        <v>0.42614583333333328</v>
      </c>
      <c r="G1271" t="s">
        <v>221</v>
      </c>
      <c r="H1271">
        <v>0</v>
      </c>
      <c r="I1271">
        <v>0.85</v>
      </c>
      <c r="J1271" t="s">
        <v>222</v>
      </c>
      <c r="K1271" t="s">
        <v>27</v>
      </c>
      <c r="L1271">
        <v>18.068999999999999</v>
      </c>
      <c r="M1271">
        <v>1</v>
      </c>
      <c r="N1271">
        <v>86476.241999999998</v>
      </c>
      <c r="O1271">
        <v>2.0894756273058212E-4</v>
      </c>
      <c r="P1271">
        <v>1.08</v>
      </c>
    </row>
    <row r="1272" spans="1:19" x14ac:dyDescent="0.25">
      <c r="A1272" t="s">
        <v>105</v>
      </c>
      <c r="F1272">
        <v>0.42802083333333335</v>
      </c>
      <c r="G1272" t="s">
        <v>221</v>
      </c>
      <c r="H1272">
        <v>0</v>
      </c>
      <c r="I1272">
        <v>0.85</v>
      </c>
      <c r="J1272" t="s">
        <v>222</v>
      </c>
      <c r="M1272">
        <v>1</v>
      </c>
      <c r="N1272">
        <v>81312.297000000006</v>
      </c>
      <c r="O1272">
        <v>0</v>
      </c>
    </row>
    <row r="1273" spans="1:19" x14ac:dyDescent="0.25">
      <c r="A1273" t="s">
        <v>106</v>
      </c>
      <c r="F1273">
        <v>0.43</v>
      </c>
      <c r="G1273" t="s">
        <v>221</v>
      </c>
      <c r="H1273">
        <v>0</v>
      </c>
      <c r="I1273">
        <v>0.85</v>
      </c>
      <c r="J1273" t="s">
        <v>222</v>
      </c>
      <c r="M1273">
        <v>1</v>
      </c>
      <c r="N1273">
        <v>84202.343999999997</v>
      </c>
      <c r="O1273">
        <v>0</v>
      </c>
    </row>
    <row r="1274" spans="1:19" x14ac:dyDescent="0.25">
      <c r="A1274" t="s">
        <v>107</v>
      </c>
      <c r="F1274">
        <v>0.4319675925925926</v>
      </c>
      <c r="G1274" t="s">
        <v>221</v>
      </c>
      <c r="H1274">
        <v>0</v>
      </c>
      <c r="I1274">
        <v>0.86</v>
      </c>
      <c r="J1274" t="s">
        <v>222</v>
      </c>
      <c r="K1274" t="s">
        <v>27</v>
      </c>
      <c r="L1274">
        <v>44.493000000000002</v>
      </c>
      <c r="M1274">
        <v>1</v>
      </c>
      <c r="N1274">
        <v>83752.375</v>
      </c>
      <c r="O1274">
        <v>5.312446363461335E-4</v>
      </c>
      <c r="P1274">
        <v>1.1000000000000001</v>
      </c>
    </row>
    <row r="1275" spans="1:19" x14ac:dyDescent="0.25">
      <c r="A1275" t="s">
        <v>108</v>
      </c>
      <c r="F1275">
        <v>0.4339351851851852</v>
      </c>
      <c r="G1275" t="s">
        <v>221</v>
      </c>
      <c r="H1275">
        <v>0</v>
      </c>
      <c r="I1275">
        <v>0.85</v>
      </c>
      <c r="J1275" t="s">
        <v>222</v>
      </c>
      <c r="M1275">
        <v>1</v>
      </c>
      <c r="N1275">
        <v>87009.906000000003</v>
      </c>
      <c r="O1275">
        <v>0</v>
      </c>
    </row>
    <row r="1276" spans="1:19" x14ac:dyDescent="0.25">
      <c r="A1276" t="s">
        <v>109</v>
      </c>
      <c r="F1276">
        <v>0.43590277777777775</v>
      </c>
      <c r="G1276" t="s">
        <v>221</v>
      </c>
      <c r="H1276">
        <v>0</v>
      </c>
      <c r="I1276">
        <v>0.85</v>
      </c>
      <c r="J1276" t="s">
        <v>222</v>
      </c>
      <c r="K1276" t="s">
        <v>27</v>
      </c>
      <c r="L1276">
        <v>51.892000000000003</v>
      </c>
      <c r="M1276">
        <v>1</v>
      </c>
      <c r="N1276">
        <v>84301.804999999993</v>
      </c>
      <c r="O1276">
        <v>6.1555028388775312E-4</v>
      </c>
      <c r="P1276">
        <v>1.1000000000000001</v>
      </c>
    </row>
    <row r="1277" spans="1:19" x14ac:dyDescent="0.25">
      <c r="A1277" t="s">
        <v>110</v>
      </c>
      <c r="F1277">
        <v>0.43787037037037035</v>
      </c>
      <c r="G1277" t="s">
        <v>221</v>
      </c>
      <c r="H1277">
        <v>0</v>
      </c>
      <c r="I1277">
        <v>0.85</v>
      </c>
      <c r="J1277" t="s">
        <v>222</v>
      </c>
      <c r="K1277" t="s">
        <v>27</v>
      </c>
      <c r="L1277">
        <v>0.57999999999999996</v>
      </c>
      <c r="M1277">
        <v>1</v>
      </c>
      <c r="N1277">
        <v>87135.851999999999</v>
      </c>
      <c r="O1277">
        <v>6.6562727819543211E-6</v>
      </c>
      <c r="P1277">
        <v>1.1100000000000001</v>
      </c>
    </row>
    <row r="1278" spans="1:19" x14ac:dyDescent="0.25">
      <c r="A1278" t="s">
        <v>111</v>
      </c>
      <c r="F1278">
        <v>0.43983796296296296</v>
      </c>
      <c r="G1278" t="s">
        <v>221</v>
      </c>
      <c r="H1278">
        <v>0</v>
      </c>
      <c r="I1278">
        <v>0.85</v>
      </c>
      <c r="J1278" t="s">
        <v>222</v>
      </c>
      <c r="M1278">
        <v>1</v>
      </c>
      <c r="N1278">
        <v>88461.593999999997</v>
      </c>
      <c r="O1278">
        <v>0</v>
      </c>
    </row>
    <row r="1279" spans="1:19" x14ac:dyDescent="0.25">
      <c r="A1279" t="s">
        <v>112</v>
      </c>
      <c r="F1279">
        <v>0.44180555555555556</v>
      </c>
      <c r="G1279" t="s">
        <v>221</v>
      </c>
      <c r="H1279">
        <v>0</v>
      </c>
      <c r="I1279">
        <v>0.85</v>
      </c>
      <c r="J1279" t="s">
        <v>222</v>
      </c>
      <c r="K1279" t="s">
        <v>27</v>
      </c>
      <c r="L1279">
        <v>2.0129999999999999</v>
      </c>
      <c r="M1279">
        <v>1</v>
      </c>
      <c r="N1279">
        <v>96436.241999999998</v>
      </c>
      <c r="O1279">
        <v>2.087389510677946E-5</v>
      </c>
      <c r="P1279">
        <v>1.08</v>
      </c>
    </row>
    <row r="1280" spans="1:19" x14ac:dyDescent="0.25">
      <c r="A1280" t="s">
        <v>113</v>
      </c>
      <c r="F1280">
        <v>0.44377314814814817</v>
      </c>
      <c r="G1280" t="s">
        <v>221</v>
      </c>
      <c r="H1280">
        <v>0</v>
      </c>
      <c r="I1280">
        <v>0.85</v>
      </c>
      <c r="J1280" t="s">
        <v>222</v>
      </c>
      <c r="M1280">
        <v>1</v>
      </c>
      <c r="N1280">
        <v>86018.039000000004</v>
      </c>
      <c r="O1280">
        <v>0</v>
      </c>
    </row>
    <row r="1281" spans="1:16" x14ac:dyDescent="0.25">
      <c r="A1281" t="s">
        <v>114</v>
      </c>
      <c r="F1281">
        <v>0.44574074074074077</v>
      </c>
      <c r="G1281" t="s">
        <v>221</v>
      </c>
      <c r="H1281">
        <v>0</v>
      </c>
      <c r="I1281">
        <v>0.85</v>
      </c>
      <c r="J1281" t="s">
        <v>222</v>
      </c>
      <c r="K1281" t="s">
        <v>27</v>
      </c>
      <c r="L1281">
        <v>1.0169999999999999</v>
      </c>
      <c r="M1281">
        <v>1</v>
      </c>
      <c r="N1281">
        <v>85403.312999999995</v>
      </c>
      <c r="O1281">
        <v>1.1908203139613565E-5</v>
      </c>
      <c r="P1281">
        <v>1.07</v>
      </c>
    </row>
    <row r="1282" spans="1:16" x14ac:dyDescent="0.25">
      <c r="A1282" t="s">
        <v>115</v>
      </c>
      <c r="F1282">
        <v>0.44769675925925928</v>
      </c>
      <c r="G1282" t="s">
        <v>221</v>
      </c>
      <c r="H1282">
        <v>0</v>
      </c>
      <c r="I1282">
        <v>0.85</v>
      </c>
      <c r="J1282" t="s">
        <v>222</v>
      </c>
      <c r="M1282">
        <v>1</v>
      </c>
      <c r="N1282">
        <v>90109.843999999997</v>
      </c>
      <c r="O1282">
        <v>0</v>
      </c>
    </row>
    <row r="1283" spans="1:16" x14ac:dyDescent="0.25">
      <c r="A1283" t="s">
        <v>116</v>
      </c>
      <c r="F1283">
        <v>0.44966435185185188</v>
      </c>
      <c r="G1283" t="s">
        <v>221</v>
      </c>
      <c r="H1283">
        <v>0</v>
      </c>
      <c r="I1283">
        <v>0.85</v>
      </c>
      <c r="J1283" t="s">
        <v>222</v>
      </c>
      <c r="K1283" t="s">
        <v>27</v>
      </c>
      <c r="L1283">
        <v>7.3579999999999997</v>
      </c>
      <c r="M1283">
        <v>1</v>
      </c>
      <c r="N1283">
        <v>88435.773000000001</v>
      </c>
      <c r="O1283">
        <v>8.3201624754272233E-5</v>
      </c>
      <c r="P1283">
        <v>1.0900000000000001</v>
      </c>
    </row>
    <row r="1284" spans="1:16" x14ac:dyDescent="0.25">
      <c r="A1284" t="s">
        <v>117</v>
      </c>
      <c r="F1284">
        <v>0.45163194444444449</v>
      </c>
      <c r="G1284" t="s">
        <v>221</v>
      </c>
      <c r="H1284">
        <v>0</v>
      </c>
      <c r="I1284">
        <v>0.85</v>
      </c>
      <c r="J1284" t="s">
        <v>222</v>
      </c>
      <c r="M1284">
        <v>1</v>
      </c>
      <c r="N1284">
        <v>84868.437999999995</v>
      </c>
      <c r="O1284">
        <v>0</v>
      </c>
    </row>
    <row r="1285" spans="1:16" x14ac:dyDescent="0.25">
      <c r="A1285" t="s">
        <v>118</v>
      </c>
      <c r="F1285">
        <v>0.45359953703703698</v>
      </c>
      <c r="G1285" t="s">
        <v>221</v>
      </c>
      <c r="H1285">
        <v>0</v>
      </c>
      <c r="I1285">
        <v>0.86</v>
      </c>
      <c r="J1285" t="s">
        <v>222</v>
      </c>
      <c r="K1285" t="s">
        <v>27</v>
      </c>
      <c r="L1285">
        <v>1.821</v>
      </c>
      <c r="M1285">
        <v>1</v>
      </c>
      <c r="N1285">
        <v>85751.210999999996</v>
      </c>
      <c r="O1285">
        <v>2.1235851701266353E-5</v>
      </c>
      <c r="P1285">
        <v>1.08</v>
      </c>
    </row>
    <row r="1286" spans="1:16" x14ac:dyDescent="0.25">
      <c r="A1286" t="s">
        <v>119</v>
      </c>
      <c r="F1286">
        <v>0.45555555555555555</v>
      </c>
      <c r="G1286" t="s">
        <v>221</v>
      </c>
      <c r="H1286">
        <v>0</v>
      </c>
      <c r="I1286">
        <v>0.85</v>
      </c>
      <c r="J1286" t="s">
        <v>222</v>
      </c>
      <c r="K1286" t="s">
        <v>27</v>
      </c>
      <c r="L1286">
        <v>0.39600000000000002</v>
      </c>
      <c r="M1286">
        <v>1</v>
      </c>
      <c r="N1286">
        <v>86068.866999999998</v>
      </c>
      <c r="O1286">
        <v>4.6009668048726616E-6</v>
      </c>
      <c r="P1286">
        <v>1.05</v>
      </c>
    </row>
    <row r="1287" spans="1:16" x14ac:dyDescent="0.25">
      <c r="A1287" t="s">
        <v>120</v>
      </c>
      <c r="F1287">
        <v>0.45753472222222219</v>
      </c>
      <c r="G1287" t="s">
        <v>221</v>
      </c>
      <c r="H1287">
        <v>0</v>
      </c>
      <c r="I1287">
        <v>0.85</v>
      </c>
      <c r="J1287" t="s">
        <v>222</v>
      </c>
      <c r="K1287" t="s">
        <v>27</v>
      </c>
      <c r="L1287">
        <v>1.6160000000000001</v>
      </c>
      <c r="M1287">
        <v>1</v>
      </c>
      <c r="N1287">
        <v>86854.266000000003</v>
      </c>
      <c r="O1287">
        <v>1.8605879416446856E-5</v>
      </c>
      <c r="P1287">
        <v>1.05</v>
      </c>
    </row>
    <row r="1288" spans="1:16" x14ac:dyDescent="0.25">
      <c r="A1288" t="s">
        <v>121</v>
      </c>
      <c r="F1288">
        <v>0.45950231481481479</v>
      </c>
      <c r="G1288" t="s">
        <v>221</v>
      </c>
      <c r="H1288">
        <v>0</v>
      </c>
      <c r="I1288">
        <v>0.86</v>
      </c>
      <c r="J1288" t="s">
        <v>222</v>
      </c>
      <c r="K1288" t="s">
        <v>27</v>
      </c>
      <c r="L1288">
        <v>0.434</v>
      </c>
      <c r="M1288">
        <v>1</v>
      </c>
      <c r="N1288">
        <v>83449.437999999995</v>
      </c>
      <c r="O1288">
        <v>5.2007540182595361E-6</v>
      </c>
      <c r="P1288">
        <v>1.1100000000000001</v>
      </c>
    </row>
    <row r="1289" spans="1:16" x14ac:dyDescent="0.25">
      <c r="A1289" t="s">
        <v>122</v>
      </c>
      <c r="F1289">
        <v>0.4614583333333333</v>
      </c>
      <c r="G1289" t="s">
        <v>221</v>
      </c>
      <c r="H1289">
        <v>0</v>
      </c>
      <c r="I1289">
        <v>0.85</v>
      </c>
      <c r="J1289" t="s">
        <v>222</v>
      </c>
      <c r="M1289">
        <v>1</v>
      </c>
      <c r="N1289">
        <v>84800.164000000004</v>
      </c>
      <c r="O1289">
        <v>0</v>
      </c>
    </row>
    <row r="1290" spans="1:16" x14ac:dyDescent="0.25">
      <c r="A1290" t="s">
        <v>123</v>
      </c>
      <c r="F1290">
        <v>0.46342592592592591</v>
      </c>
      <c r="G1290" t="s">
        <v>221</v>
      </c>
      <c r="H1290">
        <v>0</v>
      </c>
      <c r="I1290">
        <v>0.85</v>
      </c>
      <c r="J1290" t="s">
        <v>222</v>
      </c>
      <c r="K1290" t="s">
        <v>27</v>
      </c>
      <c r="L1290">
        <v>1.9910000000000001</v>
      </c>
      <c r="M1290">
        <v>1</v>
      </c>
      <c r="N1290">
        <v>48.820999999999998</v>
      </c>
      <c r="O1290">
        <v>4.0781630855574451E-2</v>
      </c>
      <c r="P1290">
        <v>1.1299999999999999</v>
      </c>
    </row>
    <row r="1291" spans="1:16" x14ac:dyDescent="0.25">
      <c r="A1291" t="s">
        <v>124</v>
      </c>
      <c r="F1291">
        <v>0.46538194444444447</v>
      </c>
      <c r="G1291" t="s">
        <v>221</v>
      </c>
      <c r="H1291">
        <v>0</v>
      </c>
      <c r="I1291">
        <v>0.85</v>
      </c>
      <c r="J1291" t="s">
        <v>222</v>
      </c>
      <c r="K1291" t="s">
        <v>27</v>
      </c>
      <c r="L1291">
        <v>5.657</v>
      </c>
      <c r="M1291">
        <v>1</v>
      </c>
      <c r="N1291">
        <v>108.077</v>
      </c>
      <c r="O1291">
        <v>5.2342311500134166E-2</v>
      </c>
      <c r="P1291">
        <v>1.1200000000000001</v>
      </c>
    </row>
    <row r="1292" spans="1:16" x14ac:dyDescent="0.25">
      <c r="A1292" t="s">
        <v>125</v>
      </c>
      <c r="F1292">
        <v>0.46722222222222221</v>
      </c>
      <c r="G1292" t="s">
        <v>221</v>
      </c>
      <c r="H1292">
        <v>0</v>
      </c>
      <c r="I1292">
        <v>0.85</v>
      </c>
      <c r="J1292" t="s">
        <v>222</v>
      </c>
      <c r="K1292" t="s">
        <v>27</v>
      </c>
      <c r="L1292">
        <v>7.1970000000000001</v>
      </c>
      <c r="M1292">
        <v>1</v>
      </c>
      <c r="N1292">
        <v>83808.866999999998</v>
      </c>
      <c r="O1292">
        <v>8.5873968442981105E-5</v>
      </c>
      <c r="P1292">
        <v>1.0900000000000001</v>
      </c>
    </row>
    <row r="1293" spans="1:16" x14ac:dyDescent="0.25">
      <c r="A1293" t="s">
        <v>126</v>
      </c>
      <c r="F1293">
        <v>0.46921296296296294</v>
      </c>
      <c r="G1293" t="s">
        <v>221</v>
      </c>
      <c r="H1293">
        <v>0</v>
      </c>
      <c r="I1293">
        <v>0.85</v>
      </c>
      <c r="J1293" t="s">
        <v>222</v>
      </c>
      <c r="K1293" t="s">
        <v>27</v>
      </c>
      <c r="L1293">
        <v>0.126</v>
      </c>
      <c r="M1293">
        <v>1</v>
      </c>
      <c r="N1293">
        <v>85237.375</v>
      </c>
      <c r="O1293">
        <v>1.4782247810892816E-6</v>
      </c>
      <c r="P1293">
        <v>1.1100000000000001</v>
      </c>
    </row>
    <row r="1294" spans="1:16" x14ac:dyDescent="0.25">
      <c r="A1294" t="s">
        <v>127</v>
      </c>
      <c r="F1294">
        <v>0.47106481481481483</v>
      </c>
      <c r="G1294" t="s">
        <v>221</v>
      </c>
      <c r="H1294">
        <v>0</v>
      </c>
      <c r="I1294">
        <v>0.85</v>
      </c>
      <c r="J1294" t="s">
        <v>222</v>
      </c>
      <c r="K1294" t="s">
        <v>27</v>
      </c>
      <c r="L1294">
        <v>0.48299999999999998</v>
      </c>
      <c r="M1294">
        <v>1</v>
      </c>
      <c r="N1294">
        <v>85078.641000000003</v>
      </c>
      <c r="O1294">
        <v>5.6771005545328349E-6</v>
      </c>
      <c r="P1294">
        <v>1.0900000000000001</v>
      </c>
    </row>
    <row r="1295" spans="1:16" x14ac:dyDescent="0.25">
      <c r="A1295" t="s">
        <v>128</v>
      </c>
      <c r="F1295">
        <v>0.47292824074074075</v>
      </c>
      <c r="G1295" t="s">
        <v>221</v>
      </c>
      <c r="H1295">
        <v>0</v>
      </c>
      <c r="I1295">
        <v>0.85</v>
      </c>
      <c r="J1295" t="s">
        <v>222</v>
      </c>
      <c r="K1295" t="s">
        <v>27</v>
      </c>
      <c r="L1295">
        <v>15.157</v>
      </c>
      <c r="M1295">
        <v>1</v>
      </c>
      <c r="N1295">
        <v>85329.452999999994</v>
      </c>
      <c r="O1295">
        <v>1.7762917102023378E-4</v>
      </c>
      <c r="P1295">
        <v>1.1000000000000001</v>
      </c>
    </row>
    <row r="1296" spans="1:16" x14ac:dyDescent="0.25">
      <c r="A1296" t="s">
        <v>129</v>
      </c>
      <c r="F1296">
        <v>0.47480324074074076</v>
      </c>
      <c r="G1296" t="s">
        <v>221</v>
      </c>
      <c r="H1296">
        <v>0</v>
      </c>
      <c r="I1296">
        <v>0.85</v>
      </c>
      <c r="J1296" t="s">
        <v>222</v>
      </c>
      <c r="K1296" t="s">
        <v>27</v>
      </c>
      <c r="L1296">
        <v>2.569</v>
      </c>
      <c r="M1296">
        <v>1</v>
      </c>
      <c r="N1296">
        <v>90051.664000000004</v>
      </c>
      <c r="O1296">
        <v>2.852806806546073E-5</v>
      </c>
      <c r="P1296">
        <v>1.1100000000000001</v>
      </c>
    </row>
    <row r="1297" spans="1:19" x14ac:dyDescent="0.25">
      <c r="A1297" t="s">
        <v>130</v>
      </c>
      <c r="F1297">
        <v>0.47667824074074078</v>
      </c>
      <c r="G1297" t="s">
        <v>221</v>
      </c>
      <c r="H1297">
        <v>0</v>
      </c>
      <c r="I1297">
        <v>0.85</v>
      </c>
      <c r="J1297" t="s">
        <v>222</v>
      </c>
      <c r="K1297" t="s">
        <v>27</v>
      </c>
      <c r="L1297">
        <v>0.16500000000000001</v>
      </c>
      <c r="M1297">
        <v>1</v>
      </c>
      <c r="N1297">
        <v>85405.758000000002</v>
      </c>
      <c r="O1297">
        <v>1.931954049280846E-6</v>
      </c>
      <c r="P1297">
        <v>1.06</v>
      </c>
    </row>
    <row r="1298" spans="1:19" x14ac:dyDescent="0.25">
      <c r="A1298" s="2" t="s">
        <v>131</v>
      </c>
      <c r="B1298" s="2"/>
      <c r="C1298" s="2"/>
      <c r="D1298" s="2"/>
      <c r="E1298" s="2"/>
      <c r="F1298" s="2">
        <v>0.47855324074074074</v>
      </c>
      <c r="G1298" s="2" t="s">
        <v>221</v>
      </c>
      <c r="H1298" s="2">
        <v>0</v>
      </c>
      <c r="I1298" s="2">
        <v>0.85</v>
      </c>
      <c r="J1298" s="2" t="s">
        <v>222</v>
      </c>
      <c r="K1298" s="2" t="s">
        <v>27</v>
      </c>
      <c r="L1298" s="2">
        <v>113802.977</v>
      </c>
      <c r="M1298" s="2">
        <v>1</v>
      </c>
      <c r="N1298" s="2">
        <v>83086.016000000003</v>
      </c>
      <c r="O1298" s="2">
        <v>1.3697007327923871</v>
      </c>
      <c r="P1298" s="2">
        <v>1.08</v>
      </c>
      <c r="Q1298" s="2"/>
      <c r="R1298" s="2"/>
      <c r="S1298" s="2"/>
    </row>
    <row r="1299" spans="1:19" x14ac:dyDescent="0.25">
      <c r="A1299" s="2" t="s">
        <v>132</v>
      </c>
      <c r="B1299" s="2"/>
      <c r="C1299" s="2"/>
      <c r="D1299" s="2"/>
      <c r="E1299" s="2"/>
      <c r="F1299" s="2">
        <v>0.48041666666666666</v>
      </c>
      <c r="G1299" s="2" t="s">
        <v>221</v>
      </c>
      <c r="H1299" s="2">
        <v>0</v>
      </c>
      <c r="I1299" s="2">
        <v>0.86</v>
      </c>
      <c r="J1299" s="2" t="s">
        <v>222</v>
      </c>
      <c r="K1299" s="2" t="s">
        <v>27</v>
      </c>
      <c r="L1299" s="2">
        <v>116216.875</v>
      </c>
      <c r="M1299" s="2">
        <v>1</v>
      </c>
      <c r="N1299" s="2">
        <v>83014.070000000007</v>
      </c>
      <c r="O1299" s="2">
        <v>1.3999659937164868</v>
      </c>
      <c r="P1299" s="2">
        <v>1.0900000000000001</v>
      </c>
      <c r="Q1299" s="2"/>
      <c r="R1299" s="2"/>
      <c r="S1299" s="2"/>
    </row>
    <row r="1300" spans="1:19" x14ac:dyDescent="0.25">
      <c r="A1300" t="s">
        <v>133</v>
      </c>
      <c r="F1300">
        <v>0.48230324074074077</v>
      </c>
      <c r="G1300" t="s">
        <v>221</v>
      </c>
      <c r="H1300">
        <v>0</v>
      </c>
      <c r="I1300">
        <v>0.86</v>
      </c>
      <c r="J1300" t="s">
        <v>222</v>
      </c>
      <c r="K1300" t="s">
        <v>27</v>
      </c>
      <c r="L1300">
        <v>182.523</v>
      </c>
      <c r="M1300">
        <v>1</v>
      </c>
      <c r="N1300">
        <v>82167.266000000003</v>
      </c>
      <c r="O1300">
        <v>2.2213590506954435E-3</v>
      </c>
      <c r="P1300">
        <v>1.0900000000000001</v>
      </c>
    </row>
    <row r="1301" spans="1:19" x14ac:dyDescent="0.25">
      <c r="A1301" t="s">
        <v>134</v>
      </c>
      <c r="F1301">
        <v>0.4841550925925926</v>
      </c>
      <c r="G1301" t="s">
        <v>221</v>
      </c>
      <c r="H1301">
        <v>0</v>
      </c>
      <c r="I1301">
        <v>0.85</v>
      </c>
      <c r="J1301" t="s">
        <v>222</v>
      </c>
      <c r="K1301" t="s">
        <v>27</v>
      </c>
      <c r="L1301">
        <v>108.761</v>
      </c>
      <c r="M1301">
        <v>1</v>
      </c>
      <c r="N1301">
        <v>83417.883000000002</v>
      </c>
      <c r="O1301">
        <v>1.303809160441053E-3</v>
      </c>
      <c r="P1301">
        <v>1.08</v>
      </c>
    </row>
    <row r="1302" spans="1:19" x14ac:dyDescent="0.25">
      <c r="A1302" t="s">
        <v>135</v>
      </c>
      <c r="F1302">
        <v>0.48603009259259261</v>
      </c>
      <c r="G1302" t="s">
        <v>221</v>
      </c>
      <c r="H1302">
        <v>0</v>
      </c>
      <c r="I1302">
        <v>0.85</v>
      </c>
      <c r="J1302" t="s">
        <v>222</v>
      </c>
      <c r="K1302" t="s">
        <v>27</v>
      </c>
      <c r="L1302">
        <v>46.781999999999996</v>
      </c>
      <c r="M1302">
        <v>1</v>
      </c>
      <c r="N1302">
        <v>84251.233999999997</v>
      </c>
      <c r="O1302">
        <v>5.5526783144802363E-4</v>
      </c>
      <c r="P1302">
        <v>1.1000000000000001</v>
      </c>
    </row>
    <row r="1303" spans="1:19" x14ac:dyDescent="0.25">
      <c r="A1303" t="s">
        <v>136</v>
      </c>
      <c r="F1303">
        <v>0.48789351851851853</v>
      </c>
      <c r="G1303" t="s">
        <v>221</v>
      </c>
      <c r="H1303">
        <v>0</v>
      </c>
      <c r="I1303">
        <v>0.85</v>
      </c>
      <c r="J1303" t="s">
        <v>222</v>
      </c>
      <c r="K1303" t="s">
        <v>27</v>
      </c>
      <c r="L1303">
        <v>18.884</v>
      </c>
      <c r="M1303">
        <v>1</v>
      </c>
      <c r="N1303">
        <v>85308.608999999997</v>
      </c>
      <c r="O1303">
        <v>2.2136101175908285E-4</v>
      </c>
      <c r="P1303">
        <v>1.1000000000000001</v>
      </c>
    </row>
    <row r="1304" spans="1:19" x14ac:dyDescent="0.25">
      <c r="A1304" t="s">
        <v>137</v>
      </c>
      <c r="F1304">
        <v>0.48976851851851855</v>
      </c>
      <c r="G1304" t="s">
        <v>221</v>
      </c>
      <c r="H1304">
        <v>0</v>
      </c>
      <c r="I1304">
        <v>0.85</v>
      </c>
      <c r="J1304" t="s">
        <v>222</v>
      </c>
      <c r="K1304" t="s">
        <v>27</v>
      </c>
      <c r="L1304">
        <v>9.9120000000000008</v>
      </c>
      <c r="M1304">
        <v>1</v>
      </c>
      <c r="N1304">
        <v>84172.116999999998</v>
      </c>
      <c r="O1304">
        <v>1.1775871099927308E-4</v>
      </c>
      <c r="P1304">
        <v>1.08</v>
      </c>
    </row>
    <row r="1305" spans="1:19" x14ac:dyDescent="0.25">
      <c r="A1305" t="s">
        <v>138</v>
      </c>
      <c r="F1305">
        <v>0.49164351851851856</v>
      </c>
      <c r="G1305" t="s">
        <v>221</v>
      </c>
      <c r="H1305">
        <v>0</v>
      </c>
      <c r="I1305">
        <v>0.85</v>
      </c>
      <c r="J1305" t="s">
        <v>222</v>
      </c>
      <c r="M1305">
        <v>1</v>
      </c>
      <c r="N1305">
        <v>82786.016000000003</v>
      </c>
      <c r="O1305">
        <v>0</v>
      </c>
    </row>
    <row r="1306" spans="1:19" x14ac:dyDescent="0.25">
      <c r="A1306" t="s">
        <v>139</v>
      </c>
      <c r="F1306">
        <v>0.49353009259259256</v>
      </c>
      <c r="G1306" t="s">
        <v>221</v>
      </c>
      <c r="H1306">
        <v>0</v>
      </c>
      <c r="I1306">
        <v>0.85</v>
      </c>
      <c r="J1306" t="s">
        <v>222</v>
      </c>
      <c r="K1306" t="s">
        <v>27</v>
      </c>
      <c r="L1306">
        <v>3.7999999999999999E-2</v>
      </c>
      <c r="M1306">
        <v>1</v>
      </c>
      <c r="N1306">
        <v>84114.585999999996</v>
      </c>
      <c r="O1306">
        <v>4.5176469156015346E-7</v>
      </c>
      <c r="P1306">
        <v>1.07</v>
      </c>
    </row>
    <row r="1307" spans="1:19" x14ac:dyDescent="0.25">
      <c r="A1307" t="s">
        <v>140</v>
      </c>
      <c r="F1307">
        <v>0.49538194444444444</v>
      </c>
      <c r="G1307" t="s">
        <v>221</v>
      </c>
      <c r="H1307">
        <v>0</v>
      </c>
      <c r="I1307">
        <v>0.85</v>
      </c>
      <c r="J1307" t="s">
        <v>222</v>
      </c>
      <c r="K1307" t="s">
        <v>27</v>
      </c>
      <c r="L1307">
        <v>24.768000000000001</v>
      </c>
      <c r="M1307">
        <v>1</v>
      </c>
      <c r="N1307">
        <v>82948.483999999997</v>
      </c>
      <c r="O1307">
        <v>2.9859496889659854E-4</v>
      </c>
      <c r="P1307">
        <v>1.0900000000000001</v>
      </c>
    </row>
    <row r="1308" spans="1:19" x14ac:dyDescent="0.25">
      <c r="A1308" t="s">
        <v>141</v>
      </c>
      <c r="F1308">
        <v>0.49726851851851855</v>
      </c>
      <c r="G1308" t="s">
        <v>221</v>
      </c>
      <c r="H1308">
        <v>0</v>
      </c>
      <c r="I1308">
        <v>0.85</v>
      </c>
      <c r="J1308" t="s">
        <v>222</v>
      </c>
      <c r="M1308">
        <v>1</v>
      </c>
      <c r="N1308">
        <v>84148.991999999998</v>
      </c>
      <c r="O1308">
        <v>0</v>
      </c>
    </row>
    <row r="1309" spans="1:19" x14ac:dyDescent="0.25">
      <c r="A1309" t="s">
        <v>142</v>
      </c>
      <c r="F1309">
        <v>0.49912037037037038</v>
      </c>
      <c r="G1309" t="s">
        <v>221</v>
      </c>
      <c r="H1309">
        <v>0</v>
      </c>
      <c r="I1309">
        <v>0.86</v>
      </c>
      <c r="J1309" t="s">
        <v>222</v>
      </c>
      <c r="K1309" t="s">
        <v>27</v>
      </c>
      <c r="L1309">
        <v>2.6640000000000001</v>
      </c>
      <c r="M1309">
        <v>1</v>
      </c>
      <c r="N1309">
        <v>87653.937999999995</v>
      </c>
      <c r="O1309">
        <v>3.0392245468766051E-5</v>
      </c>
      <c r="P1309">
        <v>1.05</v>
      </c>
    </row>
    <row r="1310" spans="1:19" x14ac:dyDescent="0.25">
      <c r="A1310" t="s">
        <v>143</v>
      </c>
      <c r="F1310">
        <v>0.50100694444444438</v>
      </c>
      <c r="G1310" t="s">
        <v>221</v>
      </c>
      <c r="H1310">
        <v>0</v>
      </c>
      <c r="I1310">
        <v>0.85</v>
      </c>
      <c r="J1310" t="s">
        <v>222</v>
      </c>
      <c r="K1310" t="s">
        <v>27</v>
      </c>
      <c r="L1310">
        <v>8.8640000000000008</v>
      </c>
      <c r="M1310">
        <v>1</v>
      </c>
      <c r="N1310">
        <v>87204.741999999998</v>
      </c>
      <c r="O1310">
        <v>1.0164584857094125E-4</v>
      </c>
      <c r="P1310">
        <v>1.1299999999999999</v>
      </c>
    </row>
    <row r="1311" spans="1:19" x14ac:dyDescent="0.25">
      <c r="A1311" t="s">
        <v>144</v>
      </c>
      <c r="F1311">
        <v>0.50298611111111113</v>
      </c>
      <c r="G1311" t="s">
        <v>221</v>
      </c>
      <c r="H1311">
        <v>0</v>
      </c>
      <c r="I1311">
        <v>0.85</v>
      </c>
      <c r="J1311" t="s">
        <v>222</v>
      </c>
      <c r="M1311">
        <v>1</v>
      </c>
      <c r="N1311">
        <v>86631.726999999999</v>
      </c>
      <c r="O1311">
        <v>0</v>
      </c>
    </row>
    <row r="1312" spans="1:19" x14ac:dyDescent="0.25">
      <c r="A1312" t="s">
        <v>145</v>
      </c>
      <c r="F1312">
        <v>0.50496527777777778</v>
      </c>
      <c r="G1312" t="s">
        <v>221</v>
      </c>
      <c r="H1312">
        <v>0</v>
      </c>
      <c r="I1312">
        <v>0.85</v>
      </c>
      <c r="J1312" t="s">
        <v>222</v>
      </c>
      <c r="M1312">
        <v>1</v>
      </c>
      <c r="N1312">
        <v>79832.25</v>
      </c>
      <c r="O1312">
        <v>0</v>
      </c>
    </row>
    <row r="1313" spans="1:16" x14ac:dyDescent="0.25">
      <c r="A1313" t="s">
        <v>146</v>
      </c>
      <c r="F1313">
        <v>0.50692129629629623</v>
      </c>
      <c r="G1313" t="s">
        <v>221</v>
      </c>
      <c r="H1313">
        <v>0</v>
      </c>
      <c r="I1313">
        <v>0.85</v>
      </c>
      <c r="J1313" t="s">
        <v>222</v>
      </c>
      <c r="M1313">
        <v>1</v>
      </c>
      <c r="N1313">
        <v>86690.491999999998</v>
      </c>
      <c r="O1313">
        <v>0</v>
      </c>
    </row>
    <row r="1314" spans="1:16" x14ac:dyDescent="0.25">
      <c r="A1314" t="s">
        <v>147</v>
      </c>
      <c r="F1314">
        <v>0.5088773148148148</v>
      </c>
      <c r="G1314" t="s">
        <v>221</v>
      </c>
      <c r="H1314">
        <v>0</v>
      </c>
      <c r="I1314">
        <v>0.85</v>
      </c>
      <c r="J1314" t="s">
        <v>222</v>
      </c>
      <c r="K1314" t="s">
        <v>27</v>
      </c>
      <c r="L1314">
        <v>3.847</v>
      </c>
      <c r="M1314">
        <v>1</v>
      </c>
      <c r="N1314">
        <v>88469.531000000003</v>
      </c>
      <c r="O1314">
        <v>4.3483897297929613E-5</v>
      </c>
      <c r="P1314">
        <v>1.05</v>
      </c>
    </row>
    <row r="1315" spans="1:16" x14ac:dyDescent="0.25">
      <c r="A1315" t="s">
        <v>148</v>
      </c>
      <c r="F1315">
        <v>0.51083333333333336</v>
      </c>
      <c r="G1315" t="s">
        <v>221</v>
      </c>
      <c r="H1315">
        <v>0</v>
      </c>
      <c r="I1315">
        <v>0.85</v>
      </c>
      <c r="J1315" t="s">
        <v>222</v>
      </c>
      <c r="K1315" t="s">
        <v>27</v>
      </c>
      <c r="L1315">
        <v>1.621</v>
      </c>
      <c r="M1315">
        <v>1</v>
      </c>
      <c r="N1315">
        <v>80173.179999999993</v>
      </c>
      <c r="O1315">
        <v>2.0218731500983249E-5</v>
      </c>
      <c r="P1315">
        <v>1.08</v>
      </c>
    </row>
    <row r="1316" spans="1:16" x14ac:dyDescent="0.25">
      <c r="A1316" t="s">
        <v>149</v>
      </c>
      <c r="F1316">
        <v>0.5128125</v>
      </c>
      <c r="G1316" t="s">
        <v>221</v>
      </c>
      <c r="H1316">
        <v>0</v>
      </c>
      <c r="I1316">
        <v>0.85</v>
      </c>
      <c r="J1316" t="s">
        <v>222</v>
      </c>
      <c r="M1316">
        <v>1</v>
      </c>
      <c r="N1316">
        <v>84536.241999999998</v>
      </c>
      <c r="O1316">
        <v>0</v>
      </c>
    </row>
    <row r="1317" spans="1:16" x14ac:dyDescent="0.25">
      <c r="A1317" t="s">
        <v>150</v>
      </c>
      <c r="F1317">
        <v>0.51466435185185189</v>
      </c>
      <c r="G1317" t="s">
        <v>221</v>
      </c>
      <c r="H1317">
        <v>0</v>
      </c>
      <c r="I1317">
        <v>0.85</v>
      </c>
      <c r="J1317" t="s">
        <v>222</v>
      </c>
      <c r="K1317" t="s">
        <v>27</v>
      </c>
      <c r="L1317">
        <v>0.41099999999999998</v>
      </c>
      <c r="M1317">
        <v>1</v>
      </c>
      <c r="N1317">
        <v>87388.93</v>
      </c>
      <c r="O1317">
        <v>4.7031128542253575E-6</v>
      </c>
      <c r="P1317">
        <v>1.1100000000000001</v>
      </c>
    </row>
    <row r="1318" spans="1:16" x14ac:dyDescent="0.25">
      <c r="A1318" t="s">
        <v>151</v>
      </c>
      <c r="F1318">
        <v>0.51653935185185185</v>
      </c>
      <c r="G1318" t="s">
        <v>221</v>
      </c>
      <c r="H1318">
        <v>0</v>
      </c>
      <c r="I1318">
        <v>0.85</v>
      </c>
      <c r="J1318" t="s">
        <v>222</v>
      </c>
      <c r="M1318">
        <v>1</v>
      </c>
      <c r="N1318">
        <v>87142.672000000006</v>
      </c>
      <c r="O1318">
        <v>0</v>
      </c>
    </row>
    <row r="1319" spans="1:16" x14ac:dyDescent="0.25">
      <c r="A1319" t="s">
        <v>152</v>
      </c>
      <c r="F1319">
        <v>0.51849537037037041</v>
      </c>
      <c r="G1319" t="s">
        <v>221</v>
      </c>
      <c r="H1319">
        <v>0</v>
      </c>
      <c r="I1319">
        <v>0.85</v>
      </c>
      <c r="J1319" t="s">
        <v>222</v>
      </c>
      <c r="K1319" t="s">
        <v>27</v>
      </c>
      <c r="L1319">
        <v>0.27900000000000003</v>
      </c>
      <c r="M1319">
        <v>1</v>
      </c>
      <c r="N1319">
        <v>87144.093999999997</v>
      </c>
      <c r="O1319">
        <v>3.2015939026229365E-6</v>
      </c>
      <c r="P1319">
        <v>1.1200000000000001</v>
      </c>
    </row>
    <row r="1320" spans="1:16" x14ac:dyDescent="0.25">
      <c r="A1320" t="s">
        <v>153</v>
      </c>
      <c r="F1320">
        <v>0.52037037037037037</v>
      </c>
      <c r="G1320" t="s">
        <v>221</v>
      </c>
      <c r="H1320">
        <v>0</v>
      </c>
      <c r="I1320">
        <v>0.85</v>
      </c>
      <c r="J1320" t="s">
        <v>222</v>
      </c>
      <c r="K1320" t="s">
        <v>27</v>
      </c>
      <c r="L1320">
        <v>0.73099999999999998</v>
      </c>
      <c r="M1320">
        <v>1</v>
      </c>
      <c r="N1320">
        <v>86344.483999999997</v>
      </c>
      <c r="O1320">
        <v>8.4660880016377185E-6</v>
      </c>
      <c r="P1320">
        <v>1.1100000000000001</v>
      </c>
    </row>
    <row r="1321" spans="1:16" x14ac:dyDescent="0.25">
      <c r="A1321" t="s">
        <v>154</v>
      </c>
      <c r="F1321">
        <v>0.52223379629629629</v>
      </c>
      <c r="G1321" t="s">
        <v>221</v>
      </c>
      <c r="H1321">
        <v>0</v>
      </c>
      <c r="I1321">
        <v>0.85</v>
      </c>
      <c r="J1321" t="s">
        <v>222</v>
      </c>
      <c r="M1321">
        <v>1</v>
      </c>
      <c r="N1321">
        <v>86244.25</v>
      </c>
      <c r="O1321">
        <v>0</v>
      </c>
    </row>
    <row r="1322" spans="1:16" x14ac:dyDescent="0.25">
      <c r="A1322" t="s">
        <v>155</v>
      </c>
      <c r="F1322">
        <v>0.52409722222222221</v>
      </c>
      <c r="G1322" t="s">
        <v>221</v>
      </c>
      <c r="H1322">
        <v>0</v>
      </c>
      <c r="I1322">
        <v>0.85</v>
      </c>
      <c r="J1322" t="s">
        <v>222</v>
      </c>
      <c r="M1322">
        <v>1</v>
      </c>
      <c r="N1322">
        <v>93.081999999999994</v>
      </c>
      <c r="O1322">
        <v>0</v>
      </c>
    </row>
    <row r="1323" spans="1:16" x14ac:dyDescent="0.25">
      <c r="A1323" t="s">
        <v>156</v>
      </c>
      <c r="F1323">
        <v>0.52598379629629632</v>
      </c>
      <c r="G1323" t="s">
        <v>221</v>
      </c>
      <c r="H1323">
        <v>0</v>
      </c>
      <c r="I1323">
        <v>0.86</v>
      </c>
      <c r="J1323" t="s">
        <v>222</v>
      </c>
      <c r="K1323" t="s">
        <v>27</v>
      </c>
      <c r="L1323">
        <v>11.477</v>
      </c>
      <c r="M1323">
        <v>1</v>
      </c>
      <c r="N1323">
        <v>106.667</v>
      </c>
      <c r="O1323">
        <v>0.10759653876081637</v>
      </c>
      <c r="P1323">
        <v>1.1299999999999999</v>
      </c>
    </row>
    <row r="1324" spans="1:16" x14ac:dyDescent="0.25">
      <c r="A1324" t="s">
        <v>157</v>
      </c>
      <c r="F1324">
        <v>0.52795138888888882</v>
      </c>
      <c r="G1324" t="s">
        <v>221</v>
      </c>
      <c r="H1324">
        <v>0</v>
      </c>
      <c r="I1324">
        <v>0.86</v>
      </c>
      <c r="J1324" t="s">
        <v>222</v>
      </c>
      <c r="K1324" t="s">
        <v>27</v>
      </c>
      <c r="L1324">
        <v>0.16500000000000001</v>
      </c>
      <c r="M1324">
        <v>1</v>
      </c>
      <c r="N1324">
        <v>77598.648000000001</v>
      </c>
      <c r="O1324">
        <v>2.1263257060870442E-6</v>
      </c>
      <c r="P1324">
        <v>1.1100000000000001</v>
      </c>
    </row>
    <row r="1325" spans="1:16" x14ac:dyDescent="0.25">
      <c r="A1325" t="s">
        <v>158</v>
      </c>
      <c r="F1325">
        <v>0.52990740740740738</v>
      </c>
      <c r="G1325" t="s">
        <v>221</v>
      </c>
      <c r="H1325">
        <v>0</v>
      </c>
      <c r="I1325">
        <v>0.85</v>
      </c>
      <c r="J1325" t="s">
        <v>222</v>
      </c>
      <c r="M1325">
        <v>1</v>
      </c>
      <c r="N1325">
        <v>76582.883000000002</v>
      </c>
      <c r="O1325">
        <v>0</v>
      </c>
    </row>
    <row r="1326" spans="1:16" x14ac:dyDescent="0.25">
      <c r="A1326" t="s">
        <v>159</v>
      </c>
      <c r="F1326">
        <v>0.5317708333333333</v>
      </c>
      <c r="G1326" t="s">
        <v>221</v>
      </c>
      <c r="H1326">
        <v>0</v>
      </c>
      <c r="I1326">
        <v>0.85</v>
      </c>
      <c r="J1326" t="s">
        <v>222</v>
      </c>
      <c r="K1326" t="s">
        <v>27</v>
      </c>
      <c r="L1326">
        <v>0.442</v>
      </c>
      <c r="M1326">
        <v>1</v>
      </c>
      <c r="N1326">
        <v>81240.422000000006</v>
      </c>
      <c r="O1326">
        <v>5.4406413595438975E-6</v>
      </c>
      <c r="P1326">
        <v>1.06</v>
      </c>
    </row>
    <row r="1327" spans="1:16" x14ac:dyDescent="0.25">
      <c r="A1327" t="s">
        <v>160</v>
      </c>
      <c r="F1327">
        <v>0.53363425925925922</v>
      </c>
      <c r="G1327" t="s">
        <v>221</v>
      </c>
      <c r="H1327">
        <v>0</v>
      </c>
      <c r="I1327">
        <v>0.85</v>
      </c>
      <c r="J1327" t="s">
        <v>222</v>
      </c>
      <c r="M1327">
        <v>1</v>
      </c>
      <c r="N1327">
        <v>79723.312999999995</v>
      </c>
      <c r="O1327">
        <v>0</v>
      </c>
    </row>
    <row r="1328" spans="1:16" x14ac:dyDescent="0.25">
      <c r="A1328" t="s">
        <v>161</v>
      </c>
      <c r="F1328">
        <v>0.5355092592592593</v>
      </c>
      <c r="G1328" t="s">
        <v>221</v>
      </c>
      <c r="H1328">
        <v>0</v>
      </c>
      <c r="I1328">
        <v>0.85</v>
      </c>
      <c r="J1328" t="s">
        <v>222</v>
      </c>
      <c r="K1328" t="s">
        <v>27</v>
      </c>
      <c r="L1328">
        <v>4.7E-2</v>
      </c>
      <c r="M1328">
        <v>1</v>
      </c>
      <c r="N1328">
        <v>82403.797000000006</v>
      </c>
      <c r="O1328">
        <v>5.7036206717513265E-7</v>
      </c>
      <c r="P1328">
        <v>1.07</v>
      </c>
    </row>
    <row r="1329" spans="1:19" x14ac:dyDescent="0.25">
      <c r="A1329" t="s">
        <v>162</v>
      </c>
      <c r="F1329">
        <v>0.53738425925925926</v>
      </c>
      <c r="G1329" t="s">
        <v>221</v>
      </c>
      <c r="H1329">
        <v>0</v>
      </c>
      <c r="I1329">
        <v>0.86</v>
      </c>
      <c r="J1329" t="s">
        <v>222</v>
      </c>
      <c r="K1329" t="s">
        <v>27</v>
      </c>
      <c r="L1329">
        <v>10.327</v>
      </c>
      <c r="M1329">
        <v>1</v>
      </c>
      <c r="N1329">
        <v>77816.023000000001</v>
      </c>
      <c r="O1329">
        <v>1.3271045733087645E-4</v>
      </c>
      <c r="P1329">
        <v>1.0900000000000001</v>
      </c>
    </row>
    <row r="1330" spans="1:19" x14ac:dyDescent="0.25">
      <c r="A1330" s="2" t="s">
        <v>163</v>
      </c>
      <c r="B1330" s="2"/>
      <c r="C1330" s="2"/>
      <c r="D1330" s="2"/>
      <c r="E1330" s="2"/>
      <c r="F1330" s="2">
        <v>0.53924768518518518</v>
      </c>
      <c r="G1330" s="2" t="s">
        <v>221</v>
      </c>
      <c r="H1330" s="2">
        <v>0</v>
      </c>
      <c r="I1330" s="2">
        <v>0.85</v>
      </c>
      <c r="J1330" s="2" t="s">
        <v>222</v>
      </c>
      <c r="K1330" s="2" t="s">
        <v>27</v>
      </c>
      <c r="L1330" s="2">
        <v>138475.25</v>
      </c>
      <c r="M1330" s="2">
        <v>1</v>
      </c>
      <c r="N1330" s="2">
        <v>82569.054999999993</v>
      </c>
      <c r="O1330" s="2">
        <v>1.6770841085682766</v>
      </c>
      <c r="P1330" s="2">
        <v>1.0900000000000001</v>
      </c>
      <c r="Q1330" s="2"/>
      <c r="R1330" s="2"/>
      <c r="S1330" s="2"/>
    </row>
    <row r="1331" spans="1:19" x14ac:dyDescent="0.25">
      <c r="A1331" s="2" t="s">
        <v>164</v>
      </c>
      <c r="B1331" s="2"/>
      <c r="C1331" s="2"/>
      <c r="D1331" s="2"/>
      <c r="E1331" s="2"/>
      <c r="F1331" s="2">
        <v>0.54112268518518525</v>
      </c>
      <c r="G1331" s="2" t="s">
        <v>221</v>
      </c>
      <c r="H1331" s="2">
        <v>0</v>
      </c>
      <c r="I1331" s="2">
        <v>0.85</v>
      </c>
      <c r="J1331" s="2" t="s">
        <v>222</v>
      </c>
      <c r="K1331" s="2" t="s">
        <v>27</v>
      </c>
      <c r="L1331" s="2">
        <v>139485.516</v>
      </c>
      <c r="M1331" s="2">
        <v>1</v>
      </c>
      <c r="N1331" s="2">
        <v>82580.983999999997</v>
      </c>
      <c r="O1331" s="2">
        <v>1.689075489824631</v>
      </c>
      <c r="P1331" s="2">
        <v>1.0900000000000001</v>
      </c>
      <c r="Q1331" s="2"/>
      <c r="R1331" s="2"/>
      <c r="S1331" s="2"/>
    </row>
    <row r="1332" spans="1:19" x14ac:dyDescent="0.25">
      <c r="A1332" t="s">
        <v>165</v>
      </c>
      <c r="F1332">
        <v>0.54298611111111106</v>
      </c>
      <c r="G1332" t="s">
        <v>221</v>
      </c>
      <c r="H1332">
        <v>0</v>
      </c>
      <c r="I1332">
        <v>0.85</v>
      </c>
      <c r="J1332" t="s">
        <v>222</v>
      </c>
      <c r="K1332" t="s">
        <v>27</v>
      </c>
      <c r="L1332">
        <v>490.46800000000002</v>
      </c>
      <c r="M1332">
        <v>1</v>
      </c>
      <c r="N1332">
        <v>82733.391000000003</v>
      </c>
      <c r="O1332">
        <v>5.9282956261275449E-3</v>
      </c>
      <c r="P1332">
        <v>1.0900000000000001</v>
      </c>
    </row>
    <row r="1333" spans="1:19" x14ac:dyDescent="0.25">
      <c r="A1333" t="s">
        <v>166</v>
      </c>
      <c r="F1333">
        <v>0.54487268518518517</v>
      </c>
      <c r="G1333" t="s">
        <v>221</v>
      </c>
      <c r="H1333">
        <v>0</v>
      </c>
      <c r="I1333">
        <v>0.85</v>
      </c>
      <c r="J1333" t="s">
        <v>222</v>
      </c>
      <c r="K1333" t="s">
        <v>27</v>
      </c>
      <c r="L1333">
        <v>143.45699999999999</v>
      </c>
      <c r="M1333">
        <v>1</v>
      </c>
      <c r="N1333">
        <v>79460.172000000006</v>
      </c>
      <c r="O1333">
        <v>1.8053950348861563E-3</v>
      </c>
      <c r="P1333">
        <v>1.0900000000000001</v>
      </c>
    </row>
    <row r="1334" spans="1:19" x14ac:dyDescent="0.25">
      <c r="A1334" t="s">
        <v>167</v>
      </c>
      <c r="F1334">
        <v>0.54673611111111109</v>
      </c>
      <c r="G1334" t="s">
        <v>221</v>
      </c>
      <c r="H1334">
        <v>0</v>
      </c>
      <c r="I1334">
        <v>0.85</v>
      </c>
      <c r="J1334" t="s">
        <v>222</v>
      </c>
      <c r="K1334" t="s">
        <v>27</v>
      </c>
      <c r="L1334">
        <v>138.44</v>
      </c>
      <c r="M1334">
        <v>1</v>
      </c>
      <c r="N1334">
        <v>80189.133000000002</v>
      </c>
      <c r="O1334">
        <v>1.7264184662028955E-3</v>
      </c>
      <c r="P1334">
        <v>1.08</v>
      </c>
    </row>
    <row r="1335" spans="1:19" x14ac:dyDescent="0.25">
      <c r="A1335" t="s">
        <v>168</v>
      </c>
      <c r="F1335">
        <v>0.54859953703703701</v>
      </c>
      <c r="G1335" t="s">
        <v>221</v>
      </c>
      <c r="H1335">
        <v>0</v>
      </c>
      <c r="I1335">
        <v>0.85</v>
      </c>
      <c r="J1335" t="s">
        <v>222</v>
      </c>
      <c r="K1335" t="s">
        <v>27</v>
      </c>
      <c r="L1335">
        <v>41.354999999999997</v>
      </c>
      <c r="M1335">
        <v>1</v>
      </c>
      <c r="N1335">
        <v>79237.797000000006</v>
      </c>
      <c r="O1335">
        <v>5.2191001726108047E-4</v>
      </c>
      <c r="P1335">
        <v>1.1000000000000001</v>
      </c>
    </row>
    <row r="1336" spans="1:19" x14ac:dyDescent="0.25">
      <c r="A1336" t="s">
        <v>169</v>
      </c>
      <c r="F1336">
        <v>0.55048611111111112</v>
      </c>
      <c r="G1336" t="s">
        <v>221</v>
      </c>
      <c r="H1336">
        <v>0</v>
      </c>
      <c r="I1336">
        <v>0.85</v>
      </c>
      <c r="J1336" t="s">
        <v>222</v>
      </c>
      <c r="K1336" t="s">
        <v>27</v>
      </c>
      <c r="L1336">
        <v>126.908</v>
      </c>
      <c r="M1336">
        <v>1</v>
      </c>
      <c r="N1336">
        <v>79373.164000000004</v>
      </c>
      <c r="O1336">
        <v>1.5988779280614288E-3</v>
      </c>
      <c r="P1336">
        <v>1.08</v>
      </c>
    </row>
    <row r="1337" spans="1:19" x14ac:dyDescent="0.25">
      <c r="A1337" t="s">
        <v>170</v>
      </c>
      <c r="F1337">
        <v>0.55234953703703704</v>
      </c>
      <c r="G1337" t="s">
        <v>221</v>
      </c>
      <c r="H1337">
        <v>0</v>
      </c>
      <c r="I1337">
        <v>0.85</v>
      </c>
      <c r="J1337" t="s">
        <v>222</v>
      </c>
      <c r="K1337" t="s">
        <v>27</v>
      </c>
      <c r="L1337">
        <v>3.4620000000000002</v>
      </c>
      <c r="M1337">
        <v>1</v>
      </c>
      <c r="N1337">
        <v>80237.577999999994</v>
      </c>
      <c r="O1337">
        <v>4.3146865674335292E-5</v>
      </c>
      <c r="P1337">
        <v>1.0900000000000001</v>
      </c>
    </row>
    <row r="1338" spans="1:19" x14ac:dyDescent="0.25">
      <c r="A1338" t="s">
        <v>171</v>
      </c>
      <c r="F1338">
        <v>0.55421296296296296</v>
      </c>
      <c r="G1338" t="s">
        <v>221</v>
      </c>
      <c r="H1338">
        <v>0</v>
      </c>
      <c r="I1338">
        <v>0.85</v>
      </c>
      <c r="J1338" t="s">
        <v>222</v>
      </c>
      <c r="K1338" t="s">
        <v>27</v>
      </c>
      <c r="L1338">
        <v>11.294</v>
      </c>
      <c r="M1338">
        <v>1</v>
      </c>
      <c r="N1338">
        <v>76179.664000000004</v>
      </c>
      <c r="O1338">
        <v>1.4825478883708388E-4</v>
      </c>
      <c r="P1338">
        <v>1.0900000000000001</v>
      </c>
    </row>
    <row r="1339" spans="1:19" x14ac:dyDescent="0.25">
      <c r="A1339" t="s">
        <v>172</v>
      </c>
      <c r="F1339">
        <v>0.55621527777777779</v>
      </c>
      <c r="G1339" t="s">
        <v>221</v>
      </c>
      <c r="H1339">
        <v>0</v>
      </c>
      <c r="I1339">
        <v>0.85</v>
      </c>
      <c r="J1339" t="s">
        <v>222</v>
      </c>
      <c r="K1339" t="s">
        <v>27</v>
      </c>
      <c r="L1339">
        <v>51.936</v>
      </c>
      <c r="M1339">
        <v>1</v>
      </c>
      <c r="N1339">
        <v>78758.741999999998</v>
      </c>
      <c r="O1339">
        <v>6.5943155872144328E-4</v>
      </c>
      <c r="P1339">
        <v>1.0900000000000001</v>
      </c>
    </row>
    <row r="1340" spans="1:19" x14ac:dyDescent="0.25">
      <c r="A1340" t="s">
        <v>173</v>
      </c>
      <c r="F1340">
        <v>0.55815972222222221</v>
      </c>
      <c r="G1340" t="s">
        <v>221</v>
      </c>
      <c r="H1340">
        <v>0</v>
      </c>
      <c r="I1340">
        <v>0.85</v>
      </c>
      <c r="J1340" t="s">
        <v>222</v>
      </c>
      <c r="K1340" t="s">
        <v>27</v>
      </c>
      <c r="L1340">
        <v>22.888000000000002</v>
      </c>
      <c r="M1340">
        <v>1</v>
      </c>
      <c r="N1340">
        <v>76535.437999999995</v>
      </c>
      <c r="O1340">
        <v>2.9905100954671487E-4</v>
      </c>
      <c r="P1340">
        <v>1.0900000000000001</v>
      </c>
    </row>
    <row r="1341" spans="1:19" x14ac:dyDescent="0.25">
      <c r="A1341" t="s">
        <v>174</v>
      </c>
      <c r="F1341">
        <v>0.56003472222222228</v>
      </c>
      <c r="G1341" t="s">
        <v>221</v>
      </c>
      <c r="H1341">
        <v>0</v>
      </c>
      <c r="I1341">
        <v>0.85</v>
      </c>
      <c r="J1341" t="s">
        <v>222</v>
      </c>
      <c r="K1341" t="s">
        <v>27</v>
      </c>
      <c r="L1341">
        <v>36.003999999999998</v>
      </c>
      <c r="M1341">
        <v>1</v>
      </c>
      <c r="N1341">
        <v>79696.898000000001</v>
      </c>
      <c r="O1341">
        <v>4.5176162314372636E-4</v>
      </c>
      <c r="P1341">
        <v>1.0900000000000001</v>
      </c>
    </row>
    <row r="1342" spans="1:19" x14ac:dyDescent="0.25">
      <c r="A1342" t="s">
        <v>175</v>
      </c>
      <c r="F1342">
        <v>0.56200231481481489</v>
      </c>
      <c r="G1342" t="s">
        <v>221</v>
      </c>
      <c r="H1342">
        <v>0</v>
      </c>
      <c r="I1342">
        <v>0.85</v>
      </c>
      <c r="J1342" t="s">
        <v>222</v>
      </c>
      <c r="K1342" t="s">
        <v>27</v>
      </c>
      <c r="L1342">
        <v>12.569000000000001</v>
      </c>
      <c r="M1342">
        <v>1</v>
      </c>
      <c r="N1342">
        <v>81888.945000000007</v>
      </c>
      <c r="O1342">
        <v>1.5348836158531534E-4</v>
      </c>
      <c r="P1342">
        <v>1.0900000000000001</v>
      </c>
    </row>
    <row r="1343" spans="1:19" x14ac:dyDescent="0.25">
      <c r="A1343" t="s">
        <v>176</v>
      </c>
      <c r="F1343">
        <v>0.56396990740740738</v>
      </c>
      <c r="G1343" t="s">
        <v>221</v>
      </c>
      <c r="H1343">
        <v>0</v>
      </c>
      <c r="I1343">
        <v>0.85</v>
      </c>
      <c r="J1343" t="s">
        <v>222</v>
      </c>
      <c r="K1343" t="s">
        <v>27</v>
      </c>
      <c r="L1343">
        <v>18.088000000000001</v>
      </c>
      <c r="M1343">
        <v>1</v>
      </c>
      <c r="N1343">
        <v>80283.141000000003</v>
      </c>
      <c r="O1343">
        <v>2.2530259497445423E-4</v>
      </c>
      <c r="P1343">
        <v>1.0900000000000001</v>
      </c>
    </row>
    <row r="1344" spans="1:19" x14ac:dyDescent="0.25">
      <c r="A1344" t="s">
        <v>177</v>
      </c>
      <c r="F1344">
        <v>0.56581018518518522</v>
      </c>
      <c r="G1344" t="s">
        <v>221</v>
      </c>
      <c r="H1344">
        <v>0</v>
      </c>
      <c r="I1344">
        <v>0.86</v>
      </c>
      <c r="J1344" t="s">
        <v>222</v>
      </c>
      <c r="K1344" t="s">
        <v>27</v>
      </c>
      <c r="L1344">
        <v>7.532</v>
      </c>
      <c r="M1344">
        <v>1</v>
      </c>
      <c r="N1344">
        <v>77920.398000000001</v>
      </c>
      <c r="O1344">
        <v>9.6662750618907258E-5</v>
      </c>
      <c r="P1344">
        <v>1.1000000000000001</v>
      </c>
    </row>
    <row r="1345" spans="1:16" x14ac:dyDescent="0.25">
      <c r="A1345" t="s">
        <v>178</v>
      </c>
      <c r="F1345">
        <v>0.56781249999999994</v>
      </c>
      <c r="G1345" t="s">
        <v>221</v>
      </c>
      <c r="H1345">
        <v>0</v>
      </c>
      <c r="I1345">
        <v>0.86</v>
      </c>
      <c r="J1345" t="s">
        <v>222</v>
      </c>
      <c r="K1345" t="s">
        <v>27</v>
      </c>
      <c r="L1345">
        <v>9.4649999999999999</v>
      </c>
      <c r="M1345">
        <v>1</v>
      </c>
      <c r="N1345">
        <v>78458.289000000004</v>
      </c>
      <c r="O1345">
        <v>1.2063734910150793E-4</v>
      </c>
      <c r="P1345">
        <v>1.08</v>
      </c>
    </row>
    <row r="1346" spans="1:16" x14ac:dyDescent="0.25">
      <c r="A1346" t="s">
        <v>179</v>
      </c>
      <c r="F1346">
        <v>0.56967592592592597</v>
      </c>
      <c r="G1346" t="s">
        <v>221</v>
      </c>
      <c r="H1346">
        <v>0</v>
      </c>
      <c r="I1346">
        <v>0.85</v>
      </c>
      <c r="J1346" t="s">
        <v>222</v>
      </c>
      <c r="M1346">
        <v>1</v>
      </c>
      <c r="N1346">
        <v>81069.625</v>
      </c>
      <c r="O1346">
        <v>0</v>
      </c>
    </row>
    <row r="1347" spans="1:16" x14ac:dyDescent="0.25">
      <c r="A1347" t="s">
        <v>180</v>
      </c>
      <c r="F1347">
        <v>0.57153935185185178</v>
      </c>
      <c r="G1347" t="s">
        <v>221</v>
      </c>
      <c r="H1347">
        <v>0</v>
      </c>
      <c r="I1347">
        <v>0.85</v>
      </c>
      <c r="J1347" t="s">
        <v>222</v>
      </c>
      <c r="M1347">
        <v>1</v>
      </c>
      <c r="N1347">
        <v>81783.843999999997</v>
      </c>
      <c r="O1347">
        <v>0</v>
      </c>
    </row>
    <row r="1348" spans="1:16" x14ac:dyDescent="0.25">
      <c r="A1348" t="s">
        <v>181</v>
      </c>
      <c r="F1348">
        <v>0.57351851851851854</v>
      </c>
      <c r="G1348" t="s">
        <v>221</v>
      </c>
      <c r="H1348">
        <v>0</v>
      </c>
      <c r="I1348">
        <v>0.85</v>
      </c>
      <c r="J1348" t="s">
        <v>222</v>
      </c>
      <c r="K1348" t="s">
        <v>27</v>
      </c>
      <c r="L1348">
        <v>8.8140000000000001</v>
      </c>
      <c r="M1348">
        <v>1</v>
      </c>
      <c r="N1348">
        <v>82280.218999999997</v>
      </c>
      <c r="O1348">
        <v>1.0712173724282382E-4</v>
      </c>
      <c r="P1348">
        <v>1.1000000000000001</v>
      </c>
    </row>
    <row r="1349" spans="1:16" x14ac:dyDescent="0.25">
      <c r="A1349" t="s">
        <v>182</v>
      </c>
      <c r="F1349">
        <v>0.57548611111111114</v>
      </c>
      <c r="G1349" t="s">
        <v>221</v>
      </c>
      <c r="H1349">
        <v>0</v>
      </c>
      <c r="I1349">
        <v>0.85</v>
      </c>
      <c r="J1349" t="s">
        <v>222</v>
      </c>
      <c r="K1349" t="s">
        <v>27</v>
      </c>
      <c r="L1349">
        <v>1.1040000000000001</v>
      </c>
      <c r="M1349">
        <v>1</v>
      </c>
      <c r="N1349">
        <v>82015.625</v>
      </c>
      <c r="O1349">
        <v>1.3460849685654411E-5</v>
      </c>
      <c r="P1349">
        <v>1.06</v>
      </c>
    </row>
    <row r="1350" spans="1:16" x14ac:dyDescent="0.25">
      <c r="A1350" t="s">
        <v>183</v>
      </c>
      <c r="F1350">
        <v>0.57743055555555556</v>
      </c>
      <c r="G1350" t="s">
        <v>221</v>
      </c>
      <c r="H1350">
        <v>0</v>
      </c>
      <c r="I1350">
        <v>0.85</v>
      </c>
      <c r="J1350" t="s">
        <v>222</v>
      </c>
      <c r="K1350" t="s">
        <v>27</v>
      </c>
      <c r="L1350">
        <v>7.6970000000000001</v>
      </c>
      <c r="M1350">
        <v>1</v>
      </c>
      <c r="N1350">
        <v>83588.202999999994</v>
      </c>
      <c r="O1350">
        <v>9.2082371958636326E-5</v>
      </c>
      <c r="P1350">
        <v>1.0900000000000001</v>
      </c>
    </row>
    <row r="1351" spans="1:16" x14ac:dyDescent="0.25">
      <c r="A1351" t="s">
        <v>184</v>
      </c>
      <c r="F1351">
        <v>0.57929398148148148</v>
      </c>
      <c r="G1351" t="s">
        <v>221</v>
      </c>
      <c r="H1351">
        <v>0</v>
      </c>
      <c r="I1351">
        <v>0.85</v>
      </c>
      <c r="J1351" t="s">
        <v>222</v>
      </c>
      <c r="M1351">
        <v>1</v>
      </c>
      <c r="N1351">
        <v>80724.952999999994</v>
      </c>
      <c r="O1351">
        <v>0</v>
      </c>
    </row>
    <row r="1352" spans="1:16" x14ac:dyDescent="0.25">
      <c r="A1352" t="s">
        <v>185</v>
      </c>
      <c r="F1352">
        <v>0.5811574074074074</v>
      </c>
      <c r="G1352" t="s">
        <v>221</v>
      </c>
      <c r="H1352">
        <v>0</v>
      </c>
      <c r="I1352">
        <v>0.85</v>
      </c>
      <c r="J1352" t="s">
        <v>222</v>
      </c>
      <c r="K1352" t="s">
        <v>27</v>
      </c>
      <c r="L1352">
        <v>0.63500000000000001</v>
      </c>
      <c r="M1352">
        <v>1</v>
      </c>
      <c r="N1352">
        <v>85890</v>
      </c>
      <c r="O1352">
        <v>7.3931773198276869E-6</v>
      </c>
      <c r="P1352">
        <v>1.05</v>
      </c>
    </row>
    <row r="1353" spans="1:16" x14ac:dyDescent="0.25">
      <c r="A1353" t="s">
        <v>186</v>
      </c>
      <c r="F1353">
        <v>0.58302083333333332</v>
      </c>
      <c r="G1353" t="s">
        <v>221</v>
      </c>
      <c r="H1353">
        <v>0</v>
      </c>
      <c r="I1353">
        <v>0.85</v>
      </c>
      <c r="J1353" t="s">
        <v>222</v>
      </c>
      <c r="M1353">
        <v>1</v>
      </c>
      <c r="N1353">
        <v>87285.202999999994</v>
      </c>
      <c r="O1353">
        <v>0</v>
      </c>
    </row>
    <row r="1354" spans="1:16" x14ac:dyDescent="0.25">
      <c r="A1354" t="s">
        <v>187</v>
      </c>
      <c r="F1354">
        <v>0.58489583333333328</v>
      </c>
      <c r="G1354" t="s">
        <v>221</v>
      </c>
      <c r="H1354">
        <v>0</v>
      </c>
      <c r="I1354">
        <v>0.86</v>
      </c>
      <c r="J1354" t="s">
        <v>222</v>
      </c>
      <c r="K1354" t="s">
        <v>27</v>
      </c>
      <c r="L1354">
        <v>7.7389999999999999</v>
      </c>
      <c r="M1354">
        <v>1</v>
      </c>
      <c r="N1354">
        <v>266.41899999999998</v>
      </c>
      <c r="O1354">
        <v>2.9048228542258626E-2</v>
      </c>
      <c r="P1354">
        <v>1.1000000000000001</v>
      </c>
    </row>
    <row r="1355" spans="1:16" x14ac:dyDescent="0.25">
      <c r="A1355" t="s">
        <v>188</v>
      </c>
      <c r="F1355">
        <v>0.58678240740740739</v>
      </c>
      <c r="G1355" t="s">
        <v>221</v>
      </c>
      <c r="H1355">
        <v>0</v>
      </c>
      <c r="I1355">
        <v>0.86</v>
      </c>
      <c r="J1355" t="s">
        <v>222</v>
      </c>
      <c r="M1355">
        <v>1</v>
      </c>
      <c r="N1355">
        <v>109.754</v>
      </c>
      <c r="O1355">
        <v>0</v>
      </c>
    </row>
    <row r="1356" spans="1:16" x14ac:dyDescent="0.25">
      <c r="A1356" t="s">
        <v>189</v>
      </c>
      <c r="F1356">
        <v>0.58876157407407403</v>
      </c>
      <c r="G1356" t="s">
        <v>221</v>
      </c>
      <c r="H1356">
        <v>0</v>
      </c>
      <c r="I1356">
        <v>0.85</v>
      </c>
      <c r="J1356" t="s">
        <v>222</v>
      </c>
      <c r="K1356" t="s">
        <v>27</v>
      </c>
      <c r="L1356">
        <v>6.2569999999999997</v>
      </c>
      <c r="M1356">
        <v>1</v>
      </c>
      <c r="N1356">
        <v>78006.75</v>
      </c>
      <c r="O1356">
        <v>8.0211007380771526E-5</v>
      </c>
      <c r="P1356">
        <v>1.0900000000000001</v>
      </c>
    </row>
    <row r="1357" spans="1:16" x14ac:dyDescent="0.25">
      <c r="A1357" t="s">
        <v>190</v>
      </c>
      <c r="F1357">
        <v>0.5907175925925926</v>
      </c>
      <c r="G1357" t="s">
        <v>221</v>
      </c>
      <c r="H1357">
        <v>0</v>
      </c>
      <c r="I1357">
        <v>0.85</v>
      </c>
      <c r="J1357" t="s">
        <v>222</v>
      </c>
      <c r="M1357">
        <v>1</v>
      </c>
      <c r="N1357">
        <v>81092.922000000006</v>
      </c>
      <c r="O1357">
        <v>0</v>
      </c>
    </row>
    <row r="1358" spans="1:16" x14ac:dyDescent="0.25">
      <c r="A1358" t="s">
        <v>191</v>
      </c>
      <c r="F1358">
        <v>0.59258101851851852</v>
      </c>
      <c r="G1358" t="s">
        <v>221</v>
      </c>
      <c r="H1358">
        <v>0</v>
      </c>
      <c r="I1358">
        <v>0.85</v>
      </c>
      <c r="J1358" t="s">
        <v>222</v>
      </c>
      <c r="K1358" t="s">
        <v>27</v>
      </c>
      <c r="L1358">
        <v>5.5E-2</v>
      </c>
      <c r="M1358">
        <v>1</v>
      </c>
      <c r="N1358">
        <v>78620.616999999998</v>
      </c>
      <c r="O1358">
        <v>6.9956204999001732E-7</v>
      </c>
      <c r="P1358">
        <v>1.1100000000000001</v>
      </c>
    </row>
    <row r="1359" spans="1:16" x14ac:dyDescent="0.25">
      <c r="A1359" t="s">
        <v>192</v>
      </c>
      <c r="F1359">
        <v>0.59444444444444444</v>
      </c>
      <c r="G1359" t="s">
        <v>221</v>
      </c>
      <c r="H1359">
        <v>0</v>
      </c>
      <c r="I1359">
        <v>0.85</v>
      </c>
      <c r="J1359" t="s">
        <v>222</v>
      </c>
      <c r="M1359">
        <v>1</v>
      </c>
      <c r="N1359">
        <v>76617.766000000003</v>
      </c>
      <c r="O1359">
        <v>0</v>
      </c>
    </row>
    <row r="1360" spans="1:16" x14ac:dyDescent="0.25">
      <c r="A1360" t="s">
        <v>193</v>
      </c>
      <c r="F1360">
        <v>0.59630787037037036</v>
      </c>
      <c r="G1360" t="s">
        <v>221</v>
      </c>
      <c r="H1360">
        <v>0</v>
      </c>
      <c r="I1360">
        <v>0.86</v>
      </c>
      <c r="J1360" t="s">
        <v>222</v>
      </c>
      <c r="K1360" t="s">
        <v>27</v>
      </c>
      <c r="L1360">
        <v>17.350999999999999</v>
      </c>
      <c r="M1360">
        <v>1</v>
      </c>
      <c r="N1360">
        <v>79449.320000000007</v>
      </c>
      <c r="O1360">
        <v>2.1839079302377916E-4</v>
      </c>
      <c r="P1360">
        <v>1.1299999999999999</v>
      </c>
    </row>
    <row r="1361" spans="1:19" x14ac:dyDescent="0.25">
      <c r="A1361" t="s">
        <v>194</v>
      </c>
      <c r="F1361">
        <v>0.59819444444444447</v>
      </c>
      <c r="G1361" t="s">
        <v>221</v>
      </c>
      <c r="H1361">
        <v>0</v>
      </c>
      <c r="I1361">
        <v>0.85</v>
      </c>
      <c r="J1361" t="s">
        <v>222</v>
      </c>
      <c r="K1361" t="s">
        <v>27</v>
      </c>
      <c r="L1361">
        <v>5.2140000000000004</v>
      </c>
      <c r="M1361">
        <v>1</v>
      </c>
      <c r="N1361">
        <v>81529.766000000003</v>
      </c>
      <c r="O1361">
        <v>6.3952103088337088E-5</v>
      </c>
      <c r="P1361">
        <v>1.1200000000000001</v>
      </c>
    </row>
    <row r="1362" spans="1:19" x14ac:dyDescent="0.25">
      <c r="A1362" s="2" t="s">
        <v>195</v>
      </c>
      <c r="B1362" s="2"/>
      <c r="C1362" s="2"/>
      <c r="D1362" s="2"/>
      <c r="E1362" s="2"/>
      <c r="F1362" s="2">
        <v>0.60005787037037039</v>
      </c>
      <c r="G1362" s="2" t="s">
        <v>221</v>
      </c>
      <c r="H1362" s="2">
        <v>0</v>
      </c>
      <c r="I1362" s="2">
        <v>0.85</v>
      </c>
      <c r="J1362" s="2" t="s">
        <v>222</v>
      </c>
      <c r="K1362" s="2" t="s">
        <v>27</v>
      </c>
      <c r="L1362" s="2">
        <v>123431.258</v>
      </c>
      <c r="M1362" s="2">
        <v>1</v>
      </c>
      <c r="N1362" s="2">
        <v>80463.766000000003</v>
      </c>
      <c r="O1362" s="2">
        <v>1.5339980234084494</v>
      </c>
      <c r="P1362" s="2">
        <v>1.0900000000000001</v>
      </c>
      <c r="Q1362" s="2"/>
      <c r="R1362" s="2"/>
      <c r="S1362" s="2"/>
    </row>
    <row r="1363" spans="1:19" x14ac:dyDescent="0.25">
      <c r="A1363" s="2" t="s">
        <v>196</v>
      </c>
      <c r="B1363" s="2"/>
      <c r="C1363" s="2"/>
      <c r="D1363" s="2"/>
      <c r="E1363" s="2"/>
      <c r="F1363" s="2">
        <v>0.60192129629629632</v>
      </c>
      <c r="G1363" s="2" t="s">
        <v>221</v>
      </c>
      <c r="H1363" s="2">
        <v>0</v>
      </c>
      <c r="I1363" s="2">
        <v>0.85</v>
      </c>
      <c r="J1363" s="2" t="s">
        <v>222</v>
      </c>
      <c r="K1363" s="2" t="s">
        <v>27</v>
      </c>
      <c r="L1363" s="2">
        <v>106487.219</v>
      </c>
      <c r="M1363" s="2">
        <v>1</v>
      </c>
      <c r="N1363" s="2">
        <v>81377.547000000006</v>
      </c>
      <c r="O1363" s="2">
        <v>1.3085577401343886</v>
      </c>
      <c r="P1363" s="2">
        <v>1.0900000000000001</v>
      </c>
      <c r="Q1363" s="2"/>
      <c r="R1363" s="2"/>
      <c r="S1363" s="2"/>
    </row>
    <row r="1364" spans="1:19" x14ac:dyDescent="0.25">
      <c r="A1364" t="s">
        <v>197</v>
      </c>
      <c r="F1364">
        <v>0.60380787037037031</v>
      </c>
      <c r="G1364" t="s">
        <v>221</v>
      </c>
      <c r="H1364">
        <v>0</v>
      </c>
      <c r="I1364">
        <v>0.85</v>
      </c>
      <c r="J1364" t="s">
        <v>222</v>
      </c>
      <c r="K1364" t="s">
        <v>27</v>
      </c>
      <c r="L1364">
        <v>142.06299999999999</v>
      </c>
      <c r="M1364">
        <v>1</v>
      </c>
      <c r="N1364">
        <v>79696.797000000006</v>
      </c>
      <c r="O1364">
        <v>1.7825434063554646E-3</v>
      </c>
      <c r="P1364">
        <v>1.0900000000000001</v>
      </c>
    </row>
    <row r="1365" spans="1:19" x14ac:dyDescent="0.25">
      <c r="A1365" t="s">
        <v>198</v>
      </c>
      <c r="F1365">
        <v>0.60577546296296292</v>
      </c>
      <c r="G1365" t="s">
        <v>221</v>
      </c>
      <c r="H1365">
        <v>0</v>
      </c>
      <c r="I1365">
        <v>0.86</v>
      </c>
      <c r="J1365" t="s">
        <v>222</v>
      </c>
      <c r="K1365" t="s">
        <v>27</v>
      </c>
      <c r="L1365">
        <v>41.637999999999998</v>
      </c>
      <c r="M1365">
        <v>1</v>
      </c>
      <c r="N1365">
        <v>80965.358999999997</v>
      </c>
      <c r="O1365">
        <v>5.1426931856128741E-4</v>
      </c>
      <c r="P1365">
        <v>1.0900000000000001</v>
      </c>
    </row>
    <row r="1366" spans="1:19" x14ac:dyDescent="0.25">
      <c r="A1366" t="s">
        <v>199</v>
      </c>
      <c r="F1366">
        <v>0.60774305555555552</v>
      </c>
      <c r="G1366" t="s">
        <v>221</v>
      </c>
      <c r="H1366">
        <v>0</v>
      </c>
      <c r="I1366">
        <v>0.85</v>
      </c>
      <c r="J1366" t="s">
        <v>222</v>
      </c>
      <c r="K1366" t="s">
        <v>27</v>
      </c>
      <c r="L1366">
        <v>0.878</v>
      </c>
      <c r="M1366">
        <v>1</v>
      </c>
      <c r="N1366">
        <v>79312.156000000003</v>
      </c>
      <c r="O1366">
        <v>1.1070181978157296E-5</v>
      </c>
      <c r="P1366">
        <v>1.08</v>
      </c>
    </row>
    <row r="1367" spans="1:19" x14ac:dyDescent="0.25">
      <c r="A1367" t="s">
        <v>200</v>
      </c>
      <c r="F1367">
        <v>0.60971064814814813</v>
      </c>
      <c r="G1367" t="s">
        <v>221</v>
      </c>
      <c r="H1367">
        <v>0</v>
      </c>
      <c r="I1367">
        <v>0.85</v>
      </c>
      <c r="J1367" t="s">
        <v>222</v>
      </c>
      <c r="K1367" t="s">
        <v>27</v>
      </c>
      <c r="L1367">
        <v>33.206000000000003</v>
      </c>
      <c r="M1367">
        <v>1</v>
      </c>
      <c r="N1367">
        <v>78685.695000000007</v>
      </c>
      <c r="O1367">
        <v>4.2200809181389321E-4</v>
      </c>
      <c r="P1367">
        <v>1.0900000000000001</v>
      </c>
    </row>
    <row r="1368" spans="1:19" x14ac:dyDescent="0.25">
      <c r="A1368" t="s">
        <v>201</v>
      </c>
      <c r="F1368">
        <v>0.61165509259259265</v>
      </c>
      <c r="G1368" t="s">
        <v>221</v>
      </c>
      <c r="H1368">
        <v>0</v>
      </c>
      <c r="I1368">
        <v>0.85</v>
      </c>
      <c r="J1368" t="s">
        <v>222</v>
      </c>
      <c r="K1368" t="s">
        <v>27</v>
      </c>
      <c r="L1368">
        <v>12.529</v>
      </c>
      <c r="M1368">
        <v>1</v>
      </c>
      <c r="N1368">
        <v>77538.351999999999</v>
      </c>
      <c r="O1368">
        <v>1.6158455366706788E-4</v>
      </c>
      <c r="P1368">
        <v>1.0900000000000001</v>
      </c>
    </row>
    <row r="1369" spans="1:19" x14ac:dyDescent="0.25">
      <c r="A1369" t="s">
        <v>202</v>
      </c>
      <c r="F1369">
        <v>0.61353009259259261</v>
      </c>
      <c r="G1369" t="s">
        <v>221</v>
      </c>
      <c r="H1369">
        <v>0</v>
      </c>
      <c r="I1369">
        <v>0.85</v>
      </c>
      <c r="J1369" t="s">
        <v>222</v>
      </c>
      <c r="K1369" t="s">
        <v>27</v>
      </c>
      <c r="L1369">
        <v>17.864999999999998</v>
      </c>
      <c r="M1369">
        <v>1</v>
      </c>
      <c r="N1369">
        <v>76484.452999999994</v>
      </c>
      <c r="O1369">
        <v>2.3357688130423054E-4</v>
      </c>
      <c r="P1369">
        <v>1.0900000000000001</v>
      </c>
    </row>
    <row r="1370" spans="1:19" x14ac:dyDescent="0.25">
      <c r="A1370" t="s">
        <v>203</v>
      </c>
      <c r="F1370">
        <v>0.61539351851851853</v>
      </c>
      <c r="G1370" t="s">
        <v>221</v>
      </c>
      <c r="H1370">
        <v>0</v>
      </c>
      <c r="I1370">
        <v>0.85</v>
      </c>
      <c r="J1370" t="s">
        <v>222</v>
      </c>
      <c r="K1370" t="s">
        <v>27</v>
      </c>
      <c r="L1370">
        <v>0.85699999999999998</v>
      </c>
      <c r="M1370">
        <v>1</v>
      </c>
      <c r="N1370">
        <v>77630.75</v>
      </c>
      <c r="O1370">
        <v>1.1039439912663474E-5</v>
      </c>
      <c r="P1370">
        <v>1.07</v>
      </c>
    </row>
    <row r="1371" spans="1:19" x14ac:dyDescent="0.25">
      <c r="A1371" t="s">
        <v>204</v>
      </c>
      <c r="F1371">
        <v>0.61725694444444446</v>
      </c>
      <c r="G1371" t="s">
        <v>221</v>
      </c>
      <c r="H1371">
        <v>0</v>
      </c>
      <c r="I1371">
        <v>0.86</v>
      </c>
      <c r="J1371" t="s">
        <v>222</v>
      </c>
      <c r="M1371">
        <v>1</v>
      </c>
      <c r="N1371">
        <v>74698.75</v>
      </c>
      <c r="O1371">
        <v>0</v>
      </c>
    </row>
    <row r="1372" spans="1:19" x14ac:dyDescent="0.25">
      <c r="A1372" t="s">
        <v>205</v>
      </c>
      <c r="F1372">
        <v>0.61913194444444442</v>
      </c>
      <c r="G1372" t="s">
        <v>221</v>
      </c>
      <c r="H1372">
        <v>0</v>
      </c>
      <c r="I1372">
        <v>0.86</v>
      </c>
      <c r="J1372" t="s">
        <v>222</v>
      </c>
      <c r="K1372" t="s">
        <v>27</v>
      </c>
      <c r="L1372">
        <v>1.607</v>
      </c>
      <c r="M1372">
        <v>1</v>
      </c>
      <c r="N1372">
        <v>73690.656000000003</v>
      </c>
      <c r="O1372">
        <v>2.1807378129460536E-5</v>
      </c>
      <c r="P1372">
        <v>1.05</v>
      </c>
    </row>
    <row r="1373" spans="1:19" x14ac:dyDescent="0.25">
      <c r="A1373" t="s">
        <v>206</v>
      </c>
      <c r="F1373">
        <v>0.62100694444444449</v>
      </c>
      <c r="G1373" t="s">
        <v>221</v>
      </c>
      <c r="H1373">
        <v>0</v>
      </c>
      <c r="I1373">
        <v>0.85</v>
      </c>
      <c r="J1373" t="s">
        <v>222</v>
      </c>
      <c r="M1373">
        <v>1</v>
      </c>
      <c r="N1373">
        <v>75456.952999999994</v>
      </c>
      <c r="O1373">
        <v>0</v>
      </c>
    </row>
    <row r="1374" spans="1:19" x14ac:dyDescent="0.25">
      <c r="A1374" t="s">
        <v>207</v>
      </c>
      <c r="F1374">
        <v>0.62288194444444445</v>
      </c>
      <c r="G1374" t="s">
        <v>221</v>
      </c>
      <c r="H1374">
        <v>0</v>
      </c>
      <c r="I1374">
        <v>0.85</v>
      </c>
      <c r="J1374" t="s">
        <v>222</v>
      </c>
      <c r="M1374">
        <v>1</v>
      </c>
      <c r="N1374">
        <v>79055.422000000006</v>
      </c>
      <c r="O1374">
        <v>0</v>
      </c>
    </row>
    <row r="1375" spans="1:19" x14ac:dyDescent="0.25">
      <c r="A1375" t="s">
        <v>208</v>
      </c>
      <c r="F1375">
        <v>0.62475694444444441</v>
      </c>
      <c r="G1375" t="s">
        <v>221</v>
      </c>
      <c r="H1375">
        <v>0</v>
      </c>
      <c r="I1375">
        <v>0.85</v>
      </c>
      <c r="J1375" t="s">
        <v>222</v>
      </c>
      <c r="K1375" t="s">
        <v>27</v>
      </c>
      <c r="L1375">
        <v>2.2789999999999999</v>
      </c>
      <c r="M1375">
        <v>1</v>
      </c>
      <c r="N1375">
        <v>79091.718999999997</v>
      </c>
      <c r="O1375">
        <v>2.8814647460121584E-5</v>
      </c>
      <c r="P1375">
        <v>1.1100000000000001</v>
      </c>
    </row>
    <row r="1376" spans="1:19" x14ac:dyDescent="0.25">
      <c r="A1376" t="s">
        <v>209</v>
      </c>
      <c r="F1376">
        <v>0.62672453703703701</v>
      </c>
      <c r="G1376" t="s">
        <v>221</v>
      </c>
      <c r="H1376">
        <v>0</v>
      </c>
      <c r="I1376">
        <v>0.85</v>
      </c>
      <c r="J1376" t="s">
        <v>222</v>
      </c>
      <c r="M1376">
        <v>1</v>
      </c>
      <c r="N1376">
        <v>77321.656000000003</v>
      </c>
      <c r="O1376">
        <v>0</v>
      </c>
    </row>
    <row r="1377" spans="1:16" x14ac:dyDescent="0.25">
      <c r="A1377" t="s">
        <v>210</v>
      </c>
      <c r="F1377">
        <v>0.62858796296296293</v>
      </c>
      <c r="G1377" t="s">
        <v>221</v>
      </c>
      <c r="H1377">
        <v>0</v>
      </c>
      <c r="I1377">
        <v>0.85</v>
      </c>
      <c r="J1377" t="s">
        <v>222</v>
      </c>
      <c r="M1377">
        <v>1</v>
      </c>
      <c r="N1377">
        <v>73440.116999999998</v>
      </c>
      <c r="O1377">
        <v>0</v>
      </c>
    </row>
    <row r="1378" spans="1:16" x14ac:dyDescent="0.25">
      <c r="A1378" t="s">
        <v>211</v>
      </c>
      <c r="F1378">
        <v>0.63056712962962969</v>
      </c>
      <c r="G1378" t="s">
        <v>221</v>
      </c>
      <c r="H1378">
        <v>0</v>
      </c>
      <c r="I1378">
        <v>0.85</v>
      </c>
      <c r="J1378" t="s">
        <v>222</v>
      </c>
      <c r="K1378" t="s">
        <v>27</v>
      </c>
      <c r="L1378">
        <v>8.2029999999999994</v>
      </c>
      <c r="M1378">
        <v>1</v>
      </c>
      <c r="N1378">
        <v>77216.827999999994</v>
      </c>
      <c r="O1378">
        <v>1.0623332002189989E-4</v>
      </c>
      <c r="P1378">
        <v>1.08</v>
      </c>
    </row>
    <row r="1379" spans="1:16" x14ac:dyDescent="0.25">
      <c r="A1379" t="s">
        <v>212</v>
      </c>
      <c r="F1379">
        <v>0.63240740740740742</v>
      </c>
      <c r="G1379" t="s">
        <v>221</v>
      </c>
      <c r="H1379">
        <v>0</v>
      </c>
      <c r="I1379">
        <v>0.85</v>
      </c>
      <c r="J1379" t="s">
        <v>222</v>
      </c>
      <c r="M1379">
        <v>1</v>
      </c>
      <c r="N1379">
        <v>74267.241999999998</v>
      </c>
      <c r="O1379">
        <v>0</v>
      </c>
    </row>
    <row r="1380" spans="1:16" x14ac:dyDescent="0.25">
      <c r="A1380" t="s">
        <v>213</v>
      </c>
      <c r="F1380">
        <v>0.63429398148148153</v>
      </c>
      <c r="G1380" t="s">
        <v>221</v>
      </c>
      <c r="H1380">
        <v>0</v>
      </c>
      <c r="I1380">
        <v>0.86</v>
      </c>
      <c r="J1380" t="s">
        <v>222</v>
      </c>
      <c r="M1380">
        <v>1</v>
      </c>
      <c r="N1380">
        <v>77316.695000000007</v>
      </c>
      <c r="O1380">
        <v>0</v>
      </c>
    </row>
    <row r="1381" spans="1:16" x14ac:dyDescent="0.25">
      <c r="A1381" t="s">
        <v>214</v>
      </c>
      <c r="F1381">
        <v>0.63615740740740734</v>
      </c>
      <c r="G1381" t="s">
        <v>221</v>
      </c>
      <c r="H1381">
        <v>0</v>
      </c>
      <c r="I1381">
        <v>0.85</v>
      </c>
      <c r="J1381" t="s">
        <v>222</v>
      </c>
      <c r="K1381" t="s">
        <v>27</v>
      </c>
      <c r="L1381">
        <v>0.21</v>
      </c>
      <c r="M1381">
        <v>1</v>
      </c>
      <c r="N1381">
        <v>70950.452999999994</v>
      </c>
      <c r="O1381">
        <v>2.9598119690652293E-6</v>
      </c>
      <c r="P1381">
        <v>1.1100000000000001</v>
      </c>
    </row>
    <row r="1382" spans="1:16" x14ac:dyDescent="0.25">
      <c r="A1382" t="s">
        <v>215</v>
      </c>
      <c r="F1382">
        <v>0.63806712962962964</v>
      </c>
      <c r="G1382" t="s">
        <v>221</v>
      </c>
      <c r="H1382">
        <v>0</v>
      </c>
      <c r="I1382">
        <v>0.85</v>
      </c>
      <c r="J1382" t="s">
        <v>222</v>
      </c>
      <c r="K1382" t="s">
        <v>27</v>
      </c>
      <c r="L1382">
        <v>16.111999999999998</v>
      </c>
      <c r="M1382">
        <v>1</v>
      </c>
      <c r="N1382">
        <v>76658.133000000002</v>
      </c>
      <c r="O1382">
        <v>2.1017991659149848E-4</v>
      </c>
      <c r="P1382">
        <v>1.1000000000000001</v>
      </c>
    </row>
    <row r="1383" spans="1:16" x14ac:dyDescent="0.25">
      <c r="A1383" t="s">
        <v>216</v>
      </c>
      <c r="F1383">
        <v>0.6399421296296296</v>
      </c>
      <c r="G1383" t="s">
        <v>221</v>
      </c>
      <c r="H1383">
        <v>0</v>
      </c>
      <c r="I1383">
        <v>0.85</v>
      </c>
      <c r="J1383" t="s">
        <v>222</v>
      </c>
      <c r="K1383" t="s">
        <v>27</v>
      </c>
      <c r="L1383">
        <v>16.341000000000001</v>
      </c>
      <c r="M1383">
        <v>1</v>
      </c>
      <c r="N1383">
        <v>77482.891000000003</v>
      </c>
      <c r="O1383">
        <v>2.1089817105559471E-4</v>
      </c>
      <c r="P1383">
        <v>1.1000000000000001</v>
      </c>
    </row>
    <row r="1384" spans="1:16" x14ac:dyDescent="0.25">
      <c r="A1384" t="s">
        <v>217</v>
      </c>
      <c r="F1384">
        <v>0.64180555555555552</v>
      </c>
      <c r="G1384" t="s">
        <v>221</v>
      </c>
      <c r="H1384">
        <v>0</v>
      </c>
      <c r="I1384">
        <v>0.85</v>
      </c>
      <c r="J1384" t="s">
        <v>222</v>
      </c>
      <c r="K1384" t="s">
        <v>27</v>
      </c>
      <c r="L1384">
        <v>0.29199999999999998</v>
      </c>
      <c r="M1384">
        <v>1</v>
      </c>
      <c r="N1384">
        <v>81169.391000000003</v>
      </c>
      <c r="O1384">
        <v>3.5974151881957566E-6</v>
      </c>
      <c r="P1384">
        <v>1.1299999999999999</v>
      </c>
    </row>
    <row r="1385" spans="1:16" x14ac:dyDescent="0.25">
      <c r="A1385" t="s">
        <v>218</v>
      </c>
      <c r="F1385">
        <v>0.64368055555555559</v>
      </c>
      <c r="G1385" t="s">
        <v>221</v>
      </c>
      <c r="H1385">
        <v>0</v>
      </c>
      <c r="I1385">
        <v>0.85</v>
      </c>
      <c r="J1385" t="s">
        <v>222</v>
      </c>
      <c r="M1385">
        <v>1</v>
      </c>
      <c r="N1385">
        <v>79876.843999999997</v>
      </c>
      <c r="O1385">
        <v>0</v>
      </c>
    </row>
    <row r="1386" spans="1:16" x14ac:dyDescent="0.25">
      <c r="A1386" t="s">
        <v>219</v>
      </c>
      <c r="F1386">
        <v>0.64554398148148151</v>
      </c>
      <c r="G1386" t="s">
        <v>221</v>
      </c>
      <c r="H1386">
        <v>0</v>
      </c>
      <c r="I1386">
        <v>0.86</v>
      </c>
      <c r="J1386" t="s">
        <v>222</v>
      </c>
      <c r="K1386" t="s">
        <v>27</v>
      </c>
      <c r="L1386">
        <v>0.57099999999999995</v>
      </c>
      <c r="M1386">
        <v>1</v>
      </c>
      <c r="N1386">
        <v>199.23699999999999</v>
      </c>
      <c r="O1386">
        <v>2.8659335364415242E-3</v>
      </c>
      <c r="P1386">
        <v>1.0900000000000001</v>
      </c>
    </row>
    <row r="1387" spans="1:16" x14ac:dyDescent="0.25">
      <c r="A1387" t="s">
        <v>220</v>
      </c>
      <c r="F1387">
        <v>0.64741898148148147</v>
      </c>
      <c r="G1387" t="s">
        <v>221</v>
      </c>
      <c r="H1387">
        <v>0</v>
      </c>
      <c r="I1387">
        <v>0.85</v>
      </c>
      <c r="J1387" t="s">
        <v>222</v>
      </c>
      <c r="M1387">
        <v>1</v>
      </c>
      <c r="N1387">
        <v>87.394999999999996</v>
      </c>
      <c r="O1387">
        <v>0</v>
      </c>
    </row>
  </sheetData>
  <sortState ref="A2:S1387">
    <sortCondition ref="G2:G138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2"/>
  <sheetViews>
    <sheetView workbookViewId="0"/>
  </sheetViews>
  <sheetFormatPr defaultRowHeight="15" x14ac:dyDescent="0.25"/>
  <sheetData>
    <row r="1" spans="1:19" x14ac:dyDescent="0.25">
      <c r="A1" s="233" t="s">
        <v>282</v>
      </c>
      <c r="B1" s="233"/>
      <c r="C1" s="233"/>
      <c r="D1" s="233"/>
      <c r="E1" s="233"/>
      <c r="F1" s="233"/>
      <c r="G1" s="233"/>
      <c r="H1" s="233"/>
      <c r="I1" s="233"/>
      <c r="J1" s="233"/>
      <c r="K1" s="233"/>
      <c r="L1" s="233"/>
      <c r="M1" s="233"/>
      <c r="N1" s="233"/>
      <c r="O1" s="233"/>
      <c r="P1" s="233"/>
      <c r="Q1" s="233"/>
      <c r="R1" s="233"/>
      <c r="S1" s="233"/>
    </row>
    <row r="2" spans="1:19" x14ac:dyDescent="0.25">
      <c r="A2" s="233" t="s">
        <v>283</v>
      </c>
      <c r="B2" s="233"/>
      <c r="C2" s="233"/>
      <c r="D2" s="233"/>
      <c r="E2" s="233"/>
      <c r="F2" s="233"/>
      <c r="G2" s="233"/>
      <c r="H2" s="233"/>
      <c r="I2" s="233"/>
      <c r="J2" s="233"/>
      <c r="K2" s="233"/>
      <c r="L2" s="233"/>
      <c r="M2" s="233"/>
      <c r="N2" s="233"/>
      <c r="O2" s="233"/>
      <c r="P2" s="233"/>
      <c r="Q2" s="233"/>
      <c r="R2" s="233"/>
      <c r="S2" s="233"/>
    </row>
    <row r="3" spans="1:19" x14ac:dyDescent="0.25">
      <c r="A3" s="233" t="s">
        <v>284</v>
      </c>
      <c r="B3" s="233"/>
      <c r="C3" s="233"/>
      <c r="D3" s="233"/>
      <c r="E3" s="233"/>
      <c r="F3" s="233"/>
      <c r="G3" s="233"/>
      <c r="H3" s="233"/>
      <c r="I3" s="233"/>
      <c r="J3" s="233"/>
      <c r="K3" s="233"/>
      <c r="L3" s="233"/>
      <c r="M3" s="233"/>
      <c r="N3" s="233"/>
      <c r="O3" s="233"/>
      <c r="P3" s="233"/>
      <c r="Q3" s="233"/>
      <c r="R3" s="233"/>
      <c r="S3" s="233"/>
    </row>
    <row r="4" spans="1:19" x14ac:dyDescent="0.25">
      <c r="A4" s="233" t="s">
        <v>285</v>
      </c>
      <c r="B4" s="233"/>
      <c r="C4" s="233"/>
      <c r="D4" s="233"/>
      <c r="E4" s="233"/>
      <c r="F4" s="233"/>
      <c r="G4" s="233"/>
      <c r="H4" s="233"/>
      <c r="I4" s="233"/>
      <c r="J4" s="233"/>
      <c r="K4" s="233"/>
      <c r="L4" s="233"/>
      <c r="M4" s="233"/>
      <c r="N4" s="233"/>
      <c r="O4" s="233"/>
      <c r="P4" s="233"/>
      <c r="Q4" s="233"/>
      <c r="R4" s="233"/>
      <c r="S4" s="233"/>
    </row>
    <row r="5" spans="1:19" x14ac:dyDescent="0.25">
      <c r="A5" s="233" t="s">
        <v>286</v>
      </c>
      <c r="B5" s="233"/>
      <c r="C5" s="233"/>
      <c r="D5" s="233"/>
      <c r="E5" s="233"/>
      <c r="F5" s="233"/>
      <c r="G5" s="233"/>
      <c r="H5" s="233"/>
      <c r="I5" s="233"/>
      <c r="J5" s="233"/>
      <c r="K5" s="233"/>
      <c r="L5" s="233"/>
      <c r="M5" s="233"/>
      <c r="N5" s="233"/>
      <c r="O5" s="233"/>
      <c r="P5" s="233"/>
      <c r="Q5" s="233"/>
      <c r="R5" s="233"/>
      <c r="S5" s="233"/>
    </row>
    <row r="6" spans="1:19" x14ac:dyDescent="0.25">
      <c r="A6" s="233" t="s">
        <v>287</v>
      </c>
      <c r="B6" s="233"/>
      <c r="C6" s="233"/>
      <c r="D6" s="233"/>
      <c r="E6" s="233"/>
      <c r="F6" s="233"/>
      <c r="G6" s="233"/>
      <c r="H6" s="233"/>
      <c r="I6" s="233"/>
      <c r="J6" s="233"/>
      <c r="K6" s="233"/>
      <c r="L6" s="233"/>
      <c r="M6" s="233"/>
      <c r="N6" s="233"/>
      <c r="O6" s="233"/>
      <c r="P6" s="233"/>
      <c r="Q6" s="233"/>
      <c r="R6" s="233"/>
      <c r="S6" s="233"/>
    </row>
    <row r="7" spans="1:19" x14ac:dyDescent="0.25">
      <c r="A7" s="233" t="s">
        <v>288</v>
      </c>
      <c r="B7" s="233"/>
      <c r="C7" s="233"/>
      <c r="D7" s="233"/>
      <c r="E7" s="233"/>
      <c r="F7" s="233"/>
      <c r="G7" s="233"/>
      <c r="H7" s="233"/>
      <c r="I7" s="233"/>
      <c r="J7" s="233"/>
      <c r="K7" s="233"/>
      <c r="L7" s="233"/>
      <c r="M7" s="233"/>
      <c r="N7" s="233"/>
      <c r="O7" s="233"/>
      <c r="P7" s="233"/>
      <c r="Q7" s="233"/>
      <c r="R7" s="233"/>
      <c r="S7" s="233"/>
    </row>
    <row r="8" spans="1:19" x14ac:dyDescent="0.25">
      <c r="A8" s="233" t="s">
        <v>289</v>
      </c>
      <c r="B8" s="233"/>
      <c r="C8" s="233"/>
      <c r="D8" s="233"/>
      <c r="E8" s="233"/>
      <c r="F8" s="233"/>
      <c r="G8" s="233"/>
      <c r="H8" s="233"/>
      <c r="I8" s="233"/>
      <c r="J8" s="233"/>
      <c r="K8" s="233"/>
      <c r="L8" s="233"/>
      <c r="M8" s="233"/>
      <c r="N8" s="233"/>
      <c r="O8" s="233"/>
      <c r="P8" s="233"/>
      <c r="Q8" s="233"/>
      <c r="R8" s="233"/>
      <c r="S8" s="233"/>
    </row>
    <row r="9" spans="1:19" x14ac:dyDescent="0.25">
      <c r="A9" s="233" t="s">
        <v>290</v>
      </c>
      <c r="B9" s="233"/>
      <c r="C9" s="233"/>
      <c r="D9" s="233"/>
      <c r="E9" s="233"/>
      <c r="F9" s="233"/>
      <c r="G9" s="233"/>
      <c r="H9" s="233"/>
      <c r="I9" s="233"/>
      <c r="J9" s="233"/>
      <c r="K9" s="233"/>
      <c r="L9" s="233"/>
      <c r="M9" s="233"/>
      <c r="N9" s="233"/>
      <c r="O9" s="233"/>
      <c r="P9" s="233"/>
      <c r="Q9" s="233"/>
      <c r="R9" s="233"/>
      <c r="S9" s="233"/>
    </row>
    <row r="10" spans="1:19" x14ac:dyDescent="0.25">
      <c r="A10" s="233" t="s">
        <v>291</v>
      </c>
      <c r="B10" s="233"/>
      <c r="C10" s="233"/>
      <c r="D10" s="233"/>
      <c r="E10" s="233"/>
      <c r="F10" s="233"/>
      <c r="G10" s="233"/>
      <c r="H10" s="233"/>
      <c r="I10" s="233"/>
      <c r="J10" s="233"/>
      <c r="K10" s="233"/>
      <c r="L10" s="233"/>
      <c r="M10" s="233"/>
      <c r="N10" s="233"/>
      <c r="O10" s="233"/>
      <c r="P10" s="233"/>
      <c r="Q10" s="233"/>
      <c r="R10" s="233"/>
      <c r="S10" s="233"/>
    </row>
    <row r="11" spans="1:19" x14ac:dyDescent="0.25">
      <c r="A11" s="233" t="s">
        <v>292</v>
      </c>
      <c r="B11" s="233"/>
      <c r="C11" s="233"/>
      <c r="D11" s="233"/>
      <c r="E11" s="233"/>
      <c r="F11" s="233"/>
      <c r="G11" s="233"/>
      <c r="H11" s="233"/>
      <c r="I11" s="233"/>
      <c r="J11" s="233"/>
      <c r="K11" s="233"/>
      <c r="L11" s="233"/>
      <c r="M11" s="233"/>
      <c r="N11" s="233"/>
      <c r="O11" s="233"/>
      <c r="P11" s="233"/>
      <c r="Q11" s="233"/>
      <c r="R11" s="233"/>
      <c r="S11" s="233"/>
    </row>
    <row r="12" spans="1:19" x14ac:dyDescent="0.25">
      <c r="A12" s="233" t="s">
        <v>293</v>
      </c>
      <c r="B12" s="233"/>
      <c r="C12" s="233"/>
      <c r="D12" s="233"/>
      <c r="E12" s="233"/>
      <c r="F12" s="233"/>
      <c r="G12" s="233"/>
      <c r="H12" s="233"/>
      <c r="I12" s="233"/>
      <c r="J12" s="233"/>
      <c r="K12" s="233"/>
      <c r="L12" s="233"/>
      <c r="M12" s="233"/>
      <c r="N12" s="233"/>
      <c r="O12" s="233"/>
      <c r="P12" s="233"/>
      <c r="Q12" s="233"/>
      <c r="R12" s="233"/>
      <c r="S12" s="23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Summary</vt:lpstr>
      <vt:lpstr>Data</vt:lpstr>
      <vt:lpstr>Plate1</vt:lpstr>
      <vt:lpstr>Log</vt:lpstr>
      <vt:lpstr>Individual1</vt:lpstr>
      <vt:lpstr>Summary1</vt:lpstr>
      <vt:lpstr>Summary2G1</vt:lpstr>
      <vt:lpstr>Summary3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Adusumalli, Sravani</dc:creator>
  <cp:lastModifiedBy>Lau, Janice</cp:lastModifiedBy>
  <dcterms:created xsi:type="dcterms:W3CDTF">2021-04-30T16:52:09Z</dcterms:created>
  <dcterms:modified xsi:type="dcterms:W3CDTF">2021-04-30T18:10:05Z</dcterms:modified>
</cp:coreProperties>
</file>