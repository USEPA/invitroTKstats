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Reporting\April 2021\Caco2\"/>
    </mc:Choice>
  </mc:AlternateContent>
  <bookViews>
    <workbookView xWindow="0" yWindow="0" windowWidth="2160" windowHeight="0"/>
  </bookViews>
  <sheets>
    <sheet name="Summary" sheetId="1" r:id="rId1"/>
    <sheet name="Control Summary" sheetId="7" r:id="rId2"/>
    <sheet name="Data" sheetId="2" r:id="rId3"/>
    <sheet name="Control Data" sheetId="5" r:id="rId4"/>
    <sheet name="GCMS Data" sheetId="3" r:id="rId5"/>
    <sheet name="EPA_control_Raw Data" sheetId="6" r:id="rId6"/>
  </sheets>
  <externalReferences>
    <externalReference r:id="rId7"/>
  </externalReferences>
  <definedNames>
    <definedName name="Individual1" localSheetId="1">'Control Summary'!$J$2:$Q$20</definedName>
    <definedName name="Individual1">Summary!$J$2:$Q$60</definedName>
    <definedName name="Summary1" localSheetId="1">'Control Summary'!$A$4:$G$8</definedName>
    <definedName name="Summary1">Summary!$A$4:$G$16</definedName>
    <definedName name="Summary2G1" localSheetId="1">'Control Summary'!$A$11:$H$29</definedName>
    <definedName name="Summary2G1">Summary!$A$19:$H$25</definedName>
    <definedName name="Summary3" localSheetId="1">'Control Summary'!$A$32:$H$35</definedName>
    <definedName name="Summary3">Summary!$A$28:$H$39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5" i="7" l="1"/>
  <c r="D35" i="7"/>
  <c r="F35" i="7" s="1"/>
  <c r="G35" i="7" s="1"/>
  <c r="C35" i="7"/>
  <c r="B35" i="7"/>
  <c r="E34" i="7"/>
  <c r="D34" i="7"/>
  <c r="C34" i="7"/>
  <c r="B34" i="7"/>
  <c r="E33" i="7"/>
  <c r="D33" i="7"/>
  <c r="F33" i="7" s="1"/>
  <c r="G33" i="7" s="1"/>
  <c r="C33" i="7"/>
  <c r="B33" i="7"/>
  <c r="P19" i="7"/>
  <c r="O19" i="7"/>
  <c r="N19" i="7"/>
  <c r="Q18" i="7"/>
  <c r="P18" i="7"/>
  <c r="O18" i="7"/>
  <c r="N18" i="7"/>
  <c r="P17" i="7"/>
  <c r="O17" i="7"/>
  <c r="N17" i="7"/>
  <c r="Q16" i="7"/>
  <c r="P16" i="7"/>
  <c r="O16" i="7"/>
  <c r="N16" i="7"/>
  <c r="P15" i="7"/>
  <c r="O15" i="7"/>
  <c r="N15" i="7"/>
  <c r="K15" i="7"/>
  <c r="P14" i="7"/>
  <c r="O14" i="7"/>
  <c r="N14" i="7"/>
  <c r="Q13" i="7"/>
  <c r="P13" i="7"/>
  <c r="O13" i="7"/>
  <c r="N13" i="7"/>
  <c r="P12" i="7"/>
  <c r="Q12" i="7" s="1"/>
  <c r="O12" i="7"/>
  <c r="N12" i="7"/>
  <c r="Q11" i="7"/>
  <c r="P11" i="7"/>
  <c r="O11" i="7"/>
  <c r="N11" i="7"/>
  <c r="P10" i="7"/>
  <c r="O10" i="7"/>
  <c r="N10" i="7"/>
  <c r="K10" i="7"/>
  <c r="P9" i="7"/>
  <c r="O9" i="7"/>
  <c r="N9" i="7"/>
  <c r="Q8" i="7"/>
  <c r="P8" i="7"/>
  <c r="O8" i="7"/>
  <c r="N8" i="7"/>
  <c r="P7" i="7"/>
  <c r="O7" i="7"/>
  <c r="N7" i="7"/>
  <c r="Q7" i="7" s="1"/>
  <c r="F7" i="7"/>
  <c r="E7" i="7"/>
  <c r="D7" i="7"/>
  <c r="C7" i="7"/>
  <c r="B7" i="7"/>
  <c r="Q6" i="7"/>
  <c r="P6" i="7"/>
  <c r="O6" i="7"/>
  <c r="N6" i="7"/>
  <c r="F6" i="7"/>
  <c r="E6" i="7"/>
  <c r="D6" i="7"/>
  <c r="C6" i="7"/>
  <c r="B6" i="7"/>
  <c r="P5" i="7"/>
  <c r="O5" i="7"/>
  <c r="Q5" i="7" s="1"/>
  <c r="N5" i="7"/>
  <c r="K5" i="7"/>
  <c r="F5" i="7"/>
  <c r="E5" i="7"/>
  <c r="D5" i="7"/>
  <c r="C5" i="7"/>
  <c r="B5" i="7"/>
  <c r="L73" i="5"/>
  <c r="L74" i="5" s="1"/>
  <c r="U73" i="5" s="1"/>
  <c r="U72" i="5"/>
  <c r="Q72" i="5"/>
  <c r="P72" i="5"/>
  <c r="L72" i="5"/>
  <c r="N69" i="5"/>
  <c r="K69" i="5"/>
  <c r="J69" i="5"/>
  <c r="M69" i="5" s="1"/>
  <c r="L62" i="5"/>
  <c r="U71" i="5" s="1"/>
  <c r="L61" i="5"/>
  <c r="K58" i="5"/>
  <c r="N58" i="5" s="1"/>
  <c r="J58" i="5"/>
  <c r="M58" i="5" s="1"/>
  <c r="L47" i="5"/>
  <c r="U46" i="5" s="1"/>
  <c r="Q46" i="5"/>
  <c r="P46" i="5"/>
  <c r="L46" i="5"/>
  <c r="K43" i="5"/>
  <c r="N43" i="5" s="1"/>
  <c r="J43" i="5"/>
  <c r="M43" i="5" s="1"/>
  <c r="L36" i="5"/>
  <c r="U45" i="5" s="1"/>
  <c r="L35" i="5"/>
  <c r="K32" i="5"/>
  <c r="J32" i="5"/>
  <c r="M32" i="5" s="1"/>
  <c r="L21" i="5"/>
  <c r="U20" i="5" s="1"/>
  <c r="Q20" i="5"/>
  <c r="P20" i="5"/>
  <c r="L20" i="5"/>
  <c r="K17" i="5"/>
  <c r="J17" i="5"/>
  <c r="M17" i="5" s="1"/>
  <c r="L10" i="5"/>
  <c r="U19" i="5" s="1"/>
  <c r="L9" i="5"/>
  <c r="K6" i="5"/>
  <c r="N6" i="5" s="1"/>
  <c r="J6" i="5"/>
  <c r="F34" i="7" l="1"/>
  <c r="G34" i="7" s="1"/>
  <c r="Q14" i="7"/>
  <c r="Q10" i="7"/>
  <c r="Q19" i="7"/>
  <c r="Q17" i="7"/>
  <c r="Q9" i="7"/>
  <c r="Q15" i="7"/>
  <c r="K67" i="5"/>
  <c r="K71" i="5" s="1"/>
  <c r="K65" i="5"/>
  <c r="K72" i="5" s="1"/>
  <c r="J67" i="5"/>
  <c r="J65" i="5"/>
  <c r="K66" i="5"/>
  <c r="K70" i="5" s="1"/>
  <c r="K73" i="5" s="1"/>
  <c r="J66" i="5"/>
  <c r="K28" i="5"/>
  <c r="J28" i="5"/>
  <c r="J29" i="5"/>
  <c r="K30" i="5"/>
  <c r="K34" i="5" s="1"/>
  <c r="K29" i="5"/>
  <c r="K33" i="5" s="1"/>
  <c r="J30" i="5"/>
  <c r="K14" i="5"/>
  <c r="K18" i="5" s="1"/>
  <c r="K21" i="5" s="1"/>
  <c r="J14" i="5"/>
  <c r="K15" i="5"/>
  <c r="K19" i="5" s="1"/>
  <c r="K13" i="5"/>
  <c r="K20" i="5" s="1"/>
  <c r="J15" i="5"/>
  <c r="J13" i="5"/>
  <c r="K54" i="5"/>
  <c r="J54" i="5"/>
  <c r="K55" i="5"/>
  <c r="K59" i="5" s="1"/>
  <c r="K62" i="5" s="1"/>
  <c r="T71" i="5" s="1"/>
  <c r="K56" i="5"/>
  <c r="K60" i="5" s="1"/>
  <c r="J55" i="5"/>
  <c r="J56" i="5"/>
  <c r="K40" i="5"/>
  <c r="K44" i="5" s="1"/>
  <c r="K47" i="5" s="1"/>
  <c r="J40" i="5"/>
  <c r="K39" i="5"/>
  <c r="J41" i="5"/>
  <c r="J39" i="5"/>
  <c r="K41" i="5"/>
  <c r="K45" i="5" s="1"/>
  <c r="N17" i="5"/>
  <c r="N32" i="5"/>
  <c r="L48" i="5"/>
  <c r="U47" i="5" s="1"/>
  <c r="L22" i="5"/>
  <c r="U21" i="5" s="1"/>
  <c r="M6" i="5"/>
  <c r="M28" i="5" l="1"/>
  <c r="J35" i="5"/>
  <c r="N28" i="5"/>
  <c r="N55" i="5"/>
  <c r="M55" i="5"/>
  <c r="J59" i="5"/>
  <c r="K35" i="5"/>
  <c r="M14" i="5"/>
  <c r="J18" i="5"/>
  <c r="N14" i="5"/>
  <c r="J70" i="5"/>
  <c r="M66" i="5"/>
  <c r="N66" i="5"/>
  <c r="J46" i="5"/>
  <c r="N39" i="5"/>
  <c r="M39" i="5"/>
  <c r="T20" i="5"/>
  <c r="K74" i="5"/>
  <c r="T73" i="5" s="1"/>
  <c r="T72" i="5"/>
  <c r="J45" i="5"/>
  <c r="N41" i="5"/>
  <c r="M41" i="5"/>
  <c r="J61" i="5"/>
  <c r="N54" i="5"/>
  <c r="M54" i="5"/>
  <c r="N30" i="5"/>
  <c r="J34" i="5"/>
  <c r="M30" i="5"/>
  <c r="N65" i="5"/>
  <c r="M65" i="5"/>
  <c r="J72" i="5"/>
  <c r="J60" i="5"/>
  <c r="N56" i="5"/>
  <c r="M56" i="5"/>
  <c r="J4" i="5"/>
  <c r="K2" i="5"/>
  <c r="J2" i="5"/>
  <c r="K4" i="5"/>
  <c r="K8" i="5" s="1"/>
  <c r="K3" i="5"/>
  <c r="K7" i="5" s="1"/>
  <c r="J3" i="5"/>
  <c r="K46" i="5"/>
  <c r="K61" i="5"/>
  <c r="K36" i="5"/>
  <c r="T45" i="5" s="1"/>
  <c r="N67" i="5"/>
  <c r="M67" i="5"/>
  <c r="J71" i="5"/>
  <c r="J44" i="5"/>
  <c r="N40" i="5"/>
  <c r="M40" i="5"/>
  <c r="J20" i="5"/>
  <c r="N13" i="5"/>
  <c r="M13" i="5"/>
  <c r="T46" i="5"/>
  <c r="K48" i="5"/>
  <c r="T47" i="5" s="1"/>
  <c r="N15" i="5"/>
  <c r="J19" i="5"/>
  <c r="M15" i="5"/>
  <c r="N29" i="5"/>
  <c r="M29" i="5"/>
  <c r="J33" i="5"/>
  <c r="N3" i="5" l="1"/>
  <c r="M3" i="5"/>
  <c r="J7" i="5"/>
  <c r="N44" i="5"/>
  <c r="M44" i="5"/>
  <c r="J47" i="5"/>
  <c r="K10" i="5"/>
  <c r="N72" i="5"/>
  <c r="M72" i="5"/>
  <c r="V72" i="5" s="1"/>
  <c r="N61" i="5"/>
  <c r="M61" i="5"/>
  <c r="V71" i="5" s="1"/>
  <c r="N35" i="5"/>
  <c r="M35" i="5"/>
  <c r="V45" i="5" s="1"/>
  <c r="N2" i="5"/>
  <c r="M2" i="5"/>
  <c r="J9" i="5"/>
  <c r="N46" i="5"/>
  <c r="M46" i="5"/>
  <c r="V46" i="5" s="1"/>
  <c r="J62" i="5"/>
  <c r="N59" i="5"/>
  <c r="M59" i="5"/>
  <c r="M19" i="5"/>
  <c r="N19" i="5"/>
  <c r="N60" i="5"/>
  <c r="M60" i="5"/>
  <c r="J36" i="5"/>
  <c r="N33" i="5"/>
  <c r="M33" i="5"/>
  <c r="K9" i="5"/>
  <c r="N45" i="5"/>
  <c r="M45" i="5"/>
  <c r="J8" i="5"/>
  <c r="N4" i="5"/>
  <c r="M4" i="5"/>
  <c r="M34" i="5"/>
  <c r="N34" i="5"/>
  <c r="M18" i="5"/>
  <c r="N18" i="5"/>
  <c r="J21" i="5"/>
  <c r="N71" i="5"/>
  <c r="M71" i="5"/>
  <c r="N20" i="5"/>
  <c r="M20" i="5"/>
  <c r="V20" i="5" s="1"/>
  <c r="N70" i="5"/>
  <c r="M70" i="5"/>
  <c r="J73" i="5"/>
  <c r="N8" i="5" l="1"/>
  <c r="M8" i="5"/>
  <c r="N9" i="5"/>
  <c r="M9" i="5"/>
  <c r="V19" i="5" s="1"/>
  <c r="N47" i="5"/>
  <c r="R29" i="5" s="1"/>
  <c r="S46" i="5"/>
  <c r="M47" i="5"/>
  <c r="Q29" i="5" s="1"/>
  <c r="J48" i="5"/>
  <c r="N73" i="5"/>
  <c r="R55" i="5" s="1"/>
  <c r="S72" i="5"/>
  <c r="M73" i="5"/>
  <c r="Q55" i="5" s="1"/>
  <c r="J74" i="5"/>
  <c r="N21" i="5"/>
  <c r="R3" i="5" s="1"/>
  <c r="M21" i="5"/>
  <c r="Q3" i="5" s="1"/>
  <c r="S20" i="5"/>
  <c r="J22" i="5"/>
  <c r="S71" i="5"/>
  <c r="M62" i="5"/>
  <c r="Q54" i="5" s="1"/>
  <c r="N62" i="5"/>
  <c r="R54" i="5" s="1"/>
  <c r="J10" i="5"/>
  <c r="N7" i="5"/>
  <c r="M7" i="5"/>
  <c r="T19" i="5"/>
  <c r="K22" i="5"/>
  <c r="T21" i="5" s="1"/>
  <c r="S45" i="5"/>
  <c r="N36" i="5"/>
  <c r="R28" i="5" s="1"/>
  <c r="M36" i="5"/>
  <c r="Q28" i="5" s="1"/>
  <c r="S21" i="5" l="1"/>
  <c r="N22" i="5"/>
  <c r="M22" i="5"/>
  <c r="S47" i="5"/>
  <c r="N48" i="5"/>
  <c r="M48" i="5"/>
  <c r="S19" i="5"/>
  <c r="N10" i="5"/>
  <c r="R2" i="5" s="1"/>
  <c r="M10" i="5"/>
  <c r="Q2" i="5" s="1"/>
  <c r="N74" i="5"/>
  <c r="M74" i="5"/>
  <c r="S73" i="5"/>
</calcChain>
</file>

<file path=xl/sharedStrings.xml><?xml version="1.0" encoding="utf-8"?>
<sst xmlns="http://schemas.openxmlformats.org/spreadsheetml/2006/main" count="2461" uniqueCount="278">
  <si>
    <t>SampleName</t>
  </si>
  <si>
    <t>DataPathName</t>
  </si>
  <si>
    <t>SamplePosition</t>
  </si>
  <si>
    <t>SampleType</t>
  </si>
  <si>
    <t>LevelName</t>
  </si>
  <si>
    <t>AcqTime</t>
  </si>
  <si>
    <t>CompoundName</t>
  </si>
  <si>
    <t>ExpectedConcentration</t>
  </si>
  <si>
    <t>ISTD RetentionTime</t>
  </si>
  <si>
    <t>Transition</t>
  </si>
  <si>
    <t>Accuracy</t>
  </si>
  <si>
    <t>Area</t>
  </si>
  <si>
    <t>Dilution</t>
  </si>
  <si>
    <t>ISTD Area</t>
  </si>
  <si>
    <t>ISTDResponseRatio</t>
  </si>
  <si>
    <t>RetentionTime</t>
  </si>
  <si>
    <t>Conc.</t>
  </si>
  <si>
    <t>ManuallyIntegrated</t>
  </si>
  <si>
    <t>AcqMethodFileName</t>
  </si>
  <si>
    <t>Blank_1_A_B__1_03</t>
  </si>
  <si>
    <t>DTXSID0021543</t>
  </si>
  <si>
    <t>N/A</t>
  </si>
  <si>
    <t>Blank_1_B_A__3_05</t>
  </si>
  <si>
    <t>Blank_2_A_B__2_04</t>
  </si>
  <si>
    <t>Blank_2_B_A__4_06</t>
  </si>
  <si>
    <t>DTXSID0021543_A_B_don_1_73</t>
  </si>
  <si>
    <t>DTXSID0021543_A_B_don_2_74</t>
  </si>
  <si>
    <t>DTXSID0021543_A_B_dos_1_129</t>
  </si>
  <si>
    <t>DTXSID0021543_A_B_dos_2_130</t>
  </si>
  <si>
    <t>DTXSID0021543_A_B_rec_1_17</t>
  </si>
  <si>
    <t>DTXSID0021543_A_B_rec_2_18</t>
  </si>
  <si>
    <t>DTXSID0021543_B_A_don_1_101</t>
  </si>
  <si>
    <t>DTXSID0021543_B_A_don_2_102</t>
  </si>
  <si>
    <t>DTXSID0021543_B_A_dos_1_157</t>
  </si>
  <si>
    <t>DTXSID0021543_B_A_dos_2_158</t>
  </si>
  <si>
    <t>DTXSID0021543_B_A_rec_1_45</t>
  </si>
  <si>
    <t>DTXSID0021543_B_A_rec_2_46</t>
  </si>
  <si>
    <t>DTXSID5025023</t>
  </si>
  <si>
    <t>DTXSID5025023_A_B_don_1_77</t>
  </si>
  <si>
    <t>DTXSID5025023_A_B_don_2_78</t>
  </si>
  <si>
    <t>DTXSID5025023_A_B_dos_1_133</t>
  </si>
  <si>
    <t>DTXSID5025023_A_B_dos_2_134</t>
  </si>
  <si>
    <t>DTXSID5025023_A_B_rec_1_21</t>
  </si>
  <si>
    <t>DTXSID5025023_A_B_rec_2_22</t>
  </si>
  <si>
    <t>DTXSID5025023_B_A_don_1_105</t>
  </si>
  <si>
    <t>DTXSID5025023_B_A_don_2_106</t>
  </si>
  <si>
    <t>DTXSID5025023_B_A_dos_1_161</t>
  </si>
  <si>
    <t>DTXSID5025023_B_A_dos_2_162</t>
  </si>
  <si>
    <t>DTXSID5025023_B_A_rec_1_49</t>
  </si>
  <si>
    <t>DTXSID5025023_B_A_rec_2_50</t>
  </si>
  <si>
    <t>DTXSID0027191</t>
  </si>
  <si>
    <t>DTXSID0027191_A_B_don_1_75</t>
  </si>
  <si>
    <t>DTXSID0027191_A_B_don_2_76</t>
  </si>
  <si>
    <t>DTXSID0027191_A_B_dos_1_131</t>
  </si>
  <si>
    <t>DTXSID0027191_A_B_dos_2_132</t>
  </si>
  <si>
    <t>DTXSID0027191_A_B_rec_1_19</t>
  </si>
  <si>
    <t>DTXSID0027191_A_B_rec_2_20</t>
  </si>
  <si>
    <t>DTXSID0027191_B_A_don_1_103</t>
  </si>
  <si>
    <t>DTXSID0027191_B_A_don_2_104</t>
  </si>
  <si>
    <t>DTXSID0027191_B_A_dos_1_159</t>
  </si>
  <si>
    <t>DTXSID0027191_B_A_dos_2_160</t>
  </si>
  <si>
    <t>DTXSID0027191_B_A_rec_1_47</t>
  </si>
  <si>
    <t>DTXSID0027191_B_A_rec_2_48</t>
  </si>
  <si>
    <t>DTXSID8021931</t>
  </si>
  <si>
    <t>DTXSID8021931_A_B_don_1_63</t>
  </si>
  <si>
    <t>DTXSID8021931_A_B_don_2_64</t>
  </si>
  <si>
    <t>DTXSID8021931_A_B_dos_1_119</t>
  </si>
  <si>
    <t>DTXSID8021931_A_B_dos_2_120</t>
  </si>
  <si>
    <t>DTXSID8021931_A_B_rec_1_07</t>
  </si>
  <si>
    <t>DTXSID8021931_A_B_rec_2_08</t>
  </si>
  <si>
    <t>DTXSID8021931_B_A_don_1_91</t>
  </si>
  <si>
    <t>DTXSID8021931_B_A_don_2_92</t>
  </si>
  <si>
    <t>DTXSID8021931_B_A_dos_1_147</t>
  </si>
  <si>
    <t>DTXSID8021931_B_A_dos_2_148</t>
  </si>
  <si>
    <t>DTXSID8021931_B_A_rec_1_35</t>
  </si>
  <si>
    <t>DTXSID8021931_B_A_rec_2_36</t>
  </si>
  <si>
    <t>DTXSID4021894</t>
  </si>
  <si>
    <t>DTXSID4021894_A_B_don_1_79</t>
  </si>
  <si>
    <t>DTXSID4021894_A_B_don_2_80</t>
  </si>
  <si>
    <t>DTXSID4021894_A_B_dos_1_135</t>
  </si>
  <si>
    <t>DTXSID4021894_A_B_dos_2_136</t>
  </si>
  <si>
    <t>DTXSID4021894_A_B_rec_1_23</t>
  </si>
  <si>
    <t>DTXSID4021894_A_B_rec_2_24</t>
  </si>
  <si>
    <t>DTXSID4021894_B_A_don_1_107</t>
  </si>
  <si>
    <t>DTXSID4021894_B_A_don_2_108</t>
  </si>
  <si>
    <t>DTXSID4021894_B_A_dos_1_163</t>
  </si>
  <si>
    <t>DTXSID4021894_B_A_dos_2_164</t>
  </si>
  <si>
    <t>DTXSID4021894_B_A_rec_1_51</t>
  </si>
  <si>
    <t>DTXSID4021894_B_A_rec_2_52</t>
  </si>
  <si>
    <t>DTXSID5020493</t>
  </si>
  <si>
    <t>DTXSID5020493_A_B_don_1_90</t>
  </si>
  <si>
    <t>DTXSID5020493_A_B_don_2_89</t>
  </si>
  <si>
    <t>DTXSID5020493_A_B_dos_1_146</t>
  </si>
  <si>
    <t>DTXSID5020493_A_B_dos_2_145</t>
  </si>
  <si>
    <t>DTXSID5020493_A_B_rec_1_34</t>
  </si>
  <si>
    <t>DTXSID5020493_A_B_rec_2_33</t>
  </si>
  <si>
    <t>DTXSID5020493_B_A_don_1_118</t>
  </si>
  <si>
    <t>DTXSID5020493_B_A_don_2_117</t>
  </si>
  <si>
    <t>DTXSID5020493_B_A_dos_1_174</t>
  </si>
  <si>
    <t>DTXSID5020493_B_A_dos_2_173</t>
  </si>
  <si>
    <t>DTXSID5020493_B_A_rec_1_62</t>
  </si>
  <si>
    <t>DTXSID5020493_B_A_rec_2_61</t>
  </si>
  <si>
    <t>DTXSID3035214</t>
  </si>
  <si>
    <t>DTXSID3035214_A_B_don_1_85</t>
  </si>
  <si>
    <t>DTXSID3035214_A_B_don_2_86</t>
  </si>
  <si>
    <t>DTXSID3035214_A_B_dos_1_141</t>
  </si>
  <si>
    <t>DTXSID3035214_A_B_dos_2_142</t>
  </si>
  <si>
    <t>DTXSID3035214_A_B_rec_1_29</t>
  </si>
  <si>
    <t>DTXSID3035214_A_B_rec_2_30</t>
  </si>
  <si>
    <t>DTXSID3035214_B_A_don_1_113</t>
  </si>
  <si>
    <t>DTXSID3035214_B_A_don_2_114</t>
  </si>
  <si>
    <t>DTXSID3035214_B_A_dos_1_169</t>
  </si>
  <si>
    <t>DTXSID3035214_B_A_dos_2_170</t>
  </si>
  <si>
    <t>DTXSID3035214_B_A_rec_1_57</t>
  </si>
  <si>
    <t>DTXSID3035214_B_A_rec_2_58</t>
  </si>
  <si>
    <t>DTXSID6020430</t>
  </si>
  <si>
    <t>DTXSID6020430_A_B_don_1_67</t>
  </si>
  <si>
    <t>DTXSID6020430_A_B_don_2_68</t>
  </si>
  <si>
    <t>DTXSID6020430_A_B_dos_1_123</t>
  </si>
  <si>
    <t>DTXSID6020430_A_B_dos_2_124</t>
  </si>
  <si>
    <t>DTXSID6020430_A_B_rec_1_11</t>
  </si>
  <si>
    <t>DTXSID6020430_A_B_rec_2_12</t>
  </si>
  <si>
    <t>DTXSID6020430_B_A_don_1_95</t>
  </si>
  <si>
    <t>DTXSID6020430_B_A_don_2_96</t>
  </si>
  <si>
    <t>DTXSID6020430_B_A_dos_1_151</t>
  </si>
  <si>
    <t>DTXSID6020430_B_A_dos_2_152</t>
  </si>
  <si>
    <t>DTXSID6020430_B_A_rec_1_39</t>
  </si>
  <si>
    <t>DTXSID6020430_B_A_rec_2_40</t>
  </si>
  <si>
    <t>DTXSID7029661</t>
  </si>
  <si>
    <t>DTXSID7029661_A_B_don_1_83</t>
  </si>
  <si>
    <t>DTXSID7029661_A_B_don_2_84</t>
  </si>
  <si>
    <t>DTXSID7029661_A_B_dos_1_139</t>
  </si>
  <si>
    <t>DTXSID7029661_A_B_dos_2_140</t>
  </si>
  <si>
    <t>DTXSID7029661_A_B_rec_1_27</t>
  </si>
  <si>
    <t>DTXSID7029661_A_B_rec_2_28</t>
  </si>
  <si>
    <t>DTXSID7029661_B_A_don_1_111</t>
  </si>
  <si>
    <t>DTXSID7029661_B_A_don_2_112</t>
  </si>
  <si>
    <t>DTXSID7029661_B_A_dos_1_167</t>
  </si>
  <si>
    <t>DTXSID7029661_B_A_dos_2_168</t>
  </si>
  <si>
    <t>DTXSID7029661_B_A_rec_1_55</t>
  </si>
  <si>
    <t>DTXSID7029661_B_A_rec_2_56</t>
  </si>
  <si>
    <t>DTXSID7021940</t>
  </si>
  <si>
    <t>DTXSID7021940_A_B_don_1_81</t>
  </si>
  <si>
    <t>DTXSID7021940_A_B_don_2_82</t>
  </si>
  <si>
    <t>DTXSID7021940_A_B_dos_1_137</t>
  </si>
  <si>
    <t>DTXSID7021940_A_B_dos_2_138</t>
  </si>
  <si>
    <t>DTXSID7021940_A_B_rec_1_25</t>
  </si>
  <si>
    <t>DTXSID7021940_A_B_rec_2_26</t>
  </si>
  <si>
    <t>DTXSID7021940_B_A_don_1_109</t>
  </si>
  <si>
    <t>DTXSID7021940_B_A_don_2_110</t>
  </si>
  <si>
    <t>DTXSID7021940_B_A_dos_1_165</t>
  </si>
  <si>
    <t>DTXSID7021940_B_A_dos_2_166</t>
  </si>
  <si>
    <t>DTXSID7021940_B_A_rec_1_53</t>
  </si>
  <si>
    <t>DTXSID7021940_B_A_rec_2_54</t>
  </si>
  <si>
    <t>DTXSID5026918</t>
  </si>
  <si>
    <t>DTXSID5026918_A_B_don_1_65</t>
  </si>
  <si>
    <t>DTXSID5026918_A_B_don_2_66</t>
  </si>
  <si>
    <t>DTXSID5026918_A_B_dos_1_121</t>
  </si>
  <si>
    <t>DTXSID5026918_A_B_dos_2_122</t>
  </si>
  <si>
    <t>DTXSID5026918_A_B_rec_1_09</t>
  </si>
  <si>
    <t>DTXSID5026918_A_B_rec_2_10</t>
  </si>
  <si>
    <t>DTXSID5026918_B_A_don_1_93</t>
  </si>
  <si>
    <t>DTXSID5026918_B_A_don_2_94</t>
  </si>
  <si>
    <t>DTXSID5026918_B_A_dos_1_149</t>
  </si>
  <si>
    <t>DTXSID5026918_B_A_dos_2_150</t>
  </si>
  <si>
    <t>DTXSID5026918_B_A_rec_1_37</t>
  </si>
  <si>
    <t>DTXSID5026918_B_A_rec_2_38</t>
  </si>
  <si>
    <t>Client ID</t>
  </si>
  <si>
    <t>Test Conc_x000D_
(µM)</t>
  </si>
  <si>
    <t>Assay_x000D_
Duration_x000D_
(hr)</t>
  </si>
  <si>
    <r>
      <t>Mean_x000D_
A → B_x000D_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</si>
  <si>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r>
      <t>Mean_x000D_
B → A_x000D_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</si>
  <si>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t>Efflux Ratio</t>
  </si>
  <si>
    <t>Comments</t>
  </si>
  <si>
    <t>Test_x000D_
Concentration_x000D_
_x000D_
(µM)</t>
  </si>
  <si>
    <t>Direction</t>
  </si>
  <si>
    <t>Parameter</t>
  </si>
  <si>
    <t>First</t>
  </si>
  <si>
    <t>Second</t>
  </si>
  <si>
    <t>Third</t>
  </si>
  <si>
    <t>Mean</t>
  </si>
  <si>
    <t>Volume</t>
  </si>
  <si>
    <t>RR1</t>
  </si>
  <si>
    <t>RR2</t>
  </si>
  <si>
    <t>RR3</t>
  </si>
  <si>
    <t>RR Mean</t>
  </si>
  <si>
    <t>RR SD</t>
  </si>
  <si>
    <t>Chamber Surface Area</t>
  </si>
  <si>
    <t>Sampling Period (hrs)</t>
  </si>
  <si>
    <t>Test Concentration (µM)</t>
  </si>
  <si>
    <t>A → B</t>
  </si>
  <si>
    <t>Donor</t>
  </si>
  <si>
    <t>Receiver</t>
  </si>
  <si>
    <t>Dosing</t>
  </si>
  <si>
    <t>Standard</t>
  </si>
  <si>
    <t>Blank</t>
  </si>
  <si>
    <t>dq/dt</t>
  </si>
  <si>
    <r>
      <t>C</t>
    </r>
    <r>
      <rPr>
        <b/>
        <vertAlign val="subscript"/>
        <sz val="11"/>
        <color theme="1"/>
        <rFont val="Calibri"/>
        <family val="2"/>
        <scheme val="minor"/>
      </rPr>
      <t>o</t>
    </r>
  </si>
  <si>
    <t>Recovery</t>
  </si>
  <si>
    <t>Papp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</si>
  <si>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</si>
  <si>
    <t>B → A</t>
  </si>
  <si>
    <t>Test Article</t>
  </si>
  <si>
    <t>Test Conc (µM)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</si>
  <si>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Rep-1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</si>
  <si>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Rep-2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</si>
  <si>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Rep-3</t>
    </r>
  </si>
  <si>
    <t>Low Recovery A → B and B → A</t>
  </si>
  <si>
    <t>Low Recovery B → A</t>
  </si>
  <si>
    <t>Low recovery may be due to poor aqueous solubility, poor stability, and/or non-specific binding (high lipophilicity) of the_x000D_
Compound. Permeability rates for compounds with low/poor post assay recovery may be underestimated.</t>
  </si>
  <si>
    <t>(B → A)/(A → B)</t>
  </si>
  <si>
    <t>Compounds</t>
  </si>
  <si>
    <t>Stdev</t>
  </si>
  <si>
    <t>Ratio</t>
  </si>
  <si>
    <t>A to B Blank excluded from calculation</t>
  </si>
  <si>
    <t>Blank_1_A_B__1_03 excluded from calculation</t>
  </si>
  <si>
    <t>Blank peak &gt; sample peak</t>
  </si>
  <si>
    <t>Low Recovery A → B and B → A, A to B blank excluded from calculation</t>
  </si>
  <si>
    <t>one A to B blank peak excluded from calculation</t>
  </si>
  <si>
    <t xml:space="preserve"> </t>
  </si>
  <si>
    <t>High A to B recovery</t>
  </si>
  <si>
    <t>Low Recovery B → A, low IS signal B → A rec</t>
  </si>
  <si>
    <t/>
  </si>
  <si>
    <t>Blank 1_A_B__1______Inj EPA_Caco2_2021Apr21_Inj003</t>
  </si>
  <si>
    <t>Ranitidine</t>
  </si>
  <si>
    <t>315.216 &gt; 175.737</t>
  </si>
  <si>
    <t>Blank 1_A_B__2______Inj EPA_Caco2_2021Apr21_Inj004</t>
  </si>
  <si>
    <t>Blank 1_B_A__3______Inj EPA_Caco2_2021Apr21_Inj005</t>
  </si>
  <si>
    <t>Blank 1_B_A__4______Inj EPA_Caco2_2021Apr21_Inj006</t>
  </si>
  <si>
    <t>Ranitidine_A_B_rec_1______Inj EPA_Caco2_2021Apr21_Inj009</t>
  </si>
  <si>
    <t>Ranitidine_A_B_rec_2______Inj EPA_Caco2_2021Apr21_Inj010</t>
  </si>
  <si>
    <t>Ranitidine_A_B_dos_1______Inj EPA_Caco2_2021Apr21_Inj153</t>
  </si>
  <si>
    <t>Ranitidine_A_B_dos_2______Inj EPA_Caco2_2021Apr21_Inj154</t>
  </si>
  <si>
    <t>Ranitidine_A_B_don_1______Inj EPA_Caco2_2021Apr21_Inj081</t>
  </si>
  <si>
    <t>Ranitidine_A_B_don_2______Inj EPA_Caco2_2021Apr21_Inj082</t>
  </si>
  <si>
    <t>Ranitidine_B_A_rec_1______Inj EPA_Caco2_2021Apr21_Inj045</t>
  </si>
  <si>
    <t>Ranitidine_B_A_rec_2______Inj EPA_Caco2_2021Apr21_Inj046</t>
  </si>
  <si>
    <t>Ranitidine_B_A_dos_1______Inj EPA_Caco2_2021Apr21_Inj189</t>
  </si>
  <si>
    <t>Ranitidine_B_A_dos_2______Inj EPA_Caco2_2021Apr21_Inj190</t>
  </si>
  <si>
    <t>Ranitidine_B_A_don_1______Inj EPA_Caco2_2021Apr21_Inj117</t>
  </si>
  <si>
    <t>Ranitidine_B_A_don_2______Inj EPA_Caco2_2021Apr21_Inj118</t>
  </si>
  <si>
    <t>Talinolol</t>
  </si>
  <si>
    <t>364.365 &gt; 209.165</t>
  </si>
  <si>
    <t>Talinolol_A_B_rec_1______Inj EPA_Caco2_2021Apr21_Inj007</t>
  </si>
  <si>
    <t>Talinolol_A_B_rec_2______Inj EPA_Caco2_2021Apr21_Inj008</t>
  </si>
  <si>
    <t>Talinolol_A_B_dos_1______Inj EPA_Caco2_2021Apr21_Inj151</t>
  </si>
  <si>
    <t>Talinolol_A_B_dos_2______Inj EPA_Caco2_2021Apr21_Inj152</t>
  </si>
  <si>
    <t>Talinolol_A_B_don_1______Inj EPA_Caco2_2021Apr21_Inj079_Reinjected</t>
  </si>
  <si>
    <t>Talinolol_A_B_don_2______Inj EPA_Caco2_2021Apr21_Inj080</t>
  </si>
  <si>
    <t>Talinolol_B_A_rec_1______Inj EPA_Caco2_2021Apr21_Inj043</t>
  </si>
  <si>
    <t>Talinolol_B_A_rec_2______Inj EPA_Caco2_2021Apr21_Inj044</t>
  </si>
  <si>
    <t>Talinolol_B_A_dos_1______Inj EPA_Caco2_2021Apr21_Inj187</t>
  </si>
  <si>
    <t>Talinolol_B_A_dos_2______Inj EPA_Caco2_2021Apr21_Inj188</t>
  </si>
  <si>
    <t>Talinolol_B_A_don_1______Inj EPA_Caco2_2021Apr21_Inj115_Reinjected</t>
  </si>
  <si>
    <t>Talinolol_B_A_don_2______Inj EPA_Caco2_2021Apr21_Inj116</t>
  </si>
  <si>
    <t>Warfarin</t>
  </si>
  <si>
    <t>309.225 &gt; 251.114</t>
  </si>
  <si>
    <t>Warfarin_A_B_rec_1______Inj EPA_Caco2_2021Apr21_Inj013</t>
  </si>
  <si>
    <t>Warfarin_A_B_rec_2______Inj EPA_Caco2_2021Apr21_Inj014</t>
  </si>
  <si>
    <t>Warfarin_A_B_dos_1______Inj EPA_Caco2_2021Apr21_Inj157</t>
  </si>
  <si>
    <t>Warfarin_A_B_dos_2______Inj EPA_Caco2_2021Apr21_Inj158</t>
  </si>
  <si>
    <t>Warfarin_A_B_don_1______Inj EPA_Caco2_2021Apr21_Inj085</t>
  </si>
  <si>
    <t>Warfarin_A_B_don_2______Inj EPA_Caco2_2021Apr21_Inj086</t>
  </si>
  <si>
    <t>Warfarin_B_A_rec_1______Inj EPA_Caco2_2021Apr21_Inj049</t>
  </si>
  <si>
    <t>Warfarin_B_A_rec_2______Inj EPA_Caco2_2021Apr21_Inj050</t>
  </si>
  <si>
    <t>Warfarin_B_A_dos_1______Inj EPA_Caco2_2021Apr21_Inj193</t>
  </si>
  <si>
    <t>Warfarin_B_A_dos_2______Inj EPA_Caco2_2021Apr21_Inj194</t>
  </si>
  <si>
    <t>Warfarin_B_A_don_1______Inj EPA_Caco2_2021Apr21_Inj121</t>
  </si>
  <si>
    <t>Warfarin_B_A_don_2______Inj EPA_Caco2_2021Apr21_Inj122</t>
  </si>
  <si>
    <t>MM</t>
  </si>
  <si>
    <t>bb</t>
  </si>
  <si>
    <t>Low Permeability Control</t>
  </si>
  <si>
    <t>P-gp Efflux Control</t>
  </si>
  <si>
    <t>High Permeability Control</t>
  </si>
  <si>
    <t>DTXSID6024917</t>
  </si>
  <si>
    <t>DTXSID6024676</t>
  </si>
  <si>
    <t>DTXSID8024814</t>
  </si>
  <si>
    <t>No peak detected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</si>
</sst>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dd\ mmm\ yyyy"/>
    <numFmt numFmtId="165" formatCode="0.000"/>
    <numFmt numFmtId="166" formatCode="0.0"/>
    <numFmt numFmtId="167" formatCode="0.0000"/>
    <numFmt numFmtId="168" formatCode="0.00000"/>
    <numFmt numFmtId="169" formatCode="0.0%"/>
    <numFmt numFmtId="170" formatCode="0.000000"/>
    <numFmt numFmtId="171" formatCode="0.000%"/>
  </numFmts>
  <fonts count="11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b/>
      <sz val="11"/>
      <color theme="1"/>
      <name val="Times New Roman"/>
      <family val="1"/>
    </font>
    <font>
      <b/>
      <vertAlign val="superscript"/>
      <sz val="11"/>
      <color theme="1"/>
      <name val="Times New Roman"/>
      <family val="1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8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rgb="FF5B9BD5"/>
      </top>
      <bottom/>
      <diagonal/>
    </border>
    <border>
      <left/>
      <right/>
      <top/>
      <bottom style="mediumDashed">
        <color rgb="FF5B9BD5"/>
      </bottom>
      <diagonal/>
    </border>
    <border>
      <left style="thick">
        <color rgb="FF5B9BD5"/>
      </left>
      <right/>
      <top style="thick">
        <color rgb="FF5B9BD5"/>
      </top>
      <bottom/>
      <diagonal/>
    </border>
    <border>
      <left/>
      <right/>
      <top style="thick">
        <color rgb="FF5B9BD5"/>
      </top>
      <bottom/>
      <diagonal/>
    </border>
    <border>
      <left/>
      <right style="thick">
        <color rgb="FF5B9BD5"/>
      </right>
      <top style="thick">
        <color rgb="FF5B9BD5"/>
      </top>
      <bottom/>
      <diagonal/>
    </border>
    <border>
      <left style="thick">
        <color rgb="FF5B9BD5"/>
      </left>
      <right/>
      <top/>
      <bottom/>
      <diagonal/>
    </border>
    <border>
      <left/>
      <right style="thick">
        <color rgb="FF5B9BD5"/>
      </right>
      <top/>
      <bottom/>
      <diagonal/>
    </border>
    <border>
      <left style="thick">
        <color rgb="FF5B9BD5"/>
      </left>
      <right/>
      <top/>
      <bottom style="mediumDashed">
        <color rgb="FF5B9BD5"/>
      </bottom>
      <diagonal/>
    </border>
    <border>
      <left/>
      <right style="thick">
        <color rgb="FF5B9BD5"/>
      </right>
      <top/>
      <bottom style="mediumDashed">
        <color rgb="FF5B9BD5"/>
      </bottom>
      <diagonal/>
    </border>
    <border>
      <left style="thick">
        <color rgb="FF5B9BD5"/>
      </left>
      <right/>
      <top style="mediumDashed">
        <color rgb="FF5B9BD5"/>
      </top>
      <bottom/>
      <diagonal/>
    </border>
    <border>
      <left/>
      <right style="thick">
        <color rgb="FF5B9BD5"/>
      </right>
      <top style="mediumDashed">
        <color rgb="FF5B9BD5"/>
      </top>
      <bottom/>
      <diagonal/>
    </border>
    <border>
      <left style="thick">
        <color rgb="FF5B9BD5"/>
      </left>
      <right/>
      <top/>
      <bottom style="thick">
        <color rgb="FF5B9BD5"/>
      </bottom>
      <diagonal/>
    </border>
    <border>
      <left/>
      <right/>
      <top/>
      <bottom style="thick">
        <color rgb="FF5B9BD5"/>
      </bottom>
      <diagonal/>
    </border>
    <border>
      <left/>
      <right style="thick">
        <color rgb="FF5B9BD5"/>
      </right>
      <top/>
      <bottom style="thick">
        <color rgb="FF5B9BD5"/>
      </bottom>
      <diagonal/>
    </border>
    <border>
      <left/>
      <right/>
      <top style="mediumDashed">
        <color rgb="FFED7D31"/>
      </top>
      <bottom/>
      <diagonal/>
    </border>
    <border>
      <left/>
      <right/>
      <top/>
      <bottom style="mediumDashed">
        <color rgb="FFED7D31"/>
      </bottom>
      <diagonal/>
    </border>
    <border>
      <left style="thick">
        <color rgb="FFED7D31"/>
      </left>
      <right/>
      <top style="thick">
        <color rgb="FFED7D31"/>
      </top>
      <bottom/>
      <diagonal/>
    </border>
    <border>
      <left/>
      <right/>
      <top style="thick">
        <color rgb="FFED7D31"/>
      </top>
      <bottom/>
      <diagonal/>
    </border>
    <border>
      <left/>
      <right style="thick">
        <color rgb="FFED7D31"/>
      </right>
      <top style="thick">
        <color rgb="FFED7D31"/>
      </top>
      <bottom/>
      <diagonal/>
    </border>
    <border>
      <left style="thick">
        <color rgb="FFED7D31"/>
      </left>
      <right/>
      <top/>
      <bottom/>
      <diagonal/>
    </border>
    <border>
      <left/>
      <right style="thick">
        <color rgb="FFED7D31"/>
      </right>
      <top/>
      <bottom/>
      <diagonal/>
    </border>
    <border>
      <left style="thick">
        <color rgb="FFED7D31"/>
      </left>
      <right/>
      <top/>
      <bottom style="mediumDashed">
        <color rgb="FFED7D31"/>
      </bottom>
      <diagonal/>
    </border>
    <border>
      <left/>
      <right style="thick">
        <color rgb="FFED7D31"/>
      </right>
      <top/>
      <bottom style="mediumDashed">
        <color rgb="FFED7D31"/>
      </bottom>
      <diagonal/>
    </border>
    <border>
      <left style="thick">
        <color rgb="FFED7D31"/>
      </left>
      <right/>
      <top style="mediumDashed">
        <color rgb="FFED7D31"/>
      </top>
      <bottom/>
      <diagonal/>
    </border>
    <border>
      <left/>
      <right style="thick">
        <color rgb="FFED7D31"/>
      </right>
      <top style="mediumDashed">
        <color rgb="FFED7D31"/>
      </top>
      <bottom/>
      <diagonal/>
    </border>
    <border>
      <left style="thick">
        <color rgb="FFED7D31"/>
      </left>
      <right/>
      <top/>
      <bottom style="thick">
        <color rgb="FFED7D31"/>
      </bottom>
      <diagonal/>
    </border>
    <border>
      <left/>
      <right/>
      <top/>
      <bottom style="thick">
        <color rgb="FFED7D31"/>
      </bottom>
      <diagonal/>
    </border>
    <border>
      <left/>
      <right style="thick">
        <color rgb="FFED7D31"/>
      </right>
      <top/>
      <bottom style="thick">
        <color rgb="FFED7D31"/>
      </bottom>
      <diagonal/>
    </border>
    <border>
      <left/>
      <right/>
      <top style="double">
        <color rgb="FF000000"/>
      </top>
      <bottom/>
      <diagonal/>
    </border>
    <border>
      <left/>
      <right/>
      <top/>
      <bottom style="dashed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double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double">
        <color rgb="FF000000"/>
      </bottom>
      <diagonal/>
    </border>
    <border>
      <left style="mediumDashed">
        <color rgb="FF000000"/>
      </left>
      <right/>
      <top/>
      <bottom/>
      <diagonal/>
    </border>
    <border>
      <left style="mediumDashed">
        <color rgb="FF000000"/>
      </left>
      <right/>
      <top/>
      <bottom style="double">
        <color rgb="FF000000"/>
      </bottom>
      <diagonal/>
    </border>
    <border>
      <left style="mediumDashed">
        <color rgb="FF000000"/>
      </left>
      <right/>
      <top style="double">
        <color rgb="FF000000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92">
    <xf numFmtId="0" fontId="0" fillId="0" borderId="0" xfId="0"/>
    <xf numFmtId="0" fontId="2" fillId="0" borderId="0" xfId="1"/>
    <xf numFmtId="0" fontId="0" fillId="3" borderId="0" xfId="0" applyFill="1"/>
    <xf numFmtId="22" fontId="0" fillId="3" borderId="0" xfId="0" applyNumberFormat="1" applyFill="1"/>
    <xf numFmtId="0" fontId="4" fillId="0" borderId="0" xfId="1" applyFont="1"/>
    <xf numFmtId="0" fontId="5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7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2" xfId="0" applyFont="1" applyBorder="1" applyAlignment="1">
      <alignment horizontal="center"/>
    </xf>
    <xf numFmtId="0" fontId="7" fillId="0" borderId="2" xfId="0" applyFont="1" applyBorder="1" applyAlignment="1">
      <alignment horizontal="center" wrapText="1"/>
    </xf>
    <xf numFmtId="2" fontId="2" fillId="0" borderId="0" xfId="1" applyNumberFormat="1"/>
    <xf numFmtId="165" fontId="2" fillId="0" borderId="0" xfId="1" applyNumberFormat="1"/>
    <xf numFmtId="166" fontId="2" fillId="0" borderId="0" xfId="1" applyNumberFormat="1"/>
    <xf numFmtId="0" fontId="4" fillId="0" borderId="3" xfId="1" applyFont="1" applyBorder="1"/>
    <xf numFmtId="2" fontId="2" fillId="0" borderId="4" xfId="1" applyNumberFormat="1" applyBorder="1"/>
    <xf numFmtId="0" fontId="4" fillId="0" borderId="5" xfId="1" applyFont="1" applyBorder="1"/>
    <xf numFmtId="165" fontId="2" fillId="0" borderId="6" xfId="1" applyNumberFormat="1" applyBorder="1"/>
    <xf numFmtId="2" fontId="2" fillId="0" borderId="6" xfId="1" applyNumberFormat="1" applyBorder="1"/>
    <xf numFmtId="0" fontId="4" fillId="0" borderId="7" xfId="1" applyFont="1" applyBorder="1"/>
    <xf numFmtId="166" fontId="2" fillId="0" borderId="8" xfId="1" applyNumberFormat="1" applyBorder="1"/>
    <xf numFmtId="0" fontId="2" fillId="0" borderId="9" xfId="1" applyBorder="1"/>
    <xf numFmtId="0" fontId="2" fillId="0" borderId="0" xfId="1" applyBorder="1"/>
    <xf numFmtId="0" fontId="2" fillId="0" borderId="10" xfId="1" applyBorder="1"/>
    <xf numFmtId="167" fontId="2" fillId="0" borderId="9" xfId="1" applyNumberFormat="1" applyBorder="1"/>
    <xf numFmtId="165" fontId="2" fillId="0" borderId="0" xfId="1" applyNumberFormat="1" applyBorder="1"/>
    <xf numFmtId="165" fontId="4" fillId="0" borderId="0" xfId="1" applyNumberFormat="1" applyFont="1" applyBorder="1"/>
    <xf numFmtId="167" fontId="4" fillId="0" borderId="0" xfId="1" applyNumberFormat="1" applyFont="1" applyBorder="1"/>
    <xf numFmtId="167" fontId="2" fillId="0" borderId="0" xfId="1" applyNumberFormat="1" applyBorder="1"/>
    <xf numFmtId="167" fontId="2" fillId="0" borderId="10" xfId="1" applyNumberFormat="1" applyBorder="1"/>
    <xf numFmtId="167" fontId="2" fillId="0" borderId="12" xfId="1" applyNumberFormat="1" applyBorder="1"/>
    <xf numFmtId="165" fontId="4" fillId="0" borderId="12" xfId="1" applyNumberFormat="1" applyFont="1" applyBorder="1"/>
    <xf numFmtId="167" fontId="4" fillId="0" borderId="12" xfId="1" applyNumberFormat="1" applyFont="1" applyBorder="1"/>
    <xf numFmtId="0" fontId="2" fillId="0" borderId="12" xfId="1" applyBorder="1"/>
    <xf numFmtId="0" fontId="2" fillId="0" borderId="15" xfId="1" applyBorder="1"/>
    <xf numFmtId="0" fontId="2" fillId="0" borderId="21" xfId="1" applyBorder="1"/>
    <xf numFmtId="11" fontId="2" fillId="0" borderId="9" xfId="1" applyNumberFormat="1" applyBorder="1"/>
    <xf numFmtId="9" fontId="2" fillId="0" borderId="0" xfId="1" applyNumberFormat="1" applyBorder="1"/>
    <xf numFmtId="1" fontId="2" fillId="0" borderId="21" xfId="1" applyNumberFormat="1" applyBorder="1"/>
    <xf numFmtId="166" fontId="2" fillId="0" borderId="21" xfId="1" applyNumberFormat="1" applyBorder="1"/>
    <xf numFmtId="165" fontId="2" fillId="0" borderId="12" xfId="1" applyNumberFormat="1" applyBorder="1"/>
    <xf numFmtId="167" fontId="2" fillId="0" borderId="13" xfId="1" applyNumberFormat="1" applyBorder="1"/>
    <xf numFmtId="167" fontId="2" fillId="0" borderId="15" xfId="1" applyNumberFormat="1" applyBorder="1"/>
    <xf numFmtId="168" fontId="2" fillId="0" borderId="15" xfId="1" applyNumberFormat="1" applyBorder="1"/>
    <xf numFmtId="168" fontId="2" fillId="0" borderId="17" xfId="1" applyNumberFormat="1" applyBorder="1"/>
    <xf numFmtId="11" fontId="2" fillId="0" borderId="19" xfId="1" applyNumberFormat="1" applyBorder="1"/>
    <xf numFmtId="168" fontId="2" fillId="0" borderId="0" xfId="1" applyNumberFormat="1" applyBorder="1"/>
    <xf numFmtId="9" fontId="2" fillId="0" borderId="15" xfId="1" applyNumberFormat="1" applyBorder="1"/>
    <xf numFmtId="1" fontId="2" fillId="0" borderId="22" xfId="1" applyNumberFormat="1" applyBorder="1"/>
    <xf numFmtId="1" fontId="2" fillId="0" borderId="0" xfId="1" applyNumberFormat="1"/>
    <xf numFmtId="11" fontId="2" fillId="0" borderId="9" xfId="1" applyNumberFormat="1" applyBorder="1" applyAlignment="1">
      <alignment horizontal="left"/>
    </xf>
    <xf numFmtId="165" fontId="2" fillId="0" borderId="0" xfId="1" applyNumberFormat="1" applyBorder="1" applyAlignment="1">
      <alignment horizontal="left"/>
    </xf>
    <xf numFmtId="9" fontId="2" fillId="0" borderId="0" xfId="1" applyNumberFormat="1" applyBorder="1" applyAlignment="1">
      <alignment horizontal="left"/>
    </xf>
    <xf numFmtId="1" fontId="2" fillId="0" borderId="21" xfId="1" applyNumberFormat="1" applyBorder="1" applyAlignment="1">
      <alignment horizontal="left"/>
    </xf>
    <xf numFmtId="0" fontId="2" fillId="0" borderId="23" xfId="1" applyBorder="1"/>
    <xf numFmtId="0" fontId="2" fillId="0" borderId="24" xfId="1" applyBorder="1"/>
    <xf numFmtId="167" fontId="2" fillId="0" borderId="24" xfId="1" applyNumberFormat="1" applyBorder="1"/>
    <xf numFmtId="165" fontId="2" fillId="0" borderId="26" xfId="1" applyNumberFormat="1" applyBorder="1"/>
    <xf numFmtId="165" fontId="4" fillId="0" borderId="26" xfId="1" applyNumberFormat="1" applyFont="1" applyBorder="1"/>
    <xf numFmtId="167" fontId="4" fillId="0" borderId="26" xfId="1" applyNumberFormat="1" applyFont="1" applyBorder="1"/>
    <xf numFmtId="0" fontId="2" fillId="0" borderId="26" xfId="1" applyBorder="1"/>
    <xf numFmtId="0" fontId="2" fillId="0" borderId="29" xfId="1" applyBorder="1"/>
    <xf numFmtId="0" fontId="4" fillId="0" borderId="34" xfId="1" applyFont="1" applyBorder="1"/>
    <xf numFmtId="0" fontId="2" fillId="0" borderId="35" xfId="1" applyBorder="1"/>
    <xf numFmtId="0" fontId="2" fillId="0" borderId="36" xfId="1" applyBorder="1"/>
    <xf numFmtId="11" fontId="2" fillId="0" borderId="23" xfId="1" applyNumberFormat="1" applyBorder="1"/>
    <xf numFmtId="1" fontId="2" fillId="0" borderId="24" xfId="1" applyNumberFormat="1" applyBorder="1"/>
    <xf numFmtId="165" fontId="2" fillId="0" borderId="35" xfId="1" applyNumberFormat="1" applyBorder="1"/>
    <xf numFmtId="169" fontId="2" fillId="0" borderId="0" xfId="1" applyNumberFormat="1" applyBorder="1"/>
    <xf numFmtId="167" fontId="2" fillId="0" borderId="35" xfId="1" applyNumberFormat="1" applyBorder="1"/>
    <xf numFmtId="167" fontId="2" fillId="0" borderId="26" xfId="1" applyNumberFormat="1" applyBorder="1"/>
    <xf numFmtId="167" fontId="2" fillId="0" borderId="27" xfId="1" applyNumberFormat="1" applyBorder="1"/>
    <xf numFmtId="167" fontId="2" fillId="0" borderId="29" xfId="1" applyNumberFormat="1" applyBorder="1"/>
    <xf numFmtId="167" fontId="2" fillId="0" borderId="31" xfId="1" applyNumberFormat="1" applyBorder="1"/>
    <xf numFmtId="11" fontId="2" fillId="0" borderId="33" xfId="1" applyNumberFormat="1" applyBorder="1"/>
    <xf numFmtId="9" fontId="2" fillId="0" borderId="29" xfId="1" applyNumberFormat="1" applyBorder="1"/>
    <xf numFmtId="166" fontId="2" fillId="0" borderId="24" xfId="1" applyNumberFormat="1" applyBorder="1"/>
    <xf numFmtId="166" fontId="2" fillId="0" borderId="31" xfId="1" applyNumberFormat="1" applyBorder="1"/>
    <xf numFmtId="167" fontId="2" fillId="0" borderId="36" xfId="1" applyNumberFormat="1" applyBorder="1"/>
    <xf numFmtId="11" fontId="2" fillId="0" borderId="23" xfId="1" applyNumberFormat="1" applyBorder="1" applyAlignment="1">
      <alignment horizontal="left"/>
    </xf>
    <xf numFmtId="167" fontId="2" fillId="0" borderId="0" xfId="1" applyNumberFormat="1" applyBorder="1" applyAlignment="1">
      <alignment horizontal="left"/>
    </xf>
    <xf numFmtId="1" fontId="2" fillId="0" borderId="24" xfId="1" applyNumberFormat="1" applyBorder="1" applyAlignment="1">
      <alignment horizontal="left"/>
    </xf>
    <xf numFmtId="0" fontId="2" fillId="0" borderId="0" xfId="1" applyAlignment="1">
      <alignment horizontal="right"/>
    </xf>
    <xf numFmtId="0" fontId="4" fillId="0" borderId="0" xfId="1" applyFont="1" applyAlignment="1">
      <alignment horizontal="right"/>
    </xf>
    <xf numFmtId="0" fontId="4" fillId="0" borderId="11" xfId="1" applyFont="1" applyBorder="1" applyAlignment="1">
      <alignment horizontal="right"/>
    </xf>
    <xf numFmtId="0" fontId="4" fillId="0" borderId="14" xfId="1" applyFont="1" applyBorder="1" applyAlignment="1">
      <alignment horizontal="right"/>
    </xf>
    <xf numFmtId="0" fontId="4" fillId="0" borderId="16" xfId="1" applyFont="1" applyBorder="1" applyAlignment="1">
      <alignment horizontal="right"/>
    </xf>
    <xf numFmtId="0" fontId="4" fillId="0" borderId="18" xfId="1" applyFont="1" applyBorder="1" applyAlignment="1">
      <alignment horizontal="right"/>
    </xf>
    <xf numFmtId="0" fontId="4" fillId="0" borderId="20" xfId="1" applyFont="1" applyBorder="1" applyAlignment="1">
      <alignment horizontal="right"/>
    </xf>
    <xf numFmtId="0" fontId="4" fillId="0" borderId="25" xfId="1" applyFont="1" applyBorder="1" applyAlignment="1">
      <alignment horizontal="right"/>
    </xf>
    <xf numFmtId="0" fontId="4" fillId="0" borderId="28" xfId="1" applyFont="1" applyBorder="1" applyAlignment="1">
      <alignment horizontal="right"/>
    </xf>
    <xf numFmtId="0" fontId="4" fillId="0" borderId="30" xfId="1" applyFont="1" applyBorder="1" applyAlignment="1">
      <alignment horizontal="right"/>
    </xf>
    <xf numFmtId="0" fontId="4" fillId="0" borderId="32" xfId="1" applyFont="1" applyBorder="1" applyAlignment="1">
      <alignment horizontal="right"/>
    </xf>
    <xf numFmtId="0" fontId="4" fillId="0" borderId="2" xfId="1" applyFont="1" applyBorder="1"/>
    <xf numFmtId="0" fontId="4" fillId="0" borderId="2" xfId="1" applyFont="1" applyBorder="1" applyAlignment="1">
      <alignment horizontal="center"/>
    </xf>
    <xf numFmtId="0" fontId="4" fillId="0" borderId="2" xfId="1" applyFont="1" applyBorder="1" applyAlignment="1">
      <alignment horizontal="center" wrapText="1"/>
    </xf>
    <xf numFmtId="0" fontId="2" fillId="0" borderId="0" xfId="1" applyAlignment="1">
      <alignment horizontal="center"/>
    </xf>
    <xf numFmtId="0" fontId="2" fillId="0" borderId="0" xfId="1" applyAlignment="1">
      <alignment vertical="center" wrapText="1"/>
    </xf>
    <xf numFmtId="0" fontId="2" fillId="0" borderId="1" xfId="1" applyBorder="1" applyAlignment="1">
      <alignment vertical="center"/>
    </xf>
    <xf numFmtId="0" fontId="2" fillId="0" borderId="0" xfId="1" applyAlignment="1">
      <alignment vertical="center"/>
    </xf>
    <xf numFmtId="1" fontId="2" fillId="0" borderId="0" xfId="1" applyNumberFormat="1" applyAlignment="1">
      <alignment horizontal="center"/>
    </xf>
    <xf numFmtId="166" fontId="2" fillId="0" borderId="0" xfId="1" applyNumberFormat="1" applyAlignment="1">
      <alignment horizontal="center"/>
    </xf>
    <xf numFmtId="9" fontId="2" fillId="0" borderId="0" xfId="1" applyNumberFormat="1" applyAlignment="1">
      <alignment horizontal="center"/>
    </xf>
    <xf numFmtId="166" fontId="2" fillId="0" borderId="0" xfId="1" applyNumberFormat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2" fillId="0" borderId="1" xfId="1" applyBorder="1" applyAlignment="1">
      <alignment horizontal="center"/>
    </xf>
    <xf numFmtId="165" fontId="2" fillId="0" borderId="1" xfId="1" applyNumberFormat="1" applyBorder="1" applyAlignment="1">
      <alignment horizontal="center"/>
    </xf>
    <xf numFmtId="167" fontId="2" fillId="0" borderId="1" xfId="1" applyNumberFormat="1" applyBorder="1" applyAlignment="1">
      <alignment horizontal="center"/>
    </xf>
    <xf numFmtId="0" fontId="2" fillId="0" borderId="0" xfId="1" applyAlignment="1">
      <alignment horizontal="center" vertical="center"/>
    </xf>
    <xf numFmtId="2" fontId="4" fillId="0" borderId="0" xfId="1" applyNumberFormat="1" applyFont="1" applyBorder="1"/>
    <xf numFmtId="165" fontId="2" fillId="0" borderId="10" xfId="1" applyNumberFormat="1" applyBorder="1"/>
    <xf numFmtId="2" fontId="2" fillId="0" borderId="0" xfId="1" applyNumberFormat="1" applyBorder="1"/>
    <xf numFmtId="165" fontId="2" fillId="0" borderId="13" xfId="1" applyNumberFormat="1" applyBorder="1"/>
    <xf numFmtId="2" fontId="2" fillId="0" borderId="15" xfId="1" applyNumberFormat="1" applyBorder="1"/>
    <xf numFmtId="167" fontId="2" fillId="0" borderId="17" xfId="1" applyNumberFormat="1" applyBorder="1"/>
    <xf numFmtId="165" fontId="2" fillId="0" borderId="24" xfId="1" applyNumberFormat="1" applyBorder="1"/>
    <xf numFmtId="168" fontId="2" fillId="0" borderId="35" xfId="1" applyNumberFormat="1" applyBorder="1"/>
    <xf numFmtId="2" fontId="2" fillId="0" borderId="35" xfId="1" applyNumberFormat="1" applyBorder="1"/>
    <xf numFmtId="165" fontId="2" fillId="0" borderId="29" xfId="1" applyNumberFormat="1" applyBorder="1"/>
    <xf numFmtId="2" fontId="2" fillId="0" borderId="29" xfId="1" applyNumberFormat="1" applyBorder="1"/>
    <xf numFmtId="169" fontId="2" fillId="0" borderId="29" xfId="1" applyNumberFormat="1" applyBorder="1"/>
    <xf numFmtId="2" fontId="2" fillId="0" borderId="36" xfId="1" applyNumberFormat="1" applyBorder="1"/>
    <xf numFmtId="2" fontId="2" fillId="0" borderId="0" xfId="1" applyNumberFormat="1" applyBorder="1" applyAlignment="1">
      <alignment horizontal="left"/>
    </xf>
    <xf numFmtId="169" fontId="2" fillId="0" borderId="0" xfId="1" applyNumberFormat="1" applyBorder="1" applyAlignment="1">
      <alignment horizontal="left"/>
    </xf>
    <xf numFmtId="166" fontId="2" fillId="0" borderId="24" xfId="1" applyNumberFormat="1" applyBorder="1" applyAlignment="1">
      <alignment horizontal="left"/>
    </xf>
    <xf numFmtId="169" fontId="2" fillId="0" borderId="0" xfId="1" applyNumberFormat="1" applyAlignment="1">
      <alignment horizontal="center"/>
    </xf>
    <xf numFmtId="168" fontId="2" fillId="0" borderId="1" xfId="1" applyNumberFormat="1" applyBorder="1" applyAlignment="1">
      <alignment horizontal="center"/>
    </xf>
    <xf numFmtId="2" fontId="2" fillId="0" borderId="1" xfId="1" applyNumberFormat="1" applyBorder="1" applyAlignment="1">
      <alignment horizontal="center"/>
    </xf>
    <xf numFmtId="166" fontId="4" fillId="0" borderId="0" xfId="1" applyNumberFormat="1" applyFont="1" applyBorder="1"/>
    <xf numFmtId="2" fontId="2" fillId="0" borderId="10" xfId="1" applyNumberFormat="1" applyBorder="1"/>
    <xf numFmtId="166" fontId="4" fillId="0" borderId="12" xfId="1" applyNumberFormat="1" applyFont="1" applyBorder="1"/>
    <xf numFmtId="166" fontId="2" fillId="0" borderId="9" xfId="1" applyNumberFormat="1" applyBorder="1"/>
    <xf numFmtId="166" fontId="2" fillId="0" borderId="0" xfId="1" applyNumberFormat="1" applyBorder="1"/>
    <xf numFmtId="166" fontId="2" fillId="0" borderId="12" xfId="1" applyNumberFormat="1" applyBorder="1"/>
    <xf numFmtId="2" fontId="2" fillId="0" borderId="13" xfId="1" applyNumberFormat="1" applyBorder="1"/>
    <xf numFmtId="166" fontId="2" fillId="0" borderId="15" xfId="1" applyNumberFormat="1" applyBorder="1"/>
    <xf numFmtId="170" fontId="2" fillId="0" borderId="9" xfId="1" applyNumberFormat="1" applyBorder="1"/>
    <xf numFmtId="166" fontId="2" fillId="0" borderId="19" xfId="1" applyNumberFormat="1" applyBorder="1"/>
    <xf numFmtId="169" fontId="2" fillId="0" borderId="15" xfId="1" applyNumberFormat="1" applyBorder="1"/>
    <xf numFmtId="166" fontId="2" fillId="0" borderId="22" xfId="1" applyNumberFormat="1" applyBorder="1"/>
    <xf numFmtId="166" fontId="2" fillId="0" borderId="9" xfId="1" applyNumberFormat="1" applyBorder="1" applyAlignment="1">
      <alignment horizontal="left"/>
    </xf>
    <xf numFmtId="166" fontId="2" fillId="0" borderId="0" xfId="1" applyNumberFormat="1" applyBorder="1" applyAlignment="1">
      <alignment horizontal="left"/>
    </xf>
    <xf numFmtId="166" fontId="2" fillId="0" borderId="21" xfId="1" applyNumberFormat="1" applyBorder="1" applyAlignment="1">
      <alignment horizontal="left"/>
    </xf>
    <xf numFmtId="166" fontId="4" fillId="0" borderId="26" xfId="1" applyNumberFormat="1" applyFont="1" applyBorder="1"/>
    <xf numFmtId="170" fontId="2" fillId="0" borderId="23" xfId="1" applyNumberFormat="1" applyBorder="1"/>
    <xf numFmtId="166" fontId="2" fillId="0" borderId="26" xfId="1" applyNumberFormat="1" applyBorder="1"/>
    <xf numFmtId="10" fontId="2" fillId="0" borderId="29" xfId="1" applyNumberFormat="1" applyBorder="1"/>
    <xf numFmtId="2" fontId="2" fillId="0" borderId="31" xfId="1" applyNumberFormat="1" applyBorder="1"/>
    <xf numFmtId="170" fontId="2" fillId="0" borderId="23" xfId="1" applyNumberFormat="1" applyBorder="1" applyAlignment="1">
      <alignment horizontal="left"/>
    </xf>
    <xf numFmtId="165" fontId="2" fillId="0" borderId="15" xfId="1" applyNumberFormat="1" applyBorder="1"/>
    <xf numFmtId="2" fontId="2" fillId="0" borderId="17" xfId="1" applyNumberFormat="1" applyBorder="1"/>
    <xf numFmtId="10" fontId="2" fillId="0" borderId="15" xfId="1" applyNumberFormat="1" applyBorder="1"/>
    <xf numFmtId="2" fontId="2" fillId="0" borderId="22" xfId="1" applyNumberFormat="1" applyBorder="1"/>
    <xf numFmtId="170" fontId="2" fillId="0" borderId="9" xfId="1" applyNumberFormat="1" applyBorder="1" applyAlignment="1">
      <alignment horizontal="left"/>
    </xf>
    <xf numFmtId="2" fontId="2" fillId="0" borderId="27" xfId="1" applyNumberFormat="1" applyBorder="1"/>
    <xf numFmtId="165" fontId="2" fillId="0" borderId="31" xfId="1" applyNumberFormat="1" applyBorder="1"/>
    <xf numFmtId="168" fontId="2" fillId="0" borderId="10" xfId="1" applyNumberFormat="1" applyBorder="1"/>
    <xf numFmtId="171" fontId="2" fillId="0" borderId="15" xfId="1" applyNumberFormat="1" applyBorder="1"/>
    <xf numFmtId="168" fontId="2" fillId="0" borderId="24" xfId="1" applyNumberFormat="1" applyBorder="1"/>
    <xf numFmtId="168" fontId="2" fillId="0" borderId="29" xfId="1" applyNumberFormat="1" applyBorder="1"/>
    <xf numFmtId="170" fontId="2" fillId="0" borderId="31" xfId="1" applyNumberFormat="1" applyBorder="1"/>
    <xf numFmtId="166" fontId="2" fillId="0" borderId="10" xfId="1" applyNumberFormat="1" applyBorder="1"/>
    <xf numFmtId="166" fontId="2" fillId="0" borderId="13" xfId="1" applyNumberFormat="1" applyBorder="1"/>
    <xf numFmtId="170" fontId="2" fillId="0" borderId="15" xfId="1" applyNumberFormat="1" applyBorder="1"/>
    <xf numFmtId="166" fontId="2" fillId="0" borderId="17" xfId="1" applyNumberFormat="1" applyBorder="1"/>
    <xf numFmtId="166" fontId="2" fillId="0" borderId="23" xfId="1" applyNumberFormat="1" applyBorder="1"/>
    <xf numFmtId="166" fontId="2" fillId="0" borderId="27" xfId="1" applyNumberFormat="1" applyBorder="1"/>
    <xf numFmtId="166" fontId="2" fillId="0" borderId="29" xfId="1" applyNumberFormat="1" applyBorder="1"/>
    <xf numFmtId="166" fontId="2" fillId="0" borderId="33" xfId="1" applyNumberFormat="1" applyBorder="1"/>
    <xf numFmtId="166" fontId="2" fillId="0" borderId="23" xfId="1" applyNumberFormat="1" applyBorder="1" applyAlignment="1">
      <alignment horizontal="left"/>
    </xf>
    <xf numFmtId="166" fontId="2" fillId="0" borderId="35" xfId="1" applyNumberFormat="1" applyBorder="1"/>
    <xf numFmtId="165" fontId="2" fillId="0" borderId="36" xfId="1" applyNumberFormat="1" applyBorder="1"/>
    <xf numFmtId="166" fontId="2" fillId="0" borderId="1" xfId="1" applyNumberFormat="1" applyBorder="1" applyAlignment="1">
      <alignment horizontal="center"/>
    </xf>
    <xf numFmtId="168" fontId="2" fillId="0" borderId="13" xfId="1" applyNumberFormat="1" applyBorder="1"/>
    <xf numFmtId="168" fontId="2" fillId="0" borderId="27" xfId="1" applyNumberFormat="1" applyBorder="1"/>
    <xf numFmtId="170" fontId="2" fillId="0" borderId="29" xfId="1" applyNumberFormat="1" applyBorder="1"/>
    <xf numFmtId="2" fontId="4" fillId="0" borderId="12" xfId="1" applyNumberFormat="1" applyFont="1" applyBorder="1"/>
    <xf numFmtId="2" fontId="2" fillId="0" borderId="12" xfId="1" applyNumberFormat="1" applyBorder="1"/>
    <xf numFmtId="10" fontId="2" fillId="0" borderId="0" xfId="1" applyNumberFormat="1" applyBorder="1"/>
    <xf numFmtId="2" fontId="4" fillId="0" borderId="26" xfId="1" applyNumberFormat="1" applyFont="1" applyBorder="1"/>
    <xf numFmtId="2" fontId="2" fillId="0" borderId="26" xfId="1" applyNumberFormat="1" applyBorder="1"/>
    <xf numFmtId="10" fontId="2" fillId="0" borderId="0" xfId="1" applyNumberFormat="1" applyAlignment="1">
      <alignment horizontal="center"/>
    </xf>
    <xf numFmtId="168" fontId="2" fillId="0" borderId="9" xfId="1" applyNumberFormat="1" applyBorder="1"/>
    <xf numFmtId="170" fontId="2" fillId="0" borderId="19" xfId="1" applyNumberFormat="1" applyBorder="1"/>
    <xf numFmtId="1" fontId="4" fillId="0" borderId="0" xfId="1" applyNumberFormat="1" applyFont="1" applyBorder="1"/>
    <xf numFmtId="1" fontId="2" fillId="0" borderId="10" xfId="1" applyNumberFormat="1" applyBorder="1"/>
    <xf numFmtId="1" fontId="4" fillId="0" borderId="12" xfId="1" applyNumberFormat="1" applyFont="1" applyBorder="1"/>
    <xf numFmtId="1" fontId="2" fillId="0" borderId="0" xfId="1" applyNumberFormat="1" applyBorder="1"/>
    <xf numFmtId="1" fontId="2" fillId="0" borderId="12" xfId="1" applyNumberFormat="1" applyBorder="1"/>
    <xf numFmtId="1" fontId="2" fillId="0" borderId="0" xfId="1" applyNumberFormat="1" applyBorder="1" applyAlignment="1">
      <alignment horizontal="left"/>
    </xf>
    <xf numFmtId="1" fontId="4" fillId="0" borderId="26" xfId="1" applyNumberFormat="1" applyFont="1" applyBorder="1"/>
    <xf numFmtId="1" fontId="2" fillId="0" borderId="26" xfId="1" applyNumberFormat="1" applyBorder="1"/>
    <xf numFmtId="166" fontId="2" fillId="0" borderId="36" xfId="1" applyNumberFormat="1" applyBorder="1"/>
    <xf numFmtId="166" fontId="0" fillId="0" borderId="0" xfId="0" applyNumberFormat="1" applyAlignment="1">
      <alignment horizontal="center"/>
    </xf>
    <xf numFmtId="2" fontId="0" fillId="0" borderId="0" xfId="0" applyNumberFormat="1"/>
    <xf numFmtId="167" fontId="0" fillId="0" borderId="0" xfId="0" applyNumberFormat="1"/>
    <xf numFmtId="165" fontId="0" fillId="0" borderId="0" xfId="0" applyNumberFormat="1"/>
    <xf numFmtId="166" fontId="0" fillId="0" borderId="1" xfId="0" applyNumberFormat="1" applyBorder="1" applyAlignment="1">
      <alignment horizontal="center"/>
    </xf>
    <xf numFmtId="166" fontId="0" fillId="0" borderId="1" xfId="0" applyNumberFormat="1" applyBorder="1"/>
    <xf numFmtId="0" fontId="0" fillId="0" borderId="1" xfId="0" applyBorder="1"/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38" xfId="0" applyBorder="1"/>
    <xf numFmtId="0" fontId="7" fillId="0" borderId="38" xfId="0" applyFont="1" applyBorder="1"/>
    <xf numFmtId="9" fontId="0" fillId="0" borderId="38" xfId="0" applyNumberFormat="1" applyBorder="1"/>
    <xf numFmtId="169" fontId="0" fillId="0" borderId="38" xfId="0" applyNumberFormat="1" applyBorder="1"/>
    <xf numFmtId="0" fontId="0" fillId="0" borderId="39" xfId="0" applyBorder="1"/>
    <xf numFmtId="0" fontId="7" fillId="0" borderId="39" xfId="0" applyFont="1" applyBorder="1"/>
    <xf numFmtId="167" fontId="0" fillId="0" borderId="39" xfId="0" applyNumberFormat="1" applyBorder="1"/>
    <xf numFmtId="168" fontId="0" fillId="0" borderId="39" xfId="0" applyNumberFormat="1" applyBorder="1"/>
    <xf numFmtId="2" fontId="0" fillId="0" borderId="39" xfId="0" applyNumberFormat="1" applyBorder="1"/>
    <xf numFmtId="165" fontId="0" fillId="0" borderId="39" xfId="0" applyNumberFormat="1" applyBorder="1"/>
    <xf numFmtId="10" fontId="0" fillId="0" borderId="38" xfId="0" applyNumberFormat="1" applyBorder="1"/>
    <xf numFmtId="0" fontId="0" fillId="0" borderId="0" xfId="0" applyBorder="1"/>
    <xf numFmtId="0" fontId="7" fillId="0" borderId="0" xfId="0" applyFont="1" applyBorder="1"/>
    <xf numFmtId="166" fontId="0" fillId="0" borderId="0" xfId="0" applyNumberFormat="1" applyBorder="1"/>
    <xf numFmtId="1" fontId="0" fillId="0" borderId="0" xfId="0" applyNumberFormat="1" applyBorder="1"/>
    <xf numFmtId="2" fontId="0" fillId="0" borderId="0" xfId="0" applyNumberFormat="1" applyBorder="1"/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37" xfId="0" applyFont="1" applyBorder="1" applyAlignment="1">
      <alignment horizontal="center"/>
    </xf>
    <xf numFmtId="1" fontId="0" fillId="0" borderId="41" xfId="0" applyNumberFormat="1" applyBorder="1" applyAlignment="1">
      <alignment horizontal="center"/>
    </xf>
    <xf numFmtId="166" fontId="0" fillId="0" borderId="41" xfId="0" applyNumberFormat="1" applyBorder="1" applyAlignment="1">
      <alignment horizontal="center"/>
    </xf>
    <xf numFmtId="1" fontId="0" fillId="0" borderId="42" xfId="0" applyNumberForma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1" fontId="0" fillId="0" borderId="43" xfId="0" applyNumberFormat="1" applyBorder="1" applyAlignment="1">
      <alignment horizontal="center"/>
    </xf>
    <xf numFmtId="166" fontId="0" fillId="0" borderId="44" xfId="0" applyNumberFormat="1" applyBorder="1" applyAlignment="1">
      <alignment horizontal="center"/>
    </xf>
    <xf numFmtId="167" fontId="0" fillId="0" borderId="43" xfId="0" applyNumberFormat="1" applyBorder="1" applyAlignment="1">
      <alignment horizontal="center"/>
    </xf>
    <xf numFmtId="2" fontId="0" fillId="0" borderId="43" xfId="0" applyNumberFormat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2" fillId="2" borderId="0" xfId="1" applyFill="1"/>
    <xf numFmtId="0" fontId="2" fillId="0" borderId="0" xfId="1" applyFill="1"/>
    <xf numFmtId="0" fontId="3" fillId="0" borderId="0" xfId="1" applyFont="1"/>
    <xf numFmtId="0" fontId="0" fillId="0" borderId="0" xfId="0" applyAlignment="1">
      <alignment horizontal="center"/>
    </xf>
    <xf numFmtId="1" fontId="0" fillId="0" borderId="37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40" xfId="0" applyNumberFormat="1" applyBorder="1" applyAlignment="1">
      <alignment horizontal="center"/>
    </xf>
    <xf numFmtId="1" fontId="0" fillId="0" borderId="41" xfId="0" applyNumberForma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4" fillId="0" borderId="0" xfId="2" applyFont="1"/>
    <xf numFmtId="0" fontId="4" fillId="0" borderId="0" xfId="2" applyFont="1" applyAlignment="1">
      <alignment horizontal="right"/>
    </xf>
    <xf numFmtId="0" fontId="1" fillId="0" borderId="0" xfId="2"/>
    <xf numFmtId="0" fontId="4" fillId="0" borderId="11" xfId="2" applyFont="1" applyBorder="1" applyAlignment="1">
      <alignment horizontal="right"/>
    </xf>
    <xf numFmtId="167" fontId="1" fillId="0" borderId="12" xfId="2" applyNumberFormat="1" applyBorder="1"/>
    <xf numFmtId="2" fontId="4" fillId="0" borderId="12" xfId="2" applyNumberFormat="1" applyFont="1" applyBorder="1"/>
    <xf numFmtId="0" fontId="1" fillId="0" borderId="12" xfId="2" applyBorder="1"/>
    <xf numFmtId="2" fontId="1" fillId="0" borderId="12" xfId="2" applyNumberFormat="1" applyBorder="1"/>
    <xf numFmtId="167" fontId="1" fillId="0" borderId="13" xfId="2" applyNumberFormat="1" applyBorder="1"/>
    <xf numFmtId="2" fontId="1" fillId="0" borderId="0" xfId="2" applyNumberFormat="1"/>
    <xf numFmtId="167" fontId="1" fillId="0" borderId="0" xfId="2" applyNumberFormat="1"/>
    <xf numFmtId="0" fontId="4" fillId="0" borderId="14" xfId="2" applyFont="1" applyBorder="1" applyAlignment="1">
      <alignment horizontal="right"/>
    </xf>
    <xf numFmtId="165" fontId="1" fillId="0" borderId="0" xfId="2" applyNumberFormat="1" applyBorder="1"/>
    <xf numFmtId="167" fontId="4" fillId="0" borderId="0" xfId="2" applyNumberFormat="1" applyFont="1" applyBorder="1"/>
    <xf numFmtId="0" fontId="1" fillId="0" borderId="0" xfId="2" applyBorder="1"/>
    <xf numFmtId="167" fontId="1" fillId="0" borderId="0" xfId="2" applyNumberFormat="1" applyBorder="1"/>
    <xf numFmtId="170" fontId="1" fillId="0" borderId="15" xfId="2" applyNumberFormat="1" applyBorder="1"/>
    <xf numFmtId="2" fontId="4" fillId="0" borderId="0" xfId="2" applyNumberFormat="1" applyFont="1" applyBorder="1"/>
    <xf numFmtId="2" fontId="1" fillId="0" borderId="0" xfId="2" applyNumberFormat="1" applyBorder="1"/>
    <xf numFmtId="167" fontId="1" fillId="0" borderId="15" xfId="2" applyNumberFormat="1" applyBorder="1"/>
    <xf numFmtId="0" fontId="1" fillId="0" borderId="15" xfId="2" applyBorder="1"/>
    <xf numFmtId="0" fontId="4" fillId="0" borderId="16" xfId="2" applyFont="1" applyBorder="1" applyAlignment="1">
      <alignment horizontal="right"/>
    </xf>
    <xf numFmtId="0" fontId="1" fillId="0" borderId="10" xfId="2" applyBorder="1"/>
    <xf numFmtId="11" fontId="1" fillId="0" borderId="10" xfId="2" applyNumberFormat="1" applyBorder="1"/>
    <xf numFmtId="11" fontId="1" fillId="0" borderId="17" xfId="2" applyNumberFormat="1" applyBorder="1"/>
    <xf numFmtId="0" fontId="4" fillId="0" borderId="18" xfId="2" applyFont="1" applyBorder="1" applyAlignment="1">
      <alignment horizontal="right"/>
    </xf>
    <xf numFmtId="0" fontId="1" fillId="0" borderId="9" xfId="2" applyBorder="1"/>
    <xf numFmtId="11" fontId="1" fillId="0" borderId="9" xfId="2" applyNumberFormat="1" applyBorder="1" applyAlignment="1">
      <alignment horizontal="left"/>
    </xf>
    <xf numFmtId="11" fontId="1" fillId="0" borderId="9" xfId="2" applyNumberFormat="1" applyBorder="1"/>
    <xf numFmtId="11" fontId="1" fillId="0" borderId="19" xfId="2" applyNumberFormat="1" applyBorder="1"/>
    <xf numFmtId="2" fontId="1" fillId="0" borderId="0" xfId="2" applyNumberFormat="1" applyBorder="1" applyAlignment="1">
      <alignment horizontal="left"/>
    </xf>
    <xf numFmtId="169" fontId="1" fillId="0" borderId="0" xfId="2" applyNumberFormat="1" applyBorder="1" applyAlignment="1">
      <alignment horizontal="left"/>
    </xf>
    <xf numFmtId="169" fontId="1" fillId="0" borderId="0" xfId="2" applyNumberFormat="1" applyBorder="1"/>
    <xf numFmtId="10" fontId="1" fillId="0" borderId="15" xfId="2" applyNumberFormat="1" applyBorder="1"/>
    <xf numFmtId="0" fontId="4" fillId="0" borderId="20" xfId="2" applyFont="1" applyBorder="1" applyAlignment="1">
      <alignment horizontal="right"/>
    </xf>
    <xf numFmtId="0" fontId="1" fillId="0" borderId="21" xfId="2" applyBorder="1"/>
    <xf numFmtId="2" fontId="1" fillId="0" borderId="21" xfId="2" applyNumberFormat="1" applyBorder="1" applyAlignment="1">
      <alignment horizontal="left"/>
    </xf>
    <xf numFmtId="2" fontId="1" fillId="0" borderId="21" xfId="2" applyNumberFormat="1" applyBorder="1"/>
    <xf numFmtId="167" fontId="1" fillId="0" borderId="22" xfId="2" applyNumberFormat="1" applyBorder="1"/>
    <xf numFmtId="0" fontId="1" fillId="0" borderId="0" xfId="2" applyAlignment="1">
      <alignment horizontal="right"/>
    </xf>
    <xf numFmtId="0" fontId="4" fillId="0" borderId="25" xfId="2" applyFont="1" applyBorder="1" applyAlignment="1">
      <alignment horizontal="right"/>
    </xf>
    <xf numFmtId="165" fontId="1" fillId="0" borderId="26" xfId="2" applyNumberFormat="1" applyBorder="1"/>
    <xf numFmtId="2" fontId="4" fillId="0" borderId="26" xfId="2" applyNumberFormat="1" applyFont="1" applyBorder="1"/>
    <xf numFmtId="0" fontId="1" fillId="0" borderId="26" xfId="2" applyBorder="1"/>
    <xf numFmtId="2" fontId="1" fillId="0" borderId="26" xfId="2" applyNumberFormat="1" applyBorder="1"/>
    <xf numFmtId="165" fontId="1" fillId="0" borderId="27" xfId="2" applyNumberFormat="1" applyBorder="1"/>
    <xf numFmtId="0" fontId="4" fillId="0" borderId="28" xfId="2" applyFont="1" applyBorder="1" applyAlignment="1">
      <alignment horizontal="right"/>
    </xf>
    <xf numFmtId="168" fontId="1" fillId="0" borderId="29" xfId="2" applyNumberFormat="1" applyBorder="1"/>
    <xf numFmtId="165" fontId="1" fillId="0" borderId="29" xfId="2" applyNumberFormat="1" applyBorder="1"/>
    <xf numFmtId="0" fontId="1" fillId="0" borderId="29" xfId="2" applyBorder="1"/>
    <xf numFmtId="0" fontId="4" fillId="0" borderId="30" xfId="2" applyFont="1" applyBorder="1" applyAlignment="1">
      <alignment horizontal="right"/>
    </xf>
    <xf numFmtId="0" fontId="1" fillId="0" borderId="24" xfId="2" applyBorder="1"/>
    <xf numFmtId="11" fontId="1" fillId="0" borderId="24" xfId="2" applyNumberFormat="1" applyBorder="1"/>
    <xf numFmtId="11" fontId="1" fillId="0" borderId="31" xfId="2" applyNumberFormat="1" applyBorder="1"/>
    <xf numFmtId="0" fontId="4" fillId="0" borderId="3" xfId="2" applyFont="1" applyBorder="1"/>
    <xf numFmtId="2" fontId="1" fillId="0" borderId="4" xfId="2" applyNumberFormat="1" applyBorder="1"/>
    <xf numFmtId="0" fontId="4" fillId="0" borderId="32" xfId="2" applyFont="1" applyBorder="1" applyAlignment="1">
      <alignment horizontal="right"/>
    </xf>
    <xf numFmtId="0" fontId="1" fillId="0" borderId="23" xfId="2" applyBorder="1"/>
    <xf numFmtId="11" fontId="1" fillId="0" borderId="23" xfId="2" applyNumberFormat="1" applyBorder="1" applyAlignment="1">
      <alignment horizontal="left"/>
    </xf>
    <xf numFmtId="11" fontId="1" fillId="0" borderId="23" xfId="2" applyNumberFormat="1" applyBorder="1"/>
    <xf numFmtId="11" fontId="1" fillId="0" borderId="33" xfId="2" applyNumberFormat="1" applyBorder="1"/>
    <xf numFmtId="0" fontId="4" fillId="0" borderId="2" xfId="2" applyFont="1" applyBorder="1"/>
    <xf numFmtId="0" fontId="4" fillId="0" borderId="2" xfId="2" applyFont="1" applyBorder="1" applyAlignment="1">
      <alignment horizontal="center"/>
    </xf>
    <xf numFmtId="0" fontId="4" fillId="0" borderId="2" xfId="2" applyFont="1" applyBorder="1" applyAlignment="1">
      <alignment horizontal="center" wrapText="1"/>
    </xf>
    <xf numFmtId="0" fontId="4" fillId="0" borderId="5" xfId="2" applyFont="1" applyBorder="1"/>
    <xf numFmtId="165" fontId="1" fillId="0" borderId="6" xfId="2" applyNumberFormat="1" applyBorder="1"/>
    <xf numFmtId="0" fontId="1" fillId="0" borderId="0" xfId="2" applyAlignment="1">
      <alignment horizontal="center"/>
    </xf>
    <xf numFmtId="2" fontId="1" fillId="0" borderId="0" xfId="2" applyNumberFormat="1" applyAlignment="1">
      <alignment horizontal="center"/>
    </xf>
    <xf numFmtId="169" fontId="1" fillId="0" borderId="0" xfId="2" applyNumberFormat="1" applyAlignment="1">
      <alignment horizontal="center"/>
    </xf>
    <xf numFmtId="2" fontId="1" fillId="0" borderId="6" xfId="2" applyNumberFormat="1" applyBorder="1"/>
    <xf numFmtId="171" fontId="1" fillId="0" borderId="29" xfId="2" applyNumberFormat="1" applyBorder="1"/>
    <xf numFmtId="0" fontId="1" fillId="0" borderId="0" xfId="2" applyAlignment="1">
      <alignment vertical="center" wrapText="1"/>
    </xf>
    <xf numFmtId="166" fontId="1" fillId="0" borderId="0" xfId="2" applyNumberFormat="1" applyAlignment="1">
      <alignment horizontal="center" vertical="center"/>
    </xf>
    <xf numFmtId="0" fontId="4" fillId="0" borderId="7" xfId="2" applyFont="1" applyBorder="1"/>
    <xf numFmtId="166" fontId="1" fillId="0" borderId="8" xfId="2" applyNumberFormat="1" applyBorder="1"/>
    <xf numFmtId="2" fontId="1" fillId="0" borderId="24" xfId="2" applyNumberFormat="1" applyBorder="1" applyAlignment="1">
      <alignment horizontal="left"/>
    </xf>
    <xf numFmtId="2" fontId="1" fillId="0" borderId="24" xfId="2" applyNumberFormat="1" applyBorder="1"/>
    <xf numFmtId="167" fontId="1" fillId="0" borderId="31" xfId="2" applyNumberFormat="1" applyBorder="1"/>
    <xf numFmtId="0" fontId="1" fillId="0" borderId="1" xfId="2" applyBorder="1" applyAlignment="1">
      <alignment vertical="center"/>
    </xf>
    <xf numFmtId="0" fontId="1" fillId="0" borderId="1" xfId="2" applyBorder="1" applyAlignment="1">
      <alignment horizontal="center" vertical="center"/>
    </xf>
    <xf numFmtId="0" fontId="1" fillId="0" borderId="1" xfId="2" applyBorder="1" applyAlignment="1">
      <alignment horizontal="center"/>
    </xf>
    <xf numFmtId="165" fontId="1" fillId="0" borderId="1" xfId="2" applyNumberFormat="1" applyBorder="1" applyAlignment="1">
      <alignment horizontal="center"/>
    </xf>
    <xf numFmtId="0" fontId="4" fillId="0" borderId="34" xfId="2" applyFont="1" applyBorder="1"/>
    <xf numFmtId="0" fontId="1" fillId="0" borderId="35" xfId="2" applyBorder="1"/>
    <xf numFmtId="165" fontId="1" fillId="0" borderId="35" xfId="2" applyNumberFormat="1" applyBorder="1"/>
    <xf numFmtId="167" fontId="1" fillId="0" borderId="36" xfId="2" applyNumberFormat="1" applyBorder="1"/>
    <xf numFmtId="0" fontId="1" fillId="0" borderId="0" xfId="2" applyAlignment="1">
      <alignment vertical="center"/>
    </xf>
    <xf numFmtId="0" fontId="1" fillId="0" borderId="0" xfId="2" applyAlignment="1">
      <alignment horizontal="center" vertical="center"/>
    </xf>
    <xf numFmtId="165" fontId="1" fillId="0" borderId="13" xfId="2" applyNumberFormat="1" applyBorder="1"/>
    <xf numFmtId="165" fontId="1" fillId="0" borderId="0" xfId="2" applyNumberFormat="1"/>
    <xf numFmtId="170" fontId="4" fillId="0" borderId="0" xfId="2" applyNumberFormat="1" applyFont="1" applyBorder="1"/>
    <xf numFmtId="168" fontId="4" fillId="0" borderId="0" xfId="2" applyNumberFormat="1" applyFont="1" applyBorder="1"/>
    <xf numFmtId="168" fontId="1" fillId="0" borderId="0" xfId="2" applyNumberFormat="1" applyBorder="1"/>
    <xf numFmtId="165" fontId="1" fillId="0" borderId="21" xfId="2" applyNumberFormat="1" applyBorder="1" applyAlignment="1">
      <alignment horizontal="left"/>
    </xf>
    <xf numFmtId="165" fontId="1" fillId="0" borderId="21" xfId="2" applyNumberFormat="1" applyBorder="1"/>
    <xf numFmtId="165" fontId="1" fillId="0" borderId="22" xfId="2" applyNumberFormat="1" applyBorder="1"/>
    <xf numFmtId="165" fontId="4" fillId="0" borderId="0" xfId="2" applyNumberFormat="1" applyFont="1" applyBorder="1"/>
    <xf numFmtId="167" fontId="1" fillId="0" borderId="29" xfId="2" applyNumberFormat="1" applyBorder="1"/>
    <xf numFmtId="166" fontId="1" fillId="0" borderId="29" xfId="2" applyNumberFormat="1" applyBorder="1"/>
    <xf numFmtId="165" fontId="1" fillId="0" borderId="0" xfId="2" applyNumberFormat="1" applyAlignment="1">
      <alignment horizontal="center"/>
    </xf>
    <xf numFmtId="10" fontId="1" fillId="0" borderId="29" xfId="2" applyNumberFormat="1" applyBorder="1"/>
    <xf numFmtId="165" fontId="1" fillId="0" borderId="31" xfId="2" applyNumberFormat="1" applyBorder="1"/>
    <xf numFmtId="166" fontId="1" fillId="0" borderId="1" xfId="2" applyNumberFormat="1" applyBorder="1" applyAlignment="1">
      <alignment horizontal="center"/>
    </xf>
    <xf numFmtId="166" fontId="1" fillId="0" borderId="35" xfId="2" applyNumberFormat="1" applyBorder="1"/>
    <xf numFmtId="166" fontId="1" fillId="0" borderId="36" xfId="2" applyNumberFormat="1" applyBorder="1"/>
    <xf numFmtId="166" fontId="1" fillId="0" borderId="0" xfId="2" applyNumberFormat="1"/>
    <xf numFmtId="166" fontId="1" fillId="0" borderId="21" xfId="2" applyNumberFormat="1" applyBorder="1" applyAlignment="1">
      <alignment horizontal="left"/>
    </xf>
    <xf numFmtId="166" fontId="1" fillId="0" borderId="21" xfId="2" applyNumberFormat="1" applyBorder="1"/>
    <xf numFmtId="2" fontId="1" fillId="0" borderId="22" xfId="2" applyNumberFormat="1" applyBorder="1"/>
    <xf numFmtId="166" fontId="1" fillId="0" borderId="0" xfId="2" applyNumberFormat="1" applyAlignment="1">
      <alignment horizontal="center"/>
    </xf>
    <xf numFmtId="166" fontId="1" fillId="0" borderId="24" xfId="2" applyNumberFormat="1" applyBorder="1" applyAlignment="1">
      <alignment horizontal="left"/>
    </xf>
    <xf numFmtId="166" fontId="1" fillId="0" borderId="24" xfId="2" applyNumberFormat="1" applyBorder="1"/>
    <xf numFmtId="2" fontId="1" fillId="0" borderId="31" xfId="2" applyNumberFormat="1" applyBorder="1"/>
    <xf numFmtId="165" fontId="0" fillId="0" borderId="1" xfId="0" applyNumberFormat="1" applyBorder="1" applyAlignment="1">
      <alignment horizontal="center"/>
    </xf>
    <xf numFmtId="165" fontId="0" fillId="0" borderId="0" xfId="0" applyNumberFormat="1" applyBorder="1"/>
    <xf numFmtId="166" fontId="0" fillId="0" borderId="39" xfId="0" applyNumberFormat="1" applyBorder="1"/>
    <xf numFmtId="165" fontId="0" fillId="0" borderId="1" xfId="0" applyNumberFormat="1" applyBorder="1"/>
    <xf numFmtId="2" fontId="0" fillId="0" borderId="40" xfId="0" applyNumberFormat="1" applyBorder="1" applyAlignment="1">
      <alignment horizontal="center"/>
    </xf>
    <xf numFmtId="2" fontId="0" fillId="0" borderId="45" xfId="0" applyNumberFormat="1" applyBorder="1" applyAlignment="1">
      <alignment horizontal="center"/>
    </xf>
    <xf numFmtId="165" fontId="0" fillId="0" borderId="45" xfId="0" applyNumberFormat="1" applyBorder="1" applyAlignment="1">
      <alignment horizontal="center"/>
    </xf>
    <xf numFmtId="0" fontId="0" fillId="0" borderId="45" xfId="0" applyBorder="1"/>
    <xf numFmtId="165" fontId="0" fillId="0" borderId="41" xfId="0" applyNumberFormat="1" applyBorder="1" applyAlignment="1">
      <alignment horizontal="center"/>
    </xf>
    <xf numFmtId="166" fontId="0" fillId="0" borderId="0" xfId="0" applyNumberFormat="1"/>
    <xf numFmtId="166" fontId="0" fillId="0" borderId="42" xfId="0" applyNumberFormat="1" applyBorder="1" applyAlignment="1">
      <alignment horizontal="center"/>
    </xf>
    <xf numFmtId="165" fontId="0" fillId="0" borderId="44" xfId="0" applyNumberFormat="1" applyBorder="1" applyAlignment="1">
      <alignment horizontal="center"/>
    </xf>
    <xf numFmtId="167" fontId="0" fillId="0" borderId="1" xfId="0" applyNumberFormat="1" applyBorder="1"/>
    <xf numFmtId="0" fontId="0" fillId="0" borderId="0" xfId="0" applyBorder="1" applyAlignment="1">
      <alignment wrapText="1"/>
    </xf>
    <xf numFmtId="0" fontId="7" fillId="0" borderId="47" xfId="0" applyFont="1" applyBorder="1" applyAlignment="1">
      <alignment horizontal="center"/>
    </xf>
    <xf numFmtId="166" fontId="0" fillId="0" borderId="47" xfId="0" applyNumberForma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1" fontId="0" fillId="0" borderId="47" xfId="0" applyNumberFormat="1" applyBorder="1" applyAlignment="1">
      <alignment horizontal="center"/>
    </xf>
    <xf numFmtId="0" fontId="0" fillId="0" borderId="47" xfId="0" applyBorder="1"/>
    <xf numFmtId="0" fontId="0" fillId="0" borderId="0" xfId="0" applyBorder="1" applyAlignment="1">
      <alignment horizontal="center" wrapText="1"/>
    </xf>
    <xf numFmtId="0" fontId="0" fillId="0" borderId="46" xfId="0" applyBorder="1" applyAlignment="1">
      <alignment horizontal="center" wrapText="1"/>
    </xf>
    <xf numFmtId="0" fontId="0" fillId="0" borderId="0" xfId="0" applyAlignment="1">
      <alignment horizontal="center"/>
    </xf>
    <xf numFmtId="1" fontId="0" fillId="0" borderId="37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37" xfId="0" applyBorder="1" applyAlignment="1">
      <alignment horizontal="center" wrapText="1"/>
    </xf>
    <xf numFmtId="0" fontId="0" fillId="0" borderId="0" xfId="0" applyBorder="1" applyAlignment="1">
      <alignment horizontal="left" wrapText="1"/>
    </xf>
    <xf numFmtId="0" fontId="0" fillId="0" borderId="46" xfId="0" applyBorder="1" applyAlignment="1">
      <alignment wrapText="1"/>
    </xf>
  </cellXfs>
  <cellStyles count="3">
    <cellStyle name="Normal" xfId="0" builtinId="0" customBuiltin="1"/>
    <cellStyle name="Normal 2" xfId="1"/>
    <cellStyle name="Normal 2 2" xfId="2"/>
  </cellStyles>
  <dxfs count="224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Permeability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 → B</c:v>
          </c:tx>
          <c:invertIfNegative val="0"/>
          <c:errBars>
            <c:errBarType val="both"/>
            <c:errValType val="cust"/>
            <c:noEndCap val="0"/>
            <c:plus>
              <c:numRef>
                <c:f>'Control Summary'!$C$33:$C$35</c:f>
                <c:numCache>
                  <c:formatCode>General</c:formatCode>
                  <c:ptCount val="3"/>
                  <c:pt idx="0">
                    <c:v>3.522591944721E-2</c:v>
                  </c:pt>
                  <c:pt idx="1">
                    <c:v>0.14310648575843257</c:v>
                  </c:pt>
                  <c:pt idx="2">
                    <c:v>2.1570855665706796</c:v>
                  </c:pt>
                </c:numCache>
              </c:numRef>
            </c:plus>
            <c:minus>
              <c:numRef>
                <c:f>'Control Summary'!$C$33:$C$35</c:f>
                <c:numCache>
                  <c:formatCode>General</c:formatCode>
                  <c:ptCount val="3"/>
                  <c:pt idx="0">
                    <c:v>3.522591944721E-2</c:v>
                  </c:pt>
                  <c:pt idx="1">
                    <c:v>0.14310648575843257</c:v>
                  </c:pt>
                  <c:pt idx="2">
                    <c:v>2.1570855665706796</c:v>
                  </c:pt>
                </c:numCache>
              </c:numRef>
            </c:minus>
          </c:errBars>
          <c:val>
            <c:numRef>
              <c:f>'Control Summary'!$B$33:$B$35</c:f>
              <c:numCache>
                <c:formatCode>0.000</c:formatCode>
                <c:ptCount val="3"/>
                <c:pt idx="0" formatCode="0.00">
                  <c:v>1.1795079474672412</c:v>
                </c:pt>
                <c:pt idx="1">
                  <c:v>0.22039385257422295</c:v>
                </c:pt>
                <c:pt idx="2" formatCode="0.0">
                  <c:v>34.824974402095322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E-4C19-BA2A-56C7A208A5CA}"/>
            </c:ext>
          </c:extLst>
        </c:ser>
        <c:ser>
          <c:idx val="1"/>
          <c:order val="1"/>
          <c:tx>
            <c:v>B → A</c:v>
          </c:tx>
          <c:invertIfNegative val="0"/>
          <c:errBars>
            <c:errBarType val="both"/>
            <c:errValType val="cust"/>
            <c:noEndCap val="0"/>
            <c:plus>
              <c:numRef>
                <c:f>'Control Summary'!$E$33:$E$35</c:f>
                <c:numCache>
                  <c:formatCode>General</c:formatCode>
                  <c:ptCount val="3"/>
                  <c:pt idx="0">
                    <c:v>5.7537497466901122E-2</c:v>
                  </c:pt>
                  <c:pt idx="1">
                    <c:v>0.60877680332713657</c:v>
                  </c:pt>
                  <c:pt idx="2">
                    <c:v>2.2488673013326772</c:v>
                  </c:pt>
                </c:numCache>
              </c:numRef>
            </c:plus>
            <c:minus>
              <c:numRef>
                <c:f>'Control Summary'!$E$33:$E$35</c:f>
                <c:numCache>
                  <c:formatCode>General</c:formatCode>
                  <c:ptCount val="3"/>
                  <c:pt idx="0">
                    <c:v>5.7537497466901122E-2</c:v>
                  </c:pt>
                  <c:pt idx="1">
                    <c:v>0.60877680332713657</c:v>
                  </c:pt>
                  <c:pt idx="2">
                    <c:v>2.2488673013326772</c:v>
                  </c:pt>
                </c:numCache>
              </c:numRef>
            </c:minus>
          </c:errBars>
          <c:cat>
            <c:strRef>
              <c:f>'Control Summary'!$A$33:$A$35</c:f>
              <c:strCache>
                <c:ptCount val="3"/>
                <c:pt idx="0">
                  <c:v>Ranitidine</c:v>
                </c:pt>
                <c:pt idx="1">
                  <c:v>Talinolol</c:v>
                </c:pt>
                <c:pt idx="2">
                  <c:v>Warfarin</c:v>
                </c:pt>
              </c:strCache>
            </c:strRef>
          </c:cat>
          <c:val>
            <c:numRef>
              <c:f>'Control Summary'!$D$33:$D$35</c:f>
              <c:numCache>
                <c:formatCode>0.00</c:formatCode>
                <c:ptCount val="3"/>
                <c:pt idx="0">
                  <c:v>1.1433363120159894</c:v>
                </c:pt>
                <c:pt idx="1">
                  <c:v>4.2490821133365069</c:v>
                </c:pt>
                <c:pt idx="2" formatCode="0.0">
                  <c:v>19.214973732768481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E-4C19-BA2A-56C7A208A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2204904"/>
        <c:axId val="672207856"/>
      </c:barChart>
      <c:catAx>
        <c:axId val="672204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Compound</a:t>
                </a:r>
              </a:p>
            </c:rich>
          </c:tx>
          <c:overlay val="0"/>
        </c:title>
        <c:majorTickMark val="out"/>
        <c:minorTickMark val="none"/>
        <c:tickLblPos val="nextTo"/>
        <c:crossAx val="672207856"/>
        <c:crosses val="autoZero"/>
        <c:auto val="1"/>
        <c:lblAlgn val="ctr"/>
        <c:lblOffset val="100"/>
        <c:noMultiLvlLbl val="0"/>
      </c:catAx>
      <c:valAx>
        <c:axId val="672207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Papp (10-6 cm/s)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672204904"/>
        <c:crosses val="autoZero"/>
        <c:crossBetween val="between"/>
      </c:valAx>
      <c:spPr>
        <a:solidFill>
          <a:srgbClr val="FFC000">
            <a:lumMod val="20000"/>
            <a:lumOff val="80000"/>
          </a:srgbClr>
        </a:solidFill>
      </c:spPr>
    </c:plotArea>
    <c:legend>
      <c:legendPos val="t"/>
      <c:overlay val="0"/>
      <c:spPr>
        <a:solidFill>
          <a:srgbClr val="FFF2CC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Permeability of Ranitidine</a:t>
            </a:r>
          </a:p>
          <a:p>
            <a:pPr>
              <a:defRPr/>
            </a:pPr>
            <a:r>
              <a:rPr lang="en-US"/>
              <a:t>Efflux Ratio = 0.969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errBars>
            <c:errBarType val="both"/>
            <c:errValType val="cust"/>
            <c:noEndCap val="0"/>
            <c:plus>
              <c:numRef>
                <c:f>'Control Data'!$R$2:$R$3</c:f>
                <c:numCache>
                  <c:formatCode>General</c:formatCode>
                  <c:ptCount val="2"/>
                  <c:pt idx="0">
                    <c:v>3.522591944721E-2</c:v>
                  </c:pt>
                  <c:pt idx="1">
                    <c:v>5.7537497466901122E-2</c:v>
                  </c:pt>
                </c:numCache>
              </c:numRef>
            </c:plus>
            <c:minus>
              <c:numRef>
                <c:f>'Control Data'!$R$2:$R$3</c:f>
                <c:numCache>
                  <c:formatCode>General</c:formatCode>
                  <c:ptCount val="2"/>
                  <c:pt idx="0">
                    <c:v>3.522591944721E-2</c:v>
                  </c:pt>
                  <c:pt idx="1">
                    <c:v>5.7537497466901122E-2</c:v>
                  </c:pt>
                </c:numCache>
              </c:numRef>
            </c:minus>
          </c:errBars>
          <c:cat>
            <c:strRef>
              <c:f>'Control Data'!$P$2:$P$3</c:f>
              <c:strCache>
                <c:ptCount val="2"/>
                <c:pt idx="0">
                  <c:v>A → B</c:v>
                </c:pt>
                <c:pt idx="1">
                  <c:v>B → A</c:v>
                </c:pt>
              </c:strCache>
            </c:strRef>
          </c:cat>
          <c:val>
            <c:numRef>
              <c:f>'Control Data'!$Q$2:$Q$3</c:f>
              <c:numCache>
                <c:formatCode>0.00</c:formatCode>
                <c:ptCount val="2"/>
                <c:pt idx="0">
                  <c:v>1.1795079474672412</c:v>
                </c:pt>
                <c:pt idx="1">
                  <c:v>1.1433363120159894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35-4355-8AFB-A9C2361D2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5044680"/>
        <c:axId val="671168520"/>
      </c:barChart>
      <c:catAx>
        <c:axId val="675044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Direction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71168520"/>
        <c:crosses val="autoZero"/>
        <c:auto val="1"/>
        <c:lblAlgn val="ctr"/>
        <c:lblOffset val="100"/>
        <c:noMultiLvlLbl val="0"/>
      </c:catAx>
      <c:valAx>
        <c:axId val="6711685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Papp (10-6 cm/s)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675044680"/>
        <c:crosses val="autoZero"/>
        <c:crossBetween val="between"/>
      </c:valAx>
      <c:spPr>
        <a:solidFill>
          <a:srgbClr val="FFC000">
            <a:lumMod val="20000"/>
            <a:lumOff val="80000"/>
          </a:srgbClr>
        </a:solidFill>
      </c:spPr>
    </c:plotArea>
    <c:plotVisOnly val="0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Permeability of Talinolol</a:t>
            </a:r>
          </a:p>
          <a:p>
            <a:pPr>
              <a:defRPr/>
            </a:pPr>
            <a:r>
              <a:rPr lang="en-US"/>
              <a:t>Efflux Ratio = 23.3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errBars>
            <c:errBarType val="both"/>
            <c:errValType val="cust"/>
            <c:noEndCap val="0"/>
            <c:plus>
              <c:numRef>
                <c:f>'Control Data'!$R$28:$R$29</c:f>
                <c:numCache>
                  <c:formatCode>General</c:formatCode>
                  <c:ptCount val="2"/>
                  <c:pt idx="0">
                    <c:v>0.14310648575843257</c:v>
                  </c:pt>
                  <c:pt idx="1">
                    <c:v>0.60877680332713657</c:v>
                  </c:pt>
                </c:numCache>
              </c:numRef>
            </c:plus>
            <c:minus>
              <c:numRef>
                <c:f>'Control Data'!$R$28:$R$29</c:f>
                <c:numCache>
                  <c:formatCode>General</c:formatCode>
                  <c:ptCount val="2"/>
                  <c:pt idx="0">
                    <c:v>0.14310648575843257</c:v>
                  </c:pt>
                  <c:pt idx="1">
                    <c:v>0.60877680332713657</c:v>
                  </c:pt>
                </c:numCache>
              </c:numRef>
            </c:minus>
          </c:errBars>
          <c:cat>
            <c:strRef>
              <c:f>'Control Data'!$P$28:$P$29</c:f>
              <c:strCache>
                <c:ptCount val="2"/>
                <c:pt idx="0">
                  <c:v>A → B</c:v>
                </c:pt>
                <c:pt idx="1">
                  <c:v>B → A</c:v>
                </c:pt>
              </c:strCache>
            </c:strRef>
          </c:cat>
          <c:val>
            <c:numRef>
              <c:f>'Control Data'!$Q$28:$Q$29</c:f>
              <c:numCache>
                <c:formatCode>0.00</c:formatCode>
                <c:ptCount val="2"/>
                <c:pt idx="0" formatCode="0.000">
                  <c:v>0.22039385257422295</c:v>
                </c:pt>
                <c:pt idx="1">
                  <c:v>4.2490821133365069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87-4A09-B695-F5D4A977D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45336"/>
        <c:axId val="882143368"/>
      </c:barChart>
      <c:catAx>
        <c:axId val="882145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Direction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2143368"/>
        <c:crosses val="autoZero"/>
        <c:auto val="1"/>
        <c:lblAlgn val="ctr"/>
        <c:lblOffset val="100"/>
        <c:noMultiLvlLbl val="0"/>
      </c:catAx>
      <c:valAx>
        <c:axId val="88214336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Papp (10-6 cm/s)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882145336"/>
        <c:crosses val="autoZero"/>
        <c:crossBetween val="between"/>
      </c:valAx>
      <c:spPr>
        <a:solidFill>
          <a:srgbClr val="FFC000">
            <a:lumMod val="20000"/>
            <a:lumOff val="80000"/>
          </a:srgbClr>
        </a:solidFill>
      </c:spPr>
    </c:plotArea>
    <c:plotVisOnly val="0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Permeability of Warfarin</a:t>
            </a:r>
          </a:p>
          <a:p>
            <a:pPr>
              <a:defRPr/>
            </a:pPr>
            <a:r>
              <a:rPr lang="en-US"/>
              <a:t>Efflux Ratio = 0.555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errBars>
            <c:errBarType val="both"/>
            <c:errValType val="cust"/>
            <c:noEndCap val="0"/>
            <c:plus>
              <c:numRef>
                <c:f>'Control Data'!$R$54:$R$55</c:f>
                <c:numCache>
                  <c:formatCode>General</c:formatCode>
                  <c:ptCount val="2"/>
                  <c:pt idx="0">
                    <c:v>2.1570855665706796</c:v>
                  </c:pt>
                  <c:pt idx="1">
                    <c:v>2.2488673013326772</c:v>
                  </c:pt>
                </c:numCache>
              </c:numRef>
            </c:plus>
            <c:minus>
              <c:numRef>
                <c:f>'Control Data'!$R$54:$R$55</c:f>
                <c:numCache>
                  <c:formatCode>General</c:formatCode>
                  <c:ptCount val="2"/>
                  <c:pt idx="0">
                    <c:v>2.1570855665706796</c:v>
                  </c:pt>
                  <c:pt idx="1">
                    <c:v>2.2488673013326772</c:v>
                  </c:pt>
                </c:numCache>
              </c:numRef>
            </c:minus>
          </c:errBars>
          <c:cat>
            <c:strRef>
              <c:f>'Control Data'!$P$54:$P$55</c:f>
              <c:strCache>
                <c:ptCount val="2"/>
                <c:pt idx="0">
                  <c:v>A → B</c:v>
                </c:pt>
                <c:pt idx="1">
                  <c:v>B → A</c:v>
                </c:pt>
              </c:strCache>
            </c:strRef>
          </c:cat>
          <c:val>
            <c:numRef>
              <c:f>'Control Data'!$Q$54:$Q$55</c:f>
              <c:numCache>
                <c:formatCode>0.0</c:formatCode>
                <c:ptCount val="2"/>
                <c:pt idx="0">
                  <c:v>34.824974402095322</c:v>
                </c:pt>
                <c:pt idx="1">
                  <c:v>19.214973732768481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57-4D02-B1C0-B064AA72E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3305808"/>
        <c:axId val="672214744"/>
      </c:barChart>
      <c:catAx>
        <c:axId val="883305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Direction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72214744"/>
        <c:crosses val="autoZero"/>
        <c:auto val="1"/>
        <c:lblAlgn val="ctr"/>
        <c:lblOffset val="100"/>
        <c:noMultiLvlLbl val="0"/>
      </c:catAx>
      <c:valAx>
        <c:axId val="67221474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Papp (10-6 cm/s)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883305808"/>
        <c:crosses val="autoZero"/>
        <c:crossBetween val="between"/>
      </c:valAx>
      <c:spPr>
        <a:solidFill>
          <a:srgbClr val="FFC000">
            <a:lumMod val="20000"/>
            <a:lumOff val="80000"/>
          </a:srgbClr>
        </a:solidFill>
      </c:spPr>
    </c:plotArea>
    <c:plotVisOnly val="0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file:///L:\!Excel%20Macros\CyprotexLogo.jpg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file:///L:\!Excel%20Macros\CyprotexLogo.jpg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04775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22</xdr:row>
      <xdr:rowOff>66675</xdr:rowOff>
    </xdr:from>
    <xdr:to>
      <xdr:col>7</xdr:col>
      <xdr:colOff>2822351</xdr:colOff>
      <xdr:row>39</xdr:row>
      <xdr:rowOff>187389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" y="7705725"/>
          <a:ext cx="12071126" cy="36640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038225" cy="3905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561975</xdr:colOff>
      <xdr:row>1</xdr:row>
      <xdr:rowOff>0</xdr:rowOff>
    </xdr:from>
    <xdr:to>
      <xdr:col>21</xdr:col>
      <xdr:colOff>531875</xdr:colOff>
      <xdr:row>17</xdr:row>
      <xdr:rowOff>9802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77675" y="200025"/>
          <a:ext cx="4389500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53</xdr:row>
      <xdr:rowOff>0</xdr:rowOff>
    </xdr:from>
    <xdr:to>
      <xdr:col>22</xdr:col>
      <xdr:colOff>8000</xdr:colOff>
      <xdr:row>69</xdr:row>
      <xdr:rowOff>3706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96725" y="12334875"/>
          <a:ext cx="4389500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27</xdr:row>
      <xdr:rowOff>0</xdr:rowOff>
    </xdr:from>
    <xdr:to>
      <xdr:col>22</xdr:col>
      <xdr:colOff>8000</xdr:colOff>
      <xdr:row>43</xdr:row>
      <xdr:rowOff>3706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96725" y="6267450"/>
          <a:ext cx="4389500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79</xdr:row>
      <xdr:rowOff>0</xdr:rowOff>
    </xdr:from>
    <xdr:to>
      <xdr:col>22</xdr:col>
      <xdr:colOff>8000</xdr:colOff>
      <xdr:row>95</xdr:row>
      <xdr:rowOff>9802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96725" y="18402300"/>
          <a:ext cx="4389500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105</xdr:row>
      <xdr:rowOff>0</xdr:rowOff>
    </xdr:from>
    <xdr:to>
      <xdr:col>22</xdr:col>
      <xdr:colOff>8000</xdr:colOff>
      <xdr:row>121</xdr:row>
      <xdr:rowOff>3706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896725" y="24469725"/>
          <a:ext cx="4389500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131</xdr:row>
      <xdr:rowOff>0</xdr:rowOff>
    </xdr:from>
    <xdr:to>
      <xdr:col>22</xdr:col>
      <xdr:colOff>8000</xdr:colOff>
      <xdr:row>147</xdr:row>
      <xdr:rowOff>3706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896725" y="30537150"/>
          <a:ext cx="4389500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157</xdr:row>
      <xdr:rowOff>0</xdr:rowOff>
    </xdr:from>
    <xdr:to>
      <xdr:col>22</xdr:col>
      <xdr:colOff>8000</xdr:colOff>
      <xdr:row>173</xdr:row>
      <xdr:rowOff>9802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896725" y="36604575"/>
          <a:ext cx="4389500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183</xdr:row>
      <xdr:rowOff>0</xdr:rowOff>
    </xdr:from>
    <xdr:to>
      <xdr:col>22</xdr:col>
      <xdr:colOff>8000</xdr:colOff>
      <xdr:row>199</xdr:row>
      <xdr:rowOff>3706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896725" y="42672000"/>
          <a:ext cx="4389500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209</xdr:row>
      <xdr:rowOff>0</xdr:rowOff>
    </xdr:from>
    <xdr:to>
      <xdr:col>22</xdr:col>
      <xdr:colOff>8000</xdr:colOff>
      <xdr:row>225</xdr:row>
      <xdr:rowOff>3706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896725" y="48739425"/>
          <a:ext cx="4389500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235</xdr:row>
      <xdr:rowOff>0</xdr:rowOff>
    </xdr:from>
    <xdr:to>
      <xdr:col>22</xdr:col>
      <xdr:colOff>8000</xdr:colOff>
      <xdr:row>251</xdr:row>
      <xdr:rowOff>9802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896725" y="54806850"/>
          <a:ext cx="4389500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261</xdr:row>
      <xdr:rowOff>0</xdr:rowOff>
    </xdr:from>
    <xdr:to>
      <xdr:col>22</xdr:col>
      <xdr:colOff>8000</xdr:colOff>
      <xdr:row>277</xdr:row>
      <xdr:rowOff>9802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896725" y="60874275"/>
          <a:ext cx="4389500" cy="32006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22</xdr:col>
      <xdr:colOff>0</xdr:colOff>
      <xdr:row>17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27</xdr:row>
      <xdr:rowOff>0</xdr:rowOff>
    </xdr:from>
    <xdr:to>
      <xdr:col>22</xdr:col>
      <xdr:colOff>0</xdr:colOff>
      <xdr:row>43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53</xdr:row>
      <xdr:rowOff>0</xdr:rowOff>
    </xdr:from>
    <xdr:to>
      <xdr:col>22</xdr:col>
      <xdr:colOff>0</xdr:colOff>
      <xdr:row>69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LIENT_DATA/EPA/EPA%202021/Caco-2_21Apr2021/EPA_control_JL_4292021/%20-%20Permeability%20Results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"/>
      <sheetName val="Summary"/>
      <sheetName val="Data"/>
      <sheetName val="EPA_control_JL_4292021"/>
    </sheetNames>
    <sheetDataSet>
      <sheetData sheetId="0"/>
      <sheetData sheetId="1"/>
      <sheetData sheetId="2">
        <row r="9">
          <cell r="J9">
            <v>0.87757815157662677</v>
          </cell>
          <cell r="K9">
            <v>0.85729265987329162</v>
          </cell>
          <cell r="L9" t="str">
            <v/>
          </cell>
          <cell r="M9">
            <v>0.86743540572495914</v>
          </cell>
        </row>
        <row r="10">
          <cell r="J10">
            <v>1.154599460952588</v>
          </cell>
          <cell r="K10">
            <v>1.2044164339818946</v>
          </cell>
          <cell r="L10" t="str">
            <v/>
          </cell>
          <cell r="M10">
            <v>1.1795079474672412</v>
          </cell>
          <cell r="N10">
            <v>3.522591944721E-2</v>
          </cell>
        </row>
        <row r="20">
          <cell r="F20">
            <v>2</v>
          </cell>
          <cell r="J20">
            <v>0.95666839690100214</v>
          </cell>
          <cell r="K20">
            <v>0.95376896494487218</v>
          </cell>
          <cell r="L20" t="str">
            <v/>
          </cell>
          <cell r="M20">
            <v>0.95521868092293716</v>
          </cell>
        </row>
        <row r="21">
          <cell r="F21">
            <v>10</v>
          </cell>
          <cell r="J21">
            <v>1.1026511573846398</v>
          </cell>
          <cell r="K21">
            <v>1.184021466647339</v>
          </cell>
          <cell r="L21" t="str">
            <v/>
          </cell>
          <cell r="M21">
            <v>1.1433363120159894</v>
          </cell>
          <cell r="N21">
            <v>5.7537497466901122E-2</v>
          </cell>
        </row>
        <row r="22">
          <cell r="M22">
            <v>0.96903701310854384</v>
          </cell>
        </row>
        <row r="35">
          <cell r="J35">
            <v>0.70339995365815799</v>
          </cell>
          <cell r="K35">
            <v>0.64466420712845496</v>
          </cell>
          <cell r="L35" t="str">
            <v/>
          </cell>
          <cell r="M35">
            <v>0.67403208039330642</v>
          </cell>
        </row>
        <row r="36">
          <cell r="J36">
            <v>0.11920228606265922</v>
          </cell>
          <cell r="K36">
            <v>0.32158541908578669</v>
          </cell>
          <cell r="L36" t="str">
            <v/>
          </cell>
          <cell r="M36">
            <v>0.22039385257422295</v>
          </cell>
          <cell r="N36">
            <v>0.14310648575843257</v>
          </cell>
        </row>
        <row r="46">
          <cell r="F46">
            <v>2</v>
          </cell>
          <cell r="J46">
            <v>0.78163184193071322</v>
          </cell>
          <cell r="K46">
            <v>0.86009643839294725</v>
          </cell>
          <cell r="L46" t="str">
            <v/>
          </cell>
          <cell r="M46">
            <v>0.82086414016183018</v>
          </cell>
        </row>
        <row r="47">
          <cell r="F47">
            <v>10</v>
          </cell>
          <cell r="J47">
            <v>3.8186119074748164</v>
          </cell>
          <cell r="K47">
            <v>4.6795523191981969</v>
          </cell>
          <cell r="L47" t="str">
            <v/>
          </cell>
          <cell r="M47">
            <v>4.2490821133365069</v>
          </cell>
          <cell r="N47">
            <v>0.60877680332713657</v>
          </cell>
        </row>
        <row r="48">
          <cell r="M48">
            <v>23.293113464904252</v>
          </cell>
        </row>
        <row r="61">
          <cell r="J61">
            <v>0.87827822052017779</v>
          </cell>
          <cell r="K61">
            <v>0.95895106752918002</v>
          </cell>
          <cell r="L61" t="str">
            <v/>
          </cell>
          <cell r="M61">
            <v>0.91861464402467896</v>
          </cell>
        </row>
        <row r="62">
          <cell r="J62">
            <v>36.350264233817079</v>
          </cell>
          <cell r="K62">
            <v>33.299684570373572</v>
          </cell>
          <cell r="L62" t="str">
            <v/>
          </cell>
          <cell r="M62">
            <v>34.824974402095322</v>
          </cell>
          <cell r="N62">
            <v>2.1570855665706796</v>
          </cell>
        </row>
        <row r="72">
          <cell r="F72">
            <v>2</v>
          </cell>
          <cell r="J72">
            <v>0.8832388453511717</v>
          </cell>
          <cell r="K72">
            <v>0.80628745925819123</v>
          </cell>
          <cell r="L72" t="str">
            <v/>
          </cell>
          <cell r="M72">
            <v>0.84476315230468146</v>
          </cell>
        </row>
        <row r="73">
          <cell r="F73">
            <v>10</v>
          </cell>
          <cell r="J73">
            <v>17.624784414007454</v>
          </cell>
          <cell r="K73">
            <v>20.805163051529508</v>
          </cell>
          <cell r="L73" t="str">
            <v/>
          </cell>
          <cell r="M73">
            <v>19.214973732768481</v>
          </cell>
          <cell r="N73">
            <v>2.2488673013326772</v>
          </cell>
        </row>
        <row r="74">
          <cell r="M74">
            <v>0.55482273002412374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60"/>
  <sheetViews>
    <sheetView tabSelected="1" topLeftCell="A7" workbookViewId="0">
      <selection activeCell="H20" sqref="H20"/>
    </sheetView>
  </sheetViews>
  <sheetFormatPr defaultRowHeight="15" x14ac:dyDescent="0.25"/>
  <cols>
    <col min="1" max="1" width="22.28515625" style="7" customWidth="1"/>
    <col min="2" max="2" width="19.140625" style="7" customWidth="1"/>
    <col min="3" max="3" width="9.140625" style="7"/>
    <col min="4" max="5" width="13.140625" style="7" customWidth="1"/>
    <col min="6" max="6" width="12.28515625" style="7" customWidth="1"/>
    <col min="7" max="8" width="50.7109375" customWidth="1"/>
    <col min="10" max="10" width="17.28515625" bestFit="1" customWidth="1"/>
    <col min="11" max="11" width="13.85546875" style="7" customWidth="1"/>
    <col min="12" max="12" width="17" bestFit="1" customWidth="1"/>
    <col min="13" max="13" width="12" bestFit="1" customWidth="1"/>
    <col min="14" max="14" width="7.5703125" bestFit="1" customWidth="1"/>
    <col min="15" max="15" width="7.7109375" bestFit="1" customWidth="1"/>
    <col min="16" max="16" width="6.140625" bestFit="1" customWidth="1"/>
    <col min="17" max="17" width="7.5703125" bestFit="1" customWidth="1"/>
  </cols>
  <sheetData>
    <row r="1" spans="1:17" ht="15.75" x14ac:dyDescent="0.25">
      <c r="A1" s="385"/>
      <c r="B1" s="5"/>
      <c r="J1" s="220"/>
      <c r="K1" s="225"/>
      <c r="L1" s="220"/>
      <c r="M1" s="220"/>
      <c r="N1" s="220"/>
      <c r="O1" s="220"/>
      <c r="P1" s="220"/>
      <c r="Q1" s="220"/>
    </row>
    <row r="2" spans="1:17" x14ac:dyDescent="0.25">
      <c r="A2" s="385"/>
      <c r="B2" s="6">
        <v>44315.674050925925</v>
      </c>
      <c r="J2" s="220"/>
      <c r="K2" s="225"/>
      <c r="L2" s="220"/>
      <c r="M2" s="220"/>
      <c r="N2" s="220"/>
      <c r="O2" s="220"/>
      <c r="P2" s="220"/>
      <c r="Q2" s="220"/>
    </row>
    <row r="3" spans="1:17" ht="15.75" thickBot="1" x14ac:dyDescent="0.3">
      <c r="J3" s="220"/>
      <c r="K3" s="225"/>
      <c r="L3" s="220"/>
      <c r="M3" s="220"/>
      <c r="N3" s="220"/>
      <c r="O3" s="220"/>
      <c r="P3" s="220"/>
      <c r="Q3" s="220"/>
    </row>
    <row r="4" spans="1:17" s="10" customFormat="1" ht="73.5" thickTop="1" thickBot="1" x14ac:dyDescent="0.3">
      <c r="A4" s="14" t="s">
        <v>167</v>
      </c>
      <c r="B4" s="14" t="s">
        <v>168</v>
      </c>
      <c r="C4" s="14" t="s">
        <v>169</v>
      </c>
      <c r="D4" s="14" t="s">
        <v>170</v>
      </c>
      <c r="E4" s="14" t="s">
        <v>171</v>
      </c>
      <c r="F4" s="14" t="s">
        <v>172</v>
      </c>
      <c r="G4" s="14" t="s">
        <v>173</v>
      </c>
      <c r="H4" s="9"/>
      <c r="I4" s="9"/>
      <c r="J4" s="14" t="s">
        <v>167</v>
      </c>
      <c r="K4" s="14" t="s">
        <v>174</v>
      </c>
      <c r="L4" s="14" t="s">
        <v>175</v>
      </c>
      <c r="M4" s="14" t="s">
        <v>176</v>
      </c>
      <c r="N4" s="14" t="s">
        <v>177</v>
      </c>
      <c r="O4" s="14" t="s">
        <v>178</v>
      </c>
      <c r="P4" s="14" t="s">
        <v>179</v>
      </c>
      <c r="Q4" s="14" t="s">
        <v>180</v>
      </c>
    </row>
    <row r="5" spans="1:17" ht="15.75" thickTop="1" x14ac:dyDescent="0.25">
      <c r="A5" s="8" t="s">
        <v>20</v>
      </c>
      <c r="B5" s="197">
        <v>10</v>
      </c>
      <c r="C5" s="204">
        <v>2</v>
      </c>
      <c r="D5" s="386" t="s">
        <v>216</v>
      </c>
      <c r="E5" s="386"/>
      <c r="F5" s="386"/>
      <c r="G5" s="386"/>
      <c r="J5" s="221" t="s">
        <v>20</v>
      </c>
      <c r="K5" s="226">
        <v>10</v>
      </c>
      <c r="L5" s="220" t="s">
        <v>190</v>
      </c>
      <c r="M5" s="221" t="s">
        <v>199</v>
      </c>
      <c r="N5" s="223">
        <v>-244.27766649466147</v>
      </c>
      <c r="O5" s="223">
        <v>-3567.5021646907062</v>
      </c>
      <c r="P5" s="220" t="s">
        <v>222</v>
      </c>
      <c r="Q5" s="223">
        <v>-1905.8899155926838</v>
      </c>
    </row>
    <row r="6" spans="1:17" x14ac:dyDescent="0.25">
      <c r="A6" s="8" t="s">
        <v>50</v>
      </c>
      <c r="B6" s="197">
        <v>10</v>
      </c>
      <c r="C6" s="204">
        <v>2</v>
      </c>
      <c r="D6" s="387" t="s">
        <v>216</v>
      </c>
      <c r="E6" s="387"/>
      <c r="F6" s="387"/>
      <c r="G6" s="387"/>
      <c r="J6" s="220"/>
      <c r="K6" s="225"/>
      <c r="L6" s="209" t="s">
        <v>190</v>
      </c>
      <c r="M6" s="210" t="s">
        <v>198</v>
      </c>
      <c r="N6" s="211">
        <v>-13.655984892268016</v>
      </c>
      <c r="O6" s="211">
        <v>-39.382509585090332</v>
      </c>
      <c r="P6" s="209" t="s">
        <v>222</v>
      </c>
      <c r="Q6" s="211">
        <v>-26.519247238679174</v>
      </c>
    </row>
    <row r="7" spans="1:17" x14ac:dyDescent="0.25">
      <c r="A7" s="8" t="s">
        <v>102</v>
      </c>
      <c r="B7" s="197">
        <v>10</v>
      </c>
      <c r="C7" s="204">
        <v>2</v>
      </c>
      <c r="D7" s="205">
        <v>0</v>
      </c>
      <c r="E7" s="197">
        <v>16.082673357136258</v>
      </c>
      <c r="F7" s="206" t="s">
        <v>222</v>
      </c>
      <c r="G7" t="s">
        <v>217</v>
      </c>
      <c r="J7" s="220"/>
      <c r="K7" s="225"/>
      <c r="L7" s="220" t="s">
        <v>201</v>
      </c>
      <c r="M7" s="221" t="s">
        <v>199</v>
      </c>
      <c r="N7" s="222">
        <v>10.695456089281656</v>
      </c>
      <c r="O7" s="222">
        <v>71.029914190303259</v>
      </c>
      <c r="P7" s="220" t="s">
        <v>222</v>
      </c>
      <c r="Q7" s="222">
        <v>40.862685139792461</v>
      </c>
    </row>
    <row r="8" spans="1:17" x14ac:dyDescent="0.25">
      <c r="A8" s="8" t="s">
        <v>76</v>
      </c>
      <c r="B8" s="197">
        <v>10</v>
      </c>
      <c r="C8" s="204">
        <v>2</v>
      </c>
      <c r="D8" s="197">
        <v>32.098918301891928</v>
      </c>
      <c r="E8" s="197">
        <v>16.823681445963402</v>
      </c>
      <c r="F8" s="204">
        <v>0.53049730159490371</v>
      </c>
      <c r="G8" t="s">
        <v>218</v>
      </c>
      <c r="J8" s="220"/>
      <c r="K8" s="225"/>
      <c r="L8" s="209" t="s">
        <v>201</v>
      </c>
      <c r="M8" s="210" t="s">
        <v>198</v>
      </c>
      <c r="N8" s="212">
        <v>0.78153921438817242</v>
      </c>
      <c r="O8" s="211">
        <v>2.9977670086030002</v>
      </c>
      <c r="P8" s="209" t="s">
        <v>222</v>
      </c>
      <c r="Q8" s="211">
        <v>1.8896531114955863</v>
      </c>
    </row>
    <row r="9" spans="1:17" ht="15.75" thickBot="1" x14ac:dyDescent="0.3">
      <c r="A9" s="8" t="s">
        <v>89</v>
      </c>
      <c r="B9" s="197">
        <v>10</v>
      </c>
      <c r="C9" s="204">
        <v>2</v>
      </c>
      <c r="D9" s="197">
        <v>30.20790708323285</v>
      </c>
      <c r="E9" s="197">
        <v>14.624514792289158</v>
      </c>
      <c r="F9" s="207">
        <v>0.48887650273140959</v>
      </c>
      <c r="G9" t="s">
        <v>208</v>
      </c>
      <c r="J9" s="213"/>
      <c r="K9" s="227"/>
      <c r="L9" s="213" t="s">
        <v>210</v>
      </c>
      <c r="M9" s="214" t="s">
        <v>172</v>
      </c>
      <c r="N9" s="215">
        <v>-4.3784011214612603E-2</v>
      </c>
      <c r="O9" s="215">
        <v>-1.9910265197123259E-2</v>
      </c>
      <c r="P9" s="213" t="s">
        <v>222</v>
      </c>
      <c r="Q9" s="215">
        <v>-3.1847138205867931E-2</v>
      </c>
    </row>
    <row r="10" spans="1:17" x14ac:dyDescent="0.25">
      <c r="A10" s="8" t="s">
        <v>37</v>
      </c>
      <c r="B10" s="197">
        <v>10</v>
      </c>
      <c r="C10" s="204">
        <v>2</v>
      </c>
      <c r="D10" s="197">
        <v>0</v>
      </c>
      <c r="E10" s="197">
        <v>0</v>
      </c>
      <c r="F10" s="197">
        <v>0</v>
      </c>
      <c r="G10" t="s">
        <v>207</v>
      </c>
      <c r="J10" s="221" t="s">
        <v>50</v>
      </c>
      <c r="K10" s="226">
        <v>10</v>
      </c>
      <c r="L10" s="220" t="s">
        <v>190</v>
      </c>
      <c r="M10" s="221" t="s">
        <v>199</v>
      </c>
      <c r="N10" s="223">
        <v>-1969.2066632029823</v>
      </c>
      <c r="O10" s="222">
        <v>24.403627303236</v>
      </c>
      <c r="P10" s="220" t="s">
        <v>222</v>
      </c>
      <c r="Q10" s="223">
        <v>-972.40151794987321</v>
      </c>
    </row>
    <row r="11" spans="1:17" x14ac:dyDescent="0.25">
      <c r="A11" s="8" t="s">
        <v>154</v>
      </c>
      <c r="B11" s="197">
        <v>10</v>
      </c>
      <c r="C11" s="204">
        <v>2</v>
      </c>
      <c r="D11" s="197">
        <v>92.185432168460082</v>
      </c>
      <c r="E11" s="205">
        <v>0</v>
      </c>
      <c r="F11" s="204"/>
      <c r="G11" t="s">
        <v>221</v>
      </c>
      <c r="J11" s="220"/>
      <c r="K11" s="225"/>
      <c r="L11" s="209" t="s">
        <v>190</v>
      </c>
      <c r="M11" s="210" t="s">
        <v>198</v>
      </c>
      <c r="N11" s="211">
        <v>-23.511758863063474</v>
      </c>
      <c r="O11" s="212">
        <v>0.23614432221785966</v>
      </c>
      <c r="P11" s="209" t="s">
        <v>222</v>
      </c>
      <c r="Q11" s="211">
        <v>-11.637807270422806</v>
      </c>
    </row>
    <row r="12" spans="1:17" x14ac:dyDescent="0.25">
      <c r="A12" s="8" t="s">
        <v>115</v>
      </c>
      <c r="B12" s="197">
        <v>10</v>
      </c>
      <c r="C12" s="204">
        <v>2</v>
      </c>
      <c r="D12" s="197">
        <v>0</v>
      </c>
      <c r="E12" s="197">
        <v>0</v>
      </c>
      <c r="F12" s="197"/>
      <c r="J12" s="220"/>
      <c r="K12" s="225"/>
      <c r="L12" s="220" t="s">
        <v>201</v>
      </c>
      <c r="M12" s="221" t="s">
        <v>199</v>
      </c>
      <c r="N12" s="224">
        <v>-4.9969726193228805</v>
      </c>
      <c r="O12" s="222">
        <v>55.996729647945706</v>
      </c>
      <c r="P12" s="220" t="s">
        <v>222</v>
      </c>
      <c r="Q12" s="222">
        <v>25.499878514311412</v>
      </c>
    </row>
    <row r="13" spans="1:17" x14ac:dyDescent="0.25">
      <c r="A13" s="8" t="s">
        <v>141</v>
      </c>
      <c r="B13" s="197">
        <v>10</v>
      </c>
      <c r="C13" s="204">
        <v>2</v>
      </c>
      <c r="D13" s="197">
        <v>44.962892361203487</v>
      </c>
      <c r="E13" s="197">
        <v>25.319686257043294</v>
      </c>
      <c r="F13" s="207">
        <v>0.5753330243061141</v>
      </c>
      <c r="G13" t="s">
        <v>218</v>
      </c>
      <c r="J13" s="220"/>
      <c r="K13" s="225"/>
      <c r="L13" s="209" t="s">
        <v>201</v>
      </c>
      <c r="M13" s="210" t="s">
        <v>198</v>
      </c>
      <c r="N13" s="212">
        <v>-0.15856604711310304</v>
      </c>
      <c r="O13" s="212">
        <v>0.87196006123982972</v>
      </c>
      <c r="P13" s="209" t="s">
        <v>222</v>
      </c>
      <c r="Q13" s="212">
        <v>0.35669700706336332</v>
      </c>
    </row>
    <row r="14" spans="1:17" ht="15.75" thickBot="1" x14ac:dyDescent="0.3">
      <c r="A14" s="8" t="s">
        <v>128</v>
      </c>
      <c r="B14" s="197">
        <v>10</v>
      </c>
      <c r="C14" s="204">
        <v>2</v>
      </c>
      <c r="D14" s="205">
        <v>558.14734679344042</v>
      </c>
      <c r="E14" s="205">
        <v>115.11675377046097</v>
      </c>
      <c r="F14" s="207">
        <v>0.21214681380267258</v>
      </c>
      <c r="G14" t="s">
        <v>220</v>
      </c>
      <c r="J14" s="213"/>
      <c r="K14" s="227"/>
      <c r="L14" s="213" t="s">
        <v>210</v>
      </c>
      <c r="M14" s="214" t="s">
        <v>172</v>
      </c>
      <c r="N14" s="216">
        <v>2.5375562213440475E-3</v>
      </c>
      <c r="O14" s="217">
        <v>2.294606820213172</v>
      </c>
      <c r="P14" s="213" t="s">
        <v>222</v>
      </c>
      <c r="Q14" s="217">
        <v>1.1485721882172579</v>
      </c>
    </row>
    <row r="15" spans="1:17" ht="15.75" thickBot="1" x14ac:dyDescent="0.3">
      <c r="A15" s="378" t="s">
        <v>63</v>
      </c>
      <c r="B15" s="379">
        <v>10</v>
      </c>
      <c r="C15" s="380">
        <v>2</v>
      </c>
      <c r="D15" s="381">
        <v>0</v>
      </c>
      <c r="E15" s="379">
        <v>0</v>
      </c>
      <c r="F15" s="379" t="s">
        <v>222</v>
      </c>
      <c r="G15" s="382"/>
      <c r="H15" t="s">
        <v>219</v>
      </c>
      <c r="J15" s="221" t="s">
        <v>102</v>
      </c>
      <c r="K15" s="226">
        <v>10</v>
      </c>
      <c r="L15" s="220" t="s">
        <v>190</v>
      </c>
      <c r="M15" s="221" t="s">
        <v>199</v>
      </c>
      <c r="N15" s="223">
        <v>0</v>
      </c>
      <c r="O15" s="223">
        <v>0</v>
      </c>
      <c r="P15" s="220" t="s">
        <v>222</v>
      </c>
      <c r="Q15" s="223">
        <v>0</v>
      </c>
    </row>
    <row r="16" spans="1:17" x14ac:dyDescent="0.25">
      <c r="A16" s="250" t="s">
        <v>274</v>
      </c>
      <c r="B16" s="377" t="s">
        <v>277</v>
      </c>
      <c r="C16" s="377"/>
      <c r="D16" s="377"/>
      <c r="E16" s="377"/>
      <c r="F16" s="377"/>
      <c r="G16" s="377"/>
      <c r="J16" s="220"/>
      <c r="K16" s="225"/>
      <c r="L16" s="209" t="s">
        <v>190</v>
      </c>
      <c r="M16" s="210" t="s">
        <v>198</v>
      </c>
      <c r="N16" s="211">
        <v>0.33681944111887113</v>
      </c>
      <c r="O16" s="211">
        <v>0.32983815609850703</v>
      </c>
      <c r="P16" s="209" t="s">
        <v>222</v>
      </c>
      <c r="Q16" s="211">
        <v>0.33332879860868908</v>
      </c>
    </row>
    <row r="17" spans="1:17" ht="15.75" customHeight="1" x14ac:dyDescent="0.25">
      <c r="A17" s="383" t="s">
        <v>275</v>
      </c>
      <c r="B17" s="390" t="s">
        <v>277</v>
      </c>
      <c r="C17" s="383"/>
      <c r="D17" s="383"/>
      <c r="E17" s="383"/>
      <c r="F17" s="383"/>
      <c r="G17" s="377"/>
      <c r="J17" s="220"/>
      <c r="K17" s="225"/>
      <c r="L17" s="220" t="s">
        <v>201</v>
      </c>
      <c r="M17" s="221" t="s">
        <v>199</v>
      </c>
      <c r="N17" s="222">
        <v>15.31780159453843</v>
      </c>
      <c r="O17" s="222">
        <v>16.84754511973409</v>
      </c>
      <c r="P17" s="220" t="s">
        <v>222</v>
      </c>
      <c r="Q17" s="222">
        <v>16.082673357136258</v>
      </c>
    </row>
    <row r="18" spans="1:17" ht="15.75" customHeight="1" thickBot="1" x14ac:dyDescent="0.3">
      <c r="A18" s="384" t="s">
        <v>276</v>
      </c>
      <c r="B18" s="391" t="s">
        <v>277</v>
      </c>
      <c r="C18" s="384"/>
      <c r="D18" s="384"/>
      <c r="E18" s="384"/>
      <c r="F18" s="384"/>
      <c r="G18" s="391"/>
      <c r="J18" s="220"/>
      <c r="K18" s="225"/>
      <c r="L18" s="209" t="s">
        <v>201</v>
      </c>
      <c r="M18" s="210" t="s">
        <v>198</v>
      </c>
      <c r="N18" s="212">
        <v>0.38885727318553798</v>
      </c>
      <c r="O18" s="212">
        <v>0.41023885485942924</v>
      </c>
      <c r="P18" s="209" t="s">
        <v>222</v>
      </c>
      <c r="Q18" s="212">
        <v>0.39954806402248361</v>
      </c>
    </row>
    <row r="19" spans="1:17" ht="16.5" thickTop="1" thickBot="1" x14ac:dyDescent="0.3">
      <c r="A19" s="383"/>
      <c r="B19" s="377"/>
      <c r="C19" s="383"/>
      <c r="D19" s="383"/>
      <c r="E19" s="383"/>
      <c r="F19" s="383"/>
      <c r="G19" s="377"/>
      <c r="J19" s="213"/>
      <c r="K19" s="227"/>
      <c r="L19" s="213" t="s">
        <v>210</v>
      </c>
      <c r="M19" s="214" t="s">
        <v>172</v>
      </c>
      <c r="N19" s="215" t="s">
        <v>222</v>
      </c>
      <c r="O19" s="215" t="s">
        <v>222</v>
      </c>
      <c r="P19" s="213" t="s">
        <v>222</v>
      </c>
      <c r="Q19" s="215" t="s">
        <v>222</v>
      </c>
    </row>
    <row r="20" spans="1:17" ht="37.5" customHeight="1" x14ac:dyDescent="0.25">
      <c r="A20" s="388" t="s">
        <v>209</v>
      </c>
      <c r="B20" s="388"/>
      <c r="C20" s="388"/>
      <c r="D20" s="388"/>
      <c r="E20" s="388"/>
      <c r="F20" s="388"/>
      <c r="G20" s="388"/>
      <c r="J20" s="221" t="s">
        <v>76</v>
      </c>
      <c r="K20" s="226">
        <v>10</v>
      </c>
      <c r="L20" s="220" t="s">
        <v>190</v>
      </c>
      <c r="M20" s="221" t="s">
        <v>199</v>
      </c>
      <c r="N20" s="222">
        <v>28.838904751133207</v>
      </c>
      <c r="O20" s="224">
        <v>35.358931852650649</v>
      </c>
      <c r="P20" s="220" t="s">
        <v>222</v>
      </c>
      <c r="Q20" s="222">
        <v>32.098918301891928</v>
      </c>
    </row>
    <row r="21" spans="1:17" x14ac:dyDescent="0.25">
      <c r="J21" s="220"/>
      <c r="K21" s="225"/>
      <c r="L21" s="209" t="s">
        <v>190</v>
      </c>
      <c r="M21" s="210" t="s">
        <v>198</v>
      </c>
      <c r="N21" s="212">
        <v>0.75450301772890072</v>
      </c>
      <c r="O21" s="212">
        <v>0.79109601821876252</v>
      </c>
      <c r="P21" s="209" t="s">
        <v>222</v>
      </c>
      <c r="Q21" s="212">
        <v>0.77279951797383162</v>
      </c>
    </row>
    <row r="22" spans="1:17" x14ac:dyDescent="0.25">
      <c r="J22" s="220"/>
      <c r="K22" s="225"/>
      <c r="L22" s="220" t="s">
        <v>201</v>
      </c>
      <c r="M22" s="221" t="s">
        <v>199</v>
      </c>
      <c r="N22" s="222">
        <v>17.109860777476481</v>
      </c>
      <c r="O22" s="222">
        <v>16.537502114450326</v>
      </c>
      <c r="P22" s="220" t="s">
        <v>222</v>
      </c>
      <c r="Q22" s="222">
        <v>16.823681445963402</v>
      </c>
    </row>
    <row r="23" spans="1:17" x14ac:dyDescent="0.25">
      <c r="J23" s="220"/>
      <c r="K23" s="225"/>
      <c r="L23" s="209" t="s">
        <v>201</v>
      </c>
      <c r="M23" s="210" t="s">
        <v>198</v>
      </c>
      <c r="N23" s="212">
        <v>0.61937960925234958</v>
      </c>
      <c r="O23" s="212">
        <v>0.59506984968392518</v>
      </c>
      <c r="P23" s="209" t="s">
        <v>222</v>
      </c>
      <c r="Q23" s="212">
        <v>0.60722472946813744</v>
      </c>
    </row>
    <row r="24" spans="1:17" ht="15.75" thickBot="1" x14ac:dyDescent="0.3">
      <c r="J24" s="213"/>
      <c r="K24" s="227"/>
      <c r="L24" s="213" t="s">
        <v>210</v>
      </c>
      <c r="M24" s="214" t="s">
        <v>172</v>
      </c>
      <c r="N24" s="217">
        <v>0.59329093546120748</v>
      </c>
      <c r="O24" s="217">
        <v>0.46770366772859989</v>
      </c>
      <c r="P24" s="213" t="s">
        <v>222</v>
      </c>
      <c r="Q24" s="217">
        <v>0.53049730159490371</v>
      </c>
    </row>
    <row r="25" spans="1:17" x14ac:dyDescent="0.25">
      <c r="J25" s="221" t="s">
        <v>89</v>
      </c>
      <c r="K25" s="226">
        <v>10</v>
      </c>
      <c r="L25" s="220" t="s">
        <v>190</v>
      </c>
      <c r="M25" s="221" t="s">
        <v>199</v>
      </c>
      <c r="N25" s="222">
        <v>32.945739532336589</v>
      </c>
      <c r="O25" s="222">
        <v>27.470074634129112</v>
      </c>
      <c r="P25" s="220" t="s">
        <v>222</v>
      </c>
      <c r="Q25" s="222">
        <v>30.20790708323285</v>
      </c>
    </row>
    <row r="26" spans="1:17" x14ac:dyDescent="0.25">
      <c r="J26" s="220"/>
      <c r="K26" s="225"/>
      <c r="L26" s="209" t="s">
        <v>190</v>
      </c>
      <c r="M26" s="210" t="s">
        <v>198</v>
      </c>
      <c r="N26" s="212">
        <v>0.60820595770417807</v>
      </c>
      <c r="O26" s="212">
        <v>0.62002340034774961</v>
      </c>
      <c r="P26" s="209" t="s">
        <v>222</v>
      </c>
      <c r="Q26" s="212">
        <v>0.61411467902596384</v>
      </c>
    </row>
    <row r="27" spans="1:17" x14ac:dyDescent="0.25">
      <c r="J27" s="220"/>
      <c r="K27" s="225"/>
      <c r="L27" s="220" t="s">
        <v>201</v>
      </c>
      <c r="M27" s="221" t="s">
        <v>199</v>
      </c>
      <c r="N27" s="222">
        <v>14.380537468337335</v>
      </c>
      <c r="O27" s="222">
        <v>14.868492116240983</v>
      </c>
      <c r="P27" s="220" t="s">
        <v>222</v>
      </c>
      <c r="Q27" s="222">
        <v>14.624514792289158</v>
      </c>
    </row>
    <row r="28" spans="1:17" x14ac:dyDescent="0.25">
      <c r="J28" s="220"/>
      <c r="K28" s="225"/>
      <c r="L28" s="209" t="s">
        <v>201</v>
      </c>
      <c r="M28" s="210" t="s">
        <v>198</v>
      </c>
      <c r="N28" s="212">
        <v>0.49623365198228397</v>
      </c>
      <c r="O28" s="212">
        <v>0.53732815903740416</v>
      </c>
      <c r="P28" s="209" t="s">
        <v>222</v>
      </c>
      <c r="Q28" s="212">
        <v>0.51678090550984401</v>
      </c>
    </row>
    <row r="29" spans="1:17" ht="15.75" thickBot="1" x14ac:dyDescent="0.3">
      <c r="J29" s="213"/>
      <c r="K29" s="227"/>
      <c r="L29" s="213" t="s">
        <v>210</v>
      </c>
      <c r="M29" s="214" t="s">
        <v>172</v>
      </c>
      <c r="N29" s="218">
        <v>0.43649156681466167</v>
      </c>
      <c r="O29" s="218">
        <v>0.54126143864815757</v>
      </c>
      <c r="P29" s="213" t="s">
        <v>222</v>
      </c>
      <c r="Q29" s="218">
        <v>0.48887650273140959</v>
      </c>
    </row>
    <row r="30" spans="1:17" x14ac:dyDescent="0.25">
      <c r="J30" s="221" t="s">
        <v>37</v>
      </c>
      <c r="K30" s="226">
        <v>10</v>
      </c>
      <c r="L30" s="220" t="s">
        <v>190</v>
      </c>
      <c r="M30" s="221" t="s">
        <v>199</v>
      </c>
      <c r="N30" s="222">
        <v>0</v>
      </c>
      <c r="O30" s="222">
        <v>0</v>
      </c>
      <c r="P30" s="220" t="s">
        <v>222</v>
      </c>
      <c r="Q30" s="222">
        <v>0</v>
      </c>
    </row>
    <row r="31" spans="1:17" x14ac:dyDescent="0.25">
      <c r="J31" s="220"/>
      <c r="K31" s="225"/>
      <c r="L31" s="209" t="s">
        <v>190</v>
      </c>
      <c r="M31" s="210" t="s">
        <v>198</v>
      </c>
      <c r="N31" s="212">
        <v>0</v>
      </c>
      <c r="O31" s="212">
        <v>0</v>
      </c>
      <c r="P31" s="209" t="s">
        <v>222</v>
      </c>
      <c r="Q31" s="212">
        <v>0</v>
      </c>
    </row>
    <row r="32" spans="1:17" x14ac:dyDescent="0.25">
      <c r="J32" s="220"/>
      <c r="K32" s="225"/>
      <c r="L32" s="220" t="s">
        <v>201</v>
      </c>
      <c r="M32" s="221" t="s">
        <v>199</v>
      </c>
      <c r="N32" s="222">
        <v>0</v>
      </c>
      <c r="O32" s="222">
        <v>0</v>
      </c>
      <c r="P32" s="220" t="s">
        <v>222</v>
      </c>
      <c r="Q32" s="222">
        <v>0</v>
      </c>
    </row>
    <row r="33" spans="1:17" ht="36" customHeight="1" x14ac:dyDescent="0.25">
      <c r="J33" s="220"/>
      <c r="K33" s="225"/>
      <c r="L33" s="209" t="s">
        <v>201</v>
      </c>
      <c r="M33" s="210" t="s">
        <v>198</v>
      </c>
      <c r="N33" s="212">
        <v>0</v>
      </c>
      <c r="O33" s="212">
        <v>0</v>
      </c>
      <c r="P33" s="209" t="s">
        <v>222</v>
      </c>
      <c r="Q33" s="212">
        <v>0</v>
      </c>
    </row>
    <row r="34" spans="1:17" ht="15.75" thickBot="1" x14ac:dyDescent="0.3">
      <c r="J34" s="213"/>
      <c r="K34" s="227"/>
      <c r="L34" s="213" t="s">
        <v>210</v>
      </c>
      <c r="M34" s="214" t="s">
        <v>172</v>
      </c>
      <c r="N34" s="213" t="s">
        <v>222</v>
      </c>
      <c r="O34" s="213" t="s">
        <v>222</v>
      </c>
      <c r="P34" s="213" t="s">
        <v>222</v>
      </c>
      <c r="Q34" s="213" t="s">
        <v>222</v>
      </c>
    </row>
    <row r="35" spans="1:17" x14ac:dyDescent="0.25">
      <c r="J35" s="221" t="s">
        <v>154</v>
      </c>
      <c r="K35" s="226">
        <v>10</v>
      </c>
      <c r="L35" s="220" t="s">
        <v>190</v>
      </c>
      <c r="M35" s="221" t="s">
        <v>199</v>
      </c>
      <c r="N35" s="223">
        <v>115.67624685506402</v>
      </c>
      <c r="O35" s="222">
        <v>68.694617481856142</v>
      </c>
      <c r="P35" s="220" t="s">
        <v>222</v>
      </c>
      <c r="Q35" s="222">
        <v>92.185432168460082</v>
      </c>
    </row>
    <row r="36" spans="1:17" x14ac:dyDescent="0.25">
      <c r="J36" s="220"/>
      <c r="K36" s="225"/>
      <c r="L36" s="209" t="s">
        <v>190</v>
      </c>
      <c r="M36" s="210" t="s">
        <v>198</v>
      </c>
      <c r="N36" s="211">
        <v>1.5073584920697456</v>
      </c>
      <c r="O36" s="211">
        <v>1.004345389069264</v>
      </c>
      <c r="P36" s="209" t="s">
        <v>222</v>
      </c>
      <c r="Q36" s="211">
        <v>1.2558519405695048</v>
      </c>
    </row>
    <row r="37" spans="1:17" x14ac:dyDescent="0.25">
      <c r="J37" s="220"/>
      <c r="K37" s="225"/>
      <c r="L37" s="220" t="s">
        <v>201</v>
      </c>
      <c r="M37" s="221" t="s">
        <v>199</v>
      </c>
      <c r="N37" s="223">
        <v>-117.59726821178421</v>
      </c>
      <c r="O37" s="222">
        <v>-97.195017472630667</v>
      </c>
      <c r="P37" s="220" t="s">
        <v>222</v>
      </c>
      <c r="Q37" s="223">
        <v>-107.39614284220744</v>
      </c>
    </row>
    <row r="38" spans="1:17" x14ac:dyDescent="0.25">
      <c r="J38" s="220"/>
      <c r="K38" s="225"/>
      <c r="L38" s="209" t="s">
        <v>201</v>
      </c>
      <c r="M38" s="210" t="s">
        <v>198</v>
      </c>
      <c r="N38" s="212">
        <v>-0.32367009820302073</v>
      </c>
      <c r="O38" s="212">
        <v>-0.17147983214715601</v>
      </c>
      <c r="P38" s="209" t="s">
        <v>222</v>
      </c>
      <c r="Q38" s="212">
        <v>-0.24757496517508837</v>
      </c>
    </row>
    <row r="39" spans="1:17" ht="15.75" thickBot="1" x14ac:dyDescent="0.3">
      <c r="J39" s="213"/>
      <c r="K39" s="227"/>
      <c r="L39" s="213" t="s">
        <v>210</v>
      </c>
      <c r="M39" s="214" t="s">
        <v>172</v>
      </c>
      <c r="N39" s="217">
        <v>-1.0166068783259119</v>
      </c>
      <c r="O39" s="217">
        <v>-1.414885489366065</v>
      </c>
      <c r="P39" s="213" t="s">
        <v>222</v>
      </c>
      <c r="Q39" s="217">
        <v>-1.2157461838459884</v>
      </c>
    </row>
    <row r="40" spans="1:17" x14ac:dyDescent="0.25">
      <c r="J40" s="221" t="s">
        <v>115</v>
      </c>
      <c r="K40" s="226">
        <v>10</v>
      </c>
      <c r="L40" s="220" t="s">
        <v>190</v>
      </c>
      <c r="M40" s="221" t="s">
        <v>199</v>
      </c>
      <c r="N40" s="222">
        <v>0</v>
      </c>
      <c r="O40" s="222">
        <v>0</v>
      </c>
      <c r="P40" s="220" t="s">
        <v>222</v>
      </c>
      <c r="Q40" s="222">
        <v>0</v>
      </c>
    </row>
    <row r="41" spans="1:17" x14ac:dyDescent="0.25">
      <c r="J41" s="220"/>
      <c r="K41" s="225"/>
      <c r="L41" s="209" t="s">
        <v>190</v>
      </c>
      <c r="M41" s="210" t="s">
        <v>198</v>
      </c>
      <c r="N41" s="211">
        <v>1.3965167602351469</v>
      </c>
      <c r="O41" s="211">
        <v>1.5363179745784576</v>
      </c>
      <c r="P41" s="209" t="s">
        <v>222</v>
      </c>
      <c r="Q41" s="211">
        <v>1.4664173674068022</v>
      </c>
    </row>
    <row r="42" spans="1:17" x14ac:dyDescent="0.25">
      <c r="J42" s="220"/>
      <c r="K42" s="225"/>
      <c r="L42" s="220" t="s">
        <v>201</v>
      </c>
      <c r="M42" s="221" t="s">
        <v>199</v>
      </c>
      <c r="N42" s="222">
        <v>0</v>
      </c>
      <c r="O42" s="222">
        <v>0</v>
      </c>
      <c r="P42" s="220" t="s">
        <v>222</v>
      </c>
      <c r="Q42" s="222">
        <v>0</v>
      </c>
    </row>
    <row r="43" spans="1:17" x14ac:dyDescent="0.25">
      <c r="J43" s="220"/>
      <c r="K43" s="225"/>
      <c r="L43" s="209" t="s">
        <v>201</v>
      </c>
      <c r="M43" s="210" t="s">
        <v>198</v>
      </c>
      <c r="N43" s="211">
        <v>2.4724504599208061</v>
      </c>
      <c r="O43" s="211">
        <v>1.9067776111390899</v>
      </c>
      <c r="P43" s="209" t="s">
        <v>222</v>
      </c>
      <c r="Q43" s="211">
        <v>2.189614035529948</v>
      </c>
    </row>
    <row r="44" spans="1:17" ht="15.75" thickBot="1" x14ac:dyDescent="0.3">
      <c r="J44" s="213"/>
      <c r="K44" s="227"/>
      <c r="L44" s="213" t="s">
        <v>210</v>
      </c>
      <c r="M44" s="214" t="s">
        <v>172</v>
      </c>
      <c r="N44" s="213" t="s">
        <v>222</v>
      </c>
      <c r="O44" s="213" t="s">
        <v>222</v>
      </c>
      <c r="P44" s="213" t="s">
        <v>222</v>
      </c>
      <c r="Q44" s="213" t="s">
        <v>222</v>
      </c>
    </row>
    <row r="45" spans="1:17" ht="16.5" thickTop="1" thickBot="1" x14ac:dyDescent="0.3">
      <c r="A45" s="13" t="s">
        <v>211</v>
      </c>
      <c r="B45" s="229" t="s">
        <v>190</v>
      </c>
      <c r="C45" s="13" t="s">
        <v>212</v>
      </c>
      <c r="D45" s="229" t="s">
        <v>201</v>
      </c>
      <c r="E45" s="13" t="s">
        <v>212</v>
      </c>
      <c r="F45" s="229" t="s">
        <v>213</v>
      </c>
      <c r="G45" s="13" t="s">
        <v>212</v>
      </c>
      <c r="H45" s="229" t="s">
        <v>173</v>
      </c>
      <c r="J45" s="221" t="s">
        <v>141</v>
      </c>
      <c r="K45" s="226">
        <v>10</v>
      </c>
      <c r="L45" s="220" t="s">
        <v>190</v>
      </c>
      <c r="M45" s="221" t="s">
        <v>199</v>
      </c>
      <c r="N45" s="222">
        <v>53.152826640742809</v>
      </c>
      <c r="O45" s="222">
        <v>36.772958081664171</v>
      </c>
      <c r="P45" s="220" t="s">
        <v>222</v>
      </c>
      <c r="Q45" s="222">
        <v>44.962892361203487</v>
      </c>
    </row>
    <row r="46" spans="1:17" ht="15.75" thickTop="1" x14ac:dyDescent="0.25">
      <c r="A46" s="8" t="s">
        <v>20</v>
      </c>
      <c r="B46" s="248" t="s">
        <v>216</v>
      </c>
      <c r="C46" s="246"/>
      <c r="D46" s="246"/>
      <c r="E46" s="246"/>
      <c r="F46" s="246"/>
      <c r="G46" s="246"/>
      <c r="H46" s="246"/>
      <c r="J46" s="220"/>
      <c r="K46" s="225"/>
      <c r="L46" s="209" t="s">
        <v>190</v>
      </c>
      <c r="M46" s="210" t="s">
        <v>198</v>
      </c>
      <c r="N46" s="212">
        <v>1.1737476937174367</v>
      </c>
      <c r="O46" s="219">
        <v>0.97072130545118096</v>
      </c>
      <c r="P46" s="209" t="s">
        <v>222</v>
      </c>
      <c r="Q46" s="219">
        <v>1.0722344995843089</v>
      </c>
    </row>
    <row r="47" spans="1:17" x14ac:dyDescent="0.25">
      <c r="A47" s="8" t="s">
        <v>50</v>
      </c>
      <c r="B47" s="249" t="s">
        <v>216</v>
      </c>
      <c r="C47" s="247"/>
      <c r="D47" s="247"/>
      <c r="E47" s="247"/>
      <c r="F47" s="247"/>
      <c r="G47" s="247"/>
      <c r="H47" s="247"/>
      <c r="J47" s="220"/>
      <c r="K47" s="225"/>
      <c r="L47" s="220" t="s">
        <v>201</v>
      </c>
      <c r="M47" s="221" t="s">
        <v>199</v>
      </c>
      <c r="N47" s="222">
        <v>27.01787692773031</v>
      </c>
      <c r="O47" s="222">
        <v>23.621495586356282</v>
      </c>
      <c r="P47" s="220" t="s">
        <v>222</v>
      </c>
      <c r="Q47" s="222">
        <v>25.319686257043294</v>
      </c>
    </row>
    <row r="48" spans="1:17" x14ac:dyDescent="0.25">
      <c r="A48" s="8" t="s">
        <v>102</v>
      </c>
      <c r="B48" s="230">
        <v>0</v>
      </c>
      <c r="C48" s="197">
        <v>0</v>
      </c>
      <c r="D48" s="233">
        <v>16.082673357136258</v>
      </c>
      <c r="E48" s="204">
        <v>1.081692020142065</v>
      </c>
      <c r="F48" s="236" t="s">
        <v>222</v>
      </c>
      <c r="G48" s="199" t="s">
        <v>222</v>
      </c>
      <c r="H48" s="240"/>
      <c r="J48" s="220"/>
      <c r="K48" s="225"/>
      <c r="L48" s="209" t="s">
        <v>201</v>
      </c>
      <c r="M48" s="210" t="s">
        <v>198</v>
      </c>
      <c r="N48" s="211">
        <v>1.0275270873174998</v>
      </c>
      <c r="O48" s="211">
        <v>1.0770339661607817</v>
      </c>
      <c r="P48" s="209" t="s">
        <v>222</v>
      </c>
      <c r="Q48" s="211">
        <v>1.0522805267391409</v>
      </c>
    </row>
    <row r="49" spans="1:17" ht="15.75" thickBot="1" x14ac:dyDescent="0.3">
      <c r="A49" s="8" t="s">
        <v>76</v>
      </c>
      <c r="B49" s="231">
        <v>32.098918301891928</v>
      </c>
      <c r="C49" s="204">
        <v>4.6103553770030512</v>
      </c>
      <c r="D49" s="233">
        <v>16.823681445963402</v>
      </c>
      <c r="E49" s="207">
        <v>0.40471869189665982</v>
      </c>
      <c r="F49" s="237">
        <v>0.52411988739732096</v>
      </c>
      <c r="G49" s="198">
        <v>7.6327732000735032E-2</v>
      </c>
      <c r="H49" s="240"/>
      <c r="J49" s="213"/>
      <c r="K49" s="227"/>
      <c r="L49" s="213" t="s">
        <v>210</v>
      </c>
      <c r="M49" s="214" t="s">
        <v>172</v>
      </c>
      <c r="N49" s="217">
        <v>0.50830555278541878</v>
      </c>
      <c r="O49" s="218">
        <v>0.64236049582680954</v>
      </c>
      <c r="P49" s="213" t="s">
        <v>222</v>
      </c>
      <c r="Q49" s="218">
        <v>0.5753330243061141</v>
      </c>
    </row>
    <row r="50" spans="1:17" x14ac:dyDescent="0.25">
      <c r="A50" s="8" t="s">
        <v>89</v>
      </c>
      <c r="B50" s="231">
        <v>30.20790708323285</v>
      </c>
      <c r="C50" s="204">
        <v>3.8718797810276531</v>
      </c>
      <c r="D50" s="233">
        <v>14.624514792289158</v>
      </c>
      <c r="E50" s="207">
        <v>0.34503604044416325</v>
      </c>
      <c r="F50" s="238">
        <v>0.48412870021063514</v>
      </c>
      <c r="G50" s="199">
        <v>6.3095364537560317E-2</v>
      </c>
      <c r="H50" s="240"/>
      <c r="J50" s="221" t="s">
        <v>128</v>
      </c>
      <c r="K50" s="226">
        <v>10</v>
      </c>
      <c r="L50" s="220" t="s">
        <v>190</v>
      </c>
      <c r="M50" s="221" t="s">
        <v>199</v>
      </c>
      <c r="N50" s="223">
        <v>469.56455085816941</v>
      </c>
      <c r="O50" s="223">
        <v>646.73014272871137</v>
      </c>
      <c r="P50" s="220" t="s">
        <v>222</v>
      </c>
      <c r="Q50" s="223">
        <v>558.14734679344042</v>
      </c>
    </row>
    <row r="51" spans="1:17" x14ac:dyDescent="0.25">
      <c r="A51" s="8" t="s">
        <v>37</v>
      </c>
      <c r="B51" s="231">
        <v>0</v>
      </c>
      <c r="C51" s="197">
        <v>0</v>
      </c>
      <c r="D51" s="233">
        <v>0</v>
      </c>
      <c r="E51" s="197">
        <v>0</v>
      </c>
      <c r="F51" s="239" t="s">
        <v>222</v>
      </c>
      <c r="G51" t="s">
        <v>222</v>
      </c>
      <c r="H51" s="240"/>
      <c r="J51" s="220"/>
      <c r="K51" s="225"/>
      <c r="L51" s="209" t="s">
        <v>190</v>
      </c>
      <c r="M51" s="210" t="s">
        <v>198</v>
      </c>
      <c r="N51" s="211">
        <v>6.09474586327618</v>
      </c>
      <c r="O51" s="211">
        <v>8.115403944321816</v>
      </c>
      <c r="P51" s="209" t="s">
        <v>222</v>
      </c>
      <c r="Q51" s="211">
        <v>7.1050749037989984</v>
      </c>
    </row>
    <row r="52" spans="1:17" x14ac:dyDescent="0.25">
      <c r="A52" s="8" t="s">
        <v>154</v>
      </c>
      <c r="B52" s="231">
        <v>92.185432168460082</v>
      </c>
      <c r="C52" s="197">
        <v>33.22102872098835</v>
      </c>
      <c r="D52" s="234">
        <v>0</v>
      </c>
      <c r="E52" s="197">
        <v>0</v>
      </c>
      <c r="F52" s="237">
        <v>0</v>
      </c>
      <c r="G52" s="200" t="s">
        <v>222</v>
      </c>
      <c r="H52" s="240"/>
      <c r="J52" s="220"/>
      <c r="K52" s="225"/>
      <c r="L52" s="220" t="s">
        <v>201</v>
      </c>
      <c r="M52" s="221" t="s">
        <v>199</v>
      </c>
      <c r="N52" s="223">
        <v>117.0693038120192</v>
      </c>
      <c r="O52" s="223">
        <v>113.16420372890273</v>
      </c>
      <c r="P52" s="220" t="s">
        <v>222</v>
      </c>
      <c r="Q52" s="223">
        <v>115.11675377046097</v>
      </c>
    </row>
    <row r="53" spans="1:17" x14ac:dyDescent="0.25">
      <c r="A53" s="8" t="s">
        <v>115</v>
      </c>
      <c r="B53" s="231">
        <v>0</v>
      </c>
      <c r="C53" s="197">
        <v>0</v>
      </c>
      <c r="D53" s="233">
        <v>0</v>
      </c>
      <c r="E53" s="197">
        <v>0</v>
      </c>
      <c r="F53" s="239" t="s">
        <v>222</v>
      </c>
      <c r="G53" t="s">
        <v>222</v>
      </c>
      <c r="H53" s="240"/>
      <c r="J53" s="220"/>
      <c r="K53" s="225"/>
      <c r="L53" s="209" t="s">
        <v>201</v>
      </c>
      <c r="M53" s="210" t="s">
        <v>198</v>
      </c>
      <c r="N53" s="211">
        <v>1.6033799432695406</v>
      </c>
      <c r="O53" s="211">
        <v>1.395596753085022</v>
      </c>
      <c r="P53" s="209" t="s">
        <v>222</v>
      </c>
      <c r="Q53" s="211">
        <v>1.4994883481772812</v>
      </c>
    </row>
    <row r="54" spans="1:17" ht="15.75" thickBot="1" x14ac:dyDescent="0.3">
      <c r="A54" s="8" t="s">
        <v>141</v>
      </c>
      <c r="B54" s="231">
        <v>44.962892361203487</v>
      </c>
      <c r="C54" s="197">
        <v>11.582316133068872</v>
      </c>
      <c r="D54" s="233">
        <v>25.319686257043294</v>
      </c>
      <c r="E54" s="204">
        <v>2.4016042779810371</v>
      </c>
      <c r="F54" s="238">
        <v>0.56312405469027482</v>
      </c>
      <c r="G54" s="200">
        <v>0.15458046701119166</v>
      </c>
      <c r="H54" s="240"/>
      <c r="J54" s="213"/>
      <c r="K54" s="227"/>
      <c r="L54" s="213" t="s">
        <v>210</v>
      </c>
      <c r="M54" s="214" t="s">
        <v>172</v>
      </c>
      <c r="N54" s="218">
        <v>0.24931461201248056</v>
      </c>
      <c r="O54" s="218">
        <v>0.17497901559286461</v>
      </c>
      <c r="P54" s="213" t="s">
        <v>222</v>
      </c>
      <c r="Q54" s="218">
        <v>0.21214681380267258</v>
      </c>
    </row>
    <row r="55" spans="1:17" x14ac:dyDescent="0.25">
      <c r="A55" s="8" t="s">
        <v>128</v>
      </c>
      <c r="B55" s="230">
        <v>558.14734679344042</v>
      </c>
      <c r="C55" s="205">
        <v>125.27499140458814</v>
      </c>
      <c r="D55" s="234">
        <v>115.11675377046097</v>
      </c>
      <c r="E55" s="204">
        <v>2.7613227499838033</v>
      </c>
      <c r="F55" s="238">
        <v>0.2062479637891452</v>
      </c>
      <c r="G55" s="199">
        <v>4.6555532100546582E-2</v>
      </c>
      <c r="H55" s="240"/>
      <c r="J55" s="221" t="s">
        <v>63</v>
      </c>
      <c r="K55" s="226">
        <v>10</v>
      </c>
      <c r="L55" s="220" t="s">
        <v>190</v>
      </c>
      <c r="M55" s="221" t="s">
        <v>199</v>
      </c>
      <c r="N55" s="223">
        <v>0</v>
      </c>
      <c r="O55" s="223">
        <v>0</v>
      </c>
      <c r="P55" s="220" t="s">
        <v>222</v>
      </c>
      <c r="Q55" s="223">
        <v>0</v>
      </c>
    </row>
    <row r="56" spans="1:17" ht="15.75" thickBot="1" x14ac:dyDescent="0.3">
      <c r="A56" s="11" t="s">
        <v>63</v>
      </c>
      <c r="B56" s="232">
        <v>0</v>
      </c>
      <c r="C56" s="201">
        <v>0</v>
      </c>
      <c r="D56" s="235">
        <v>0</v>
      </c>
      <c r="E56" s="201">
        <v>0</v>
      </c>
      <c r="F56" s="235" t="s">
        <v>222</v>
      </c>
      <c r="G56" s="203" t="s">
        <v>222</v>
      </c>
      <c r="H56" s="241"/>
      <c r="J56" s="220"/>
      <c r="K56" s="225"/>
      <c r="L56" s="209" t="s">
        <v>190</v>
      </c>
      <c r="M56" s="210" t="s">
        <v>198</v>
      </c>
      <c r="N56" s="211">
        <v>1.687198223985048</v>
      </c>
      <c r="O56" s="211">
        <v>1.5450606439378898</v>
      </c>
      <c r="P56" s="209" t="s">
        <v>222</v>
      </c>
      <c r="Q56" s="211">
        <v>1.6161294339614689</v>
      </c>
    </row>
    <row r="57" spans="1:17" ht="15.75" thickTop="1" x14ac:dyDescent="0.25">
      <c r="J57" s="220"/>
      <c r="K57" s="225"/>
      <c r="L57" s="220" t="s">
        <v>201</v>
      </c>
      <c r="M57" s="221" t="s">
        <v>199</v>
      </c>
      <c r="N57" s="222">
        <v>0</v>
      </c>
      <c r="O57" s="222">
        <v>0</v>
      </c>
      <c r="P57" s="220" t="s">
        <v>222</v>
      </c>
      <c r="Q57" s="222">
        <v>0</v>
      </c>
    </row>
    <row r="58" spans="1:17" x14ac:dyDescent="0.25">
      <c r="J58" s="220"/>
      <c r="K58" s="225"/>
      <c r="L58" s="209" t="s">
        <v>201</v>
      </c>
      <c r="M58" s="210" t="s">
        <v>198</v>
      </c>
      <c r="N58" s="211">
        <v>1.2782252866455266</v>
      </c>
      <c r="O58" s="211">
        <v>1.354470002392296</v>
      </c>
      <c r="P58" s="209" t="s">
        <v>222</v>
      </c>
      <c r="Q58" s="211">
        <v>1.3163476445189113</v>
      </c>
    </row>
    <row r="59" spans="1:17" ht="15.75" thickBot="1" x14ac:dyDescent="0.3">
      <c r="J59" s="203"/>
      <c r="K59" s="228"/>
      <c r="L59" s="203" t="s">
        <v>210</v>
      </c>
      <c r="M59" s="12" t="s">
        <v>172</v>
      </c>
      <c r="N59" s="202" t="s">
        <v>222</v>
      </c>
      <c r="O59" s="202" t="s">
        <v>222</v>
      </c>
      <c r="P59" s="203" t="s">
        <v>222</v>
      </c>
      <c r="Q59" s="202" t="s">
        <v>222</v>
      </c>
    </row>
    <row r="60" spans="1:17" ht="15.75" thickTop="1" x14ac:dyDescent="0.25"/>
  </sheetData>
  <mergeCells count="4">
    <mergeCell ref="A1:A2"/>
    <mergeCell ref="D5:G5"/>
    <mergeCell ref="D6:G6"/>
    <mergeCell ref="A20:G20"/>
  </mergeCell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36"/>
  <sheetViews>
    <sheetView workbookViewId="0">
      <selection sqref="A1:A2"/>
    </sheetView>
  </sheetViews>
  <sheetFormatPr defaultRowHeight="15" x14ac:dyDescent="0.25"/>
  <cols>
    <col min="1" max="1" width="15.5703125" style="245" customWidth="1"/>
    <col min="2" max="2" width="9.5703125" style="245" bestFit="1" customWidth="1"/>
    <col min="3" max="3" width="9.140625" style="245"/>
    <col min="4" max="5" width="13.140625" style="245" customWidth="1"/>
    <col min="6" max="6" width="11.42578125" style="245" customWidth="1"/>
    <col min="7" max="8" width="50.7109375" customWidth="1"/>
    <col min="10" max="10" width="10.5703125" bestFit="1" customWidth="1"/>
    <col min="11" max="11" width="13.85546875" style="245" customWidth="1"/>
    <col min="12" max="12" width="17" bestFit="1" customWidth="1"/>
    <col min="13" max="13" width="12" bestFit="1" customWidth="1"/>
    <col min="14" max="14" width="6.42578125" bestFit="1" customWidth="1"/>
    <col min="15" max="15" width="7.7109375" bestFit="1" customWidth="1"/>
    <col min="16" max="16" width="6.140625" bestFit="1" customWidth="1"/>
    <col min="17" max="17" width="6.42578125" bestFit="1" customWidth="1"/>
  </cols>
  <sheetData>
    <row r="1" spans="1:17" ht="15.75" x14ac:dyDescent="0.25">
      <c r="A1" s="385"/>
      <c r="B1" s="5"/>
      <c r="J1" s="220"/>
      <c r="K1" s="225"/>
      <c r="L1" s="220"/>
      <c r="M1" s="220"/>
      <c r="N1" s="220"/>
      <c r="O1" s="220"/>
      <c r="P1" s="220"/>
      <c r="Q1" s="220"/>
    </row>
    <row r="2" spans="1:17" x14ac:dyDescent="0.25">
      <c r="A2" s="385"/>
      <c r="B2" s="6">
        <v>44315.548692129632</v>
      </c>
      <c r="J2" s="220"/>
      <c r="K2" s="225"/>
      <c r="L2" s="220"/>
      <c r="M2" s="220"/>
      <c r="N2" s="220"/>
      <c r="O2" s="220"/>
      <c r="P2" s="220"/>
      <c r="Q2" s="220"/>
    </row>
    <row r="3" spans="1:17" ht="15.75" thickBot="1" x14ac:dyDescent="0.3">
      <c r="J3" s="220"/>
      <c r="K3" s="225"/>
      <c r="L3" s="220"/>
      <c r="M3" s="220"/>
      <c r="N3" s="220"/>
      <c r="O3" s="220"/>
      <c r="P3" s="220"/>
      <c r="Q3" s="220"/>
    </row>
    <row r="4" spans="1:17" s="10" customFormat="1" ht="73.5" thickTop="1" thickBot="1" x14ac:dyDescent="0.3">
      <c r="A4" s="14" t="s">
        <v>167</v>
      </c>
      <c r="B4" s="14" t="s">
        <v>168</v>
      </c>
      <c r="C4" s="14" t="s">
        <v>169</v>
      </c>
      <c r="D4" s="14" t="s">
        <v>170</v>
      </c>
      <c r="E4" s="14" t="s">
        <v>171</v>
      </c>
      <c r="F4" s="14" t="s">
        <v>172</v>
      </c>
      <c r="G4" s="14" t="s">
        <v>173</v>
      </c>
      <c r="H4" s="9"/>
      <c r="I4" s="9"/>
      <c r="J4" s="14" t="s">
        <v>167</v>
      </c>
      <c r="K4" s="14" t="s">
        <v>174</v>
      </c>
      <c r="L4" s="14" t="s">
        <v>175</v>
      </c>
      <c r="M4" s="14" t="s">
        <v>176</v>
      </c>
      <c r="N4" s="14" t="s">
        <v>177</v>
      </c>
      <c r="O4" s="14" t="s">
        <v>178</v>
      </c>
      <c r="P4" s="14" t="s">
        <v>179</v>
      </c>
      <c r="Q4" s="14" t="s">
        <v>180</v>
      </c>
    </row>
    <row r="5" spans="1:17" ht="15.75" thickTop="1" x14ac:dyDescent="0.25">
      <c r="A5" s="8" t="s">
        <v>224</v>
      </c>
      <c r="B5" s="197">
        <f>[1]Data!$F$21</f>
        <v>10</v>
      </c>
      <c r="C5" s="204">
        <f>[1]Data!$F$20</f>
        <v>2</v>
      </c>
      <c r="D5" s="204">
        <f>[1]Data!$M$10</f>
        <v>1.1795079474672412</v>
      </c>
      <c r="E5" s="204">
        <f>[1]Data!$M$21</f>
        <v>1.1433363120159894</v>
      </c>
      <c r="F5" s="207">
        <f>[1]Data!$M$22</f>
        <v>0.96903701310854384</v>
      </c>
      <c r="G5" t="s">
        <v>271</v>
      </c>
      <c r="J5" s="221" t="s">
        <v>224</v>
      </c>
      <c r="K5" s="226">
        <f>[1]Data!$F$21</f>
        <v>10</v>
      </c>
      <c r="L5" s="220" t="s">
        <v>190</v>
      </c>
      <c r="M5" s="221" t="s">
        <v>199</v>
      </c>
      <c r="N5" s="224">
        <f>[1]Data!$J$10</f>
        <v>1.154599460952588</v>
      </c>
      <c r="O5" s="224">
        <f>[1]Data!$K$10</f>
        <v>1.2044164339818946</v>
      </c>
      <c r="P5" s="220" t="str">
        <f>[1]Data!$L$10</f>
        <v/>
      </c>
      <c r="Q5" s="224">
        <f>AVERAGE($N5:$P5)</f>
        <v>1.1795079474672412</v>
      </c>
    </row>
    <row r="6" spans="1:17" x14ac:dyDescent="0.25">
      <c r="A6" s="8" t="s">
        <v>241</v>
      </c>
      <c r="B6" s="197">
        <f>[1]Data!$F$47</f>
        <v>10</v>
      </c>
      <c r="C6" s="204">
        <f>[1]Data!$F$46</f>
        <v>2</v>
      </c>
      <c r="D6" s="207">
        <f>[1]Data!$M$36</f>
        <v>0.22039385257422295</v>
      </c>
      <c r="E6" s="204">
        <f>[1]Data!$M$47</f>
        <v>4.2490821133365069</v>
      </c>
      <c r="F6" s="197">
        <f>[1]Data!$M$48</f>
        <v>23.293113464904252</v>
      </c>
      <c r="G6" t="s">
        <v>272</v>
      </c>
      <c r="J6" s="220"/>
      <c r="K6" s="225"/>
      <c r="L6" s="209" t="s">
        <v>190</v>
      </c>
      <c r="M6" s="210" t="s">
        <v>198</v>
      </c>
      <c r="N6" s="212">
        <f>[1]Data!$J9</f>
        <v>0.87757815157662677</v>
      </c>
      <c r="O6" s="212">
        <f>[1]Data!$K9</f>
        <v>0.85729265987329162</v>
      </c>
      <c r="P6" s="209" t="str">
        <f>[1]Data!$L9</f>
        <v/>
      </c>
      <c r="Q6" s="212">
        <f>[1]Data!$M9</f>
        <v>0.86743540572495914</v>
      </c>
    </row>
    <row r="7" spans="1:17" ht="15.75" thickBot="1" x14ac:dyDescent="0.3">
      <c r="A7" s="11" t="s">
        <v>255</v>
      </c>
      <c r="B7" s="201">
        <f>[1]Data!$F$73</f>
        <v>10</v>
      </c>
      <c r="C7" s="208">
        <f>[1]Data!$F$72</f>
        <v>2</v>
      </c>
      <c r="D7" s="201">
        <f>[1]Data!$M$62</f>
        <v>34.824974402095322</v>
      </c>
      <c r="E7" s="201">
        <f>[1]Data!$M$73</f>
        <v>19.214973732768481</v>
      </c>
      <c r="F7" s="364">
        <f>[1]Data!$M$74</f>
        <v>0.55482273002412374</v>
      </c>
      <c r="G7" s="203" t="s">
        <v>273</v>
      </c>
      <c r="J7" s="220"/>
      <c r="K7" s="225"/>
      <c r="L7" s="220" t="s">
        <v>201</v>
      </c>
      <c r="M7" s="221" t="s">
        <v>199</v>
      </c>
      <c r="N7" s="224">
        <f>[1]Data!$J$21</f>
        <v>1.1026511573846398</v>
      </c>
      <c r="O7" s="224">
        <f>[1]Data!$K$21</f>
        <v>1.184021466647339</v>
      </c>
      <c r="P7" s="220" t="str">
        <f>[1]Data!$L$21</f>
        <v/>
      </c>
      <c r="Q7" s="224">
        <f>AVERAGE($N7:$P7)</f>
        <v>1.1433363120159894</v>
      </c>
    </row>
    <row r="8" spans="1:17" ht="31.5" customHeight="1" thickTop="1" x14ac:dyDescent="0.25">
      <c r="A8" s="389" t="s">
        <v>209</v>
      </c>
      <c r="B8" s="389"/>
      <c r="C8" s="389"/>
      <c r="D8" s="389"/>
      <c r="E8" s="389"/>
      <c r="F8" s="389"/>
      <c r="G8" s="389"/>
      <c r="J8" s="220"/>
      <c r="K8" s="225"/>
      <c r="L8" s="209" t="s">
        <v>201</v>
      </c>
      <c r="M8" s="210" t="s">
        <v>198</v>
      </c>
      <c r="N8" s="212">
        <f>[1]Data!$J20</f>
        <v>0.95666839690100214</v>
      </c>
      <c r="O8" s="212">
        <f>[1]Data!$K20</f>
        <v>0.95376896494487218</v>
      </c>
      <c r="P8" s="209" t="str">
        <f>[1]Data!$L20</f>
        <v/>
      </c>
      <c r="Q8" s="212">
        <f>[1]Data!$M20</f>
        <v>0.95521868092293716</v>
      </c>
    </row>
    <row r="9" spans="1:17" ht="15.75" thickBot="1" x14ac:dyDescent="0.3">
      <c r="J9" s="213"/>
      <c r="K9" s="227"/>
      <c r="L9" s="213" t="s">
        <v>210</v>
      </c>
      <c r="M9" s="214" t="s">
        <v>172</v>
      </c>
      <c r="N9" s="218">
        <f>IFERROR([1]Data!$J21/ [1]Data!$J10,"")</f>
        <v>0.95500751098126369</v>
      </c>
      <c r="O9" s="218">
        <f>IFERROR([1]Data!$K21/ [1]Data!$K10,"")</f>
        <v>0.983066515235824</v>
      </c>
      <c r="P9" s="213" t="str">
        <f>IFERROR([1]Data!$L21/ [1]Data!$L10,"")</f>
        <v/>
      </c>
      <c r="Q9" s="218">
        <f>IFERROR(AVERAGE($N9:$P9),"")</f>
        <v>0.96903701310854384</v>
      </c>
    </row>
    <row r="10" spans="1:17" x14ac:dyDescent="0.25">
      <c r="J10" s="221" t="s">
        <v>241</v>
      </c>
      <c r="K10" s="226">
        <f>[1]Data!$F$47</f>
        <v>10</v>
      </c>
      <c r="L10" s="220" t="s">
        <v>190</v>
      </c>
      <c r="M10" s="221" t="s">
        <v>199</v>
      </c>
      <c r="N10" s="365">
        <f>[1]Data!$J$36</f>
        <v>0.11920228606265922</v>
      </c>
      <c r="O10" s="365">
        <f>[1]Data!$K$36</f>
        <v>0.32158541908578669</v>
      </c>
      <c r="P10" s="220" t="str">
        <f>[1]Data!$L$36</f>
        <v/>
      </c>
      <c r="Q10" s="365">
        <f>AVERAGE($N10:$P10)</f>
        <v>0.22039385257422295</v>
      </c>
    </row>
    <row r="11" spans="1:17" x14ac:dyDescent="0.25">
      <c r="J11" s="220"/>
      <c r="K11" s="225"/>
      <c r="L11" s="209" t="s">
        <v>190</v>
      </c>
      <c r="M11" s="210" t="s">
        <v>198</v>
      </c>
      <c r="N11" s="212">
        <f>[1]Data!$J35</f>
        <v>0.70339995365815799</v>
      </c>
      <c r="O11" s="212">
        <f>[1]Data!$K35</f>
        <v>0.64466420712845496</v>
      </c>
      <c r="P11" s="209" t="str">
        <f>[1]Data!$L35</f>
        <v/>
      </c>
      <c r="Q11" s="212">
        <f>[1]Data!$M35</f>
        <v>0.67403208039330642</v>
      </c>
    </row>
    <row r="12" spans="1:17" x14ac:dyDescent="0.25">
      <c r="J12" s="220"/>
      <c r="K12" s="225"/>
      <c r="L12" s="220" t="s">
        <v>201</v>
      </c>
      <c r="M12" s="221" t="s">
        <v>199</v>
      </c>
      <c r="N12" s="224">
        <f>[1]Data!$J$47</f>
        <v>3.8186119074748164</v>
      </c>
      <c r="O12" s="224">
        <f>[1]Data!$K$47</f>
        <v>4.6795523191981969</v>
      </c>
      <c r="P12" s="220" t="str">
        <f>[1]Data!$L$47</f>
        <v/>
      </c>
      <c r="Q12" s="224">
        <f>AVERAGE($N12:$P12)</f>
        <v>4.2490821133365069</v>
      </c>
    </row>
    <row r="13" spans="1:17" x14ac:dyDescent="0.25">
      <c r="J13" s="220"/>
      <c r="K13" s="225"/>
      <c r="L13" s="209" t="s">
        <v>201</v>
      </c>
      <c r="M13" s="210" t="s">
        <v>198</v>
      </c>
      <c r="N13" s="212">
        <f>[1]Data!$J46</f>
        <v>0.78163184193071322</v>
      </c>
      <c r="O13" s="212">
        <f>[1]Data!$K46</f>
        <v>0.86009643839294725</v>
      </c>
      <c r="P13" s="209" t="str">
        <f>[1]Data!$L46</f>
        <v/>
      </c>
      <c r="Q13" s="212">
        <f>[1]Data!$M46</f>
        <v>0.82086414016183018</v>
      </c>
    </row>
    <row r="14" spans="1:17" ht="15.75" thickBot="1" x14ac:dyDescent="0.3">
      <c r="J14" s="213"/>
      <c r="K14" s="227"/>
      <c r="L14" s="213" t="s">
        <v>210</v>
      </c>
      <c r="M14" s="214" t="s">
        <v>172</v>
      </c>
      <c r="N14" s="366">
        <f>IFERROR([1]Data!$J47/ [1]Data!$J36,"")</f>
        <v>32.034720420274034</v>
      </c>
      <c r="O14" s="366">
        <f>IFERROR([1]Data!$K47/ [1]Data!$K36,"")</f>
        <v>14.551506509534473</v>
      </c>
      <c r="P14" s="213" t="str">
        <f>IFERROR([1]Data!$L47/ [1]Data!$L36,"")</f>
        <v/>
      </c>
      <c r="Q14" s="366">
        <f>IFERROR(AVERAGE($N14:$P14),"")</f>
        <v>23.293113464904252</v>
      </c>
    </row>
    <row r="15" spans="1:17" x14ac:dyDescent="0.25">
      <c r="J15" s="221" t="s">
        <v>255</v>
      </c>
      <c r="K15" s="226">
        <f>[1]Data!$F$73</f>
        <v>10</v>
      </c>
      <c r="L15" s="220" t="s">
        <v>190</v>
      </c>
      <c r="M15" s="221" t="s">
        <v>199</v>
      </c>
      <c r="N15" s="222">
        <f>[1]Data!$J$62</f>
        <v>36.350264233817079</v>
      </c>
      <c r="O15" s="222">
        <f>[1]Data!$K$62</f>
        <v>33.299684570373572</v>
      </c>
      <c r="P15" s="220" t="str">
        <f>[1]Data!$L$62</f>
        <v/>
      </c>
      <c r="Q15" s="222">
        <f>AVERAGE($N15:$P15)</f>
        <v>34.824974402095322</v>
      </c>
    </row>
    <row r="16" spans="1:17" x14ac:dyDescent="0.25">
      <c r="J16" s="220"/>
      <c r="K16" s="225"/>
      <c r="L16" s="209" t="s">
        <v>190</v>
      </c>
      <c r="M16" s="210" t="s">
        <v>198</v>
      </c>
      <c r="N16" s="212">
        <f>[1]Data!$J61</f>
        <v>0.87827822052017779</v>
      </c>
      <c r="O16" s="212">
        <f>[1]Data!$K61</f>
        <v>0.95895106752918002</v>
      </c>
      <c r="P16" s="209" t="str">
        <f>[1]Data!$L61</f>
        <v/>
      </c>
      <c r="Q16" s="212">
        <f>[1]Data!$M61</f>
        <v>0.91861464402467896</v>
      </c>
    </row>
    <row r="17" spans="1:17" x14ac:dyDescent="0.25">
      <c r="J17" s="220"/>
      <c r="K17" s="225"/>
      <c r="L17" s="220" t="s">
        <v>201</v>
      </c>
      <c r="M17" s="221" t="s">
        <v>199</v>
      </c>
      <c r="N17" s="222">
        <f>[1]Data!$J$73</f>
        <v>17.624784414007454</v>
      </c>
      <c r="O17" s="222">
        <f>[1]Data!$K$73</f>
        <v>20.805163051529508</v>
      </c>
      <c r="P17" s="220" t="str">
        <f>[1]Data!$L$73</f>
        <v/>
      </c>
      <c r="Q17" s="222">
        <f>AVERAGE($N17:$P17)</f>
        <v>19.214973732768481</v>
      </c>
    </row>
    <row r="18" spans="1:17" x14ac:dyDescent="0.25">
      <c r="J18" s="220"/>
      <c r="K18" s="225"/>
      <c r="L18" s="209" t="s">
        <v>201</v>
      </c>
      <c r="M18" s="210" t="s">
        <v>198</v>
      </c>
      <c r="N18" s="212">
        <f>[1]Data!$J72</f>
        <v>0.8832388453511717</v>
      </c>
      <c r="O18" s="212">
        <f>[1]Data!$K72</f>
        <v>0.80628745925819123</v>
      </c>
      <c r="P18" s="209" t="str">
        <f>[1]Data!$L72</f>
        <v/>
      </c>
      <c r="Q18" s="212">
        <f>[1]Data!$M72</f>
        <v>0.84476315230468146</v>
      </c>
    </row>
    <row r="19" spans="1:17" ht="15.75" thickBot="1" x14ac:dyDescent="0.3">
      <c r="J19" s="203"/>
      <c r="K19" s="228"/>
      <c r="L19" s="203" t="s">
        <v>210</v>
      </c>
      <c r="M19" s="12" t="s">
        <v>172</v>
      </c>
      <c r="N19" s="367">
        <f>IFERROR([1]Data!$J73/ [1]Data!$J62,"")</f>
        <v>0.48485987063639857</v>
      </c>
      <c r="O19" s="367">
        <f>IFERROR([1]Data!$K73/ [1]Data!$K62,"")</f>
        <v>0.62478558941184903</v>
      </c>
      <c r="P19" s="203" t="str">
        <f>IFERROR([1]Data!$L73/ [1]Data!$L62,"")</f>
        <v/>
      </c>
      <c r="Q19" s="367">
        <f>IFERROR(AVERAGE($N19:$P19),"")</f>
        <v>0.55482273002412374</v>
      </c>
    </row>
    <row r="20" spans="1:17" ht="15.75" thickTop="1" x14ac:dyDescent="0.25"/>
    <row r="31" spans="1:17" ht="15.75" thickBot="1" x14ac:dyDescent="0.3"/>
    <row r="32" spans="1:17" ht="16.5" thickTop="1" thickBot="1" x14ac:dyDescent="0.3">
      <c r="A32" s="13" t="s">
        <v>211</v>
      </c>
      <c r="B32" s="229" t="s">
        <v>190</v>
      </c>
      <c r="C32" s="13" t="s">
        <v>212</v>
      </c>
      <c r="D32" s="229" t="s">
        <v>201</v>
      </c>
      <c r="E32" s="13" t="s">
        <v>212</v>
      </c>
      <c r="F32" s="229" t="s">
        <v>213</v>
      </c>
      <c r="G32" s="13" t="s">
        <v>212</v>
      </c>
      <c r="H32" s="229" t="s">
        <v>173</v>
      </c>
    </row>
    <row r="33" spans="1:8" ht="15.75" thickTop="1" x14ac:dyDescent="0.25">
      <c r="A33" s="8" t="s">
        <v>224</v>
      </c>
      <c r="B33" s="368">
        <f>[1]Data!M10</f>
        <v>1.1795079474672412</v>
      </c>
      <c r="C33" s="206">
        <f>[1]Data!N10</f>
        <v>3.522591944721E-2</v>
      </c>
      <c r="D33" s="369">
        <f>[1]Data!M21</f>
        <v>1.1433363120159894</v>
      </c>
      <c r="E33" s="206">
        <f>[1]Data!N21</f>
        <v>5.7537497466901122E-2</v>
      </c>
      <c r="F33" s="370">
        <f>IFERROR($D33 / $B33,"")</f>
        <v>0.96933328382490069</v>
      </c>
      <c r="G33" s="199">
        <f>IFERROR($F33 * SQRT( ($C33^2 / $B33^2) + ($E33^2 /$D33^2) ),"")</f>
        <v>5.6724138818064325E-2</v>
      </c>
      <c r="H33" s="371"/>
    </row>
    <row r="34" spans="1:8" x14ac:dyDescent="0.25">
      <c r="A34" s="8" t="s">
        <v>241</v>
      </c>
      <c r="B34" s="372">
        <f>[1]Data!M36</f>
        <v>0.22039385257422295</v>
      </c>
      <c r="C34" s="207">
        <f>[1]Data!N36</f>
        <v>0.14310648575843257</v>
      </c>
      <c r="D34" s="237">
        <f>[1]Data!M47</f>
        <v>4.2490821133365069</v>
      </c>
      <c r="E34" s="207">
        <f>[1]Data!N47</f>
        <v>0.60877680332713657</v>
      </c>
      <c r="F34" s="233">
        <f>IFERROR($D34 / $B34,"")</f>
        <v>19.279494703263222</v>
      </c>
      <c r="G34" s="373">
        <f>IFERROR($F34 * SQRT( ($C34^2 / $B34^2) + ($E34^2 /$D34^2) ),"")</f>
        <v>12.819712128881225</v>
      </c>
      <c r="H34" s="240"/>
    </row>
    <row r="35" spans="1:8" ht="15.75" thickBot="1" x14ac:dyDescent="0.3">
      <c r="A35" s="11" t="s">
        <v>255</v>
      </c>
      <c r="B35" s="374">
        <f>[1]Data!M62</f>
        <v>34.824974402095322</v>
      </c>
      <c r="C35" s="208">
        <f>[1]Data!N62</f>
        <v>2.1570855665706796</v>
      </c>
      <c r="D35" s="235">
        <f>[1]Data!M73</f>
        <v>19.214973732768481</v>
      </c>
      <c r="E35" s="208">
        <f>[1]Data!N73</f>
        <v>2.2488673013326772</v>
      </c>
      <c r="F35" s="375">
        <f>IFERROR($D35 / $B35,"")</f>
        <v>0.55175844527289497</v>
      </c>
      <c r="G35" s="376">
        <f>IFERROR($F35 * SQRT( ($C35^2 / $B35^2) + ($E35^2 /$D35^2) ),"")</f>
        <v>7.306242667833765E-2</v>
      </c>
      <c r="H35" s="241"/>
    </row>
    <row r="36" spans="1:8" ht="15.75" thickTop="1" x14ac:dyDescent="0.25"/>
  </sheetData>
  <mergeCells count="2">
    <mergeCell ref="A1:A2"/>
    <mergeCell ref="A8:G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83"/>
  <sheetViews>
    <sheetView workbookViewId="0">
      <pane ySplit="1" topLeftCell="A2" activePane="bottomLeft" state="frozenSplit"/>
      <selection pane="bottomLeft" activeCell="G273" sqref="G273"/>
    </sheetView>
  </sheetViews>
  <sheetFormatPr defaultRowHeight="15" x14ac:dyDescent="0.25"/>
  <cols>
    <col min="1" max="1" width="29.85546875" style="1" bestFit="1" customWidth="1"/>
    <col min="2" max="2" width="16.140625" style="1" bestFit="1" customWidth="1"/>
    <col min="3" max="3" width="9.85546875" style="1" bestFit="1" customWidth="1"/>
    <col min="4" max="4" width="12" style="1" bestFit="1" customWidth="1"/>
    <col min="5" max="5" width="23" style="1" bestFit="1" customWidth="1"/>
    <col min="6" max="7" width="8.7109375" style="1" customWidth="1"/>
    <col min="8" max="8" width="11.140625" style="1" bestFit="1" customWidth="1"/>
    <col min="9" max="9" width="8" style="1" bestFit="1" customWidth="1"/>
    <col min="10" max="10" width="10" style="1" customWidth="1"/>
    <col min="11" max="11" width="10.140625" style="1" customWidth="1"/>
    <col min="12" max="12" width="4.28515625" style="1" bestFit="1" customWidth="1"/>
    <col min="13" max="13" width="9.28515625" style="1" bestFit="1" customWidth="1"/>
    <col min="14" max="14" width="8.5703125" style="1" bestFit="1" customWidth="1"/>
    <col min="15" max="15" width="8.7109375" style="1" customWidth="1"/>
    <col min="16" max="16" width="11" style="1" bestFit="1" customWidth="1"/>
    <col min="17" max="17" width="14.42578125" style="1" bestFit="1" customWidth="1"/>
    <col min="18" max="18" width="11.140625" style="1" bestFit="1" customWidth="1"/>
    <col min="19" max="19" width="7.5703125" style="1" bestFit="1" customWidth="1"/>
    <col min="20" max="20" width="7.28515625" style="1" bestFit="1" customWidth="1"/>
    <col min="21" max="21" width="6.140625" style="1" bestFit="1" customWidth="1"/>
    <col min="22" max="22" width="8.140625" style="1" bestFit="1" customWidth="1"/>
    <col min="23" max="40" width="8.7109375" style="1" customWidth="1"/>
    <col min="41" max="16384" width="9.140625" style="1"/>
  </cols>
  <sheetData>
    <row r="1" spans="1:18" s="4" customFormat="1" ht="15.75" thickBot="1" x14ac:dyDescent="0.3">
      <c r="A1" s="4" t="s">
        <v>0</v>
      </c>
      <c r="B1" s="4" t="s">
        <v>6</v>
      </c>
      <c r="C1" s="4" t="s">
        <v>9</v>
      </c>
      <c r="D1" s="4" t="s">
        <v>11</v>
      </c>
      <c r="E1" s="4" t="s">
        <v>13</v>
      </c>
      <c r="F1" s="4" t="s">
        <v>14</v>
      </c>
      <c r="H1" s="87" t="s">
        <v>190</v>
      </c>
      <c r="I1" s="4" t="s">
        <v>181</v>
      </c>
      <c r="J1" s="4" t="s">
        <v>182</v>
      </c>
      <c r="K1" s="4" t="s">
        <v>183</v>
      </c>
      <c r="L1" s="4" t="s">
        <v>184</v>
      </c>
      <c r="M1" s="4" t="s">
        <v>185</v>
      </c>
      <c r="N1" s="4" t="s">
        <v>186</v>
      </c>
    </row>
    <row r="2" spans="1:18" ht="15.75" thickTop="1" x14ac:dyDescent="0.25">
      <c r="A2" s="1" t="s">
        <v>19</v>
      </c>
      <c r="B2" s="1" t="s">
        <v>20</v>
      </c>
      <c r="C2" s="1">
        <v>91</v>
      </c>
      <c r="D2" s="1">
        <v>16789.482730502201</v>
      </c>
      <c r="E2" s="1">
        <v>724003.150201443</v>
      </c>
      <c r="F2" s="1">
        <v>2.3189792372907001E-2</v>
      </c>
      <c r="H2" s="88" t="s">
        <v>191</v>
      </c>
      <c r="I2" s="34">
        <v>7.4999999999999997E-2</v>
      </c>
      <c r="J2" s="35">
        <v>2.681641522629799E-2</v>
      </c>
      <c r="K2" s="36">
        <v>-1.0938619685446016E-2</v>
      </c>
      <c r="L2" s="37"/>
      <c r="M2" s="44">
        <v>7.9388977704259872E-3</v>
      </c>
      <c r="N2" s="45">
        <v>2.6696841210029031E-2</v>
      </c>
      <c r="P2" s="1" t="s">
        <v>190</v>
      </c>
      <c r="Q2" s="53">
        <v>-1905.8899155926838</v>
      </c>
      <c r="R2" s="53">
        <v>2349.8745780796849</v>
      </c>
    </row>
    <row r="3" spans="1:18" x14ac:dyDescent="0.25">
      <c r="A3" s="1" t="s">
        <v>23</v>
      </c>
      <c r="B3" s="1" t="s">
        <v>20</v>
      </c>
      <c r="C3" s="1">
        <v>91</v>
      </c>
      <c r="D3" s="1">
        <v>23494.467389735699</v>
      </c>
      <c r="E3" s="1">
        <v>767393.257466326</v>
      </c>
      <c r="F3" s="1">
        <v>3.0615941906118001E-2</v>
      </c>
      <c r="H3" s="89" t="s">
        <v>192</v>
      </c>
      <c r="I3" s="29">
        <v>0.25</v>
      </c>
      <c r="J3" s="30">
        <v>1.8735726022699878E-3</v>
      </c>
      <c r="K3" s="31">
        <v>-7.2309507141322005E-2</v>
      </c>
      <c r="L3" s="26"/>
      <c r="M3" s="32">
        <v>-3.5217967269526008E-2</v>
      </c>
      <c r="N3" s="46">
        <v>5.2455358735996306E-2</v>
      </c>
      <c r="P3" s="1" t="s">
        <v>201</v>
      </c>
      <c r="Q3" s="17">
        <v>40.862685139792461</v>
      </c>
      <c r="R3" s="17">
        <v>42.662904462447997</v>
      </c>
    </row>
    <row r="4" spans="1:18" x14ac:dyDescent="0.25">
      <c r="A4" s="1" t="s">
        <v>22</v>
      </c>
      <c r="B4" s="1" t="s">
        <v>20</v>
      </c>
      <c r="C4" s="1">
        <v>91</v>
      </c>
      <c r="D4" s="1">
        <v>21813.509530008501</v>
      </c>
      <c r="E4" s="1">
        <v>382677.237752121</v>
      </c>
      <c r="F4" s="1">
        <v>5.7002370086454E-2</v>
      </c>
      <c r="H4" s="89" t="s">
        <v>193</v>
      </c>
      <c r="I4" s="32">
        <v>7.4999999999999997E-2</v>
      </c>
      <c r="J4" s="30">
        <v>-2.4210379181500152E-3</v>
      </c>
      <c r="K4" s="30">
        <v>6.3980257431819898E-3</v>
      </c>
      <c r="L4" s="26"/>
      <c r="M4" s="29">
        <v>1.9884939125159873E-3</v>
      </c>
      <c r="N4" s="47">
        <v>6.2360197186437224E-3</v>
      </c>
    </row>
    <row r="5" spans="1:18" x14ac:dyDescent="0.25">
      <c r="A5" s="1" t="s">
        <v>24</v>
      </c>
      <c r="B5" s="1" t="s">
        <v>20</v>
      </c>
      <c r="C5" s="1">
        <v>91</v>
      </c>
      <c r="D5" s="1">
        <v>13384.432629643101</v>
      </c>
      <c r="E5" s="1">
        <v>327471.84305237798</v>
      </c>
      <c r="F5" s="1">
        <v>4.0872010567035003E-2</v>
      </c>
      <c r="H5" s="89" t="s">
        <v>194</v>
      </c>
      <c r="I5" s="26"/>
      <c r="J5" s="26"/>
      <c r="K5" s="26"/>
      <c r="L5" s="26"/>
      <c r="M5" s="26"/>
      <c r="N5" s="38"/>
    </row>
    <row r="6" spans="1:18" ht="15.75" thickBot="1" x14ac:dyDescent="0.3">
      <c r="A6" s="1" t="s">
        <v>29</v>
      </c>
      <c r="B6" s="1" t="s">
        <v>20</v>
      </c>
      <c r="C6" s="1">
        <v>91</v>
      </c>
      <c r="D6" s="1">
        <v>11979.847768867699</v>
      </c>
      <c r="E6" s="1">
        <v>437679.80143792299</v>
      </c>
      <c r="F6" s="1">
        <v>2.737126029008E-2</v>
      </c>
      <c r="H6" s="90" t="s">
        <v>195</v>
      </c>
      <c r="I6" s="27"/>
      <c r="J6" s="33">
        <v>2.3189792372907001E-2</v>
      </c>
      <c r="K6" s="33">
        <v>3.0615941906118001E-2</v>
      </c>
      <c r="L6" s="27"/>
      <c r="M6" s="33">
        <v>2.6902867139512503E-2</v>
      </c>
      <c r="N6" s="48">
        <v>5.2510806930387947E-3</v>
      </c>
    </row>
    <row r="7" spans="1:18" x14ac:dyDescent="0.25">
      <c r="A7" s="1" t="s">
        <v>30</v>
      </c>
      <c r="B7" s="1" t="s">
        <v>20</v>
      </c>
      <c r="C7" s="1">
        <v>91</v>
      </c>
      <c r="D7" s="1">
        <v>3890.7759827535901</v>
      </c>
      <c r="E7" s="1">
        <v>440856.63533809799</v>
      </c>
      <c r="F7" s="1">
        <v>8.8254903541819998E-3</v>
      </c>
      <c r="H7" s="91" t="s">
        <v>196</v>
      </c>
      <c r="I7" s="25"/>
      <c r="J7" s="54">
        <v>6.5054604245485688E-8</v>
      </c>
      <c r="K7" s="40">
        <v>-2.5107467757403474E-6</v>
      </c>
      <c r="L7" s="25"/>
      <c r="M7" s="40">
        <v>-1.2228460857474309E-6</v>
      </c>
      <c r="N7" s="49">
        <v>1.8213666227776496E-6</v>
      </c>
    </row>
    <row r="8" spans="1:18" ht="18" x14ac:dyDescent="0.35">
      <c r="A8" s="1" t="s">
        <v>27</v>
      </c>
      <c r="B8" s="1" t="s">
        <v>20</v>
      </c>
      <c r="C8" s="1">
        <v>91</v>
      </c>
      <c r="D8" s="1">
        <v>12951.899229134</v>
      </c>
      <c r="E8" s="1">
        <v>492512.45195383503</v>
      </c>
      <c r="F8" s="1">
        <v>2.6297607659974999E-2</v>
      </c>
      <c r="H8" s="89" t="s">
        <v>197</v>
      </c>
      <c r="I8" s="26"/>
      <c r="J8" s="55">
        <v>-2.4210379181500152E-3</v>
      </c>
      <c r="K8" s="29">
        <v>6.3980257431819898E-3</v>
      </c>
      <c r="L8" s="26"/>
      <c r="M8" s="50">
        <v>1.9884939125159873E-3</v>
      </c>
      <c r="N8" s="47">
        <v>6.2360197186437224E-3</v>
      </c>
    </row>
    <row r="9" spans="1:18" x14ac:dyDescent="0.25">
      <c r="A9" s="1" t="s">
        <v>28</v>
      </c>
      <c r="B9" s="1" t="s">
        <v>20</v>
      </c>
      <c r="C9" s="1">
        <v>91</v>
      </c>
      <c r="D9" s="1">
        <v>14210.690897951201</v>
      </c>
      <c r="E9" s="1">
        <v>498579.209917525</v>
      </c>
      <c r="F9" s="1">
        <v>2.8502373575308E-2</v>
      </c>
      <c r="H9" s="89" t="s">
        <v>198</v>
      </c>
      <c r="I9" s="26"/>
      <c r="J9" s="56">
        <v>-13.655984892268016</v>
      </c>
      <c r="K9" s="41">
        <v>-39.382509585090332</v>
      </c>
      <c r="L9" s="26" t="s">
        <v>222</v>
      </c>
      <c r="M9" s="41">
        <v>-26.519247238679174</v>
      </c>
      <c r="N9" s="51">
        <v>18.19140006665782</v>
      </c>
    </row>
    <row r="10" spans="1:18" ht="18.75" thickBot="1" x14ac:dyDescent="0.4">
      <c r="A10" s="1" t="s">
        <v>25</v>
      </c>
      <c r="B10" s="1" t="s">
        <v>20</v>
      </c>
      <c r="C10" s="1">
        <v>91</v>
      </c>
      <c r="D10" s="1">
        <v>16419.807636797199</v>
      </c>
      <c r="E10" s="1">
        <v>488583.38536782103</v>
      </c>
      <c r="F10" s="1">
        <v>3.3606970946087E-2</v>
      </c>
      <c r="H10" s="92" t="s">
        <v>200</v>
      </c>
      <c r="I10" s="39"/>
      <c r="J10" s="57">
        <v>-244.27766649466147</v>
      </c>
      <c r="K10" s="43">
        <v>-3567.5021646907062</v>
      </c>
      <c r="L10" s="39" t="s">
        <v>222</v>
      </c>
      <c r="M10" s="42">
        <v>-1905.8899155926838</v>
      </c>
      <c r="N10" s="52">
        <v>2349.8745780796849</v>
      </c>
    </row>
    <row r="11" spans="1:18" ht="15.75" thickTop="1" x14ac:dyDescent="0.25">
      <c r="A11" s="1" t="s">
        <v>26</v>
      </c>
      <c r="B11" s="1" t="s">
        <v>20</v>
      </c>
      <c r="C11" s="1">
        <v>91</v>
      </c>
      <c r="D11" s="1">
        <v>12353.1999185349</v>
      </c>
      <c r="E11" s="1">
        <v>511134.20417821698</v>
      </c>
      <c r="F11" s="1">
        <v>2.4168212218150999E-2</v>
      </c>
      <c r="H11" s="86"/>
    </row>
    <row r="12" spans="1:18" ht="15.75" thickBot="1" x14ac:dyDescent="0.3">
      <c r="A12" s="1" t="s">
        <v>35</v>
      </c>
      <c r="B12" s="1" t="s">
        <v>20</v>
      </c>
      <c r="C12" s="1">
        <v>91</v>
      </c>
      <c r="D12" s="1">
        <v>24000.2101749992</v>
      </c>
      <c r="E12" s="1">
        <v>528382.27264672797</v>
      </c>
      <c r="F12" s="1">
        <v>4.5422057887709998E-2</v>
      </c>
      <c r="H12" s="87" t="s">
        <v>201</v>
      </c>
    </row>
    <row r="13" spans="1:18" ht="15.75" thickTop="1" x14ac:dyDescent="0.25">
      <c r="A13" s="1" t="s">
        <v>36</v>
      </c>
      <c r="B13" s="1" t="s">
        <v>20</v>
      </c>
      <c r="C13" s="1">
        <v>91</v>
      </c>
      <c r="D13" s="1">
        <v>20616.6917919806</v>
      </c>
      <c r="E13" s="1">
        <v>542179.23915253405</v>
      </c>
      <c r="F13" s="1">
        <v>3.8025601688855E-2</v>
      </c>
      <c r="H13" s="93" t="s">
        <v>191</v>
      </c>
      <c r="I13" s="61">
        <v>0.25</v>
      </c>
      <c r="J13" s="62">
        <v>-9.3076551667045995E-2</v>
      </c>
      <c r="K13" s="63">
        <v>-0.161343910918506</v>
      </c>
      <c r="L13" s="64"/>
      <c r="M13" s="74">
        <v>-0.127210231292776</v>
      </c>
      <c r="N13" s="75">
        <v>4.827231266040552E-2</v>
      </c>
    </row>
    <row r="14" spans="1:18" x14ac:dyDescent="0.25">
      <c r="A14" s="1" t="s">
        <v>33</v>
      </c>
      <c r="B14" s="1" t="s">
        <v>20</v>
      </c>
      <c r="C14" s="1">
        <v>91</v>
      </c>
      <c r="D14" s="1">
        <v>5121.67707919641</v>
      </c>
      <c r="E14" s="1">
        <v>287502.01011157699</v>
      </c>
      <c r="F14" s="1">
        <v>1.7814404418280999E-2</v>
      </c>
      <c r="H14" s="94" t="s">
        <v>192</v>
      </c>
      <c r="I14" s="32">
        <v>7.4999999999999997E-2</v>
      </c>
      <c r="J14" s="30">
        <v>-1.4060529756138002E-2</v>
      </c>
      <c r="K14" s="30">
        <v>-4.3646354551557992E-2</v>
      </c>
      <c r="L14" s="26"/>
      <c r="M14" s="29">
        <v>-2.8853442153847997E-2</v>
      </c>
      <c r="N14" s="76">
        <v>2.0920337339838575E-2</v>
      </c>
    </row>
    <row r="15" spans="1:18" x14ac:dyDescent="0.25">
      <c r="A15" s="1" t="s">
        <v>34</v>
      </c>
      <c r="B15" s="1" t="s">
        <v>20</v>
      </c>
      <c r="C15" s="1">
        <v>91</v>
      </c>
      <c r="D15" s="1">
        <v>16556.787231509301</v>
      </c>
      <c r="E15" s="1">
        <v>481443.62275941699</v>
      </c>
      <c r="F15" s="1">
        <v>3.4389877544983002E-2</v>
      </c>
      <c r="H15" s="94" t="s">
        <v>193</v>
      </c>
      <c r="I15" s="29">
        <v>0.25</v>
      </c>
      <c r="J15" s="31">
        <v>-0.124491143633854</v>
      </c>
      <c r="K15" s="30">
        <v>-5.8189251127045982E-2</v>
      </c>
      <c r="L15" s="26"/>
      <c r="M15" s="29">
        <v>-9.1340197380449989E-2</v>
      </c>
      <c r="N15" s="76">
        <v>4.6882517797065509E-2</v>
      </c>
    </row>
    <row r="16" spans="1:18" x14ac:dyDescent="0.25">
      <c r="A16" s="1" t="s">
        <v>31</v>
      </c>
      <c r="B16" s="1" t="s">
        <v>20</v>
      </c>
      <c r="C16" s="1">
        <v>91</v>
      </c>
      <c r="D16" s="1">
        <v>10273.791049780901</v>
      </c>
      <c r="E16" s="1">
        <v>400255.96354888001</v>
      </c>
      <c r="F16" s="1">
        <v>2.5668052409982999E-2</v>
      </c>
      <c r="H16" s="94" t="s">
        <v>194</v>
      </c>
      <c r="I16" s="26"/>
      <c r="J16" s="26"/>
      <c r="K16" s="26"/>
      <c r="L16" s="26"/>
      <c r="M16" s="26"/>
      <c r="N16" s="65"/>
    </row>
    <row r="17" spans="1:22" ht="15.75" thickBot="1" x14ac:dyDescent="0.3">
      <c r="A17" s="1" t="s">
        <v>32</v>
      </c>
      <c r="B17" s="1" t="s">
        <v>20</v>
      </c>
      <c r="C17" s="1">
        <v>91</v>
      </c>
      <c r="D17" s="1">
        <v>4409.4604075705402</v>
      </c>
      <c r="E17" s="1">
        <v>512655.67009097099</v>
      </c>
      <c r="F17" s="1">
        <v>8.6012125971179996E-3</v>
      </c>
      <c r="H17" s="95" t="s">
        <v>195</v>
      </c>
      <c r="I17" s="59"/>
      <c r="J17" s="60">
        <v>5.7002370086454E-2</v>
      </c>
      <c r="K17" s="60">
        <v>4.0872010567035003E-2</v>
      </c>
      <c r="L17" s="59"/>
      <c r="M17" s="60">
        <v>4.8937190326744498E-2</v>
      </c>
      <c r="N17" s="77">
        <v>1.1405886599158177E-2</v>
      </c>
    </row>
    <row r="18" spans="1:22" ht="66.75" thickTop="1" thickBot="1" x14ac:dyDescent="0.3">
      <c r="C18" s="87"/>
      <c r="E18" s="18" t="s">
        <v>12</v>
      </c>
      <c r="F18" s="19">
        <v>4</v>
      </c>
      <c r="H18" s="96" t="s">
        <v>196</v>
      </c>
      <c r="I18" s="58"/>
      <c r="J18" s="83">
        <v>-1.4646385162643751E-7</v>
      </c>
      <c r="K18" s="69">
        <v>-4.5464952657872905E-7</v>
      </c>
      <c r="L18" s="58"/>
      <c r="M18" s="69">
        <v>-3.0055668910258325E-7</v>
      </c>
      <c r="N18" s="78">
        <v>2.1792018062331847E-7</v>
      </c>
      <c r="P18" s="97" t="s">
        <v>202</v>
      </c>
      <c r="Q18" s="98" t="s">
        <v>203</v>
      </c>
      <c r="R18" s="99" t="s">
        <v>176</v>
      </c>
      <c r="S18" s="99" t="s">
        <v>204</v>
      </c>
      <c r="T18" s="99" t="s">
        <v>205</v>
      </c>
      <c r="U18" s="99" t="s">
        <v>206</v>
      </c>
      <c r="V18" s="99" t="s">
        <v>198</v>
      </c>
    </row>
    <row r="19" spans="1:22" ht="18.75" thickTop="1" x14ac:dyDescent="0.35">
      <c r="C19" s="87"/>
      <c r="E19" s="20" t="s">
        <v>187</v>
      </c>
      <c r="F19" s="21">
        <v>0.11</v>
      </c>
      <c r="H19" s="94" t="s">
        <v>197</v>
      </c>
      <c r="I19" s="26"/>
      <c r="J19" s="84">
        <v>-0.124491143633854</v>
      </c>
      <c r="K19" s="29">
        <v>-5.8189251127045982E-2</v>
      </c>
      <c r="L19" s="26"/>
      <c r="M19" s="32">
        <v>-9.1340197380449989E-2</v>
      </c>
      <c r="N19" s="76">
        <v>4.6882517797065509E-2</v>
      </c>
      <c r="Q19" s="100"/>
      <c r="R19" s="100" t="s">
        <v>190</v>
      </c>
      <c r="S19" s="104">
        <v>-244.27766649466147</v>
      </c>
      <c r="T19" s="105">
        <v>-3567.5021646907062</v>
      </c>
      <c r="U19" s="100" t="s">
        <v>222</v>
      </c>
      <c r="V19" s="106">
        <v>-26.519247238679174</v>
      </c>
    </row>
    <row r="20" spans="1:22" ht="30" x14ac:dyDescent="0.25">
      <c r="C20" s="87"/>
      <c r="E20" s="20" t="s">
        <v>188</v>
      </c>
      <c r="F20" s="22">
        <v>2</v>
      </c>
      <c r="H20" s="94" t="s">
        <v>198</v>
      </c>
      <c r="I20" s="26"/>
      <c r="J20" s="56">
        <v>0.78153921438817242</v>
      </c>
      <c r="K20" s="72">
        <v>2.9977670086030002</v>
      </c>
      <c r="L20" s="26" t="s">
        <v>222</v>
      </c>
      <c r="M20" s="41">
        <v>1.8896531114955863</v>
      </c>
      <c r="N20" s="79">
        <v>1.567109701943409</v>
      </c>
      <c r="P20" s="101" t="s">
        <v>20</v>
      </c>
      <c r="Q20" s="107">
        <v>10</v>
      </c>
      <c r="R20" s="100" t="s">
        <v>201</v>
      </c>
      <c r="S20" s="104">
        <v>10.695456089281656</v>
      </c>
      <c r="T20" s="104">
        <v>71.029914190303259</v>
      </c>
      <c r="U20" s="100" t="s">
        <v>222</v>
      </c>
      <c r="V20" s="106">
        <v>1.8896531114955863</v>
      </c>
    </row>
    <row r="21" spans="1:22" ht="18.75" thickBot="1" x14ac:dyDescent="0.4">
      <c r="C21" s="87"/>
      <c r="E21" s="23" t="s">
        <v>189</v>
      </c>
      <c r="F21" s="24">
        <v>10</v>
      </c>
      <c r="H21" s="95" t="s">
        <v>200</v>
      </c>
      <c r="I21" s="59"/>
      <c r="J21" s="85">
        <v>10.695456089281656</v>
      </c>
      <c r="K21" s="70">
        <v>71.029914190303259</v>
      </c>
      <c r="L21" s="59" t="s">
        <v>222</v>
      </c>
      <c r="M21" s="80">
        <v>40.862685139792461</v>
      </c>
      <c r="N21" s="81">
        <v>42.662904462447997</v>
      </c>
      <c r="P21" s="102"/>
      <c r="Q21" s="108"/>
      <c r="R21" s="109" t="s">
        <v>172</v>
      </c>
      <c r="S21" s="110">
        <v>-4.3784011214612603E-2</v>
      </c>
      <c r="T21" s="111">
        <v>-1.9910265197123259E-2</v>
      </c>
      <c r="U21" s="109" t="s">
        <v>222</v>
      </c>
      <c r="V21" s="109"/>
    </row>
    <row r="22" spans="1:22" ht="15.75" thickBot="1" x14ac:dyDescent="0.3">
      <c r="H22" s="66" t="s">
        <v>172</v>
      </c>
      <c r="I22" s="67"/>
      <c r="J22" s="71">
        <v>-4.3784011214612603E-2</v>
      </c>
      <c r="K22" s="73">
        <v>-1.9910265197123259E-2</v>
      </c>
      <c r="L22" s="67" t="s">
        <v>222</v>
      </c>
      <c r="M22" s="73">
        <v>-3.1847138205867931E-2</v>
      </c>
      <c r="N22" s="82">
        <v>1.6881287701292047E-2</v>
      </c>
      <c r="P22" s="103"/>
      <c r="Q22" s="112"/>
      <c r="R22" s="100"/>
      <c r="S22" s="100"/>
      <c r="T22" s="100"/>
      <c r="U22" s="100"/>
      <c r="V22" s="100"/>
    </row>
    <row r="23" spans="1:22" ht="15.75" thickTop="1" x14ac:dyDescent="0.25"/>
    <row r="27" spans="1:22" ht="15.75" thickBot="1" x14ac:dyDescent="0.3">
      <c r="H27" s="87" t="s">
        <v>190</v>
      </c>
    </row>
    <row r="28" spans="1:22" ht="15.75" thickTop="1" x14ac:dyDescent="0.25">
      <c r="A28" s="1" t="s">
        <v>19</v>
      </c>
      <c r="B28" s="1" t="s">
        <v>50</v>
      </c>
      <c r="C28" s="1">
        <v>66</v>
      </c>
      <c r="D28" s="1">
        <v>113419.484044989</v>
      </c>
      <c r="E28" s="1">
        <v>724003.150201443</v>
      </c>
      <c r="F28" s="1">
        <v>0.15665606429120199</v>
      </c>
      <c r="H28" s="88" t="s">
        <v>191</v>
      </c>
      <c r="I28" s="34">
        <v>7.4999999999999997E-2</v>
      </c>
      <c r="J28" s="35">
        <v>0.10643494621781202</v>
      </c>
      <c r="K28" s="35">
        <v>-8.5487306874115987E-2</v>
      </c>
      <c r="L28" s="37"/>
      <c r="M28" s="44">
        <v>1.0473819671848017E-2</v>
      </c>
      <c r="N28" s="116">
        <v>0.13570952662190314</v>
      </c>
      <c r="P28" s="1" t="s">
        <v>190</v>
      </c>
      <c r="Q28" s="53">
        <v>-972.40151794987321</v>
      </c>
      <c r="R28" s="53">
        <v>1409.6953554602298</v>
      </c>
    </row>
    <row r="29" spans="1:22" x14ac:dyDescent="0.25">
      <c r="A29" s="1" t="s">
        <v>23</v>
      </c>
      <c r="B29" s="1" t="s">
        <v>50</v>
      </c>
      <c r="C29" s="1">
        <v>66</v>
      </c>
      <c r="D29" s="1">
        <v>87801.736329482606</v>
      </c>
      <c r="E29" s="1">
        <v>767393.257466326</v>
      </c>
      <c r="F29" s="1">
        <v>0.114415569169026</v>
      </c>
      <c r="H29" s="89" t="s">
        <v>192</v>
      </c>
      <c r="I29" s="29">
        <v>0.25</v>
      </c>
      <c r="J29" s="30">
        <v>0.24438875919476399</v>
      </c>
      <c r="K29" s="30">
        <v>0.306572422202948</v>
      </c>
      <c r="L29" s="26"/>
      <c r="M29" s="29">
        <v>0.275480590698856</v>
      </c>
      <c r="N29" s="46">
        <v>4.3970489792106035E-2</v>
      </c>
      <c r="P29" s="1" t="s">
        <v>201</v>
      </c>
      <c r="Q29" s="17">
        <v>25.499878514311412</v>
      </c>
      <c r="R29" s="17">
        <v>43.129060482858918</v>
      </c>
    </row>
    <row r="30" spans="1:22" x14ac:dyDescent="0.25">
      <c r="A30" s="1" t="s">
        <v>22</v>
      </c>
      <c r="B30" s="1" t="s">
        <v>50</v>
      </c>
      <c r="C30" s="1">
        <v>66</v>
      </c>
      <c r="D30" s="1">
        <v>85279.957100182903</v>
      </c>
      <c r="E30" s="1">
        <v>382677.237752121</v>
      </c>
      <c r="F30" s="1">
        <v>0.22285087454149299</v>
      </c>
      <c r="H30" s="89" t="s">
        <v>193</v>
      </c>
      <c r="I30" s="32">
        <v>7.4999999999999997E-2</v>
      </c>
      <c r="J30" s="30">
        <v>-3.9174616790607963E-2</v>
      </c>
      <c r="K30" s="113">
        <v>3.9654595898850244</v>
      </c>
      <c r="L30" s="26"/>
      <c r="M30" s="115">
        <v>1.9631424865472082</v>
      </c>
      <c r="N30" s="117">
        <v>2.8317040037119496</v>
      </c>
    </row>
    <row r="31" spans="1:22" x14ac:dyDescent="0.25">
      <c r="A31" s="1" t="s">
        <v>24</v>
      </c>
      <c r="B31" s="1" t="s">
        <v>50</v>
      </c>
      <c r="C31" s="1">
        <v>66</v>
      </c>
      <c r="D31" s="1">
        <v>98469.6629885968</v>
      </c>
      <c r="E31" s="1">
        <v>327471.84305237798</v>
      </c>
      <c r="F31" s="1">
        <v>0.30069657919519699</v>
      </c>
      <c r="H31" s="89" t="s">
        <v>194</v>
      </c>
      <c r="I31" s="26"/>
      <c r="J31" s="26"/>
      <c r="K31" s="26"/>
      <c r="L31" s="26"/>
      <c r="M31" s="26"/>
      <c r="N31" s="38"/>
    </row>
    <row r="32" spans="1:22" ht="15.75" thickBot="1" x14ac:dyDescent="0.3">
      <c r="A32" s="1" t="s">
        <v>55</v>
      </c>
      <c r="B32" s="1" t="s">
        <v>50</v>
      </c>
      <c r="C32" s="1">
        <v>66</v>
      </c>
      <c r="D32" s="1">
        <v>87574.238927198094</v>
      </c>
      <c r="E32" s="1">
        <v>445368.96665092203</v>
      </c>
      <c r="F32" s="1">
        <v>0.196633006528805</v>
      </c>
      <c r="H32" s="90" t="s">
        <v>195</v>
      </c>
      <c r="I32" s="27"/>
      <c r="J32" s="114">
        <v>0.15665606429120199</v>
      </c>
      <c r="K32" s="114">
        <v>0.114415569169026</v>
      </c>
      <c r="L32" s="27"/>
      <c r="M32" s="114">
        <v>0.135535816730114</v>
      </c>
      <c r="N32" s="118">
        <v>2.9868540541567994E-2</v>
      </c>
    </row>
    <row r="33" spans="1:22" x14ac:dyDescent="0.25">
      <c r="A33" s="1" t="s">
        <v>56</v>
      </c>
      <c r="B33" s="1" t="s">
        <v>50</v>
      </c>
      <c r="C33" s="1">
        <v>66</v>
      </c>
      <c r="D33" s="1">
        <v>107879.93568577099</v>
      </c>
      <c r="E33" s="1">
        <v>508438.51277072699</v>
      </c>
      <c r="F33" s="1">
        <v>0.212178922280851</v>
      </c>
      <c r="H33" s="91" t="s">
        <v>196</v>
      </c>
      <c r="I33" s="25"/>
      <c r="J33" s="54">
        <v>8.4857208053737498E-6</v>
      </c>
      <c r="K33" s="40">
        <v>1.0644875770935694E-5</v>
      </c>
      <c r="L33" s="25"/>
      <c r="M33" s="40">
        <v>9.5652982881547227E-6</v>
      </c>
      <c r="N33" s="49">
        <v>1.5267531177814572E-6</v>
      </c>
    </row>
    <row r="34" spans="1:22" ht="18" x14ac:dyDescent="0.35">
      <c r="A34" s="1" t="s">
        <v>53</v>
      </c>
      <c r="B34" s="1" t="s">
        <v>50</v>
      </c>
      <c r="C34" s="1">
        <v>66</v>
      </c>
      <c r="D34" s="1">
        <v>61497.260201724202</v>
      </c>
      <c r="E34" s="1">
        <v>489074.30064158503</v>
      </c>
      <c r="F34" s="1">
        <v>0.12574216253246201</v>
      </c>
      <c r="H34" s="89" t="s">
        <v>197</v>
      </c>
      <c r="I34" s="26"/>
      <c r="J34" s="55">
        <v>-3.9174616790607963E-2</v>
      </c>
      <c r="K34" s="115">
        <v>3.9654595898850244</v>
      </c>
      <c r="L34" s="26"/>
      <c r="M34" s="115">
        <v>1.9631424865472082</v>
      </c>
      <c r="N34" s="117">
        <v>2.8317040037119496</v>
      </c>
    </row>
    <row r="35" spans="1:22" x14ac:dyDescent="0.25">
      <c r="A35" s="1" t="s">
        <v>54</v>
      </c>
      <c r="B35" s="1" t="s">
        <v>50</v>
      </c>
      <c r="C35" s="1">
        <v>66</v>
      </c>
      <c r="D35" s="1">
        <v>550384.07951754704</v>
      </c>
      <c r="E35" s="1">
        <v>488405.12086071202</v>
      </c>
      <c r="F35" s="1">
        <v>1.1269007142013701</v>
      </c>
      <c r="H35" s="89" t="s">
        <v>198</v>
      </c>
      <c r="I35" s="26"/>
      <c r="J35" s="56">
        <v>-23.511758863063474</v>
      </c>
      <c r="K35" s="72">
        <v>0.23614432221785966</v>
      </c>
      <c r="L35" s="26" t="s">
        <v>222</v>
      </c>
      <c r="M35" s="41">
        <v>-11.637807270422806</v>
      </c>
      <c r="N35" s="51">
        <v>16.792303381274042</v>
      </c>
    </row>
    <row r="36" spans="1:22" ht="18.75" thickBot="1" x14ac:dyDescent="0.4">
      <c r="A36" s="1" t="s">
        <v>51</v>
      </c>
      <c r="B36" s="1" t="s">
        <v>50</v>
      </c>
      <c r="C36" s="1">
        <v>66</v>
      </c>
      <c r="D36" s="1">
        <v>78900.989110102804</v>
      </c>
      <c r="E36" s="1">
        <v>486608.939442017</v>
      </c>
      <c r="F36" s="1">
        <v>0.16214455328456701</v>
      </c>
      <c r="H36" s="92" t="s">
        <v>200</v>
      </c>
      <c r="I36" s="39"/>
      <c r="J36" s="57">
        <v>-1969.2066632029823</v>
      </c>
      <c r="K36" s="43">
        <v>24.403627303236</v>
      </c>
      <c r="L36" s="39" t="s">
        <v>222</v>
      </c>
      <c r="M36" s="42">
        <v>-972.40151794987321</v>
      </c>
      <c r="N36" s="52">
        <v>1409.6953554602298</v>
      </c>
    </row>
    <row r="37" spans="1:22" ht="15.75" thickTop="1" x14ac:dyDescent="0.25">
      <c r="A37" s="1" t="s">
        <v>52</v>
      </c>
      <c r="B37" s="1" t="s">
        <v>50</v>
      </c>
      <c r="C37" s="1">
        <v>66</v>
      </c>
      <c r="D37" s="1">
        <v>56921.194632111998</v>
      </c>
      <c r="E37" s="1">
        <v>498591.496551021</v>
      </c>
      <c r="F37" s="1">
        <v>0.114163990011585</v>
      </c>
      <c r="H37" s="86"/>
    </row>
    <row r="38" spans="1:22" ht="15.75" thickBot="1" x14ac:dyDescent="0.3">
      <c r="A38" s="1" t="s">
        <v>61</v>
      </c>
      <c r="B38" s="1" t="s">
        <v>50</v>
      </c>
      <c r="C38" s="1">
        <v>66</v>
      </c>
      <c r="D38" s="1">
        <v>110674.50288997</v>
      </c>
      <c r="E38" s="1">
        <v>535561.02937159501</v>
      </c>
      <c r="F38" s="1">
        <v>0.206651523953921</v>
      </c>
      <c r="H38" s="87" t="s">
        <v>201</v>
      </c>
    </row>
    <row r="39" spans="1:22" ht="15.75" thickTop="1" x14ac:dyDescent="0.25">
      <c r="A39" s="1" t="s">
        <v>62</v>
      </c>
      <c r="B39" s="1" t="s">
        <v>50</v>
      </c>
      <c r="C39" s="1">
        <v>66</v>
      </c>
      <c r="D39" s="1">
        <v>82592.639841345197</v>
      </c>
      <c r="E39" s="1">
        <v>528599.99226026796</v>
      </c>
      <c r="F39" s="1">
        <v>0.15624790210113901</v>
      </c>
      <c r="H39" s="93" t="s">
        <v>191</v>
      </c>
      <c r="I39" s="61">
        <v>0.25</v>
      </c>
      <c r="J39" s="62">
        <v>-0.59641435655122399</v>
      </c>
      <c r="K39" s="62">
        <v>-0.49579648928933595</v>
      </c>
      <c r="L39" s="64"/>
      <c r="M39" s="61">
        <v>-0.54610542292027997</v>
      </c>
      <c r="N39" s="75">
        <v>7.1147576249408942E-2</v>
      </c>
    </row>
    <row r="40" spans="1:22" x14ac:dyDescent="0.25">
      <c r="A40" s="1" t="s">
        <v>59</v>
      </c>
      <c r="B40" s="1" t="s">
        <v>50</v>
      </c>
      <c r="C40" s="1">
        <v>66</v>
      </c>
      <c r="D40" s="1">
        <v>402877.11242681701</v>
      </c>
      <c r="E40" s="1">
        <v>308390.24750191299</v>
      </c>
      <c r="F40" s="1">
        <v>1.30638733128004</v>
      </c>
      <c r="H40" s="94" t="s">
        <v>192</v>
      </c>
      <c r="I40" s="32">
        <v>7.4999999999999997E-2</v>
      </c>
      <c r="J40" s="30">
        <v>-0.22048881165769596</v>
      </c>
      <c r="K40" s="30">
        <v>-0.42210329906882393</v>
      </c>
      <c r="L40" s="26"/>
      <c r="M40" s="29">
        <v>-0.32129605536325995</v>
      </c>
      <c r="N40" s="122">
        <v>0.14256297123385847</v>
      </c>
    </row>
    <row r="41" spans="1:22" x14ac:dyDescent="0.25">
      <c r="A41" s="1" t="s">
        <v>60</v>
      </c>
      <c r="B41" s="1" t="s">
        <v>50</v>
      </c>
      <c r="C41" s="1">
        <v>66</v>
      </c>
      <c r="D41" s="1">
        <v>36416.009832166601</v>
      </c>
      <c r="E41" s="1">
        <v>437076.16844337102</v>
      </c>
      <c r="F41" s="1">
        <v>8.3317308197929998E-2</v>
      </c>
      <c r="H41" s="94" t="s">
        <v>193</v>
      </c>
      <c r="I41" s="29">
        <v>0.25</v>
      </c>
      <c r="J41" s="113">
        <v>4.1784544176467797</v>
      </c>
      <c r="K41" s="30">
        <v>-0.71382567468166003</v>
      </c>
      <c r="L41" s="26"/>
      <c r="M41" s="115">
        <v>1.73231437148256</v>
      </c>
      <c r="N41" s="123">
        <v>3.4593644287493883</v>
      </c>
    </row>
    <row r="42" spans="1:22" x14ac:dyDescent="0.25">
      <c r="A42" s="1" t="s">
        <v>57</v>
      </c>
      <c r="B42" s="1" t="s">
        <v>50</v>
      </c>
      <c r="C42" s="1">
        <v>66</v>
      </c>
      <c r="D42" s="1">
        <v>56390.160044637501</v>
      </c>
      <c r="E42" s="1">
        <v>500488.95990080398</v>
      </c>
      <c r="F42" s="1">
        <v>0.11267013773053899</v>
      </c>
      <c r="H42" s="94" t="s">
        <v>194</v>
      </c>
      <c r="I42" s="26"/>
      <c r="J42" s="26"/>
      <c r="K42" s="26"/>
      <c r="L42" s="26"/>
      <c r="M42" s="26"/>
      <c r="N42" s="65"/>
    </row>
    <row r="43" spans="1:22" ht="15.75" thickBot="1" x14ac:dyDescent="0.3">
      <c r="A43" s="1" t="s">
        <v>58</v>
      </c>
      <c r="B43" s="1" t="s">
        <v>50</v>
      </c>
      <c r="C43" s="1">
        <v>66</v>
      </c>
      <c r="D43" s="1">
        <v>68444.456895301206</v>
      </c>
      <c r="E43" s="1">
        <v>496605.50175895198</v>
      </c>
      <c r="F43" s="1">
        <v>0.137824604546011</v>
      </c>
      <c r="H43" s="95" t="s">
        <v>195</v>
      </c>
      <c r="I43" s="59"/>
      <c r="J43" s="119">
        <v>0.22285087454149299</v>
      </c>
      <c r="K43" s="119">
        <v>0.30069657919519699</v>
      </c>
      <c r="L43" s="59"/>
      <c r="M43" s="119">
        <v>0.26177372686834499</v>
      </c>
      <c r="N43" s="77">
        <v>5.5045225646879463E-2</v>
      </c>
    </row>
    <row r="44" spans="1:22" ht="66.75" thickTop="1" thickBot="1" x14ac:dyDescent="0.3">
      <c r="C44" s="87"/>
      <c r="E44" s="18" t="s">
        <v>12</v>
      </c>
      <c r="F44" s="19">
        <v>4</v>
      </c>
      <c r="H44" s="96" t="s">
        <v>196</v>
      </c>
      <c r="I44" s="58"/>
      <c r="J44" s="83">
        <v>-2.296758454767666E-6</v>
      </c>
      <c r="K44" s="69">
        <v>-4.3969093653002497E-6</v>
      </c>
      <c r="L44" s="58"/>
      <c r="M44" s="69">
        <v>-3.3468339100339578E-6</v>
      </c>
      <c r="N44" s="78">
        <v>1.485030950352692E-6</v>
      </c>
      <c r="P44" s="97" t="s">
        <v>202</v>
      </c>
      <c r="Q44" s="98" t="s">
        <v>203</v>
      </c>
      <c r="R44" s="99" t="s">
        <v>176</v>
      </c>
      <c r="S44" s="99" t="s">
        <v>204</v>
      </c>
      <c r="T44" s="99" t="s">
        <v>205</v>
      </c>
      <c r="U44" s="99" t="s">
        <v>206</v>
      </c>
      <c r="V44" s="99" t="s">
        <v>198</v>
      </c>
    </row>
    <row r="45" spans="1:22" ht="18.75" thickTop="1" x14ac:dyDescent="0.35">
      <c r="C45" s="87"/>
      <c r="E45" s="20" t="s">
        <v>187</v>
      </c>
      <c r="F45" s="21">
        <v>0.11</v>
      </c>
      <c r="H45" s="94" t="s">
        <v>197</v>
      </c>
      <c r="I45" s="26"/>
      <c r="J45" s="126">
        <v>4.1784544176467797</v>
      </c>
      <c r="K45" s="29">
        <v>-0.71382567468166003</v>
      </c>
      <c r="L45" s="26"/>
      <c r="M45" s="115">
        <v>1.73231437148256</v>
      </c>
      <c r="N45" s="123">
        <v>3.4593644287493883</v>
      </c>
      <c r="Q45" s="100"/>
      <c r="R45" s="100" t="s">
        <v>190</v>
      </c>
      <c r="S45" s="104">
        <v>-1969.2066632029823</v>
      </c>
      <c r="T45" s="105">
        <v>24.403627303236</v>
      </c>
      <c r="U45" s="100" t="s">
        <v>222</v>
      </c>
      <c r="V45" s="106">
        <v>-11.637807270422806</v>
      </c>
    </row>
    <row r="46" spans="1:22" ht="30" x14ac:dyDescent="0.25">
      <c r="C46" s="87"/>
      <c r="E46" s="20" t="s">
        <v>188</v>
      </c>
      <c r="F46" s="22">
        <v>2</v>
      </c>
      <c r="H46" s="94" t="s">
        <v>198</v>
      </c>
      <c r="I46" s="26"/>
      <c r="J46" s="127">
        <v>-0.15856604711310304</v>
      </c>
      <c r="K46" s="41">
        <v>0.87196006123982972</v>
      </c>
      <c r="L46" s="26" t="s">
        <v>222</v>
      </c>
      <c r="M46" s="72">
        <v>0.35669700706336332</v>
      </c>
      <c r="N46" s="124">
        <v>0.7286919994061416</v>
      </c>
      <c r="P46" s="101" t="s">
        <v>50</v>
      </c>
      <c r="Q46" s="107">
        <v>10</v>
      </c>
      <c r="R46" s="100" t="s">
        <v>201</v>
      </c>
      <c r="S46" s="105">
        <v>-4.9969726193228805</v>
      </c>
      <c r="T46" s="104">
        <v>55.996729647945706</v>
      </c>
      <c r="U46" s="100" t="s">
        <v>222</v>
      </c>
      <c r="V46" s="129">
        <v>0.35669700706336332</v>
      </c>
    </row>
    <row r="47" spans="1:22" ht="18.75" thickBot="1" x14ac:dyDescent="0.4">
      <c r="C47" s="87"/>
      <c r="E47" s="23" t="s">
        <v>189</v>
      </c>
      <c r="F47" s="24">
        <v>10</v>
      </c>
      <c r="H47" s="95" t="s">
        <v>200</v>
      </c>
      <c r="I47" s="59"/>
      <c r="J47" s="128">
        <v>-4.9969726193228805</v>
      </c>
      <c r="K47" s="70">
        <v>55.996729647945706</v>
      </c>
      <c r="L47" s="59" t="s">
        <v>222</v>
      </c>
      <c r="M47" s="80">
        <v>25.499878514311412</v>
      </c>
      <c r="N47" s="81">
        <v>43.129060482858918</v>
      </c>
      <c r="P47" s="102"/>
      <c r="Q47" s="108"/>
      <c r="R47" s="109" t="s">
        <v>172</v>
      </c>
      <c r="S47" s="130">
        <v>2.5375562213440475E-3</v>
      </c>
      <c r="T47" s="131">
        <v>2.294606820213172</v>
      </c>
      <c r="U47" s="109" t="s">
        <v>222</v>
      </c>
      <c r="V47" s="109"/>
    </row>
    <row r="48" spans="1:22" ht="15.75" thickBot="1" x14ac:dyDescent="0.3">
      <c r="H48" s="66" t="s">
        <v>172</v>
      </c>
      <c r="I48" s="67"/>
      <c r="J48" s="120">
        <v>2.5375562213440475E-3</v>
      </c>
      <c r="K48" s="121">
        <v>2.294606820213172</v>
      </c>
      <c r="L48" s="67" t="s">
        <v>222</v>
      </c>
      <c r="M48" s="121">
        <v>1.1485721882172579</v>
      </c>
      <c r="N48" s="125">
        <v>1.6207377195178807</v>
      </c>
      <c r="P48" s="103"/>
      <c r="Q48" s="112"/>
      <c r="R48" s="100"/>
      <c r="S48" s="100"/>
      <c r="T48" s="100"/>
      <c r="U48" s="100"/>
      <c r="V48" s="100"/>
    </row>
    <row r="49" spans="1:18" ht="15.75" thickTop="1" x14ac:dyDescent="0.25"/>
    <row r="53" spans="1:18" ht="15.75" thickBot="1" x14ac:dyDescent="0.3">
      <c r="D53" s="244" t="s">
        <v>214</v>
      </c>
      <c r="E53" s="244"/>
    </row>
    <row r="54" spans="1:18" ht="15.75" thickTop="1" x14ac:dyDescent="0.25">
      <c r="A54" s="1" t="s">
        <v>19</v>
      </c>
      <c r="B54" s="1" t="s">
        <v>102</v>
      </c>
      <c r="C54" s="1">
        <v>57</v>
      </c>
      <c r="D54" s="1">
        <v>5096727.0529405102</v>
      </c>
      <c r="E54" s="1">
        <v>724003.150201443</v>
      </c>
      <c r="F54" s="1">
        <v>0</v>
      </c>
      <c r="H54" s="88" t="s">
        <v>191</v>
      </c>
      <c r="I54" s="34">
        <v>7.4999999999999997E-2</v>
      </c>
      <c r="J54" s="134">
        <v>18.592823719118002</v>
      </c>
      <c r="K54" s="134">
        <v>21.691816026943719</v>
      </c>
      <c r="L54" s="37"/>
      <c r="M54" s="137">
        <v>20.142319873030861</v>
      </c>
      <c r="N54" s="138">
        <v>2.1913184757085138</v>
      </c>
      <c r="P54" s="1" t="s">
        <v>190</v>
      </c>
      <c r="Q54" s="53">
        <v>0</v>
      </c>
      <c r="R54" s="17">
        <v>0</v>
      </c>
    </row>
    <row r="55" spans="1:18" x14ac:dyDescent="0.25">
      <c r="A55" s="1" t="s">
        <v>23</v>
      </c>
      <c r="B55" s="1" t="s">
        <v>102</v>
      </c>
      <c r="C55" s="1">
        <v>57</v>
      </c>
      <c r="D55" s="1">
        <v>5367245.4426638503</v>
      </c>
      <c r="E55" s="1">
        <v>767393.257466326</v>
      </c>
      <c r="F55" s="1">
        <v>0</v>
      </c>
      <c r="H55" s="89" t="s">
        <v>192</v>
      </c>
      <c r="I55" s="29">
        <v>0.25</v>
      </c>
      <c r="J55" s="132">
        <v>0</v>
      </c>
      <c r="K55" s="132">
        <v>0</v>
      </c>
      <c r="L55" s="26"/>
      <c r="M55" s="136">
        <v>0</v>
      </c>
      <c r="N55" s="139">
        <v>0</v>
      </c>
      <c r="P55" s="1" t="s">
        <v>201</v>
      </c>
      <c r="Q55" s="17">
        <v>16.082673357136258</v>
      </c>
      <c r="R55" s="15">
        <v>1.081692020142065</v>
      </c>
    </row>
    <row r="56" spans="1:18" x14ac:dyDescent="0.25">
      <c r="A56" s="1" t="s">
        <v>22</v>
      </c>
      <c r="B56" s="1" t="s">
        <v>102</v>
      </c>
      <c r="C56" s="1">
        <v>57</v>
      </c>
      <c r="D56" s="1">
        <v>0</v>
      </c>
      <c r="E56" s="1">
        <v>382677.237752121</v>
      </c>
      <c r="F56" s="1">
        <v>0</v>
      </c>
      <c r="H56" s="89" t="s">
        <v>193</v>
      </c>
      <c r="I56" s="32">
        <v>7.4999999999999997E-2</v>
      </c>
      <c r="J56" s="132">
        <v>55.201159580797999</v>
      </c>
      <c r="K56" s="132">
        <v>65.765029381456401</v>
      </c>
      <c r="L56" s="26"/>
      <c r="M56" s="136">
        <v>60.483094481127196</v>
      </c>
      <c r="N56" s="117">
        <v>7.4697839716173382</v>
      </c>
    </row>
    <row r="57" spans="1:18" x14ac:dyDescent="0.25">
      <c r="A57" s="1" t="s">
        <v>24</v>
      </c>
      <c r="B57" s="1" t="s">
        <v>102</v>
      </c>
      <c r="C57" s="1">
        <v>57</v>
      </c>
      <c r="D57" s="1">
        <v>0</v>
      </c>
      <c r="E57" s="1">
        <v>327471.84305237798</v>
      </c>
      <c r="F57" s="1">
        <v>0</v>
      </c>
      <c r="H57" s="89" t="s">
        <v>194</v>
      </c>
      <c r="I57" s="26"/>
      <c r="J57" s="26"/>
      <c r="K57" s="26"/>
      <c r="L57" s="26"/>
      <c r="M57" s="26"/>
      <c r="N57" s="38"/>
    </row>
    <row r="58" spans="1:18" ht="15.75" thickBot="1" x14ac:dyDescent="0.3">
      <c r="A58" s="1" t="s">
        <v>107</v>
      </c>
      <c r="B58" s="1" t="s">
        <v>102</v>
      </c>
      <c r="C58" s="1">
        <v>57</v>
      </c>
      <c r="D58" s="1">
        <v>0</v>
      </c>
      <c r="E58" s="1">
        <v>516175.40712197701</v>
      </c>
      <c r="F58" s="1">
        <v>0</v>
      </c>
      <c r="H58" s="90" t="s">
        <v>195</v>
      </c>
      <c r="I58" s="27"/>
      <c r="J58" s="133">
        <v>0</v>
      </c>
      <c r="K58" s="133">
        <v>0</v>
      </c>
      <c r="L58" s="27"/>
      <c r="M58" s="133">
        <v>0</v>
      </c>
      <c r="N58" s="118">
        <v>0</v>
      </c>
    </row>
    <row r="59" spans="1:18" x14ac:dyDescent="0.25">
      <c r="A59" s="1" t="s">
        <v>108</v>
      </c>
      <c r="B59" s="1" t="s">
        <v>102</v>
      </c>
      <c r="C59" s="1">
        <v>57</v>
      </c>
      <c r="D59" s="1">
        <v>0</v>
      </c>
      <c r="E59" s="1">
        <v>510275.36895166303</v>
      </c>
      <c r="F59" s="1">
        <v>0</v>
      </c>
      <c r="H59" s="91" t="s">
        <v>196</v>
      </c>
      <c r="I59" s="25"/>
      <c r="J59" s="144">
        <v>0</v>
      </c>
      <c r="K59" s="135">
        <v>0</v>
      </c>
      <c r="L59" s="25"/>
      <c r="M59" s="140">
        <v>0</v>
      </c>
      <c r="N59" s="141">
        <v>0</v>
      </c>
    </row>
    <row r="60" spans="1:18" ht="18" x14ac:dyDescent="0.35">
      <c r="A60" s="1" t="s">
        <v>105</v>
      </c>
      <c r="B60" s="1" t="s">
        <v>102</v>
      </c>
      <c r="C60" s="1">
        <v>57</v>
      </c>
      <c r="D60" s="1">
        <v>6652726.7009542603</v>
      </c>
      <c r="E60" s="1">
        <v>482071.51816922502</v>
      </c>
      <c r="F60" s="1">
        <v>13.8002898951995</v>
      </c>
      <c r="H60" s="89" t="s">
        <v>197</v>
      </c>
      <c r="I60" s="26"/>
      <c r="J60" s="145">
        <v>55.201159580797999</v>
      </c>
      <c r="K60" s="136">
        <v>65.765029381456401</v>
      </c>
      <c r="L60" s="26"/>
      <c r="M60" s="136">
        <v>60.483094481127196</v>
      </c>
      <c r="N60" s="117">
        <v>7.4697839716173382</v>
      </c>
    </row>
    <row r="61" spans="1:18" x14ac:dyDescent="0.25">
      <c r="A61" s="1" t="s">
        <v>106</v>
      </c>
      <c r="B61" s="1" t="s">
        <v>102</v>
      </c>
      <c r="C61" s="1">
        <v>57</v>
      </c>
      <c r="D61" s="1">
        <v>7957250.7030447796</v>
      </c>
      <c r="E61" s="1">
        <v>483980.66740853299</v>
      </c>
      <c r="F61" s="1">
        <v>16.4412573453641</v>
      </c>
      <c r="H61" s="89" t="s">
        <v>198</v>
      </c>
      <c r="I61" s="26"/>
      <c r="J61" s="127">
        <v>0.33681944111887113</v>
      </c>
      <c r="K61" s="72">
        <v>0.32983815609850703</v>
      </c>
      <c r="L61" s="26" t="s">
        <v>222</v>
      </c>
      <c r="M61" s="41">
        <v>0.33332879860868908</v>
      </c>
      <c r="N61" s="142">
        <v>4.9365139792955214E-3</v>
      </c>
    </row>
    <row r="62" spans="1:18" ht="18.75" thickBot="1" x14ac:dyDescent="0.4">
      <c r="A62" s="1" t="s">
        <v>103</v>
      </c>
      <c r="B62" s="1" t="s">
        <v>102</v>
      </c>
      <c r="C62" s="1">
        <v>57</v>
      </c>
      <c r="D62" s="1">
        <v>2554698.1867902</v>
      </c>
      <c r="E62" s="1">
        <v>549609.51071963098</v>
      </c>
      <c r="F62" s="1">
        <v>4.6482059297795004</v>
      </c>
      <c r="H62" s="92" t="s">
        <v>200</v>
      </c>
      <c r="I62" s="39"/>
      <c r="J62" s="146">
        <v>0</v>
      </c>
      <c r="K62" s="43">
        <v>0</v>
      </c>
      <c r="L62" s="39" t="s">
        <v>222</v>
      </c>
      <c r="M62" s="42">
        <v>0</v>
      </c>
      <c r="N62" s="143">
        <v>0</v>
      </c>
    </row>
    <row r="63" spans="1:18" ht="15.75" thickTop="1" x14ac:dyDescent="0.25">
      <c r="A63" s="1" t="s">
        <v>104</v>
      </c>
      <c r="B63" s="1" t="s">
        <v>102</v>
      </c>
      <c r="C63" s="1">
        <v>57</v>
      </c>
      <c r="D63" s="1">
        <v>2741293.4156452399</v>
      </c>
      <c r="E63" s="1">
        <v>505498.18645709299</v>
      </c>
      <c r="F63" s="1">
        <v>5.4229540067359299</v>
      </c>
      <c r="H63" s="86"/>
    </row>
    <row r="64" spans="1:18" ht="15.75" thickBot="1" x14ac:dyDescent="0.3">
      <c r="A64" s="1" t="s">
        <v>113</v>
      </c>
      <c r="B64" s="1" t="s">
        <v>102</v>
      </c>
      <c r="C64" s="1">
        <v>57</v>
      </c>
      <c r="D64" s="1">
        <v>2030495.88359217</v>
      </c>
      <c r="E64" s="1">
        <v>532349.10722195404</v>
      </c>
      <c r="F64" s="1">
        <v>3.81421863218339</v>
      </c>
      <c r="H64" s="87" t="s">
        <v>201</v>
      </c>
    </row>
    <row r="65" spans="1:22" ht="15.75" thickTop="1" x14ac:dyDescent="0.25">
      <c r="A65" s="1" t="s">
        <v>114</v>
      </c>
      <c r="B65" s="1" t="s">
        <v>102</v>
      </c>
      <c r="C65" s="1">
        <v>57</v>
      </c>
      <c r="D65" s="1">
        <v>2055712.19335231</v>
      </c>
      <c r="E65" s="1">
        <v>514921.78328505199</v>
      </c>
      <c r="F65" s="1">
        <v>3.9922804978990398</v>
      </c>
      <c r="H65" s="93" t="s">
        <v>191</v>
      </c>
      <c r="I65" s="61">
        <v>0.25</v>
      </c>
      <c r="J65" s="147">
        <v>32.100075940200639</v>
      </c>
      <c r="K65" s="147">
        <v>32.032103621209522</v>
      </c>
      <c r="L65" s="64"/>
      <c r="M65" s="149">
        <v>32.066089780705084</v>
      </c>
      <c r="N65" s="75">
        <v>4.806368769159413E-2</v>
      </c>
    </row>
    <row r="66" spans="1:22" x14ac:dyDescent="0.25">
      <c r="A66" s="1" t="s">
        <v>111</v>
      </c>
      <c r="B66" s="1" t="s">
        <v>102</v>
      </c>
      <c r="C66" s="1">
        <v>57</v>
      </c>
      <c r="D66" s="1">
        <v>11409081.264265699</v>
      </c>
      <c r="E66" s="1">
        <v>483844.09861302999</v>
      </c>
      <c r="F66" s="1">
        <v>23.580077336833501</v>
      </c>
      <c r="H66" s="94" t="s">
        <v>192</v>
      </c>
      <c r="I66" s="32">
        <v>7.4999999999999997E-2</v>
      </c>
      <c r="J66" s="132">
        <v>15.25687452873356</v>
      </c>
      <c r="K66" s="132">
        <v>15.969121991596159</v>
      </c>
      <c r="L66" s="26"/>
      <c r="M66" s="136">
        <v>15.61299826016486</v>
      </c>
      <c r="N66" s="122">
        <v>0.50363501087305773</v>
      </c>
    </row>
    <row r="67" spans="1:22" x14ac:dyDescent="0.25">
      <c r="A67" s="1" t="s">
        <v>112</v>
      </c>
      <c r="B67" s="1" t="s">
        <v>102</v>
      </c>
      <c r="C67" s="1">
        <v>57</v>
      </c>
      <c r="D67" s="1">
        <v>10327315.494603699</v>
      </c>
      <c r="E67" s="1">
        <v>460221.54262050299</v>
      </c>
      <c r="F67" s="1">
        <v>22.439878489390001</v>
      </c>
      <c r="H67" s="94" t="s">
        <v>193</v>
      </c>
      <c r="I67" s="29">
        <v>0.25</v>
      </c>
      <c r="J67" s="132">
        <v>94.320309347334003</v>
      </c>
      <c r="K67" s="132">
        <v>89.759513957560003</v>
      </c>
      <c r="L67" s="26"/>
      <c r="M67" s="136">
        <v>92.039911652447003</v>
      </c>
      <c r="N67" s="123">
        <v>3.2249693477135386</v>
      </c>
    </row>
    <row r="68" spans="1:22" x14ac:dyDescent="0.25">
      <c r="A68" s="1" t="s">
        <v>109</v>
      </c>
      <c r="B68" s="1" t="s">
        <v>102</v>
      </c>
      <c r="C68" s="1">
        <v>57</v>
      </c>
      <c r="D68" s="1">
        <v>3491476.6934586102</v>
      </c>
      <c r="E68" s="1">
        <v>435073.94810690201</v>
      </c>
      <c r="F68" s="1">
        <v>8.0250189850501599</v>
      </c>
      <c r="H68" s="94" t="s">
        <v>194</v>
      </c>
      <c r="I68" s="26"/>
      <c r="J68" s="26"/>
      <c r="K68" s="26"/>
      <c r="L68" s="26"/>
      <c r="M68" s="26"/>
      <c r="N68" s="65"/>
    </row>
    <row r="69" spans="1:22" ht="15.75" thickBot="1" x14ac:dyDescent="0.3">
      <c r="A69" s="1" t="s">
        <v>110</v>
      </c>
      <c r="B69" s="1" t="s">
        <v>102</v>
      </c>
      <c r="C69" s="1">
        <v>57</v>
      </c>
      <c r="D69" s="1">
        <v>3365856.9548883298</v>
      </c>
      <c r="E69" s="1">
        <v>420310.44787950697</v>
      </c>
      <c r="F69" s="1">
        <v>8.0080259053023806</v>
      </c>
      <c r="H69" s="95" t="s">
        <v>195</v>
      </c>
      <c r="I69" s="59"/>
      <c r="J69" s="80">
        <v>0</v>
      </c>
      <c r="K69" s="80">
        <v>0</v>
      </c>
      <c r="L69" s="59"/>
      <c r="M69" s="80">
        <v>0</v>
      </c>
      <c r="N69" s="81">
        <v>0</v>
      </c>
    </row>
    <row r="70" spans="1:22" ht="66.75" thickTop="1" thickBot="1" x14ac:dyDescent="0.3">
      <c r="C70" s="87"/>
      <c r="E70" s="18" t="s">
        <v>12</v>
      </c>
      <c r="F70" s="19">
        <v>4</v>
      </c>
      <c r="H70" s="96" t="s">
        <v>196</v>
      </c>
      <c r="I70" s="58"/>
      <c r="J70" s="152">
        <v>1.5892577634097458E-4</v>
      </c>
      <c r="K70" s="148">
        <v>1.6634502074579333E-4</v>
      </c>
      <c r="L70" s="58"/>
      <c r="M70" s="148">
        <v>1.6263539854338395E-4</v>
      </c>
      <c r="N70" s="78">
        <v>5.2461980299276876E-6</v>
      </c>
      <c r="P70" s="97" t="s">
        <v>202</v>
      </c>
      <c r="Q70" s="98" t="s">
        <v>203</v>
      </c>
      <c r="R70" s="99" t="s">
        <v>176</v>
      </c>
      <c r="S70" s="99" t="s">
        <v>204</v>
      </c>
      <c r="T70" s="99" t="s">
        <v>205</v>
      </c>
      <c r="U70" s="99" t="s">
        <v>206</v>
      </c>
      <c r="V70" s="99" t="s">
        <v>198</v>
      </c>
    </row>
    <row r="71" spans="1:22" ht="18.75" thickTop="1" x14ac:dyDescent="0.35">
      <c r="C71" s="87"/>
      <c r="E71" s="20" t="s">
        <v>187</v>
      </c>
      <c r="F71" s="21">
        <v>0.11</v>
      </c>
      <c r="H71" s="94" t="s">
        <v>197</v>
      </c>
      <c r="I71" s="26"/>
      <c r="J71" s="145">
        <v>94.320309347334003</v>
      </c>
      <c r="K71" s="136">
        <v>89.759513957560003</v>
      </c>
      <c r="L71" s="26"/>
      <c r="M71" s="136">
        <v>92.039911652447003</v>
      </c>
      <c r="N71" s="123">
        <v>3.2249693477135386</v>
      </c>
      <c r="Q71" s="100"/>
      <c r="R71" s="100" t="s">
        <v>190</v>
      </c>
      <c r="S71" s="105">
        <v>0</v>
      </c>
      <c r="T71" s="105">
        <v>0</v>
      </c>
      <c r="U71" s="100" t="s">
        <v>222</v>
      </c>
      <c r="V71" s="106">
        <v>0.33332879860868908</v>
      </c>
    </row>
    <row r="72" spans="1:22" ht="30" x14ac:dyDescent="0.25">
      <c r="C72" s="87"/>
      <c r="E72" s="20" t="s">
        <v>188</v>
      </c>
      <c r="F72" s="22">
        <v>2</v>
      </c>
      <c r="H72" s="94" t="s">
        <v>198</v>
      </c>
      <c r="I72" s="26"/>
      <c r="J72" s="127">
        <v>0.38885727318553798</v>
      </c>
      <c r="K72" s="72">
        <v>0.41023885485942924</v>
      </c>
      <c r="L72" s="26" t="s">
        <v>222</v>
      </c>
      <c r="M72" s="72">
        <v>0.39954806402248361</v>
      </c>
      <c r="N72" s="150">
        <v>1.5119061394102521E-2</v>
      </c>
      <c r="P72" s="101" t="s">
        <v>102</v>
      </c>
      <c r="Q72" s="107">
        <v>10</v>
      </c>
      <c r="R72" s="100" t="s">
        <v>201</v>
      </c>
      <c r="S72" s="105">
        <v>15.31780159453843</v>
      </c>
      <c r="T72" s="105">
        <v>16.84754511973409</v>
      </c>
      <c r="U72" s="100" t="s">
        <v>222</v>
      </c>
      <c r="V72" s="129">
        <v>0.39954806402248361</v>
      </c>
    </row>
    <row r="73" spans="1:22" ht="18.75" thickBot="1" x14ac:dyDescent="0.4">
      <c r="C73" s="87"/>
      <c r="E73" s="23" t="s">
        <v>189</v>
      </c>
      <c r="F73" s="24">
        <v>10</v>
      </c>
      <c r="H73" s="95" t="s">
        <v>200</v>
      </c>
      <c r="I73" s="59"/>
      <c r="J73" s="128">
        <v>15.31780159453843</v>
      </c>
      <c r="K73" s="80">
        <v>16.84754511973409</v>
      </c>
      <c r="L73" s="59" t="s">
        <v>222</v>
      </c>
      <c r="M73" s="80">
        <v>16.082673357136258</v>
      </c>
      <c r="N73" s="151">
        <v>1.081692020142065</v>
      </c>
      <c r="P73" s="102"/>
      <c r="Q73" s="108"/>
      <c r="R73" s="109" t="s">
        <v>172</v>
      </c>
      <c r="S73" s="111" t="s">
        <v>222</v>
      </c>
      <c r="T73" s="111" t="s">
        <v>222</v>
      </c>
      <c r="U73" s="109" t="s">
        <v>222</v>
      </c>
      <c r="V73" s="109"/>
    </row>
    <row r="74" spans="1:22" ht="15.75" thickBot="1" x14ac:dyDescent="0.3">
      <c r="H74" s="66" t="s">
        <v>172</v>
      </c>
      <c r="I74" s="67"/>
      <c r="J74" s="73" t="s">
        <v>222</v>
      </c>
      <c r="K74" s="73" t="s">
        <v>222</v>
      </c>
      <c r="L74" s="67" t="s">
        <v>222</v>
      </c>
      <c r="M74" s="73" t="s">
        <v>222</v>
      </c>
      <c r="N74" s="82" t="s">
        <v>222</v>
      </c>
      <c r="P74" s="103"/>
      <c r="Q74" s="112"/>
      <c r="R74" s="100"/>
      <c r="S74" s="100"/>
      <c r="T74" s="100"/>
      <c r="U74" s="100"/>
      <c r="V74" s="100"/>
    </row>
    <row r="75" spans="1:22" ht="15.75" thickTop="1" x14ac:dyDescent="0.25"/>
    <row r="79" spans="1:22" ht="15.75" thickBot="1" x14ac:dyDescent="0.3">
      <c r="A79" s="244" t="s">
        <v>215</v>
      </c>
      <c r="B79" s="244"/>
      <c r="H79" s="87" t="s">
        <v>190</v>
      </c>
    </row>
    <row r="80" spans="1:22" ht="15.75" thickTop="1" x14ac:dyDescent="0.25">
      <c r="A80" s="243" t="s">
        <v>19</v>
      </c>
      <c r="B80" s="243" t="s">
        <v>76</v>
      </c>
      <c r="C80" s="243">
        <v>57</v>
      </c>
      <c r="D80" s="243">
        <v>2077138.72382842</v>
      </c>
      <c r="E80" s="243">
        <v>724003.150201443</v>
      </c>
      <c r="H80" s="88" t="s">
        <v>191</v>
      </c>
      <c r="I80" s="34">
        <v>7.4999999999999997E-2</v>
      </c>
      <c r="J80" s="134">
        <v>19.112290937539299</v>
      </c>
      <c r="K80" s="134">
        <v>19.391324158358618</v>
      </c>
      <c r="L80" s="37"/>
      <c r="M80" s="137">
        <v>19.251807547948957</v>
      </c>
      <c r="N80" s="116">
        <v>0.19730628261766342</v>
      </c>
      <c r="P80" s="1" t="s">
        <v>190</v>
      </c>
      <c r="Q80" s="17">
        <v>32.098918301891928</v>
      </c>
      <c r="R80" s="15">
        <v>4.6103553770030512</v>
      </c>
    </row>
    <row r="81" spans="1:22" x14ac:dyDescent="0.25">
      <c r="A81" s="1" t="s">
        <v>23</v>
      </c>
      <c r="B81" s="1" t="s">
        <v>76</v>
      </c>
      <c r="C81" s="1">
        <v>57</v>
      </c>
      <c r="D81" s="1">
        <v>532205.11400279298</v>
      </c>
      <c r="E81" s="1">
        <v>767393.257466326</v>
      </c>
      <c r="F81" s="1">
        <v>0.69352331262325095</v>
      </c>
      <c r="H81" s="89" t="s">
        <v>192</v>
      </c>
      <c r="I81" s="29">
        <v>0.25</v>
      </c>
      <c r="J81" s="113">
        <v>3.8805987319680981</v>
      </c>
      <c r="K81" s="113">
        <v>5.2002159249612987</v>
      </c>
      <c r="L81" s="26"/>
      <c r="M81" s="115">
        <v>4.5404073284646982</v>
      </c>
      <c r="N81" s="153">
        <v>0.9331102657358501</v>
      </c>
      <c r="P81" s="1" t="s">
        <v>201</v>
      </c>
      <c r="Q81" s="17">
        <v>16.823681445963402</v>
      </c>
      <c r="R81" s="16">
        <v>0.40471869189665982</v>
      </c>
    </row>
    <row r="82" spans="1:22" x14ac:dyDescent="0.25">
      <c r="A82" s="1" t="s">
        <v>22</v>
      </c>
      <c r="B82" s="1" t="s">
        <v>76</v>
      </c>
      <c r="C82" s="1">
        <v>57</v>
      </c>
      <c r="D82" s="1">
        <v>0</v>
      </c>
      <c r="E82" s="1">
        <v>382677.237752121</v>
      </c>
      <c r="F82" s="1">
        <v>0</v>
      </c>
      <c r="H82" s="89" t="s">
        <v>193</v>
      </c>
      <c r="I82" s="32">
        <v>7.4999999999999997E-2</v>
      </c>
      <c r="J82" s="132">
        <v>42.475138324250693</v>
      </c>
      <c r="K82" s="132">
        <v>46.423413082338698</v>
      </c>
      <c r="L82" s="26"/>
      <c r="M82" s="136">
        <v>44.449275703294695</v>
      </c>
      <c r="N82" s="117">
        <v>2.7918518554317036</v>
      </c>
    </row>
    <row r="83" spans="1:22" x14ac:dyDescent="0.25">
      <c r="A83" s="1" t="s">
        <v>24</v>
      </c>
      <c r="B83" s="1" t="s">
        <v>76</v>
      </c>
      <c r="C83" s="1">
        <v>57</v>
      </c>
      <c r="D83" s="1">
        <v>0</v>
      </c>
      <c r="E83" s="1">
        <v>327471.84305237798</v>
      </c>
      <c r="F83" s="1">
        <v>0</v>
      </c>
      <c r="H83" s="89" t="s">
        <v>194</v>
      </c>
      <c r="I83" s="26"/>
      <c r="J83" s="26"/>
      <c r="K83" s="26"/>
      <c r="L83" s="26"/>
      <c r="M83" s="26"/>
      <c r="N83" s="38"/>
    </row>
    <row r="84" spans="1:22" ht="15.75" thickBot="1" x14ac:dyDescent="0.3">
      <c r="A84" s="1" t="s">
        <v>81</v>
      </c>
      <c r="B84" s="1" t="s">
        <v>76</v>
      </c>
      <c r="C84" s="1">
        <v>57</v>
      </c>
      <c r="D84" s="1">
        <v>665769.87741707102</v>
      </c>
      <c r="E84" s="1">
        <v>505554.06240871799</v>
      </c>
      <c r="F84" s="1">
        <v>1.31691133930365</v>
      </c>
      <c r="H84" s="90" t="s">
        <v>195</v>
      </c>
      <c r="I84" s="27"/>
      <c r="J84" s="133">
        <v>0</v>
      </c>
      <c r="K84" s="114">
        <v>0.69352331262325095</v>
      </c>
      <c r="L84" s="27"/>
      <c r="M84" s="133">
        <v>0.34676165631162548</v>
      </c>
      <c r="N84" s="154">
        <v>0.49039503726685868</v>
      </c>
    </row>
    <row r="85" spans="1:22" x14ac:dyDescent="0.25">
      <c r="A85" s="1" t="s">
        <v>82</v>
      </c>
      <c r="B85" s="1" t="s">
        <v>76</v>
      </c>
      <c r="C85" s="1">
        <v>57</v>
      </c>
      <c r="D85" s="1">
        <v>538482.07816334802</v>
      </c>
      <c r="E85" s="1">
        <v>326983.826170013</v>
      </c>
      <c r="F85" s="1">
        <v>1.64681563755195</v>
      </c>
      <c r="H85" s="91" t="s">
        <v>196</v>
      </c>
      <c r="I85" s="25"/>
      <c r="J85" s="157">
        <v>1.3474301152667007E-4</v>
      </c>
      <c r="K85" s="140">
        <v>1.805630529500451E-4</v>
      </c>
      <c r="L85" s="25"/>
      <c r="M85" s="40">
        <v>1.576530322383576E-4</v>
      </c>
      <c r="N85" s="49">
        <v>3.2399662004716988E-5</v>
      </c>
    </row>
    <row r="86" spans="1:22" ht="18" x14ac:dyDescent="0.35">
      <c r="A86" s="1" t="s">
        <v>79</v>
      </c>
      <c r="B86" s="1" t="s">
        <v>76</v>
      </c>
      <c r="C86" s="1">
        <v>57</v>
      </c>
      <c r="D86" s="1">
        <v>5212264.3824795997</v>
      </c>
      <c r="E86" s="1">
        <v>475331.02953999798</v>
      </c>
      <c r="F86" s="1">
        <v>10.9655462373743</v>
      </c>
      <c r="H86" s="89" t="s">
        <v>197</v>
      </c>
      <c r="I86" s="26"/>
      <c r="J86" s="145">
        <v>42.475138324250693</v>
      </c>
      <c r="K86" s="136">
        <v>46.423413082338698</v>
      </c>
      <c r="L86" s="26"/>
      <c r="M86" s="136">
        <v>44.449275703294695</v>
      </c>
      <c r="N86" s="117">
        <v>2.7918518554317036</v>
      </c>
    </row>
    <row r="87" spans="1:22" x14ac:dyDescent="0.25">
      <c r="A87" s="1" t="s">
        <v>80</v>
      </c>
      <c r="B87" s="1" t="s">
        <v>76</v>
      </c>
      <c r="C87" s="1">
        <v>57</v>
      </c>
      <c r="D87" s="1">
        <v>5677566.6878783396</v>
      </c>
      <c r="E87" s="1">
        <v>475006.24111150601</v>
      </c>
      <c r="F87" s="1">
        <v>11.952614926896301</v>
      </c>
      <c r="H87" s="89" t="s">
        <v>198</v>
      </c>
      <c r="I87" s="26"/>
      <c r="J87" s="127">
        <v>0.75450301772890072</v>
      </c>
      <c r="K87" s="72">
        <v>0.79109601821876252</v>
      </c>
      <c r="L87" s="26" t="s">
        <v>222</v>
      </c>
      <c r="M87" s="72">
        <v>0.77279951797383162</v>
      </c>
      <c r="N87" s="155">
        <v>2.5875158790343938E-2</v>
      </c>
    </row>
    <row r="88" spans="1:22" ht="18.75" thickBot="1" x14ac:dyDescent="0.4">
      <c r="A88" s="1" t="s">
        <v>77</v>
      </c>
      <c r="B88" s="1" t="s">
        <v>76</v>
      </c>
      <c r="C88" s="1">
        <v>57</v>
      </c>
      <c r="D88" s="1">
        <v>2580890.8678812799</v>
      </c>
      <c r="E88" s="1">
        <v>503604.73551430099</v>
      </c>
      <c r="F88" s="1">
        <v>5.1248343906964502</v>
      </c>
      <c r="H88" s="92" t="s">
        <v>200</v>
      </c>
      <c r="I88" s="39"/>
      <c r="J88" s="146">
        <v>28.838904751133207</v>
      </c>
      <c r="K88" s="43">
        <v>35.358931852650649</v>
      </c>
      <c r="L88" s="39" t="s">
        <v>222</v>
      </c>
      <c r="M88" s="43">
        <v>32.098918301891928</v>
      </c>
      <c r="N88" s="156">
        <v>4.6103553770030512</v>
      </c>
    </row>
    <row r="89" spans="1:22" ht="15.75" thickTop="1" x14ac:dyDescent="0.25">
      <c r="A89" s="1" t="s">
        <v>78</v>
      </c>
      <c r="B89" s="1" t="s">
        <v>76</v>
      </c>
      <c r="C89" s="1">
        <v>57</v>
      </c>
      <c r="D89" s="1">
        <v>2538548.9386423398</v>
      </c>
      <c r="E89" s="1">
        <v>488690.66108789301</v>
      </c>
      <c r="F89" s="1">
        <v>5.1945926959012798</v>
      </c>
      <c r="H89" s="86"/>
    </row>
    <row r="90" spans="1:22" ht="15.75" thickBot="1" x14ac:dyDescent="0.3">
      <c r="A90" s="1" t="s">
        <v>87</v>
      </c>
      <c r="B90" s="1" t="s">
        <v>76</v>
      </c>
      <c r="C90" s="1">
        <v>57</v>
      </c>
      <c r="D90" s="1">
        <v>1176439.3716416799</v>
      </c>
      <c r="E90" s="1">
        <v>504161.52560343198</v>
      </c>
      <c r="F90" s="1">
        <v>2.3334572590274401</v>
      </c>
      <c r="H90" s="87" t="s">
        <v>201</v>
      </c>
    </row>
    <row r="91" spans="1:22" ht="15.75" thickTop="1" x14ac:dyDescent="0.25">
      <c r="A91" s="1" t="s">
        <v>88</v>
      </c>
      <c r="B91" s="1" t="s">
        <v>76</v>
      </c>
      <c r="C91" s="1">
        <v>57</v>
      </c>
      <c r="D91" s="1">
        <v>1080355.7490232</v>
      </c>
      <c r="E91" s="1">
        <v>497939.99930419202</v>
      </c>
      <c r="F91" s="1">
        <v>2.1696504609648901</v>
      </c>
      <c r="H91" s="93" t="s">
        <v>191</v>
      </c>
      <c r="I91" s="61">
        <v>0.25</v>
      </c>
      <c r="J91" s="147">
        <v>29.196636919598241</v>
      </c>
      <c r="K91" s="147">
        <v>26.9686361397696</v>
      </c>
      <c r="L91" s="64"/>
      <c r="M91" s="149">
        <v>28.082636529683921</v>
      </c>
      <c r="N91" s="158">
        <v>1.5754344599057477</v>
      </c>
    </row>
    <row r="92" spans="1:22" x14ac:dyDescent="0.25">
      <c r="A92" s="1" t="s">
        <v>85</v>
      </c>
      <c r="B92" s="1" t="s">
        <v>76</v>
      </c>
      <c r="C92" s="1">
        <v>57</v>
      </c>
      <c r="D92" s="1">
        <v>6027241.2958363499</v>
      </c>
      <c r="E92" s="1">
        <v>466690.67346993199</v>
      </c>
      <c r="F92" s="1">
        <v>12.9148526818046</v>
      </c>
      <c r="H92" s="94" t="s">
        <v>192</v>
      </c>
      <c r="I92" s="32">
        <v>7.4999999999999997E-2</v>
      </c>
      <c r="J92" s="113">
        <v>9.3338290361097602</v>
      </c>
      <c r="K92" s="113">
        <v>8.6786018438595605</v>
      </c>
      <c r="L92" s="26"/>
      <c r="M92" s="115">
        <v>9.0062154399846612</v>
      </c>
      <c r="N92" s="122">
        <v>0.46331559085793794</v>
      </c>
    </row>
    <row r="93" spans="1:22" x14ac:dyDescent="0.25">
      <c r="A93" s="1" t="s">
        <v>86</v>
      </c>
      <c r="B93" s="1" t="s">
        <v>76</v>
      </c>
      <c r="C93" s="1">
        <v>57</v>
      </c>
      <c r="D93" s="1">
        <v>5714986.03072209</v>
      </c>
      <c r="E93" s="1">
        <v>460001.482277904</v>
      </c>
      <c r="F93" s="1">
        <v>12.423842641597</v>
      </c>
      <c r="H93" s="94" t="s">
        <v>193</v>
      </c>
      <c r="I93" s="29">
        <v>0.25</v>
      </c>
      <c r="J93" s="132">
        <v>51.6594107272184</v>
      </c>
      <c r="K93" s="132">
        <v>49.695370566388</v>
      </c>
      <c r="L93" s="26"/>
      <c r="M93" s="136">
        <v>50.677390646803204</v>
      </c>
      <c r="N93" s="123">
        <v>1.3887861162458934</v>
      </c>
    </row>
    <row r="94" spans="1:22" x14ac:dyDescent="0.25">
      <c r="A94" s="1" t="s">
        <v>83</v>
      </c>
      <c r="B94" s="1" t="s">
        <v>76</v>
      </c>
      <c r="C94" s="1">
        <v>57</v>
      </c>
      <c r="D94" s="1">
        <v>3496822.02719273</v>
      </c>
      <c r="E94" s="1">
        <v>479071.89267343102</v>
      </c>
      <c r="F94" s="1">
        <v>7.2991592298995602</v>
      </c>
      <c r="H94" s="94" t="s">
        <v>194</v>
      </c>
      <c r="I94" s="26"/>
      <c r="J94" s="26"/>
      <c r="K94" s="26"/>
      <c r="L94" s="26"/>
      <c r="M94" s="26"/>
      <c r="N94" s="65"/>
    </row>
    <row r="95" spans="1:22" ht="15.75" thickBot="1" x14ac:dyDescent="0.3">
      <c r="A95" s="1" t="s">
        <v>84</v>
      </c>
      <c r="B95" s="1" t="s">
        <v>76</v>
      </c>
      <c r="C95" s="1">
        <v>57</v>
      </c>
      <c r="D95" s="1">
        <v>3188245.52275777</v>
      </c>
      <c r="E95" s="1">
        <v>472881.981311051</v>
      </c>
      <c r="F95" s="1">
        <v>6.7421590349424001</v>
      </c>
      <c r="H95" s="95" t="s">
        <v>195</v>
      </c>
      <c r="I95" s="59"/>
      <c r="J95" s="80">
        <v>0</v>
      </c>
      <c r="K95" s="80">
        <v>0</v>
      </c>
      <c r="L95" s="59"/>
      <c r="M95" s="80">
        <v>0</v>
      </c>
      <c r="N95" s="81">
        <v>0</v>
      </c>
    </row>
    <row r="96" spans="1:22" ht="66.75" thickTop="1" thickBot="1" x14ac:dyDescent="0.3">
      <c r="C96" s="87"/>
      <c r="E96" s="18" t="s">
        <v>12</v>
      </c>
      <c r="F96" s="19">
        <v>4</v>
      </c>
      <c r="H96" s="96" t="s">
        <v>196</v>
      </c>
      <c r="I96" s="58"/>
      <c r="J96" s="83">
        <v>9.7227385792810007E-5</v>
      </c>
      <c r="K96" s="69">
        <v>9.0402102540203751E-5</v>
      </c>
      <c r="L96" s="58"/>
      <c r="M96" s="69">
        <v>9.3814744166506879E-5</v>
      </c>
      <c r="N96" s="78">
        <v>4.8262040714368586E-6</v>
      </c>
      <c r="P96" s="97" t="s">
        <v>202</v>
      </c>
      <c r="Q96" s="98" t="s">
        <v>203</v>
      </c>
      <c r="R96" s="99" t="s">
        <v>176</v>
      </c>
      <c r="S96" s="99" t="s">
        <v>204</v>
      </c>
      <c r="T96" s="99" t="s">
        <v>205</v>
      </c>
      <c r="U96" s="99" t="s">
        <v>206</v>
      </c>
      <c r="V96" s="99" t="s">
        <v>198</v>
      </c>
    </row>
    <row r="97" spans="1:22" ht="18.75" thickTop="1" x14ac:dyDescent="0.35">
      <c r="C97" s="87"/>
      <c r="E97" s="20" t="s">
        <v>187</v>
      </c>
      <c r="F97" s="21">
        <v>0.11</v>
      </c>
      <c r="H97" s="94" t="s">
        <v>197</v>
      </c>
      <c r="I97" s="26"/>
      <c r="J97" s="145">
        <v>51.6594107272184</v>
      </c>
      <c r="K97" s="136">
        <v>49.695370566388</v>
      </c>
      <c r="L97" s="26"/>
      <c r="M97" s="136">
        <v>50.677390646803204</v>
      </c>
      <c r="N97" s="123">
        <v>1.3887861162458934</v>
      </c>
      <c r="Q97" s="100"/>
      <c r="R97" s="100" t="s">
        <v>190</v>
      </c>
      <c r="S97" s="105">
        <v>28.838904751133207</v>
      </c>
      <c r="T97" s="105">
        <v>35.358931852650649</v>
      </c>
      <c r="U97" s="100" t="s">
        <v>222</v>
      </c>
      <c r="V97" s="129">
        <v>0.77279951797383162</v>
      </c>
    </row>
    <row r="98" spans="1:22" ht="30" x14ac:dyDescent="0.25">
      <c r="C98" s="87"/>
      <c r="E98" s="20" t="s">
        <v>188</v>
      </c>
      <c r="F98" s="22">
        <v>2</v>
      </c>
      <c r="H98" s="94" t="s">
        <v>198</v>
      </c>
      <c r="I98" s="26"/>
      <c r="J98" s="127">
        <v>0.61937960925234958</v>
      </c>
      <c r="K98" s="72">
        <v>0.59506984968392518</v>
      </c>
      <c r="L98" s="26" t="s">
        <v>222</v>
      </c>
      <c r="M98" s="72">
        <v>0.60722472946813744</v>
      </c>
      <c r="N98" s="150">
        <v>1.7189595839847454E-2</v>
      </c>
      <c r="P98" s="101" t="s">
        <v>76</v>
      </c>
      <c r="Q98" s="107">
        <v>10</v>
      </c>
      <c r="R98" s="100" t="s">
        <v>201</v>
      </c>
      <c r="S98" s="105">
        <v>17.109860777476481</v>
      </c>
      <c r="T98" s="105">
        <v>16.537502114450326</v>
      </c>
      <c r="U98" s="100" t="s">
        <v>222</v>
      </c>
      <c r="V98" s="129">
        <v>0.60722472946813744</v>
      </c>
    </row>
    <row r="99" spans="1:22" ht="18.75" thickBot="1" x14ac:dyDescent="0.4">
      <c r="C99" s="87"/>
      <c r="E99" s="23" t="s">
        <v>189</v>
      </c>
      <c r="F99" s="24">
        <v>10</v>
      </c>
      <c r="H99" s="95" t="s">
        <v>200</v>
      </c>
      <c r="I99" s="59"/>
      <c r="J99" s="128">
        <v>17.109860777476481</v>
      </c>
      <c r="K99" s="80">
        <v>16.537502114450326</v>
      </c>
      <c r="L99" s="59" t="s">
        <v>222</v>
      </c>
      <c r="M99" s="80">
        <v>16.823681445963402</v>
      </c>
      <c r="N99" s="159">
        <v>0.40471869189665982</v>
      </c>
      <c r="P99" s="102"/>
      <c r="Q99" s="108"/>
      <c r="R99" s="109" t="s">
        <v>172</v>
      </c>
      <c r="S99" s="131">
        <v>0.59329093546120748</v>
      </c>
      <c r="T99" s="131">
        <v>0.46770366772859989</v>
      </c>
      <c r="U99" s="109" t="s">
        <v>222</v>
      </c>
      <c r="V99" s="109"/>
    </row>
    <row r="100" spans="1:22" ht="15.75" thickBot="1" x14ac:dyDescent="0.3">
      <c r="H100" s="66" t="s">
        <v>172</v>
      </c>
      <c r="I100" s="67"/>
      <c r="J100" s="121">
        <v>0.59329093546120748</v>
      </c>
      <c r="K100" s="121">
        <v>0.46770366772859989</v>
      </c>
      <c r="L100" s="67" t="s">
        <v>222</v>
      </c>
      <c r="M100" s="121">
        <v>0.53049730159490371</v>
      </c>
      <c r="N100" s="125">
        <v>8.8803608644417206E-2</v>
      </c>
      <c r="P100" s="103"/>
      <c r="Q100" s="112"/>
      <c r="R100" s="100"/>
      <c r="S100" s="100"/>
      <c r="T100" s="100"/>
      <c r="U100" s="100"/>
      <c r="V100" s="100"/>
    </row>
    <row r="101" spans="1:22" ht="15.75" thickTop="1" x14ac:dyDescent="0.25"/>
    <row r="105" spans="1:22" ht="15.75" thickBot="1" x14ac:dyDescent="0.3">
      <c r="H105" s="87" t="s">
        <v>190</v>
      </c>
    </row>
    <row r="106" spans="1:22" ht="15.75" thickTop="1" x14ac:dyDescent="0.25">
      <c r="A106" s="1" t="s">
        <v>19</v>
      </c>
      <c r="B106" s="1" t="s">
        <v>89</v>
      </c>
      <c r="C106" s="1">
        <v>80</v>
      </c>
      <c r="D106" s="1">
        <v>6454.1230523621098</v>
      </c>
      <c r="E106" s="1">
        <v>724003.150201443</v>
      </c>
      <c r="F106" s="1">
        <v>8.9144958147849996E-3</v>
      </c>
      <c r="H106" s="88" t="s">
        <v>191</v>
      </c>
      <c r="I106" s="34">
        <v>7.4999999999999997E-2</v>
      </c>
      <c r="J106" s="35">
        <v>4.6414600104022E-2</v>
      </c>
      <c r="K106" s="35">
        <v>6.2199906219618004E-2</v>
      </c>
      <c r="L106" s="37"/>
      <c r="M106" s="44">
        <v>5.4307253161820002E-2</v>
      </c>
      <c r="N106" s="45">
        <v>1.1161896997443403E-2</v>
      </c>
      <c r="P106" s="1" t="s">
        <v>190</v>
      </c>
      <c r="Q106" s="17">
        <v>30.20790708323285</v>
      </c>
      <c r="R106" s="15">
        <v>3.8718797810276531</v>
      </c>
    </row>
    <row r="107" spans="1:22" x14ac:dyDescent="0.25">
      <c r="A107" s="1" t="s">
        <v>23</v>
      </c>
      <c r="B107" s="1" t="s">
        <v>89</v>
      </c>
      <c r="C107" s="1">
        <v>80</v>
      </c>
      <c r="D107" s="1">
        <v>31336.1336507302</v>
      </c>
      <c r="E107" s="1">
        <v>767393.257466326</v>
      </c>
      <c r="F107" s="1">
        <v>4.0834517824918003E-2</v>
      </c>
      <c r="H107" s="89" t="s">
        <v>192</v>
      </c>
      <c r="I107" s="29">
        <v>0.25</v>
      </c>
      <c r="J107" s="30">
        <v>1.8610868188162003E-2</v>
      </c>
      <c r="K107" s="30">
        <v>1.6405918350553994E-2</v>
      </c>
      <c r="L107" s="26"/>
      <c r="M107" s="29">
        <v>1.7508393269357998E-2</v>
      </c>
      <c r="N107" s="47">
        <v>1.5591349823487995E-3</v>
      </c>
      <c r="P107" s="1" t="s">
        <v>201</v>
      </c>
      <c r="Q107" s="17">
        <v>14.624514792289158</v>
      </c>
      <c r="R107" s="16">
        <v>0.34503604044416325</v>
      </c>
    </row>
    <row r="108" spans="1:22" x14ac:dyDescent="0.25">
      <c r="A108" s="1" t="s">
        <v>22</v>
      </c>
      <c r="B108" s="1" t="s">
        <v>89</v>
      </c>
      <c r="C108" s="1">
        <v>80</v>
      </c>
      <c r="D108" s="1">
        <v>2753.0220083571598</v>
      </c>
      <c r="E108" s="1">
        <v>382677.237752121</v>
      </c>
      <c r="F108" s="1">
        <v>7.1941096484559996E-3</v>
      </c>
      <c r="H108" s="89" t="s">
        <v>193</v>
      </c>
      <c r="I108" s="32">
        <v>7.4999999999999997E-2</v>
      </c>
      <c r="J108" s="30">
        <v>0.17831266863493</v>
      </c>
      <c r="K108" s="30">
        <v>0.18851917630190601</v>
      </c>
      <c r="L108" s="26"/>
      <c r="M108" s="29">
        <v>0.18341592246841801</v>
      </c>
      <c r="N108" s="47">
        <v>7.217090783551222E-3</v>
      </c>
    </row>
    <row r="109" spans="1:22" x14ac:dyDescent="0.25">
      <c r="A109" s="1" t="s">
        <v>24</v>
      </c>
      <c r="B109" s="1" t="s">
        <v>89</v>
      </c>
      <c r="C109" s="1">
        <v>80</v>
      </c>
      <c r="D109" s="1">
        <v>2304.38145660296</v>
      </c>
      <c r="E109" s="1">
        <v>327471.84305237798</v>
      </c>
      <c r="F109" s="1">
        <v>7.0368842558299997E-3</v>
      </c>
      <c r="H109" s="89" t="s">
        <v>194</v>
      </c>
      <c r="I109" s="26"/>
      <c r="J109" s="26"/>
      <c r="K109" s="26"/>
      <c r="L109" s="26"/>
      <c r="M109" s="26"/>
      <c r="N109" s="38"/>
    </row>
    <row r="110" spans="1:22" ht="15.75" thickBot="1" x14ac:dyDescent="0.3">
      <c r="A110" s="1" t="s">
        <v>94</v>
      </c>
      <c r="B110" s="1" t="s">
        <v>89</v>
      </c>
      <c r="C110" s="1">
        <v>80</v>
      </c>
      <c r="D110" s="1">
        <v>15598.958306942999</v>
      </c>
      <c r="E110" s="1">
        <v>528290.71833039797</v>
      </c>
      <c r="F110" s="1">
        <v>2.9527223866892001E-2</v>
      </c>
      <c r="H110" s="90" t="s">
        <v>195</v>
      </c>
      <c r="I110" s="27"/>
      <c r="J110" s="160">
        <v>8.9144958147849996E-3</v>
      </c>
      <c r="K110" s="33">
        <v>4.0834517824918003E-2</v>
      </c>
      <c r="L110" s="27"/>
      <c r="M110" s="33">
        <v>2.48745068198515E-2</v>
      </c>
      <c r="N110" s="118">
        <v>2.2570864018988897E-2</v>
      </c>
    </row>
    <row r="111" spans="1:22" x14ac:dyDescent="0.25">
      <c r="A111" s="1" t="s">
        <v>95</v>
      </c>
      <c r="B111" s="1" t="s">
        <v>89</v>
      </c>
      <c r="C111" s="1">
        <v>80</v>
      </c>
      <c r="D111" s="1">
        <v>14064.8398855793</v>
      </c>
      <c r="E111" s="1">
        <v>485396.413698752</v>
      </c>
      <c r="F111" s="1">
        <v>2.8975986407489999E-2</v>
      </c>
      <c r="H111" s="91" t="s">
        <v>196</v>
      </c>
      <c r="I111" s="25"/>
      <c r="J111" s="54">
        <v>6.4621070097784735E-7</v>
      </c>
      <c r="K111" s="40">
        <v>5.6964994272756924E-7</v>
      </c>
      <c r="L111" s="25"/>
      <c r="M111" s="40">
        <v>6.079303218527083E-7</v>
      </c>
      <c r="N111" s="49">
        <v>5.4136631331555564E-8</v>
      </c>
    </row>
    <row r="112" spans="1:22" ht="18" x14ac:dyDescent="0.35">
      <c r="A112" s="1" t="s">
        <v>92</v>
      </c>
      <c r="B112" s="1" t="s">
        <v>89</v>
      </c>
      <c r="C112" s="1">
        <v>80</v>
      </c>
      <c r="D112" s="1">
        <v>32168.374386150299</v>
      </c>
      <c r="E112" s="1">
        <v>463169.70309983502</v>
      </c>
      <c r="F112" s="1">
        <v>6.9452673978583998E-2</v>
      </c>
      <c r="H112" s="89" t="s">
        <v>197</v>
      </c>
      <c r="I112" s="26"/>
      <c r="J112" s="55">
        <v>0.17831266863493</v>
      </c>
      <c r="K112" s="29">
        <v>0.18851917630190601</v>
      </c>
      <c r="L112" s="26"/>
      <c r="M112" s="29">
        <v>0.18341592246841801</v>
      </c>
      <c r="N112" s="47">
        <v>7.217090783551222E-3</v>
      </c>
    </row>
    <row r="113" spans="1:22" x14ac:dyDescent="0.25">
      <c r="A113" s="1" t="s">
        <v>93</v>
      </c>
      <c r="B113" s="1" t="s">
        <v>89</v>
      </c>
      <c r="C113" s="1">
        <v>80</v>
      </c>
      <c r="D113" s="1">
        <v>30718.8913793477</v>
      </c>
      <c r="E113" s="1">
        <v>426625.78481254203</v>
      </c>
      <c r="F113" s="1">
        <v>7.2004300895327999E-2</v>
      </c>
      <c r="H113" s="89" t="s">
        <v>198</v>
      </c>
      <c r="I113" s="26"/>
      <c r="J113" s="56">
        <v>0.60820595770417807</v>
      </c>
      <c r="K113" s="41">
        <v>0.62002340034774961</v>
      </c>
      <c r="L113" s="26" t="s">
        <v>222</v>
      </c>
      <c r="M113" s="72">
        <v>0.61411467902596384</v>
      </c>
      <c r="N113" s="161">
        <v>8.3561938295525166E-3</v>
      </c>
    </row>
    <row r="114" spans="1:22" ht="18.75" thickBot="1" x14ac:dyDescent="0.4">
      <c r="A114" s="1" t="s">
        <v>90</v>
      </c>
      <c r="B114" s="1" t="s">
        <v>89</v>
      </c>
      <c r="C114" s="1">
        <v>80</v>
      </c>
      <c r="D114" s="1">
        <v>16818.249134867001</v>
      </c>
      <c r="E114" s="1">
        <v>461049.86076831399</v>
      </c>
      <c r="F114" s="1">
        <v>3.6478156845857E-2</v>
      </c>
      <c r="H114" s="92" t="s">
        <v>200</v>
      </c>
      <c r="I114" s="39"/>
      <c r="J114" s="57">
        <v>32.945739532336589</v>
      </c>
      <c r="K114" s="42">
        <v>27.470074634129112</v>
      </c>
      <c r="L114" s="39" t="s">
        <v>222</v>
      </c>
      <c r="M114" s="43">
        <v>30.20790708323285</v>
      </c>
      <c r="N114" s="156">
        <v>3.8718797810276531</v>
      </c>
    </row>
    <row r="115" spans="1:22" ht="15.75" thickTop="1" x14ac:dyDescent="0.25">
      <c r="A115" s="1" t="s">
        <v>91</v>
      </c>
      <c r="B115" s="1" t="s">
        <v>89</v>
      </c>
      <c r="C115" s="1">
        <v>80</v>
      </c>
      <c r="D115" s="1">
        <v>18962.7540172716</v>
      </c>
      <c r="E115" s="1">
        <v>469090.81908300897</v>
      </c>
      <c r="F115" s="1">
        <v>4.0424483374756001E-2</v>
      </c>
      <c r="H115" s="86"/>
    </row>
    <row r="116" spans="1:22" ht="15.75" thickBot="1" x14ac:dyDescent="0.3">
      <c r="A116" s="1" t="s">
        <v>100</v>
      </c>
      <c r="B116" s="1" t="s">
        <v>89</v>
      </c>
      <c r="C116" s="1">
        <v>80</v>
      </c>
      <c r="D116" s="1">
        <v>9228.7210792125206</v>
      </c>
      <c r="E116" s="1">
        <v>483395.13520066201</v>
      </c>
      <c r="F116" s="1">
        <v>1.9091464533216002E-2</v>
      </c>
      <c r="H116" s="87" t="s">
        <v>201</v>
      </c>
    </row>
    <row r="117" spans="1:22" ht="15.75" thickTop="1" x14ac:dyDescent="0.25">
      <c r="A117" s="1" t="s">
        <v>101</v>
      </c>
      <c r="B117" s="1" t="s">
        <v>89</v>
      </c>
      <c r="C117" s="1">
        <v>80</v>
      </c>
      <c r="D117" s="1">
        <v>9491.4741158806191</v>
      </c>
      <c r="E117" s="1">
        <v>473997.52944417601</v>
      </c>
      <c r="F117" s="1">
        <v>2.0024311365105001E-2</v>
      </c>
      <c r="H117" s="93" t="s">
        <v>191</v>
      </c>
      <c r="I117" s="61">
        <v>0.25</v>
      </c>
      <c r="J117" s="62">
        <v>0.142166117516312</v>
      </c>
      <c r="K117" s="62">
        <v>0.16121697206159999</v>
      </c>
      <c r="L117" s="64"/>
      <c r="M117" s="61">
        <v>0.151691544788956</v>
      </c>
      <c r="N117" s="75">
        <v>1.3470988436371697E-2</v>
      </c>
    </row>
    <row r="118" spans="1:22" x14ac:dyDescent="0.25">
      <c r="A118" s="1" t="s">
        <v>98</v>
      </c>
      <c r="B118" s="1" t="s">
        <v>89</v>
      </c>
      <c r="C118" s="1">
        <v>80</v>
      </c>
      <c r="D118" s="1">
        <v>38046.2289402631</v>
      </c>
      <c r="E118" s="1">
        <v>442510.25975336903</v>
      </c>
      <c r="F118" s="1">
        <v>8.5978184915910999E-2</v>
      </c>
      <c r="H118" s="94" t="s">
        <v>192</v>
      </c>
      <c r="I118" s="32">
        <v>7.4999999999999997E-2</v>
      </c>
      <c r="J118" s="31">
        <v>4.7903870324292011E-2</v>
      </c>
      <c r="K118" s="31">
        <v>5.163525765184801E-2</v>
      </c>
      <c r="L118" s="26"/>
      <c r="M118" s="32">
        <v>4.9769563988070011E-2</v>
      </c>
      <c r="N118" s="163">
        <v>2.6384892825483961E-3</v>
      </c>
    </row>
    <row r="119" spans="1:22" x14ac:dyDescent="0.25">
      <c r="A119" s="1" t="s">
        <v>99</v>
      </c>
      <c r="B119" s="1" t="s">
        <v>89</v>
      </c>
      <c r="C119" s="1">
        <v>80</v>
      </c>
      <c r="D119" s="1">
        <v>39767.174516763502</v>
      </c>
      <c r="E119" s="1">
        <v>445164.87408924301</v>
      </c>
      <c r="F119" s="1">
        <v>8.9331339535991997E-2</v>
      </c>
      <c r="H119" s="94" t="s">
        <v>193</v>
      </c>
      <c r="I119" s="29">
        <v>0.25</v>
      </c>
      <c r="J119" s="30">
        <v>0.31545075185507199</v>
      </c>
      <c r="K119" s="30">
        <v>0.32886337033539598</v>
      </c>
      <c r="L119" s="26"/>
      <c r="M119" s="29">
        <v>0.32215706109523401</v>
      </c>
      <c r="N119" s="163">
        <v>9.4841534809050991E-3</v>
      </c>
    </row>
    <row r="120" spans="1:22" x14ac:dyDescent="0.25">
      <c r="A120" s="1" t="s">
        <v>96</v>
      </c>
      <c r="B120" s="1" t="s">
        <v>89</v>
      </c>
      <c r="C120" s="1">
        <v>80</v>
      </c>
      <c r="D120" s="1">
        <v>18439.238772227101</v>
      </c>
      <c r="E120" s="1">
        <v>432267.327521878</v>
      </c>
      <c r="F120" s="1">
        <v>4.2657026331221003E-2</v>
      </c>
      <c r="H120" s="94" t="s">
        <v>194</v>
      </c>
      <c r="I120" s="26"/>
      <c r="J120" s="26"/>
      <c r="K120" s="26"/>
      <c r="L120" s="26"/>
      <c r="M120" s="26"/>
      <c r="N120" s="65"/>
    </row>
    <row r="121" spans="1:22" ht="15.75" thickBot="1" x14ac:dyDescent="0.3">
      <c r="A121" s="1" t="s">
        <v>97</v>
      </c>
      <c r="B121" s="1" t="s">
        <v>89</v>
      </c>
      <c r="C121" s="1">
        <v>80</v>
      </c>
      <c r="D121" s="1">
        <v>21152.763042958399</v>
      </c>
      <c r="E121" s="1">
        <v>446075.05349959101</v>
      </c>
      <c r="F121" s="1">
        <v>4.7419739967543E-2</v>
      </c>
      <c r="H121" s="95" t="s">
        <v>195</v>
      </c>
      <c r="I121" s="59"/>
      <c r="J121" s="162">
        <v>7.1941096484559996E-3</v>
      </c>
      <c r="K121" s="162">
        <v>7.0368842558299997E-3</v>
      </c>
      <c r="L121" s="59"/>
      <c r="M121" s="162">
        <v>7.1154969521429997E-3</v>
      </c>
      <c r="N121" s="164">
        <v>1.1117514130056189E-4</v>
      </c>
    </row>
    <row r="122" spans="1:22" ht="66.75" thickTop="1" thickBot="1" x14ac:dyDescent="0.3">
      <c r="C122" s="87"/>
      <c r="E122" s="18" t="s">
        <v>12</v>
      </c>
      <c r="F122" s="19">
        <v>4</v>
      </c>
      <c r="H122" s="96" t="s">
        <v>196</v>
      </c>
      <c r="I122" s="58"/>
      <c r="J122" s="83">
        <v>4.9899864921137504E-7</v>
      </c>
      <c r="K122" s="69">
        <v>5.3786726720675007E-7</v>
      </c>
      <c r="L122" s="58"/>
      <c r="M122" s="69">
        <v>5.1843295820906256E-7</v>
      </c>
      <c r="N122" s="78">
        <v>2.7484263359879157E-8</v>
      </c>
      <c r="P122" s="97" t="s">
        <v>202</v>
      </c>
      <c r="Q122" s="98" t="s">
        <v>203</v>
      </c>
      <c r="R122" s="99" t="s">
        <v>176</v>
      </c>
      <c r="S122" s="99" t="s">
        <v>204</v>
      </c>
      <c r="T122" s="99" t="s">
        <v>205</v>
      </c>
      <c r="U122" s="99" t="s">
        <v>206</v>
      </c>
      <c r="V122" s="99" t="s">
        <v>198</v>
      </c>
    </row>
    <row r="123" spans="1:22" ht="18.75" thickTop="1" x14ac:dyDescent="0.35">
      <c r="C123" s="87"/>
      <c r="E123" s="20" t="s">
        <v>187</v>
      </c>
      <c r="F123" s="21">
        <v>0.11</v>
      </c>
      <c r="H123" s="94" t="s">
        <v>197</v>
      </c>
      <c r="I123" s="26"/>
      <c r="J123" s="55">
        <v>0.31545075185507199</v>
      </c>
      <c r="K123" s="29">
        <v>0.32886337033539598</v>
      </c>
      <c r="L123" s="26"/>
      <c r="M123" s="29">
        <v>0.32215706109523401</v>
      </c>
      <c r="N123" s="163">
        <v>9.4841534809050991E-3</v>
      </c>
      <c r="Q123" s="100"/>
      <c r="R123" s="100" t="s">
        <v>190</v>
      </c>
      <c r="S123" s="104">
        <v>32.945739532336589</v>
      </c>
      <c r="T123" s="104">
        <v>27.470074634129112</v>
      </c>
      <c r="U123" s="100" t="s">
        <v>222</v>
      </c>
      <c r="V123" s="129">
        <v>0.61411467902596384</v>
      </c>
    </row>
    <row r="124" spans="1:22" ht="30" x14ac:dyDescent="0.25">
      <c r="C124" s="87"/>
      <c r="E124" s="20" t="s">
        <v>188</v>
      </c>
      <c r="F124" s="22">
        <v>2</v>
      </c>
      <c r="H124" s="94" t="s">
        <v>198</v>
      </c>
      <c r="I124" s="26"/>
      <c r="J124" s="127">
        <v>0.49623365198228397</v>
      </c>
      <c r="K124" s="72">
        <v>0.53732815903740416</v>
      </c>
      <c r="L124" s="26" t="s">
        <v>222</v>
      </c>
      <c r="M124" s="72">
        <v>0.51678090550984401</v>
      </c>
      <c r="N124" s="150">
        <v>2.9058204608193906E-2</v>
      </c>
      <c r="P124" s="101" t="s">
        <v>89</v>
      </c>
      <c r="Q124" s="107">
        <v>10</v>
      </c>
      <c r="R124" s="100" t="s">
        <v>201</v>
      </c>
      <c r="S124" s="105">
        <v>14.380537468337335</v>
      </c>
      <c r="T124" s="105">
        <v>14.868492116240983</v>
      </c>
      <c r="U124" s="100" t="s">
        <v>222</v>
      </c>
      <c r="V124" s="129">
        <v>0.51678090550984401</v>
      </c>
    </row>
    <row r="125" spans="1:22" ht="18.75" thickBot="1" x14ac:dyDescent="0.4">
      <c r="C125" s="87"/>
      <c r="E125" s="23" t="s">
        <v>189</v>
      </c>
      <c r="F125" s="24">
        <v>10</v>
      </c>
      <c r="H125" s="95" t="s">
        <v>200</v>
      </c>
      <c r="I125" s="59"/>
      <c r="J125" s="128">
        <v>14.380537468337335</v>
      </c>
      <c r="K125" s="80">
        <v>14.868492116240983</v>
      </c>
      <c r="L125" s="59" t="s">
        <v>222</v>
      </c>
      <c r="M125" s="80">
        <v>14.624514792289158</v>
      </c>
      <c r="N125" s="159">
        <v>0.34503604044416325</v>
      </c>
      <c r="P125" s="102"/>
      <c r="Q125" s="108"/>
      <c r="R125" s="109" t="s">
        <v>172</v>
      </c>
      <c r="S125" s="110">
        <v>0.43649156681466167</v>
      </c>
      <c r="T125" s="110">
        <v>0.54126143864815757</v>
      </c>
      <c r="U125" s="109" t="s">
        <v>222</v>
      </c>
      <c r="V125" s="109"/>
    </row>
    <row r="126" spans="1:22" ht="15.75" thickBot="1" x14ac:dyDescent="0.3">
      <c r="H126" s="66" t="s">
        <v>172</v>
      </c>
      <c r="I126" s="67"/>
      <c r="J126" s="71">
        <v>0.43649156681466167</v>
      </c>
      <c r="K126" s="71">
        <v>0.54126143864815757</v>
      </c>
      <c r="L126" s="67" t="s">
        <v>222</v>
      </c>
      <c r="M126" s="71">
        <v>0.48887650273140959</v>
      </c>
      <c r="N126" s="82">
        <v>7.4083486837510676E-2</v>
      </c>
      <c r="P126" s="103"/>
      <c r="Q126" s="112"/>
      <c r="R126" s="100"/>
      <c r="S126" s="100"/>
      <c r="T126" s="100"/>
      <c r="U126" s="100"/>
      <c r="V126" s="100"/>
    </row>
    <row r="127" spans="1:22" ht="15.75" thickTop="1" x14ac:dyDescent="0.25"/>
    <row r="131" spans="1:18" ht="15.75" thickBot="1" x14ac:dyDescent="0.3">
      <c r="H131" s="87" t="s">
        <v>190</v>
      </c>
    </row>
    <row r="132" spans="1:18" ht="15.75" thickTop="1" x14ac:dyDescent="0.25">
      <c r="A132" s="1" t="s">
        <v>19</v>
      </c>
      <c r="B132" s="1" t="s">
        <v>37</v>
      </c>
      <c r="C132" s="1">
        <v>66</v>
      </c>
      <c r="D132" s="1">
        <v>0</v>
      </c>
      <c r="E132" s="1">
        <v>724003.150201443</v>
      </c>
      <c r="F132" s="1">
        <v>0</v>
      </c>
      <c r="H132" s="88" t="s">
        <v>191</v>
      </c>
      <c r="I132" s="34">
        <v>7.4999999999999997E-2</v>
      </c>
      <c r="J132" s="134">
        <v>0</v>
      </c>
      <c r="K132" s="134">
        <v>0</v>
      </c>
      <c r="L132" s="37"/>
      <c r="M132" s="137">
        <v>0</v>
      </c>
      <c r="N132" s="166">
        <v>0</v>
      </c>
      <c r="P132" s="1" t="s">
        <v>190</v>
      </c>
      <c r="Q132" s="17">
        <v>0</v>
      </c>
      <c r="R132" s="17">
        <v>0</v>
      </c>
    </row>
    <row r="133" spans="1:18" x14ac:dyDescent="0.25">
      <c r="A133" s="1" t="s">
        <v>23</v>
      </c>
      <c r="B133" s="1" t="s">
        <v>37</v>
      </c>
      <c r="C133" s="1">
        <v>66</v>
      </c>
      <c r="D133" s="1">
        <v>0</v>
      </c>
      <c r="E133" s="1">
        <v>767393.257466326</v>
      </c>
      <c r="F133" s="1">
        <v>0</v>
      </c>
      <c r="H133" s="89" t="s">
        <v>192</v>
      </c>
      <c r="I133" s="29">
        <v>0.25</v>
      </c>
      <c r="J133" s="132">
        <v>0</v>
      </c>
      <c r="K133" s="132">
        <v>0</v>
      </c>
      <c r="L133" s="26"/>
      <c r="M133" s="136">
        <v>0</v>
      </c>
      <c r="N133" s="139">
        <v>0</v>
      </c>
      <c r="P133" s="1" t="s">
        <v>201</v>
      </c>
      <c r="Q133" s="17">
        <v>0</v>
      </c>
      <c r="R133" s="17">
        <v>0</v>
      </c>
    </row>
    <row r="134" spans="1:18" x14ac:dyDescent="0.25">
      <c r="A134" s="1" t="s">
        <v>22</v>
      </c>
      <c r="B134" s="1" t="s">
        <v>37</v>
      </c>
      <c r="C134" s="1">
        <v>66</v>
      </c>
      <c r="D134" s="1">
        <v>0</v>
      </c>
      <c r="E134" s="1">
        <v>382677.237752121</v>
      </c>
      <c r="F134" s="1">
        <v>0</v>
      </c>
      <c r="H134" s="89" t="s">
        <v>193</v>
      </c>
      <c r="I134" s="32">
        <v>7.4999999999999997E-2</v>
      </c>
      <c r="J134" s="31">
        <v>1.7737359074240001E-2</v>
      </c>
      <c r="K134" s="31">
        <v>1.8907586722103999E-2</v>
      </c>
      <c r="L134" s="26"/>
      <c r="M134" s="32">
        <v>1.8322472898172001E-2</v>
      </c>
      <c r="N134" s="167">
        <v>8.2747590533661616E-4</v>
      </c>
    </row>
    <row r="135" spans="1:18" x14ac:dyDescent="0.25">
      <c r="A135" s="1" t="s">
        <v>24</v>
      </c>
      <c r="B135" s="1" t="s">
        <v>37</v>
      </c>
      <c r="C135" s="1">
        <v>66</v>
      </c>
      <c r="D135" s="1">
        <v>0</v>
      </c>
      <c r="E135" s="1">
        <v>327471.84305237798</v>
      </c>
      <c r="F135" s="1">
        <v>0</v>
      </c>
      <c r="H135" s="89" t="s">
        <v>194</v>
      </c>
      <c r="I135" s="26"/>
      <c r="J135" s="26"/>
      <c r="K135" s="26"/>
      <c r="L135" s="26"/>
      <c r="M135" s="26"/>
      <c r="N135" s="38"/>
    </row>
    <row r="136" spans="1:18" ht="15.75" thickBot="1" x14ac:dyDescent="0.3">
      <c r="A136" s="1" t="s">
        <v>42</v>
      </c>
      <c r="B136" s="1" t="s">
        <v>37</v>
      </c>
      <c r="C136" s="1">
        <v>66</v>
      </c>
      <c r="D136" s="1">
        <v>0</v>
      </c>
      <c r="E136" s="1">
        <v>452315.21125252498</v>
      </c>
      <c r="F136" s="1">
        <v>0</v>
      </c>
      <c r="H136" s="90" t="s">
        <v>195</v>
      </c>
      <c r="I136" s="27"/>
      <c r="J136" s="165">
        <v>0</v>
      </c>
      <c r="K136" s="165">
        <v>0</v>
      </c>
      <c r="L136" s="27"/>
      <c r="M136" s="165">
        <v>0</v>
      </c>
      <c r="N136" s="168">
        <v>0</v>
      </c>
    </row>
    <row r="137" spans="1:18" x14ac:dyDescent="0.25">
      <c r="A137" s="1" t="s">
        <v>43</v>
      </c>
      <c r="B137" s="1" t="s">
        <v>37</v>
      </c>
      <c r="C137" s="1">
        <v>66</v>
      </c>
      <c r="D137" s="1">
        <v>0</v>
      </c>
      <c r="E137" s="1">
        <v>470254.229530796</v>
      </c>
      <c r="F137" s="1">
        <v>0</v>
      </c>
      <c r="H137" s="91" t="s">
        <v>196</v>
      </c>
      <c r="I137" s="25"/>
      <c r="J137" s="144">
        <v>0</v>
      </c>
      <c r="K137" s="135">
        <v>0</v>
      </c>
      <c r="L137" s="25"/>
      <c r="M137" s="135">
        <v>0</v>
      </c>
      <c r="N137" s="141">
        <v>0</v>
      </c>
    </row>
    <row r="138" spans="1:18" ht="18" x14ac:dyDescent="0.35">
      <c r="A138" s="1" t="s">
        <v>40</v>
      </c>
      <c r="B138" s="1" t="s">
        <v>37</v>
      </c>
      <c r="C138" s="1">
        <v>66</v>
      </c>
      <c r="D138" s="1">
        <v>2135.4720486613301</v>
      </c>
      <c r="E138" s="1">
        <v>481576.09928817302</v>
      </c>
      <c r="F138" s="1">
        <v>4.4343397685600002E-3</v>
      </c>
      <c r="H138" s="89" t="s">
        <v>197</v>
      </c>
      <c r="I138" s="26"/>
      <c r="J138" s="84">
        <v>1.7737359074240001E-2</v>
      </c>
      <c r="K138" s="32">
        <v>1.8907586722103999E-2</v>
      </c>
      <c r="L138" s="26"/>
      <c r="M138" s="32">
        <v>1.8322472898172001E-2</v>
      </c>
      <c r="N138" s="167">
        <v>8.2747590533661616E-4</v>
      </c>
    </row>
    <row r="139" spans="1:18" x14ac:dyDescent="0.25">
      <c r="A139" s="1" t="s">
        <v>41</v>
      </c>
      <c r="B139" s="1" t="s">
        <v>37</v>
      </c>
      <c r="C139" s="1">
        <v>66</v>
      </c>
      <c r="D139" s="1">
        <v>1366.0893759297501</v>
      </c>
      <c r="E139" s="1">
        <v>289003.43465469498</v>
      </c>
      <c r="F139" s="1">
        <v>4.7268966805259997E-3</v>
      </c>
      <c r="H139" s="89" t="s">
        <v>198</v>
      </c>
      <c r="I139" s="26"/>
      <c r="J139" s="127">
        <v>0</v>
      </c>
      <c r="K139" s="72">
        <v>0</v>
      </c>
      <c r="L139" s="26" t="s">
        <v>222</v>
      </c>
      <c r="M139" s="72">
        <v>0</v>
      </c>
      <c r="N139" s="142">
        <v>0</v>
      </c>
    </row>
    <row r="140" spans="1:18" ht="18.75" thickBot="1" x14ac:dyDescent="0.4">
      <c r="A140" s="1" t="s">
        <v>38</v>
      </c>
      <c r="B140" s="1" t="s">
        <v>37</v>
      </c>
      <c r="C140" s="1">
        <v>66</v>
      </c>
      <c r="D140" s="1">
        <v>0</v>
      </c>
      <c r="E140" s="1">
        <v>479720.247263739</v>
      </c>
      <c r="F140" s="1">
        <v>0</v>
      </c>
      <c r="H140" s="92" t="s">
        <v>200</v>
      </c>
      <c r="I140" s="39"/>
      <c r="J140" s="146">
        <v>0</v>
      </c>
      <c r="K140" s="43">
        <v>0</v>
      </c>
      <c r="L140" s="39" t="s">
        <v>222</v>
      </c>
      <c r="M140" s="43">
        <v>0</v>
      </c>
      <c r="N140" s="143">
        <v>0</v>
      </c>
    </row>
    <row r="141" spans="1:18" ht="15.75" thickTop="1" x14ac:dyDescent="0.25">
      <c r="A141" s="1" t="s">
        <v>39</v>
      </c>
      <c r="B141" s="1" t="s">
        <v>37</v>
      </c>
      <c r="C141" s="1">
        <v>66</v>
      </c>
      <c r="D141" s="1">
        <v>0</v>
      </c>
      <c r="E141" s="1">
        <v>470544.813138286</v>
      </c>
      <c r="F141" s="1">
        <v>0</v>
      </c>
      <c r="H141" s="86"/>
    </row>
    <row r="142" spans="1:18" ht="15.75" thickBot="1" x14ac:dyDescent="0.3">
      <c r="A142" s="1" t="s">
        <v>48</v>
      </c>
      <c r="B142" s="1" t="s">
        <v>37</v>
      </c>
      <c r="C142" s="1">
        <v>66</v>
      </c>
      <c r="D142" s="1">
        <v>0</v>
      </c>
      <c r="E142" s="1">
        <v>503819.05493291997</v>
      </c>
      <c r="F142" s="1">
        <v>0</v>
      </c>
      <c r="H142" s="87" t="s">
        <v>201</v>
      </c>
    </row>
    <row r="143" spans="1:18" ht="15.75" thickTop="1" x14ac:dyDescent="0.25">
      <c r="A143" s="1" t="s">
        <v>49</v>
      </c>
      <c r="B143" s="1" t="s">
        <v>37</v>
      </c>
      <c r="C143" s="1">
        <v>66</v>
      </c>
      <c r="D143" s="1">
        <v>0</v>
      </c>
      <c r="E143" s="1">
        <v>502455.24312755401</v>
      </c>
      <c r="F143" s="1">
        <v>0</v>
      </c>
      <c r="H143" s="93" t="s">
        <v>191</v>
      </c>
      <c r="I143" s="61">
        <v>0.25</v>
      </c>
      <c r="J143" s="147">
        <v>0</v>
      </c>
      <c r="K143" s="147">
        <v>0</v>
      </c>
      <c r="L143" s="64"/>
      <c r="M143" s="149">
        <v>0</v>
      </c>
      <c r="N143" s="170">
        <v>0</v>
      </c>
    </row>
    <row r="144" spans="1:18" x14ac:dyDescent="0.25">
      <c r="A144" s="1" t="s">
        <v>46</v>
      </c>
      <c r="B144" s="1" t="s">
        <v>37</v>
      </c>
      <c r="C144" s="1">
        <v>66</v>
      </c>
      <c r="D144" s="1">
        <v>1788.90703986531</v>
      </c>
      <c r="E144" s="1">
        <v>329674.03829815402</v>
      </c>
      <c r="F144" s="1">
        <v>5.4262903111809997E-3</v>
      </c>
      <c r="H144" s="94" t="s">
        <v>192</v>
      </c>
      <c r="I144" s="32">
        <v>7.4999999999999997E-2</v>
      </c>
      <c r="J144" s="132">
        <v>0</v>
      </c>
      <c r="K144" s="132">
        <v>0</v>
      </c>
      <c r="L144" s="26"/>
      <c r="M144" s="136">
        <v>0</v>
      </c>
      <c r="N144" s="171">
        <v>0</v>
      </c>
    </row>
    <row r="145" spans="1:22" x14ac:dyDescent="0.25">
      <c r="A145" s="1" t="s">
        <v>47</v>
      </c>
      <c r="B145" s="1" t="s">
        <v>37</v>
      </c>
      <c r="C145" s="1">
        <v>66</v>
      </c>
      <c r="D145" s="1">
        <v>3817.2132241272102</v>
      </c>
      <c r="E145" s="1">
        <v>558747.25594510802</v>
      </c>
      <c r="F145" s="1">
        <v>6.8317350707530001E-3</v>
      </c>
      <c r="H145" s="94" t="s">
        <v>193</v>
      </c>
      <c r="I145" s="29">
        <v>0.25</v>
      </c>
      <c r="J145" s="31">
        <v>2.1705161244723999E-2</v>
      </c>
      <c r="K145" s="31">
        <v>2.7326940283012E-2</v>
      </c>
      <c r="L145" s="26"/>
      <c r="M145" s="32">
        <v>2.4516050763868001E-2</v>
      </c>
      <c r="N145" s="163">
        <v>3.9751980803058333E-3</v>
      </c>
    </row>
    <row r="146" spans="1:22" x14ac:dyDescent="0.25">
      <c r="A146" s="1" t="s">
        <v>44</v>
      </c>
      <c r="B146" s="1" t="s">
        <v>37</v>
      </c>
      <c r="C146" s="1">
        <v>66</v>
      </c>
      <c r="D146" s="1">
        <v>0</v>
      </c>
      <c r="E146" s="1">
        <v>474960.48671360698</v>
      </c>
      <c r="F146" s="1">
        <v>0</v>
      </c>
      <c r="H146" s="94" t="s">
        <v>194</v>
      </c>
      <c r="I146" s="26"/>
      <c r="J146" s="26"/>
      <c r="K146" s="26"/>
      <c r="L146" s="26"/>
      <c r="M146" s="26"/>
      <c r="N146" s="65"/>
    </row>
    <row r="147" spans="1:22" ht="15.75" thickBot="1" x14ac:dyDescent="0.3">
      <c r="A147" s="1" t="s">
        <v>45</v>
      </c>
      <c r="B147" s="1" t="s">
        <v>37</v>
      </c>
      <c r="C147" s="1">
        <v>66</v>
      </c>
      <c r="D147" s="1">
        <v>0</v>
      </c>
      <c r="E147" s="1">
        <v>454403.22043358599</v>
      </c>
      <c r="F147" s="1">
        <v>0</v>
      </c>
      <c r="H147" s="95" t="s">
        <v>195</v>
      </c>
      <c r="I147" s="59"/>
      <c r="J147" s="80">
        <v>0</v>
      </c>
      <c r="K147" s="80">
        <v>0</v>
      </c>
      <c r="L147" s="59"/>
      <c r="M147" s="80">
        <v>0</v>
      </c>
      <c r="N147" s="81">
        <v>0</v>
      </c>
    </row>
    <row r="148" spans="1:22" ht="66.75" thickTop="1" thickBot="1" x14ac:dyDescent="0.3">
      <c r="C148" s="87"/>
      <c r="E148" s="18" t="s">
        <v>12</v>
      </c>
      <c r="F148" s="19">
        <v>4</v>
      </c>
      <c r="H148" s="96" t="s">
        <v>196</v>
      </c>
      <c r="I148" s="58"/>
      <c r="J148" s="173">
        <v>0</v>
      </c>
      <c r="K148" s="169">
        <v>0</v>
      </c>
      <c r="L148" s="58"/>
      <c r="M148" s="169">
        <v>0</v>
      </c>
      <c r="N148" s="172">
        <v>0</v>
      </c>
      <c r="P148" s="97" t="s">
        <v>202</v>
      </c>
      <c r="Q148" s="98" t="s">
        <v>203</v>
      </c>
      <c r="R148" s="99" t="s">
        <v>176</v>
      </c>
      <c r="S148" s="99" t="s">
        <v>204</v>
      </c>
      <c r="T148" s="99" t="s">
        <v>205</v>
      </c>
      <c r="U148" s="99" t="s">
        <v>206</v>
      </c>
      <c r="V148" s="99" t="s">
        <v>198</v>
      </c>
    </row>
    <row r="149" spans="1:22" ht="18.75" thickTop="1" x14ac:dyDescent="0.35">
      <c r="C149" s="87"/>
      <c r="E149" s="20" t="s">
        <v>187</v>
      </c>
      <c r="F149" s="21">
        <v>0.11</v>
      </c>
      <c r="H149" s="94" t="s">
        <v>197</v>
      </c>
      <c r="I149" s="26"/>
      <c r="J149" s="84">
        <v>2.1705161244723999E-2</v>
      </c>
      <c r="K149" s="32">
        <v>2.7326940283012E-2</v>
      </c>
      <c r="L149" s="26"/>
      <c r="M149" s="32">
        <v>2.4516050763868001E-2</v>
      </c>
      <c r="N149" s="163">
        <v>3.9751980803058333E-3</v>
      </c>
      <c r="Q149" s="100"/>
      <c r="R149" s="100" t="s">
        <v>190</v>
      </c>
      <c r="S149" s="105">
        <v>0</v>
      </c>
      <c r="T149" s="105">
        <v>0</v>
      </c>
      <c r="U149" s="100" t="s">
        <v>222</v>
      </c>
      <c r="V149" s="129">
        <v>0</v>
      </c>
    </row>
    <row r="150" spans="1:22" ht="30" x14ac:dyDescent="0.25">
      <c r="C150" s="87"/>
      <c r="E150" s="20" t="s">
        <v>188</v>
      </c>
      <c r="F150" s="22">
        <v>2</v>
      </c>
      <c r="H150" s="94" t="s">
        <v>198</v>
      </c>
      <c r="I150" s="26"/>
      <c r="J150" s="127">
        <v>0</v>
      </c>
      <c r="K150" s="72">
        <v>0</v>
      </c>
      <c r="L150" s="26" t="s">
        <v>222</v>
      </c>
      <c r="M150" s="72">
        <v>0</v>
      </c>
      <c r="N150" s="124">
        <v>0</v>
      </c>
      <c r="P150" s="101" t="s">
        <v>37</v>
      </c>
      <c r="Q150" s="107">
        <v>10</v>
      </c>
      <c r="R150" s="100" t="s">
        <v>201</v>
      </c>
      <c r="S150" s="105">
        <v>0</v>
      </c>
      <c r="T150" s="105">
        <v>0</v>
      </c>
      <c r="U150" s="100" t="s">
        <v>222</v>
      </c>
      <c r="V150" s="129">
        <v>0</v>
      </c>
    </row>
    <row r="151" spans="1:22" ht="18.75" thickBot="1" x14ac:dyDescent="0.4">
      <c r="C151" s="87"/>
      <c r="E151" s="23" t="s">
        <v>189</v>
      </c>
      <c r="F151" s="24">
        <v>10</v>
      </c>
      <c r="H151" s="95" t="s">
        <v>200</v>
      </c>
      <c r="I151" s="59"/>
      <c r="J151" s="128">
        <v>0</v>
      </c>
      <c r="K151" s="80">
        <v>0</v>
      </c>
      <c r="L151" s="59" t="s">
        <v>222</v>
      </c>
      <c r="M151" s="80">
        <v>0</v>
      </c>
      <c r="N151" s="81">
        <v>0</v>
      </c>
      <c r="P151" s="102"/>
      <c r="Q151" s="108"/>
      <c r="R151" s="109" t="s">
        <v>172</v>
      </c>
      <c r="S151" s="109" t="s">
        <v>222</v>
      </c>
      <c r="T151" s="109" t="s">
        <v>222</v>
      </c>
      <c r="U151" s="109" t="s">
        <v>222</v>
      </c>
      <c r="V151" s="109"/>
    </row>
    <row r="152" spans="1:22" ht="15.75" thickBot="1" x14ac:dyDescent="0.3">
      <c r="H152" s="66" t="s">
        <v>172</v>
      </c>
      <c r="I152" s="67"/>
      <c r="J152" s="67" t="s">
        <v>222</v>
      </c>
      <c r="K152" s="67" t="s">
        <v>222</v>
      </c>
      <c r="L152" s="67" t="s">
        <v>222</v>
      </c>
      <c r="M152" s="67"/>
      <c r="N152" s="68"/>
      <c r="P152" s="103"/>
      <c r="Q152" s="112"/>
      <c r="R152" s="100"/>
      <c r="S152" s="100"/>
      <c r="T152" s="100"/>
      <c r="U152" s="100"/>
      <c r="V152" s="100"/>
    </row>
    <row r="153" spans="1:22" ht="15.75" thickTop="1" x14ac:dyDescent="0.25"/>
    <row r="157" spans="1:22" ht="15.75" thickBot="1" x14ac:dyDescent="0.3">
      <c r="H157" s="87" t="s">
        <v>190</v>
      </c>
    </row>
    <row r="158" spans="1:22" ht="15.75" thickTop="1" x14ac:dyDescent="0.25">
      <c r="A158" s="1" t="s">
        <v>19</v>
      </c>
      <c r="B158" s="1" t="s">
        <v>154</v>
      </c>
      <c r="C158" s="1">
        <v>83</v>
      </c>
      <c r="D158" s="1">
        <v>36767.3426645172</v>
      </c>
      <c r="E158" s="1">
        <v>724003.150201443</v>
      </c>
      <c r="F158" s="1">
        <v>5.0783401500790998E-2</v>
      </c>
      <c r="H158" s="88" t="s">
        <v>191</v>
      </c>
      <c r="I158" s="34">
        <v>7.4999999999999997E-2</v>
      </c>
      <c r="J158" s="35">
        <v>0.23176919567350007</v>
      </c>
      <c r="K158" s="35">
        <v>0.27854847719704401</v>
      </c>
      <c r="L158" s="37"/>
      <c r="M158" s="44">
        <v>0.25515883643527204</v>
      </c>
      <c r="N158" s="45">
        <v>3.307794718433249E-2</v>
      </c>
      <c r="P158" s="1" t="s">
        <v>190</v>
      </c>
      <c r="Q158" s="17">
        <v>92.185432168460082</v>
      </c>
      <c r="R158" s="17">
        <v>33.22102872098835</v>
      </c>
    </row>
    <row r="159" spans="1:22" x14ac:dyDescent="0.25">
      <c r="A159" s="1" t="s">
        <v>23</v>
      </c>
      <c r="B159" s="1" t="s">
        <v>154</v>
      </c>
      <c r="C159" s="1">
        <v>83</v>
      </c>
      <c r="D159" s="1">
        <v>81290.910194673706</v>
      </c>
      <c r="E159" s="1">
        <v>767393.257466326</v>
      </c>
      <c r="F159" s="1">
        <v>0.10593122809427501</v>
      </c>
      <c r="H159" s="89" t="s">
        <v>192</v>
      </c>
      <c r="I159" s="29">
        <v>0.25</v>
      </c>
      <c r="J159" s="30">
        <v>0.29716422553942001</v>
      </c>
      <c r="K159" s="30">
        <v>0.21732670148886801</v>
      </c>
      <c r="L159" s="26"/>
      <c r="M159" s="29">
        <v>0.25724546351414401</v>
      </c>
      <c r="N159" s="46">
        <v>5.6453654649289531E-2</v>
      </c>
      <c r="P159" s="1" t="s">
        <v>201</v>
      </c>
      <c r="Q159" s="53">
        <v>-107.39614284220744</v>
      </c>
      <c r="R159" s="17">
        <v>14.426569849123723</v>
      </c>
    </row>
    <row r="160" spans="1:22" x14ac:dyDescent="0.25">
      <c r="A160" s="1" t="s">
        <v>22</v>
      </c>
      <c r="B160" s="1" t="s">
        <v>154</v>
      </c>
      <c r="C160" s="1">
        <v>83</v>
      </c>
      <c r="D160" s="1">
        <v>58138.452584858896</v>
      </c>
      <c r="E160" s="1">
        <v>382677.237752121</v>
      </c>
      <c r="F160" s="1">
        <v>0.15192555723034201</v>
      </c>
      <c r="H160" s="89" t="s">
        <v>193</v>
      </c>
      <c r="I160" s="32">
        <v>7.4999999999999997E-2</v>
      </c>
      <c r="J160" s="113">
        <v>0.81089974320566394</v>
      </c>
      <c r="K160" s="113">
        <v>0.99863137363804011</v>
      </c>
      <c r="L160" s="26"/>
      <c r="M160" s="115">
        <v>0.90476555842185202</v>
      </c>
      <c r="N160" s="153">
        <v>0.1327463089219407</v>
      </c>
    </row>
    <row r="161" spans="1:22" x14ac:dyDescent="0.25">
      <c r="A161" s="1" t="s">
        <v>24</v>
      </c>
      <c r="B161" s="1" t="s">
        <v>154</v>
      </c>
      <c r="C161" s="1">
        <v>83</v>
      </c>
      <c r="D161" s="1">
        <v>55578.263082912701</v>
      </c>
      <c r="E161" s="1">
        <v>327471.84305237798</v>
      </c>
      <c r="F161" s="1">
        <v>0.16971921177975299</v>
      </c>
      <c r="H161" s="89" t="s">
        <v>194</v>
      </c>
      <c r="I161" s="26"/>
      <c r="J161" s="26"/>
      <c r="K161" s="26"/>
      <c r="L161" s="26"/>
      <c r="M161" s="26"/>
      <c r="N161" s="38"/>
    </row>
    <row r="162" spans="1:22" ht="15.75" thickBot="1" x14ac:dyDescent="0.3">
      <c r="A162" s="1" t="s">
        <v>159</v>
      </c>
      <c r="B162" s="1" t="s">
        <v>154</v>
      </c>
      <c r="C162" s="1">
        <v>83</v>
      </c>
      <c r="D162" s="1">
        <v>57641.581849178503</v>
      </c>
      <c r="E162" s="1">
        <v>377610.199196339</v>
      </c>
      <c r="F162" s="1">
        <v>0.152648371182388</v>
      </c>
      <c r="H162" s="90" t="s">
        <v>195</v>
      </c>
      <c r="I162" s="27"/>
      <c r="J162" s="33">
        <v>5.0783401500790998E-2</v>
      </c>
      <c r="K162" s="114">
        <v>0.10593122809427501</v>
      </c>
      <c r="L162" s="27"/>
      <c r="M162" s="33">
        <v>7.8357314797532995E-2</v>
      </c>
      <c r="N162" s="118">
        <v>3.8995402151952401E-2</v>
      </c>
    </row>
    <row r="163" spans="1:22" x14ac:dyDescent="0.25">
      <c r="A163" s="1" t="s">
        <v>160</v>
      </c>
      <c r="B163" s="1" t="s">
        <v>154</v>
      </c>
      <c r="C163" s="1">
        <v>83</v>
      </c>
      <c r="D163" s="1">
        <v>67357.039614864407</v>
      </c>
      <c r="E163" s="1">
        <v>507630.96115732199</v>
      </c>
      <c r="F163" s="1">
        <v>0.13268899016975</v>
      </c>
      <c r="H163" s="91" t="s">
        <v>196</v>
      </c>
      <c r="I163" s="25"/>
      <c r="J163" s="54">
        <v>1.0318202275674306E-5</v>
      </c>
      <c r="K163" s="40">
        <v>7.5460660239190279E-6</v>
      </c>
      <c r="L163" s="25"/>
      <c r="M163" s="40">
        <v>8.9321341497966672E-6</v>
      </c>
      <c r="N163" s="49">
        <v>1.9601963419892151E-6</v>
      </c>
    </row>
    <row r="164" spans="1:22" ht="18" x14ac:dyDescent="0.35">
      <c r="A164" s="1" t="s">
        <v>157</v>
      </c>
      <c r="B164" s="1" t="s">
        <v>154</v>
      </c>
      <c r="C164" s="1">
        <v>83</v>
      </c>
      <c r="D164" s="1">
        <v>130582.624786367</v>
      </c>
      <c r="E164" s="1">
        <v>464570.86674136302</v>
      </c>
      <c r="F164" s="1">
        <v>0.28108225059894898</v>
      </c>
      <c r="H164" s="89" t="s">
        <v>197</v>
      </c>
      <c r="I164" s="26"/>
      <c r="J164" s="126">
        <v>0.81089974320566394</v>
      </c>
      <c r="K164" s="115">
        <v>0.99863137363804011</v>
      </c>
      <c r="L164" s="26"/>
      <c r="M164" s="29">
        <v>0.90476555842185202</v>
      </c>
      <c r="N164" s="153">
        <v>0.1327463089219407</v>
      </c>
    </row>
    <row r="165" spans="1:22" x14ac:dyDescent="0.25">
      <c r="A165" s="1" t="s">
        <v>158</v>
      </c>
      <c r="B165" s="1" t="s">
        <v>154</v>
      </c>
      <c r="C165" s="1">
        <v>83</v>
      </c>
      <c r="D165" s="1">
        <v>160505.38183841601</v>
      </c>
      <c r="E165" s="1">
        <v>489323.06273817201</v>
      </c>
      <c r="F165" s="1">
        <v>0.32801515820704302</v>
      </c>
      <c r="H165" s="89" t="s">
        <v>198</v>
      </c>
      <c r="I165" s="26"/>
      <c r="J165" s="56">
        <v>1.5073584920697456</v>
      </c>
      <c r="K165" s="41">
        <v>1.004345389069264</v>
      </c>
      <c r="L165" s="26" t="s">
        <v>222</v>
      </c>
      <c r="M165" s="41">
        <v>1.2558519405695048</v>
      </c>
      <c r="N165" s="142">
        <v>0.35568397615732822</v>
      </c>
    </row>
    <row r="166" spans="1:22" ht="18.75" thickBot="1" x14ac:dyDescent="0.4">
      <c r="A166" s="1" t="s">
        <v>155</v>
      </c>
      <c r="B166" s="1" t="s">
        <v>154</v>
      </c>
      <c r="C166" s="1">
        <v>83</v>
      </c>
      <c r="D166" s="1">
        <v>60255.901958909999</v>
      </c>
      <c r="E166" s="1">
        <v>442084.17262650997</v>
      </c>
      <c r="F166" s="1">
        <v>0.13629961371590801</v>
      </c>
      <c r="H166" s="92" t="s">
        <v>200</v>
      </c>
      <c r="I166" s="39"/>
      <c r="J166" s="57">
        <v>115.67624685506402</v>
      </c>
      <c r="K166" s="42">
        <v>68.694617481856142</v>
      </c>
      <c r="L166" s="39" t="s">
        <v>222</v>
      </c>
      <c r="M166" s="43">
        <v>92.185432168460082</v>
      </c>
      <c r="N166" s="143">
        <v>33.22102872098835</v>
      </c>
    </row>
    <row r="167" spans="1:22" ht="15.75" thickTop="1" x14ac:dyDescent="0.25">
      <c r="A167" s="1" t="s">
        <v>156</v>
      </c>
      <c r="B167" s="1" t="s">
        <v>154</v>
      </c>
      <c r="C167" s="1">
        <v>83</v>
      </c>
      <c r="D167" s="1">
        <v>63050.363727772899</v>
      </c>
      <c r="E167" s="1">
        <v>426031.99311222503</v>
      </c>
      <c r="F167" s="1">
        <v>0.147994434096794</v>
      </c>
      <c r="H167" s="86"/>
    </row>
    <row r="168" spans="1:22" ht="15.75" thickBot="1" x14ac:dyDescent="0.3">
      <c r="A168" s="1" t="s">
        <v>165</v>
      </c>
      <c r="B168" s="1" t="s">
        <v>154</v>
      </c>
      <c r="C168" s="1">
        <v>83</v>
      </c>
      <c r="D168" s="1">
        <v>0</v>
      </c>
      <c r="E168" s="242">
        <v>35834.328296142798</v>
      </c>
      <c r="F168" s="1">
        <v>0</v>
      </c>
      <c r="H168" s="87" t="s">
        <v>201</v>
      </c>
    </row>
    <row r="169" spans="1:22" ht="15.75" thickTop="1" x14ac:dyDescent="0.25">
      <c r="A169" s="1" t="s">
        <v>166</v>
      </c>
      <c r="B169" s="1" t="s">
        <v>154</v>
      </c>
      <c r="C169" s="1">
        <v>83</v>
      </c>
      <c r="D169" s="1">
        <v>0</v>
      </c>
      <c r="E169" s="242">
        <v>68583.712031908304</v>
      </c>
      <c r="F169" s="1">
        <v>0</v>
      </c>
      <c r="H169" s="93" t="s">
        <v>191</v>
      </c>
      <c r="I169" s="61">
        <v>0.25</v>
      </c>
      <c r="J169" s="62">
        <v>2.5319736753822042E-2</v>
      </c>
      <c r="K169" s="62">
        <v>8.551083093777001E-2</v>
      </c>
      <c r="L169" s="64"/>
      <c r="M169" s="61">
        <v>5.5415283845796026E-2</v>
      </c>
      <c r="N169" s="75">
        <v>4.2561530864507771E-2</v>
      </c>
    </row>
    <row r="170" spans="1:22" x14ac:dyDescent="0.25">
      <c r="A170" s="1" t="s">
        <v>163</v>
      </c>
      <c r="B170" s="1" t="s">
        <v>154</v>
      </c>
      <c r="C170" s="1">
        <v>83</v>
      </c>
      <c r="D170" s="1">
        <v>129487.300376748</v>
      </c>
      <c r="E170" s="1">
        <v>446004.97790382599</v>
      </c>
      <c r="F170" s="1">
        <v>0.29032702949936701</v>
      </c>
      <c r="H170" s="94" t="s">
        <v>192</v>
      </c>
      <c r="I170" s="32">
        <v>7.4999999999999997E-2</v>
      </c>
      <c r="J170" s="132">
        <v>-0.64328953802018995</v>
      </c>
      <c r="K170" s="132">
        <v>-0.64328953802018995</v>
      </c>
      <c r="L170" s="26"/>
      <c r="M170" s="136">
        <v>-0.64328953802018995</v>
      </c>
      <c r="N170" s="171">
        <v>0</v>
      </c>
    </row>
    <row r="171" spans="1:22" x14ac:dyDescent="0.25">
      <c r="A171" s="1" t="s">
        <v>164</v>
      </c>
      <c r="B171" s="1" t="s">
        <v>154</v>
      </c>
      <c r="C171" s="1">
        <v>83</v>
      </c>
      <c r="D171" s="1">
        <v>142991.52052959701</v>
      </c>
      <c r="E171" s="1">
        <v>450350.81097350398</v>
      </c>
      <c r="F171" s="1">
        <v>0.31751140898469599</v>
      </c>
      <c r="H171" s="94" t="s">
        <v>193</v>
      </c>
      <c r="I171" s="29">
        <v>0.25</v>
      </c>
      <c r="J171" s="113">
        <v>0.51801857997727807</v>
      </c>
      <c r="K171" s="113">
        <v>0.62675609791859399</v>
      </c>
      <c r="L171" s="26"/>
      <c r="M171" s="115">
        <v>0.57238733894793603</v>
      </c>
      <c r="N171" s="76">
        <v>7.6889036305698363E-2</v>
      </c>
    </row>
    <row r="172" spans="1:22" x14ac:dyDescent="0.25">
      <c r="A172" s="1" t="s">
        <v>161</v>
      </c>
      <c r="B172" s="1" t="s">
        <v>154</v>
      </c>
      <c r="C172" s="1">
        <v>83</v>
      </c>
      <c r="D172" s="1">
        <v>70770.268316463902</v>
      </c>
      <c r="E172" s="1">
        <v>423387.89476340398</v>
      </c>
      <c r="F172" s="1">
        <v>0.167152318693503</v>
      </c>
      <c r="H172" s="94" t="s">
        <v>194</v>
      </c>
      <c r="I172" s="26"/>
      <c r="J172" s="26"/>
      <c r="K172" s="26"/>
      <c r="L172" s="26"/>
      <c r="M172" s="26"/>
      <c r="N172" s="65"/>
    </row>
    <row r="173" spans="1:22" ht="15.75" thickBot="1" x14ac:dyDescent="0.3">
      <c r="A173" s="1" t="s">
        <v>162</v>
      </c>
      <c r="B173" s="1" t="s">
        <v>154</v>
      </c>
      <c r="C173" s="1">
        <v>83</v>
      </c>
      <c r="D173" s="1">
        <v>81184.721691792394</v>
      </c>
      <c r="E173" s="1">
        <v>445580.025201526</v>
      </c>
      <c r="F173" s="1">
        <v>0.18220009223948999</v>
      </c>
      <c r="H173" s="95" t="s">
        <v>195</v>
      </c>
      <c r="I173" s="59"/>
      <c r="J173" s="119">
        <v>0.15192555723034201</v>
      </c>
      <c r="K173" s="119">
        <v>0.16971921177975299</v>
      </c>
      <c r="L173" s="59"/>
      <c r="M173" s="119">
        <v>0.16082238450504749</v>
      </c>
      <c r="N173" s="77">
        <v>1.2582013793979366E-2</v>
      </c>
    </row>
    <row r="174" spans="1:22" ht="66.75" thickTop="1" thickBot="1" x14ac:dyDescent="0.3">
      <c r="C174" s="87"/>
      <c r="E174" s="18" t="s">
        <v>12</v>
      </c>
      <c r="F174" s="19">
        <v>4</v>
      </c>
      <c r="H174" s="96" t="s">
        <v>196</v>
      </c>
      <c r="I174" s="58"/>
      <c r="J174" s="173">
        <v>-6.7009326877103118E-6</v>
      </c>
      <c r="K174" s="169">
        <v>-6.7009326877103118E-6</v>
      </c>
      <c r="L174" s="58"/>
      <c r="M174" s="69">
        <v>-6.7009326877103118E-6</v>
      </c>
      <c r="N174" s="172">
        <v>0</v>
      </c>
      <c r="P174" s="97" t="s">
        <v>202</v>
      </c>
      <c r="Q174" s="98" t="s">
        <v>203</v>
      </c>
      <c r="R174" s="99" t="s">
        <v>176</v>
      </c>
      <c r="S174" s="99" t="s">
        <v>204</v>
      </c>
      <c r="T174" s="99" t="s">
        <v>205</v>
      </c>
      <c r="U174" s="99" t="s">
        <v>206</v>
      </c>
      <c r="V174" s="99" t="s">
        <v>198</v>
      </c>
    </row>
    <row r="175" spans="1:22" ht="18.75" thickTop="1" x14ac:dyDescent="0.35">
      <c r="C175" s="87"/>
      <c r="E175" s="20" t="s">
        <v>187</v>
      </c>
      <c r="F175" s="21">
        <v>0.11</v>
      </c>
      <c r="H175" s="94" t="s">
        <v>197</v>
      </c>
      <c r="I175" s="26"/>
      <c r="J175" s="126">
        <v>0.51801857997727807</v>
      </c>
      <c r="K175" s="115">
        <v>0.62675609791859399</v>
      </c>
      <c r="L175" s="26"/>
      <c r="M175" s="29">
        <v>0.57238733894793603</v>
      </c>
      <c r="N175" s="76">
        <v>7.6889036305698363E-2</v>
      </c>
      <c r="Q175" s="100"/>
      <c r="R175" s="100" t="s">
        <v>190</v>
      </c>
      <c r="S175" s="104">
        <v>115.67624685506402</v>
      </c>
      <c r="T175" s="104">
        <v>68.694617481856142</v>
      </c>
      <c r="U175" s="100" t="s">
        <v>222</v>
      </c>
      <c r="V175" s="106">
        <v>1.2558519405695048</v>
      </c>
    </row>
    <row r="176" spans="1:22" ht="30" x14ac:dyDescent="0.25">
      <c r="C176" s="87"/>
      <c r="E176" s="20" t="s">
        <v>188</v>
      </c>
      <c r="F176" s="22">
        <v>2</v>
      </c>
      <c r="H176" s="94" t="s">
        <v>198</v>
      </c>
      <c r="I176" s="26"/>
      <c r="J176" s="127">
        <v>-0.32367009820302073</v>
      </c>
      <c r="K176" s="72">
        <v>-0.17147983214715601</v>
      </c>
      <c r="L176" s="26" t="s">
        <v>222</v>
      </c>
      <c r="M176" s="72">
        <v>-0.24757496517508837</v>
      </c>
      <c r="N176" s="124">
        <v>0.10761476915868685</v>
      </c>
      <c r="P176" s="101" t="s">
        <v>154</v>
      </c>
      <c r="Q176" s="107">
        <v>10</v>
      </c>
      <c r="R176" s="100" t="s">
        <v>201</v>
      </c>
      <c r="S176" s="105">
        <v>-117.59726821178421</v>
      </c>
      <c r="T176" s="105">
        <v>-97.195017472630667</v>
      </c>
      <c r="U176" s="100" t="s">
        <v>222</v>
      </c>
      <c r="V176" s="129">
        <v>-0.24757496517508837</v>
      </c>
    </row>
    <row r="177" spans="1:22" ht="18.75" thickBot="1" x14ac:dyDescent="0.4">
      <c r="C177" s="87"/>
      <c r="E177" s="23" t="s">
        <v>189</v>
      </c>
      <c r="F177" s="24">
        <v>10</v>
      </c>
      <c r="H177" s="95" t="s">
        <v>200</v>
      </c>
      <c r="I177" s="59"/>
      <c r="J177" s="128">
        <v>-117.59726821178421</v>
      </c>
      <c r="K177" s="80">
        <v>-97.195017472630667</v>
      </c>
      <c r="L177" s="59" t="s">
        <v>222</v>
      </c>
      <c r="M177" s="70">
        <v>-107.39614284220744</v>
      </c>
      <c r="N177" s="81">
        <v>14.426569849123723</v>
      </c>
      <c r="P177" s="102"/>
      <c r="Q177" s="108"/>
      <c r="R177" s="109" t="s">
        <v>172</v>
      </c>
      <c r="S177" s="176">
        <v>-1.0166068783259119</v>
      </c>
      <c r="T177" s="176">
        <v>-1.414885489366065</v>
      </c>
      <c r="U177" s="109" t="s">
        <v>222</v>
      </c>
      <c r="V177" s="109"/>
    </row>
    <row r="178" spans="1:22" ht="15.75" thickBot="1" x14ac:dyDescent="0.3">
      <c r="H178" s="66" t="s">
        <v>172</v>
      </c>
      <c r="I178" s="67"/>
      <c r="J178" s="174">
        <v>-1.0166068783259119</v>
      </c>
      <c r="K178" s="174">
        <v>-1.414885489366065</v>
      </c>
      <c r="L178" s="67" t="s">
        <v>222</v>
      </c>
      <c r="M178" s="121">
        <v>-1.2157461838459884</v>
      </c>
      <c r="N178" s="175">
        <v>0.28162550666805125</v>
      </c>
      <c r="P178" s="103"/>
      <c r="Q178" s="112"/>
      <c r="R178" s="100"/>
      <c r="S178" s="100"/>
      <c r="T178" s="100"/>
      <c r="U178" s="100"/>
      <c r="V178" s="100"/>
    </row>
    <row r="179" spans="1:22" ht="15.75" thickTop="1" x14ac:dyDescent="0.25"/>
    <row r="183" spans="1:22" ht="15.75" thickBot="1" x14ac:dyDescent="0.3">
      <c r="H183" s="87" t="s">
        <v>190</v>
      </c>
    </row>
    <row r="184" spans="1:22" ht="15.75" thickTop="1" x14ac:dyDescent="0.25">
      <c r="A184" s="1" t="s">
        <v>19</v>
      </c>
      <c r="B184" s="1" t="s">
        <v>115</v>
      </c>
      <c r="C184" s="1">
        <v>148</v>
      </c>
      <c r="D184" s="1">
        <v>0</v>
      </c>
      <c r="E184" s="1">
        <v>724003.150201443</v>
      </c>
      <c r="F184" s="1">
        <v>0</v>
      </c>
      <c r="H184" s="88" t="s">
        <v>191</v>
      </c>
      <c r="I184" s="34">
        <v>7.4999999999999997E-2</v>
      </c>
      <c r="J184" s="36">
        <v>3.8881168963931997E-2</v>
      </c>
      <c r="K184" s="36">
        <v>4.5077161882155999E-2</v>
      </c>
      <c r="L184" s="37"/>
      <c r="M184" s="34">
        <v>4.1979165423044001E-2</v>
      </c>
      <c r="N184" s="177">
        <v>4.3812286086600165E-3</v>
      </c>
      <c r="P184" s="1" t="s">
        <v>190</v>
      </c>
      <c r="Q184" s="17">
        <v>0</v>
      </c>
      <c r="R184" s="17">
        <v>0</v>
      </c>
    </row>
    <row r="185" spans="1:22" x14ac:dyDescent="0.25">
      <c r="A185" s="1" t="s">
        <v>23</v>
      </c>
      <c r="B185" s="1" t="s">
        <v>115</v>
      </c>
      <c r="C185" s="1">
        <v>148</v>
      </c>
      <c r="D185" s="1">
        <v>0</v>
      </c>
      <c r="E185" s="1">
        <v>767393.257466326</v>
      </c>
      <c r="F185" s="1">
        <v>0</v>
      </c>
      <c r="H185" s="89" t="s">
        <v>192</v>
      </c>
      <c r="I185" s="29">
        <v>0.25</v>
      </c>
      <c r="J185" s="132">
        <v>0</v>
      </c>
      <c r="K185" s="132">
        <v>0</v>
      </c>
      <c r="L185" s="26"/>
      <c r="M185" s="136">
        <v>0</v>
      </c>
      <c r="N185" s="139">
        <v>0</v>
      </c>
      <c r="P185" s="1" t="s">
        <v>201</v>
      </c>
      <c r="Q185" s="17">
        <v>0</v>
      </c>
      <c r="R185" s="17">
        <v>0</v>
      </c>
    </row>
    <row r="186" spans="1:22" x14ac:dyDescent="0.25">
      <c r="A186" s="1" t="s">
        <v>22</v>
      </c>
      <c r="B186" s="1" t="s">
        <v>115</v>
      </c>
      <c r="C186" s="1">
        <v>148</v>
      </c>
      <c r="D186" s="1">
        <v>0</v>
      </c>
      <c r="E186" s="1">
        <v>382677.237752121</v>
      </c>
      <c r="F186" s="1">
        <v>0</v>
      </c>
      <c r="H186" s="89" t="s">
        <v>193</v>
      </c>
      <c r="I186" s="32">
        <v>7.4999999999999997E-2</v>
      </c>
      <c r="J186" s="31">
        <v>2.7841534073236002E-2</v>
      </c>
      <c r="K186" s="31">
        <v>2.9341036574492E-2</v>
      </c>
      <c r="L186" s="26"/>
      <c r="M186" s="32">
        <v>2.8591285323863999E-2</v>
      </c>
      <c r="N186" s="47">
        <v>1.0603083870443059E-3</v>
      </c>
    </row>
    <row r="187" spans="1:22" x14ac:dyDescent="0.25">
      <c r="A187" s="1" t="s">
        <v>24</v>
      </c>
      <c r="B187" s="1" t="s">
        <v>115</v>
      </c>
      <c r="C187" s="1">
        <v>148</v>
      </c>
      <c r="D187" s="1">
        <v>0</v>
      </c>
      <c r="E187" s="1">
        <v>327471.84305237798</v>
      </c>
      <c r="F187" s="1">
        <v>0</v>
      </c>
      <c r="H187" s="89" t="s">
        <v>194</v>
      </c>
      <c r="I187" s="26"/>
      <c r="J187" s="26"/>
      <c r="K187" s="26"/>
      <c r="L187" s="26"/>
      <c r="M187" s="26"/>
      <c r="N187" s="38"/>
    </row>
    <row r="188" spans="1:22" ht="15.75" thickBot="1" x14ac:dyDescent="0.3">
      <c r="A188" s="1" t="s">
        <v>120</v>
      </c>
      <c r="B188" s="1" t="s">
        <v>115</v>
      </c>
      <c r="C188" s="1">
        <v>148</v>
      </c>
      <c r="D188" s="1">
        <v>0</v>
      </c>
      <c r="E188" s="1">
        <v>348860.18507954699</v>
      </c>
      <c r="F188" s="1">
        <v>0</v>
      </c>
      <c r="H188" s="90" t="s">
        <v>195</v>
      </c>
      <c r="I188" s="27"/>
      <c r="J188" s="165">
        <v>0</v>
      </c>
      <c r="K188" s="165">
        <v>0</v>
      </c>
      <c r="L188" s="27"/>
      <c r="M188" s="165">
        <v>0</v>
      </c>
      <c r="N188" s="168">
        <v>0</v>
      </c>
    </row>
    <row r="189" spans="1:22" x14ac:dyDescent="0.25">
      <c r="A189" s="1" t="s">
        <v>121</v>
      </c>
      <c r="B189" s="1" t="s">
        <v>115</v>
      </c>
      <c r="C189" s="1">
        <v>148</v>
      </c>
      <c r="D189" s="1">
        <v>0</v>
      </c>
      <c r="E189" s="1">
        <v>483468.33693901199</v>
      </c>
      <c r="F189" s="1">
        <v>0</v>
      </c>
      <c r="H189" s="91" t="s">
        <v>196</v>
      </c>
      <c r="I189" s="25"/>
      <c r="J189" s="144">
        <v>0</v>
      </c>
      <c r="K189" s="135">
        <v>0</v>
      </c>
      <c r="L189" s="25"/>
      <c r="M189" s="135">
        <v>0</v>
      </c>
      <c r="N189" s="141">
        <v>0</v>
      </c>
    </row>
    <row r="190" spans="1:22" ht="18" x14ac:dyDescent="0.35">
      <c r="A190" s="1" t="s">
        <v>118</v>
      </c>
      <c r="B190" s="1" t="s">
        <v>115</v>
      </c>
      <c r="C190" s="1">
        <v>148</v>
      </c>
      <c r="D190" s="1">
        <v>3485.8450655206102</v>
      </c>
      <c r="E190" s="1">
        <v>500812.21190633602</v>
      </c>
      <c r="F190" s="1">
        <v>6.9603835183090004E-3</v>
      </c>
      <c r="H190" s="89" t="s">
        <v>197</v>
      </c>
      <c r="I190" s="26"/>
      <c r="J190" s="84">
        <v>2.7841534073236002E-2</v>
      </c>
      <c r="K190" s="32">
        <v>2.9341036574492E-2</v>
      </c>
      <c r="L190" s="26"/>
      <c r="M190" s="32">
        <v>2.8591285323863999E-2</v>
      </c>
      <c r="N190" s="47">
        <v>1.0603083870443059E-3</v>
      </c>
    </row>
    <row r="191" spans="1:22" x14ac:dyDescent="0.25">
      <c r="A191" s="1" t="s">
        <v>119</v>
      </c>
      <c r="B191" s="1" t="s">
        <v>115</v>
      </c>
      <c r="C191" s="1">
        <v>148</v>
      </c>
      <c r="D191" s="1">
        <v>3523.6111747247</v>
      </c>
      <c r="E191" s="1">
        <v>480366.28368994</v>
      </c>
      <c r="F191" s="1">
        <v>7.335259143623E-3</v>
      </c>
      <c r="H191" s="89" t="s">
        <v>198</v>
      </c>
      <c r="I191" s="26"/>
      <c r="J191" s="56">
        <v>1.3965167602351469</v>
      </c>
      <c r="K191" s="41">
        <v>1.5363179745784576</v>
      </c>
      <c r="L191" s="26" t="s">
        <v>222</v>
      </c>
      <c r="M191" s="41">
        <v>1.4664173674068022</v>
      </c>
      <c r="N191" s="155">
        <v>9.8854386680269038E-2</v>
      </c>
    </row>
    <row r="192" spans="1:22" ht="18.75" thickBot="1" x14ac:dyDescent="0.4">
      <c r="A192" s="1" t="s">
        <v>116</v>
      </c>
      <c r="B192" s="1" t="s">
        <v>115</v>
      </c>
      <c r="C192" s="1">
        <v>148</v>
      </c>
      <c r="D192" s="1">
        <v>5437.5543344441103</v>
      </c>
      <c r="E192" s="1">
        <v>559402.35125010205</v>
      </c>
      <c r="F192" s="1">
        <v>9.7202922409829993E-3</v>
      </c>
      <c r="H192" s="92" t="s">
        <v>200</v>
      </c>
      <c r="I192" s="39"/>
      <c r="J192" s="146">
        <v>0</v>
      </c>
      <c r="K192" s="43">
        <v>0</v>
      </c>
      <c r="L192" s="39" t="s">
        <v>222</v>
      </c>
      <c r="M192" s="43">
        <v>0</v>
      </c>
      <c r="N192" s="143">
        <v>0</v>
      </c>
    </row>
    <row r="193" spans="1:22" ht="15.75" thickTop="1" x14ac:dyDescent="0.25">
      <c r="A193" s="1" t="s">
        <v>117</v>
      </c>
      <c r="B193" s="1" t="s">
        <v>115</v>
      </c>
      <c r="C193" s="1">
        <v>148</v>
      </c>
      <c r="D193" s="1">
        <v>3739.9853781378201</v>
      </c>
      <c r="E193" s="1">
        <v>331874.07742441702</v>
      </c>
      <c r="F193" s="1">
        <v>1.1269290470539E-2</v>
      </c>
      <c r="H193" s="86"/>
    </row>
    <row r="194" spans="1:22" ht="15.75" thickBot="1" x14ac:dyDescent="0.3">
      <c r="A194" s="1" t="s">
        <v>126</v>
      </c>
      <c r="B194" s="1" t="s">
        <v>115</v>
      </c>
      <c r="C194" s="1">
        <v>148</v>
      </c>
      <c r="D194" s="1">
        <v>0</v>
      </c>
      <c r="E194" s="1">
        <v>489575.13838345598</v>
      </c>
      <c r="F194" s="1">
        <v>0</v>
      </c>
      <c r="H194" s="87" t="s">
        <v>201</v>
      </c>
    </row>
    <row r="195" spans="1:22" ht="15.75" thickTop="1" x14ac:dyDescent="0.25">
      <c r="A195" s="1" t="s">
        <v>127</v>
      </c>
      <c r="B195" s="1" t="s">
        <v>115</v>
      </c>
      <c r="C195" s="1">
        <v>148</v>
      </c>
      <c r="D195" s="1">
        <v>0</v>
      </c>
      <c r="E195" s="1">
        <v>370017.99102145399</v>
      </c>
      <c r="F195" s="1">
        <v>0</v>
      </c>
      <c r="H195" s="93" t="s">
        <v>191</v>
      </c>
      <c r="I195" s="61">
        <v>0.25</v>
      </c>
      <c r="J195" s="63">
        <v>5.1729789196508003E-2</v>
      </c>
      <c r="K195" s="63">
        <v>4.1944278820712E-2</v>
      </c>
      <c r="L195" s="64"/>
      <c r="M195" s="74">
        <v>4.6837034008610001E-2</v>
      </c>
      <c r="N195" s="178">
        <v>6.9194007440966637E-3</v>
      </c>
    </row>
    <row r="196" spans="1:22" x14ac:dyDescent="0.25">
      <c r="A196" s="1" t="s">
        <v>124</v>
      </c>
      <c r="B196" s="1" t="s">
        <v>115</v>
      </c>
      <c r="C196" s="1">
        <v>148</v>
      </c>
      <c r="D196" s="1">
        <v>2536.8691457077598</v>
      </c>
      <c r="E196" s="1">
        <v>485003.58369810501</v>
      </c>
      <c r="F196" s="1">
        <v>5.2306193829830001E-3</v>
      </c>
      <c r="H196" s="94" t="s">
        <v>192</v>
      </c>
      <c r="I196" s="32">
        <v>7.4999999999999997E-2</v>
      </c>
      <c r="J196" s="132">
        <v>0</v>
      </c>
      <c r="K196" s="132">
        <v>0</v>
      </c>
      <c r="L196" s="26"/>
      <c r="M196" s="136">
        <v>0</v>
      </c>
      <c r="N196" s="171">
        <v>0</v>
      </c>
    </row>
    <row r="197" spans="1:22" x14ac:dyDescent="0.25">
      <c r="A197" s="1" t="s">
        <v>125</v>
      </c>
      <c r="B197" s="1" t="s">
        <v>115</v>
      </c>
      <c r="C197" s="1">
        <v>148</v>
      </c>
      <c r="D197" s="1">
        <v>2667.9104176611199</v>
      </c>
      <c r="E197" s="1">
        <v>485130.46317140799</v>
      </c>
      <c r="F197" s="1">
        <v>5.4993669130159999E-3</v>
      </c>
      <c r="H197" s="94" t="s">
        <v>193</v>
      </c>
      <c r="I197" s="29">
        <v>0.25</v>
      </c>
      <c r="J197" s="31">
        <v>2.0922477531932E-2</v>
      </c>
      <c r="K197" s="31">
        <v>2.1997467652064E-2</v>
      </c>
      <c r="L197" s="26"/>
      <c r="M197" s="32">
        <v>2.1459972591998E-2</v>
      </c>
      <c r="N197" s="179">
        <v>7.601328036538781E-4</v>
      </c>
    </row>
    <row r="198" spans="1:22" x14ac:dyDescent="0.25">
      <c r="A198" s="1" t="s">
        <v>122</v>
      </c>
      <c r="B198" s="1" t="s">
        <v>115</v>
      </c>
      <c r="C198" s="1">
        <v>148</v>
      </c>
      <c r="D198" s="1">
        <v>6133.7763255685504</v>
      </c>
      <c r="E198" s="1">
        <v>474293.54890798603</v>
      </c>
      <c r="F198" s="1">
        <v>1.2932447299127001E-2</v>
      </c>
      <c r="H198" s="94" t="s">
        <v>194</v>
      </c>
      <c r="I198" s="26"/>
      <c r="J198" s="26"/>
      <c r="K198" s="26"/>
      <c r="L198" s="26"/>
      <c r="M198" s="26"/>
      <c r="N198" s="65"/>
    </row>
    <row r="199" spans="1:22" ht="15.75" thickBot="1" x14ac:dyDescent="0.3">
      <c r="A199" s="1" t="s">
        <v>123</v>
      </c>
      <c r="B199" s="1" t="s">
        <v>115</v>
      </c>
      <c r="C199" s="1">
        <v>148</v>
      </c>
      <c r="D199" s="1">
        <v>5040.4892543838496</v>
      </c>
      <c r="E199" s="1">
        <v>480684.31701296999</v>
      </c>
      <c r="F199" s="1">
        <v>1.0486069705178E-2</v>
      </c>
      <c r="H199" s="95" t="s">
        <v>195</v>
      </c>
      <c r="I199" s="59"/>
      <c r="J199" s="80">
        <v>0</v>
      </c>
      <c r="K199" s="80">
        <v>0</v>
      </c>
      <c r="L199" s="59"/>
      <c r="M199" s="80">
        <v>0</v>
      </c>
      <c r="N199" s="81">
        <v>0</v>
      </c>
    </row>
    <row r="200" spans="1:22" ht="66.75" thickTop="1" thickBot="1" x14ac:dyDescent="0.3">
      <c r="C200" s="87"/>
      <c r="E200" s="18" t="s">
        <v>12</v>
      </c>
      <c r="F200" s="19">
        <v>4</v>
      </c>
      <c r="H200" s="96" t="s">
        <v>196</v>
      </c>
      <c r="I200" s="58"/>
      <c r="J200" s="173">
        <v>0</v>
      </c>
      <c r="K200" s="169">
        <v>0</v>
      </c>
      <c r="L200" s="58"/>
      <c r="M200" s="169">
        <v>0</v>
      </c>
      <c r="N200" s="172">
        <v>0</v>
      </c>
      <c r="P200" s="97" t="s">
        <v>202</v>
      </c>
      <c r="Q200" s="98" t="s">
        <v>203</v>
      </c>
      <c r="R200" s="99" t="s">
        <v>176</v>
      </c>
      <c r="S200" s="99" t="s">
        <v>204</v>
      </c>
      <c r="T200" s="99" t="s">
        <v>205</v>
      </c>
      <c r="U200" s="99" t="s">
        <v>206</v>
      </c>
      <c r="V200" s="99" t="s">
        <v>198</v>
      </c>
    </row>
    <row r="201" spans="1:22" ht="18.75" thickTop="1" x14ac:dyDescent="0.35">
      <c r="C201" s="87"/>
      <c r="E201" s="20" t="s">
        <v>187</v>
      </c>
      <c r="F201" s="21">
        <v>0.11</v>
      </c>
      <c r="H201" s="94" t="s">
        <v>197</v>
      </c>
      <c r="I201" s="26"/>
      <c r="J201" s="84">
        <v>2.0922477531932E-2</v>
      </c>
      <c r="K201" s="32">
        <v>2.1997467652064E-2</v>
      </c>
      <c r="L201" s="26"/>
      <c r="M201" s="32">
        <v>2.1459972591998E-2</v>
      </c>
      <c r="N201" s="179">
        <v>7.601328036538781E-4</v>
      </c>
      <c r="Q201" s="100"/>
      <c r="R201" s="100" t="s">
        <v>190</v>
      </c>
      <c r="S201" s="105">
        <v>0</v>
      </c>
      <c r="T201" s="105">
        <v>0</v>
      </c>
      <c r="U201" s="100" t="s">
        <v>222</v>
      </c>
      <c r="V201" s="106">
        <v>1.4664173674068022</v>
      </c>
    </row>
    <row r="202" spans="1:22" ht="30" x14ac:dyDescent="0.25">
      <c r="C202" s="87"/>
      <c r="E202" s="20" t="s">
        <v>188</v>
      </c>
      <c r="F202" s="22">
        <v>2</v>
      </c>
      <c r="H202" s="94" t="s">
        <v>198</v>
      </c>
      <c r="I202" s="26"/>
      <c r="J202" s="56">
        <v>2.4724504599208061</v>
      </c>
      <c r="K202" s="41">
        <v>1.9067776111390899</v>
      </c>
      <c r="L202" s="26" t="s">
        <v>222</v>
      </c>
      <c r="M202" s="41">
        <v>2.189614035529948</v>
      </c>
      <c r="N202" s="124">
        <v>0.39999110730666498</v>
      </c>
      <c r="P202" s="101" t="s">
        <v>115</v>
      </c>
      <c r="Q202" s="107">
        <v>10</v>
      </c>
      <c r="R202" s="100" t="s">
        <v>201</v>
      </c>
      <c r="S202" s="105">
        <v>0</v>
      </c>
      <c r="T202" s="105">
        <v>0</v>
      </c>
      <c r="U202" s="100" t="s">
        <v>222</v>
      </c>
      <c r="V202" s="106">
        <v>2.189614035529948</v>
      </c>
    </row>
    <row r="203" spans="1:22" ht="18.75" thickBot="1" x14ac:dyDescent="0.4">
      <c r="C203" s="87"/>
      <c r="E203" s="23" t="s">
        <v>189</v>
      </c>
      <c r="F203" s="24">
        <v>10</v>
      </c>
      <c r="H203" s="95" t="s">
        <v>200</v>
      </c>
      <c r="I203" s="59"/>
      <c r="J203" s="128">
        <v>0</v>
      </c>
      <c r="K203" s="80">
        <v>0</v>
      </c>
      <c r="L203" s="59" t="s">
        <v>222</v>
      </c>
      <c r="M203" s="80">
        <v>0</v>
      </c>
      <c r="N203" s="81">
        <v>0</v>
      </c>
      <c r="P203" s="102"/>
      <c r="Q203" s="108"/>
      <c r="R203" s="109" t="s">
        <v>172</v>
      </c>
      <c r="S203" s="109" t="s">
        <v>222</v>
      </c>
      <c r="T203" s="109" t="s">
        <v>222</v>
      </c>
      <c r="U203" s="109" t="s">
        <v>222</v>
      </c>
      <c r="V203" s="109"/>
    </row>
    <row r="204" spans="1:22" ht="15.75" thickBot="1" x14ac:dyDescent="0.3">
      <c r="H204" s="66" t="s">
        <v>172</v>
      </c>
      <c r="I204" s="67"/>
      <c r="J204" s="67" t="s">
        <v>222</v>
      </c>
      <c r="K204" s="67" t="s">
        <v>222</v>
      </c>
      <c r="L204" s="67" t="s">
        <v>222</v>
      </c>
      <c r="M204" s="67"/>
      <c r="N204" s="68"/>
      <c r="P204" s="103"/>
      <c r="Q204" s="112"/>
      <c r="R204" s="100"/>
      <c r="S204" s="100"/>
      <c r="T204" s="100"/>
      <c r="U204" s="100"/>
      <c r="V204" s="100"/>
    </row>
    <row r="205" spans="1:22" ht="15.75" thickTop="1" x14ac:dyDescent="0.25"/>
    <row r="209" spans="1:18" ht="15.75" thickBot="1" x14ac:dyDescent="0.3">
      <c r="A209" s="244" t="s">
        <v>215</v>
      </c>
      <c r="B209" s="244"/>
      <c r="H209" s="87" t="s">
        <v>190</v>
      </c>
    </row>
    <row r="210" spans="1:18" ht="15.75" thickTop="1" x14ac:dyDescent="0.25">
      <c r="A210" s="1" t="s">
        <v>19</v>
      </c>
      <c r="B210" s="1" t="s">
        <v>141</v>
      </c>
      <c r="D210" s="1">
        <v>152653.17577164</v>
      </c>
      <c r="E210" s="1">
        <v>724003.150201443</v>
      </c>
      <c r="F210" s="1">
        <v>0</v>
      </c>
      <c r="H210" s="88" t="s">
        <v>191</v>
      </c>
      <c r="I210" s="34">
        <v>7.4999999999999997E-2</v>
      </c>
      <c r="J210" s="180">
        <v>1.1218933915559821</v>
      </c>
      <c r="K210" s="180">
        <v>1.0635881577906021</v>
      </c>
      <c r="L210" s="37"/>
      <c r="M210" s="181">
        <v>1.0927407746732922</v>
      </c>
      <c r="N210" s="45">
        <v>4.1228026174167057E-2</v>
      </c>
      <c r="P210" s="1" t="s">
        <v>190</v>
      </c>
      <c r="Q210" s="17">
        <v>44.962892361203487</v>
      </c>
      <c r="R210" s="17">
        <v>11.582316133068872</v>
      </c>
    </row>
    <row r="211" spans="1:18" x14ac:dyDescent="0.25">
      <c r="A211" s="1" t="s">
        <v>23</v>
      </c>
      <c r="B211" s="1" t="s">
        <v>141</v>
      </c>
      <c r="D211" s="1">
        <v>113096.52865993899</v>
      </c>
      <c r="E211" s="1">
        <v>767393.257466326</v>
      </c>
      <c r="F211" s="1">
        <v>0.14737753760483299</v>
      </c>
      <c r="H211" s="89" t="s">
        <v>192</v>
      </c>
      <c r="I211" s="29">
        <v>0.25</v>
      </c>
      <c r="J211" s="30">
        <v>0.30845354276750198</v>
      </c>
      <c r="K211" s="30">
        <v>0.212748599822778</v>
      </c>
      <c r="L211" s="26"/>
      <c r="M211" s="29">
        <v>0.26060107129513999</v>
      </c>
      <c r="N211" s="46">
        <v>6.7673614149286049E-2</v>
      </c>
      <c r="P211" s="1" t="s">
        <v>201</v>
      </c>
      <c r="Q211" s="17">
        <v>25.319686257043294</v>
      </c>
      <c r="R211" s="15">
        <v>2.4016042779810371</v>
      </c>
    </row>
    <row r="212" spans="1:18" x14ac:dyDescent="0.25">
      <c r="A212" s="1" t="s">
        <v>22</v>
      </c>
      <c r="B212" s="1" t="s">
        <v>141</v>
      </c>
      <c r="D212" s="1">
        <v>0</v>
      </c>
      <c r="E212" s="1">
        <v>382677.237752121</v>
      </c>
      <c r="F212" s="1">
        <v>0</v>
      </c>
      <c r="H212" s="89" t="s">
        <v>193</v>
      </c>
      <c r="I212" s="32">
        <v>7.4999999999999997E-2</v>
      </c>
      <c r="J212" s="113">
        <v>1.831800717442138</v>
      </c>
      <c r="K212" s="113">
        <v>1.8262194795198261</v>
      </c>
      <c r="L212" s="26"/>
      <c r="M212" s="115">
        <v>1.8290100984809821</v>
      </c>
      <c r="N212" s="47">
        <v>3.9465311822822688E-3</v>
      </c>
    </row>
    <row r="213" spans="1:18" x14ac:dyDescent="0.25">
      <c r="A213" s="1" t="s">
        <v>24</v>
      </c>
      <c r="B213" s="1" t="s">
        <v>141</v>
      </c>
      <c r="D213" s="1">
        <v>0</v>
      </c>
      <c r="E213" s="1">
        <v>327471.84305237798</v>
      </c>
      <c r="F213" s="1">
        <v>0</v>
      </c>
      <c r="H213" s="89" t="s">
        <v>194</v>
      </c>
      <c r="I213" s="26"/>
      <c r="J213" s="26"/>
      <c r="K213" s="26"/>
      <c r="L213" s="26"/>
      <c r="M213" s="26"/>
      <c r="N213" s="38"/>
    </row>
    <row r="214" spans="1:18" ht="15.75" thickBot="1" x14ac:dyDescent="0.3">
      <c r="A214" s="1" t="s">
        <v>146</v>
      </c>
      <c r="B214" s="1" t="s">
        <v>141</v>
      </c>
      <c r="D214" s="1">
        <v>77089.281983013105</v>
      </c>
      <c r="E214" s="1">
        <v>511194.83167550497</v>
      </c>
      <c r="F214" s="1">
        <v>0.15080215449429199</v>
      </c>
      <c r="H214" s="90" t="s">
        <v>195</v>
      </c>
      <c r="I214" s="27"/>
      <c r="J214" s="114">
        <v>0</v>
      </c>
      <c r="K214" s="114">
        <v>0.14737753760483299</v>
      </c>
      <c r="L214" s="27"/>
      <c r="M214" s="114">
        <v>7.3688768802416496E-2</v>
      </c>
      <c r="N214" s="118">
        <v>0.10421165623495282</v>
      </c>
    </row>
    <row r="215" spans="1:18" x14ac:dyDescent="0.25">
      <c r="A215" s="1" t="s">
        <v>147</v>
      </c>
      <c r="B215" s="1" t="s">
        <v>141</v>
      </c>
      <c r="D215" s="1">
        <v>73298.724315618907</v>
      </c>
      <c r="E215" s="1">
        <v>577719.75196777296</v>
      </c>
      <c r="F215" s="1">
        <v>0.12687591875811099</v>
      </c>
      <c r="H215" s="91" t="s">
        <v>196</v>
      </c>
      <c r="I215" s="25"/>
      <c r="J215" s="54">
        <v>1.071019245720493E-5</v>
      </c>
      <c r="K215" s="40">
        <v>7.3871041605131247E-6</v>
      </c>
      <c r="L215" s="25"/>
      <c r="M215" s="40">
        <v>9.0486483088590273E-6</v>
      </c>
      <c r="N215" s="49">
        <v>2.3497782690724291E-6</v>
      </c>
    </row>
    <row r="216" spans="1:18" ht="18" x14ac:dyDescent="0.35">
      <c r="A216" s="1" t="s">
        <v>144</v>
      </c>
      <c r="B216" s="1" t="s">
        <v>141</v>
      </c>
      <c r="D216" s="1">
        <v>258571.500277977</v>
      </c>
      <c r="E216" s="1">
        <v>486366.73661976203</v>
      </c>
      <c r="F216" s="1">
        <v>0.53163894816295099</v>
      </c>
      <c r="H216" s="89" t="s">
        <v>197</v>
      </c>
      <c r="I216" s="26"/>
      <c r="J216" s="126">
        <v>1.831800717442138</v>
      </c>
      <c r="K216" s="115">
        <v>1.8262194795198261</v>
      </c>
      <c r="L216" s="26"/>
      <c r="M216" s="115">
        <v>1.8290100984809821</v>
      </c>
      <c r="N216" s="47">
        <v>3.9465311822822688E-3</v>
      </c>
    </row>
    <row r="217" spans="1:18" x14ac:dyDescent="0.25">
      <c r="A217" s="1" t="s">
        <v>145</v>
      </c>
      <c r="B217" s="1" t="s">
        <v>141</v>
      </c>
      <c r="D217" s="1">
        <v>262918.31103965198</v>
      </c>
      <c r="E217" s="1">
        <v>495844.34750219702</v>
      </c>
      <c r="F217" s="1">
        <v>0.53024363868237301</v>
      </c>
      <c r="H217" s="89" t="s">
        <v>198</v>
      </c>
      <c r="I217" s="26"/>
      <c r="J217" s="56">
        <v>1.1737476937174367</v>
      </c>
      <c r="K217" s="41">
        <v>0.97072130545118096</v>
      </c>
      <c r="L217" s="26" t="s">
        <v>222</v>
      </c>
      <c r="M217" s="182">
        <v>1.0722344995843089</v>
      </c>
      <c r="N217" s="142">
        <v>0.14356133590288234</v>
      </c>
    </row>
    <row r="218" spans="1:18" ht="18.75" thickBot="1" x14ac:dyDescent="0.4">
      <c r="A218" s="1" t="s">
        <v>142</v>
      </c>
      <c r="B218" s="1" t="s">
        <v>141</v>
      </c>
      <c r="D218" s="1">
        <v>183311.93035015999</v>
      </c>
      <c r="E218" s="1">
        <v>517593.27638614399</v>
      </c>
      <c r="F218" s="1">
        <v>0.35416211669141201</v>
      </c>
      <c r="H218" s="92" t="s">
        <v>200</v>
      </c>
      <c r="I218" s="39"/>
      <c r="J218" s="146">
        <v>53.152826640742809</v>
      </c>
      <c r="K218" s="43">
        <v>36.772958081664171</v>
      </c>
      <c r="L218" s="39" t="s">
        <v>222</v>
      </c>
      <c r="M218" s="43">
        <v>44.962892361203487</v>
      </c>
      <c r="N218" s="143">
        <v>11.582316133068872</v>
      </c>
    </row>
    <row r="219" spans="1:18" ht="15.75" thickTop="1" x14ac:dyDescent="0.25">
      <c r="A219" s="1" t="s">
        <v>143</v>
      </c>
      <c r="B219" s="1" t="s">
        <v>141</v>
      </c>
      <c r="D219" s="1">
        <v>170397.22271409901</v>
      </c>
      <c r="E219" s="1">
        <v>501779.57551341702</v>
      </c>
      <c r="F219" s="1">
        <v>0.33958580825006701</v>
      </c>
      <c r="H219" s="86"/>
    </row>
    <row r="220" spans="1:18" ht="15.75" thickBot="1" x14ac:dyDescent="0.3">
      <c r="A220" s="1" t="s">
        <v>152</v>
      </c>
      <c r="B220" s="1" t="s">
        <v>141</v>
      </c>
      <c r="D220" s="1">
        <v>93288.402939801905</v>
      </c>
      <c r="E220" s="1">
        <v>526923.13438792003</v>
      </c>
      <c r="F220" s="1">
        <v>0.17704366510338701</v>
      </c>
      <c r="H220" s="87" t="s">
        <v>201</v>
      </c>
    </row>
    <row r="221" spans="1:18" ht="15.75" thickTop="1" x14ac:dyDescent="0.25">
      <c r="A221" s="1" t="s">
        <v>153</v>
      </c>
      <c r="B221" s="1" t="s">
        <v>141</v>
      </c>
      <c r="D221" s="1">
        <v>80970.739549208505</v>
      </c>
      <c r="E221" s="1">
        <v>531276.04907886905</v>
      </c>
      <c r="F221" s="1">
        <v>0.15240803663104399</v>
      </c>
      <c r="H221" s="93" t="s">
        <v>191</v>
      </c>
      <c r="I221" s="61">
        <v>0.25</v>
      </c>
      <c r="J221" s="183">
        <v>2.3380076515691361</v>
      </c>
      <c r="K221" s="183">
        <v>2.4493531773049559</v>
      </c>
      <c r="L221" s="64"/>
      <c r="M221" s="184">
        <v>2.3936804144370463</v>
      </c>
      <c r="N221" s="75">
        <v>7.8733176302579422E-2</v>
      </c>
    </row>
    <row r="222" spans="1:18" x14ac:dyDescent="0.25">
      <c r="A222" s="1" t="s">
        <v>150</v>
      </c>
      <c r="B222" s="1" t="s">
        <v>141</v>
      </c>
      <c r="D222" s="1">
        <v>290939.90937179798</v>
      </c>
      <c r="E222" s="1">
        <v>468854.45266579598</v>
      </c>
      <c r="F222" s="1">
        <v>0.62053353171241599</v>
      </c>
      <c r="H222" s="94" t="s">
        <v>192</v>
      </c>
      <c r="I222" s="32">
        <v>7.4999999999999997E-2</v>
      </c>
      <c r="J222" s="30">
        <v>0.70817466041354804</v>
      </c>
      <c r="K222" s="30">
        <v>0.60963214652417597</v>
      </c>
      <c r="L222" s="26"/>
      <c r="M222" s="29">
        <v>0.658903403468862</v>
      </c>
      <c r="N222" s="76">
        <v>6.9680079806344539E-2</v>
      </c>
    </row>
    <row r="223" spans="1:18" x14ac:dyDescent="0.25">
      <c r="A223" s="1" t="s">
        <v>151</v>
      </c>
      <c r="B223" s="1" t="s">
        <v>141</v>
      </c>
      <c r="D223" s="1">
        <v>290072.65123637801</v>
      </c>
      <c r="E223" s="1">
        <v>474755.74139634898</v>
      </c>
      <c r="F223" s="1">
        <v>0.61099345609432298</v>
      </c>
      <c r="H223" s="94" t="s">
        <v>193</v>
      </c>
      <c r="I223" s="29">
        <v>0.25</v>
      </c>
      <c r="J223" s="113">
        <v>2.4821341268496639</v>
      </c>
      <c r="K223" s="113">
        <v>2.4439738243772919</v>
      </c>
      <c r="L223" s="26"/>
      <c r="M223" s="115">
        <v>2.4630539756134779</v>
      </c>
      <c r="N223" s="76">
        <v>2.6983408650344026E-2</v>
      </c>
    </row>
    <row r="224" spans="1:18" x14ac:dyDescent="0.25">
      <c r="A224" s="1" t="s">
        <v>148</v>
      </c>
      <c r="B224" s="1" t="s">
        <v>141</v>
      </c>
      <c r="D224" s="1">
        <v>281676.58839994599</v>
      </c>
      <c r="E224" s="1">
        <v>481908.75373893901</v>
      </c>
      <c r="F224" s="1">
        <v>0.58450191289228404</v>
      </c>
      <c r="H224" s="94" t="s">
        <v>194</v>
      </c>
      <c r="I224" s="26"/>
      <c r="J224" s="26"/>
      <c r="K224" s="26"/>
      <c r="L224" s="26"/>
      <c r="M224" s="26"/>
      <c r="N224" s="65"/>
    </row>
    <row r="225" spans="1:22" ht="15.75" thickBot="1" x14ac:dyDescent="0.3">
      <c r="A225" s="1" t="s">
        <v>149</v>
      </c>
      <c r="B225" s="1" t="s">
        <v>141</v>
      </c>
      <c r="D225" s="1">
        <v>277406.64363998902</v>
      </c>
      <c r="E225" s="1">
        <v>453028.40963951498</v>
      </c>
      <c r="F225" s="1">
        <v>0.61233829432623899</v>
      </c>
      <c r="H225" s="95" t="s">
        <v>195</v>
      </c>
      <c r="I225" s="59"/>
      <c r="J225" s="80">
        <v>0</v>
      </c>
      <c r="K225" s="80">
        <v>0</v>
      </c>
      <c r="L225" s="59"/>
      <c r="M225" s="80">
        <v>0</v>
      </c>
      <c r="N225" s="81">
        <v>0</v>
      </c>
    </row>
    <row r="226" spans="1:22" ht="66.75" thickTop="1" thickBot="1" x14ac:dyDescent="0.3">
      <c r="C226" s="87"/>
      <c r="E226" s="18" t="s">
        <v>12</v>
      </c>
      <c r="F226" s="19">
        <v>4</v>
      </c>
      <c r="H226" s="96" t="s">
        <v>196</v>
      </c>
      <c r="I226" s="58"/>
      <c r="J226" s="83">
        <v>7.3768193793077918E-6</v>
      </c>
      <c r="K226" s="69">
        <v>6.3503348596268335E-6</v>
      </c>
      <c r="L226" s="58"/>
      <c r="M226" s="69">
        <v>6.8635771194673127E-6</v>
      </c>
      <c r="N226" s="78">
        <v>7.2583416464942169E-7</v>
      </c>
      <c r="P226" s="97" t="s">
        <v>202</v>
      </c>
      <c r="Q226" s="98" t="s">
        <v>203</v>
      </c>
      <c r="R226" s="99" t="s">
        <v>176</v>
      </c>
      <c r="S226" s="99" t="s">
        <v>204</v>
      </c>
      <c r="T226" s="99" t="s">
        <v>205</v>
      </c>
      <c r="U226" s="99" t="s">
        <v>206</v>
      </c>
      <c r="V226" s="99" t="s">
        <v>198</v>
      </c>
    </row>
    <row r="227" spans="1:22" ht="18.75" thickTop="1" x14ac:dyDescent="0.35">
      <c r="C227" s="87"/>
      <c r="E227" s="20" t="s">
        <v>187</v>
      </c>
      <c r="F227" s="21">
        <v>0.11</v>
      </c>
      <c r="H227" s="94" t="s">
        <v>197</v>
      </c>
      <c r="I227" s="26"/>
      <c r="J227" s="126">
        <v>2.4821341268496639</v>
      </c>
      <c r="K227" s="115">
        <v>2.4439738243772919</v>
      </c>
      <c r="L227" s="26"/>
      <c r="M227" s="115">
        <v>2.4630539756134779</v>
      </c>
      <c r="N227" s="76">
        <v>2.6983408650344026E-2</v>
      </c>
      <c r="Q227" s="100"/>
      <c r="R227" s="100" t="s">
        <v>190</v>
      </c>
      <c r="S227" s="105">
        <v>53.152826640742809</v>
      </c>
      <c r="T227" s="105">
        <v>36.772958081664171</v>
      </c>
      <c r="U227" s="100" t="s">
        <v>222</v>
      </c>
      <c r="V227" s="185">
        <v>1.0722344995843089</v>
      </c>
    </row>
    <row r="228" spans="1:22" ht="30" x14ac:dyDescent="0.25">
      <c r="C228" s="87"/>
      <c r="E228" s="20" t="s">
        <v>188</v>
      </c>
      <c r="F228" s="22">
        <v>2</v>
      </c>
      <c r="H228" s="94" t="s">
        <v>198</v>
      </c>
      <c r="I228" s="26"/>
      <c r="J228" s="56">
        <v>1.0275270873174998</v>
      </c>
      <c r="K228" s="41">
        <v>1.0770339661607817</v>
      </c>
      <c r="L228" s="26" t="s">
        <v>222</v>
      </c>
      <c r="M228" s="41">
        <v>1.0522805267391409</v>
      </c>
      <c r="N228" s="150">
        <v>3.500664974546551E-2</v>
      </c>
      <c r="P228" s="101" t="s">
        <v>141</v>
      </c>
      <c r="Q228" s="107">
        <v>10</v>
      </c>
      <c r="R228" s="100" t="s">
        <v>201</v>
      </c>
      <c r="S228" s="105">
        <v>27.01787692773031</v>
      </c>
      <c r="T228" s="105">
        <v>23.621495586356282</v>
      </c>
      <c r="U228" s="100" t="s">
        <v>222</v>
      </c>
      <c r="V228" s="106">
        <v>1.0522805267391409</v>
      </c>
    </row>
    <row r="229" spans="1:22" ht="18.75" thickBot="1" x14ac:dyDescent="0.4">
      <c r="C229" s="87"/>
      <c r="E229" s="23" t="s">
        <v>189</v>
      </c>
      <c r="F229" s="24">
        <v>10</v>
      </c>
      <c r="H229" s="95" t="s">
        <v>200</v>
      </c>
      <c r="I229" s="59"/>
      <c r="J229" s="128">
        <v>27.01787692773031</v>
      </c>
      <c r="K229" s="80">
        <v>23.621495586356282</v>
      </c>
      <c r="L229" s="59" t="s">
        <v>222</v>
      </c>
      <c r="M229" s="80">
        <v>25.319686257043294</v>
      </c>
      <c r="N229" s="151">
        <v>2.4016042779810371</v>
      </c>
      <c r="P229" s="102"/>
      <c r="Q229" s="108"/>
      <c r="R229" s="109" t="s">
        <v>172</v>
      </c>
      <c r="S229" s="131">
        <v>0.50830555278541878</v>
      </c>
      <c r="T229" s="110">
        <v>0.64236049582680954</v>
      </c>
      <c r="U229" s="109" t="s">
        <v>222</v>
      </c>
      <c r="V229" s="109"/>
    </row>
    <row r="230" spans="1:22" ht="15.75" thickBot="1" x14ac:dyDescent="0.3">
      <c r="H230" s="66" t="s">
        <v>172</v>
      </c>
      <c r="I230" s="67"/>
      <c r="J230" s="121">
        <v>0.50830555278541878</v>
      </c>
      <c r="K230" s="71">
        <v>0.64236049582680954</v>
      </c>
      <c r="L230" s="67" t="s">
        <v>222</v>
      </c>
      <c r="M230" s="71">
        <v>0.5753330243061141</v>
      </c>
      <c r="N230" s="175">
        <v>9.479115927614451E-2</v>
      </c>
      <c r="P230" s="103"/>
      <c r="Q230" s="112"/>
      <c r="R230" s="100"/>
      <c r="S230" s="100"/>
      <c r="T230" s="100"/>
      <c r="U230" s="100"/>
      <c r="V230" s="100"/>
    </row>
    <row r="231" spans="1:22" ht="15.75" thickTop="1" x14ac:dyDescent="0.25"/>
    <row r="235" spans="1:22" ht="15.75" thickBot="1" x14ac:dyDescent="0.3">
      <c r="H235" s="87" t="s">
        <v>190</v>
      </c>
    </row>
    <row r="236" spans="1:22" ht="15.75" thickTop="1" x14ac:dyDescent="0.25">
      <c r="A236" s="1" t="s">
        <v>19</v>
      </c>
      <c r="B236" s="1" t="s">
        <v>128</v>
      </c>
      <c r="C236" s="1">
        <v>57</v>
      </c>
      <c r="D236" s="1">
        <v>0</v>
      </c>
      <c r="E236" s="1">
        <v>724003.150201443</v>
      </c>
      <c r="F236" s="1">
        <v>0</v>
      </c>
      <c r="H236" s="88" t="s">
        <v>191</v>
      </c>
      <c r="I236" s="34">
        <v>7.4999999999999997E-2</v>
      </c>
      <c r="J236" s="134">
        <v>18.68049641022148</v>
      </c>
      <c r="K236" s="134">
        <v>18.5739696970778</v>
      </c>
      <c r="L236" s="37"/>
      <c r="M236" s="137">
        <v>18.62723305364964</v>
      </c>
      <c r="N236" s="45">
        <v>7.5325761241410105E-2</v>
      </c>
      <c r="P236" s="1" t="s">
        <v>190</v>
      </c>
      <c r="Q236" s="53">
        <v>558.14734679344042</v>
      </c>
      <c r="R236" s="53">
        <v>125.27499140458814</v>
      </c>
    </row>
    <row r="237" spans="1:22" x14ac:dyDescent="0.25">
      <c r="A237" s="1" t="s">
        <v>23</v>
      </c>
      <c r="B237" s="1" t="s">
        <v>128</v>
      </c>
      <c r="C237" s="1">
        <v>57</v>
      </c>
      <c r="D237" s="1">
        <v>0</v>
      </c>
      <c r="E237" s="1">
        <v>767393.257466326</v>
      </c>
      <c r="F237" s="1">
        <v>0</v>
      </c>
      <c r="H237" s="89" t="s">
        <v>192</v>
      </c>
      <c r="I237" s="29">
        <v>0.25</v>
      </c>
      <c r="J237" s="132">
        <v>24.458816041446241</v>
      </c>
      <c r="K237" s="132">
        <v>29.59337189873736</v>
      </c>
      <c r="L237" s="26"/>
      <c r="M237" s="136">
        <v>27.0260939700918</v>
      </c>
      <c r="N237" s="117">
        <v>3.6306792650716568</v>
      </c>
      <c r="P237" s="1" t="s">
        <v>201</v>
      </c>
      <c r="Q237" s="53">
        <v>115.11675377046097</v>
      </c>
      <c r="R237" s="15">
        <v>2.7613227499838033</v>
      </c>
    </row>
    <row r="238" spans="1:22" x14ac:dyDescent="0.25">
      <c r="A238" s="1" t="s">
        <v>22</v>
      </c>
      <c r="B238" s="1" t="s">
        <v>128</v>
      </c>
      <c r="C238" s="1">
        <v>57</v>
      </c>
      <c r="D238" s="1">
        <v>0</v>
      </c>
      <c r="E238" s="1">
        <v>382677.237752121</v>
      </c>
      <c r="F238" s="1">
        <v>0</v>
      </c>
      <c r="H238" s="89" t="s">
        <v>193</v>
      </c>
      <c r="I238" s="32">
        <v>7.4999999999999997E-2</v>
      </c>
      <c r="J238" s="132">
        <v>16.442011769326719</v>
      </c>
      <c r="K238" s="132">
        <v>14.443956640616079</v>
      </c>
      <c r="L238" s="26"/>
      <c r="M238" s="136">
        <v>15.442984204971399</v>
      </c>
      <c r="N238" s="117">
        <v>1.4128383306958532</v>
      </c>
    </row>
    <row r="239" spans="1:22" x14ac:dyDescent="0.25">
      <c r="A239" s="1" t="s">
        <v>24</v>
      </c>
      <c r="B239" s="1" t="s">
        <v>128</v>
      </c>
      <c r="C239" s="1">
        <v>57</v>
      </c>
      <c r="D239" s="1">
        <v>0</v>
      </c>
      <c r="E239" s="1">
        <v>327471.84305237798</v>
      </c>
      <c r="F239" s="1">
        <v>0</v>
      </c>
      <c r="H239" s="89" t="s">
        <v>194</v>
      </c>
      <c r="I239" s="26"/>
      <c r="J239" s="26"/>
      <c r="K239" s="26"/>
      <c r="L239" s="26"/>
      <c r="M239" s="26"/>
      <c r="N239" s="38"/>
    </row>
    <row r="240" spans="1:22" ht="15.75" thickBot="1" x14ac:dyDescent="0.3">
      <c r="A240" s="1" t="s">
        <v>133</v>
      </c>
      <c r="B240" s="1" t="s">
        <v>128</v>
      </c>
      <c r="C240" s="1">
        <v>57</v>
      </c>
      <c r="D240" s="1">
        <v>5662279.0782678202</v>
      </c>
      <c r="E240" s="1">
        <v>926010.32996411703</v>
      </c>
      <c r="F240" s="1">
        <v>6.1147040103615602</v>
      </c>
      <c r="H240" s="90" t="s">
        <v>195</v>
      </c>
      <c r="I240" s="27"/>
      <c r="J240" s="165">
        <v>0</v>
      </c>
      <c r="K240" s="165">
        <v>0</v>
      </c>
      <c r="L240" s="27"/>
      <c r="M240" s="165">
        <v>0</v>
      </c>
      <c r="N240" s="168">
        <v>0</v>
      </c>
    </row>
    <row r="241" spans="1:22" x14ac:dyDescent="0.25">
      <c r="A241" s="1" t="s">
        <v>134</v>
      </c>
      <c r="B241" s="1" t="s">
        <v>128</v>
      </c>
      <c r="C241" s="1">
        <v>57</v>
      </c>
      <c r="D241" s="1">
        <v>6931883.4184776302</v>
      </c>
      <c r="E241" s="1">
        <v>936950.80671403697</v>
      </c>
      <c r="F241" s="1">
        <v>7.3983429746843399</v>
      </c>
      <c r="H241" s="91" t="s">
        <v>196</v>
      </c>
      <c r="I241" s="25"/>
      <c r="J241" s="157">
        <v>8.4926444588354999E-4</v>
      </c>
      <c r="K241" s="186">
        <v>1.0275476353728251E-3</v>
      </c>
      <c r="L241" s="25"/>
      <c r="M241" s="140">
        <v>9.3840604062818758E-4</v>
      </c>
      <c r="N241" s="187">
        <v>1.2606525225943263E-4</v>
      </c>
    </row>
    <row r="242" spans="1:22" ht="18" x14ac:dyDescent="0.35">
      <c r="A242" s="1" t="s">
        <v>131</v>
      </c>
      <c r="B242" s="1" t="s">
        <v>128</v>
      </c>
      <c r="C242" s="1">
        <v>57</v>
      </c>
      <c r="D242" s="1">
        <v>3809203.6523329699</v>
      </c>
      <c r="E242" s="1">
        <v>926700.14004957594</v>
      </c>
      <c r="F242" s="1">
        <v>4.1105029423316797</v>
      </c>
      <c r="H242" s="89" t="s">
        <v>197</v>
      </c>
      <c r="I242" s="26"/>
      <c r="J242" s="145">
        <v>16.442011769326719</v>
      </c>
      <c r="K242" s="136">
        <v>14.443956640616079</v>
      </c>
      <c r="L242" s="26"/>
      <c r="M242" s="136">
        <v>15.442984204971399</v>
      </c>
      <c r="N242" s="117">
        <v>1.4128383306958532</v>
      </c>
    </row>
    <row r="243" spans="1:22" x14ac:dyDescent="0.25">
      <c r="A243" s="1" t="s">
        <v>132</v>
      </c>
      <c r="B243" s="1" t="s">
        <v>128</v>
      </c>
      <c r="C243" s="1">
        <v>57</v>
      </c>
      <c r="D243" s="1">
        <v>3191402.8433261602</v>
      </c>
      <c r="E243" s="1">
        <v>883802.94201438001</v>
      </c>
      <c r="F243" s="1">
        <v>3.6109891601540198</v>
      </c>
      <c r="H243" s="89" t="s">
        <v>198</v>
      </c>
      <c r="I243" s="26"/>
      <c r="J243" s="56">
        <v>6.09474586327618</v>
      </c>
      <c r="K243" s="41">
        <v>8.115403944321816</v>
      </c>
      <c r="L243" s="26" t="s">
        <v>222</v>
      </c>
      <c r="M243" s="41">
        <v>7.1050749037989984</v>
      </c>
      <c r="N243" s="51">
        <v>1.4288210315667582</v>
      </c>
    </row>
    <row r="244" spans="1:22" ht="18.75" thickBot="1" x14ac:dyDescent="0.4">
      <c r="A244" s="1" t="s">
        <v>129</v>
      </c>
      <c r="B244" s="1" t="s">
        <v>128</v>
      </c>
      <c r="C244" s="1">
        <v>57</v>
      </c>
      <c r="D244" s="1">
        <v>4210393.7459822996</v>
      </c>
      <c r="E244" s="1">
        <v>901559.28483324195</v>
      </c>
      <c r="F244" s="1">
        <v>4.6701241025553699</v>
      </c>
      <c r="H244" s="92" t="s">
        <v>200</v>
      </c>
      <c r="I244" s="39"/>
      <c r="J244" s="57">
        <v>469.56455085816941</v>
      </c>
      <c r="K244" s="42">
        <v>646.73014272871137</v>
      </c>
      <c r="L244" s="39" t="s">
        <v>222</v>
      </c>
      <c r="M244" s="42">
        <v>558.14734679344042</v>
      </c>
      <c r="N244" s="52">
        <v>125.27499140458814</v>
      </c>
    </row>
    <row r="245" spans="1:22" ht="15.75" thickTop="1" x14ac:dyDescent="0.25">
      <c r="A245" s="1" t="s">
        <v>130</v>
      </c>
      <c r="B245" s="1" t="s">
        <v>128</v>
      </c>
      <c r="C245" s="1">
        <v>57</v>
      </c>
      <c r="D245" s="1">
        <v>4267000.4020290002</v>
      </c>
      <c r="E245" s="1">
        <v>918920.50468895002</v>
      </c>
      <c r="F245" s="1">
        <v>4.64349242426945</v>
      </c>
      <c r="H245" s="86"/>
    </row>
    <row r="246" spans="1:22" ht="15.75" thickBot="1" x14ac:dyDescent="0.3">
      <c r="A246" s="1" t="s">
        <v>139</v>
      </c>
      <c r="B246" s="1" t="s">
        <v>128</v>
      </c>
      <c r="C246" s="1">
        <v>57</v>
      </c>
      <c r="D246" s="1">
        <v>4658896.6252423897</v>
      </c>
      <c r="E246" s="1">
        <v>1022353.29707714</v>
      </c>
      <c r="F246" s="1">
        <v>4.5570319365741199</v>
      </c>
      <c r="H246" s="87" t="s">
        <v>201</v>
      </c>
    </row>
    <row r="247" spans="1:22" ht="15.75" thickTop="1" x14ac:dyDescent="0.25">
      <c r="A247" s="1" t="s">
        <v>140</v>
      </c>
      <c r="B247" s="1" t="s">
        <v>128</v>
      </c>
      <c r="C247" s="1">
        <v>57</v>
      </c>
      <c r="D247" s="1">
        <v>4226587.5540222097</v>
      </c>
      <c r="E247" s="1">
        <v>965243.63080939697</v>
      </c>
      <c r="F247" s="1">
        <v>4.3787779780303104</v>
      </c>
      <c r="H247" s="93" t="s">
        <v>191</v>
      </c>
      <c r="I247" s="61">
        <v>0.25</v>
      </c>
      <c r="J247" s="147">
        <v>18.17287268650324</v>
      </c>
      <c r="K247" s="147">
        <v>15.20048493732372</v>
      </c>
      <c r="L247" s="64"/>
      <c r="M247" s="149">
        <v>16.686678811913481</v>
      </c>
      <c r="N247" s="158">
        <v>2.1017955337606571</v>
      </c>
    </row>
    <row r="248" spans="1:22" x14ac:dyDescent="0.25">
      <c r="A248" s="1" t="s">
        <v>137</v>
      </c>
      <c r="B248" s="1" t="s">
        <v>128</v>
      </c>
      <c r="C248" s="1">
        <v>57</v>
      </c>
      <c r="D248" s="1">
        <v>3197734.2854619501</v>
      </c>
      <c r="E248" s="1">
        <v>867495.54878090299</v>
      </c>
      <c r="F248" s="1">
        <v>3.686167946286</v>
      </c>
      <c r="H248" s="94" t="s">
        <v>192</v>
      </c>
      <c r="I248" s="32">
        <v>7.4999999999999997E-2</v>
      </c>
      <c r="J248" s="132">
        <v>18.228127746296479</v>
      </c>
      <c r="K248" s="132">
        <v>17.515111912121242</v>
      </c>
      <c r="L248" s="26"/>
      <c r="M248" s="136">
        <v>17.871619829208861</v>
      </c>
      <c r="N248" s="122">
        <v>0.50417833143869351</v>
      </c>
    </row>
    <row r="249" spans="1:22" x14ac:dyDescent="0.25">
      <c r="A249" s="1" t="s">
        <v>138</v>
      </c>
      <c r="B249" s="1" t="s">
        <v>128</v>
      </c>
      <c r="C249" s="1">
        <v>57</v>
      </c>
      <c r="D249" s="1">
        <v>3192492.1544152498</v>
      </c>
      <c r="E249" s="1">
        <v>871264.26848532096</v>
      </c>
      <c r="F249" s="1">
        <v>3.6642064524984499</v>
      </c>
      <c r="H249" s="94" t="s">
        <v>193</v>
      </c>
      <c r="I249" s="29">
        <v>0.25</v>
      </c>
      <c r="J249" s="132">
        <v>14.744671785144</v>
      </c>
      <c r="K249" s="132">
        <v>14.6568258099938</v>
      </c>
      <c r="L249" s="26"/>
      <c r="M249" s="136">
        <v>14.700748797568899</v>
      </c>
      <c r="N249" s="76">
        <v>6.2116484728651583E-2</v>
      </c>
    </row>
    <row r="250" spans="1:22" x14ac:dyDescent="0.25">
      <c r="A250" s="1" t="s">
        <v>135</v>
      </c>
      <c r="B250" s="1" t="s">
        <v>128</v>
      </c>
      <c r="C250" s="1">
        <v>57</v>
      </c>
      <c r="D250" s="1">
        <v>3672106.9567551399</v>
      </c>
      <c r="E250" s="1">
        <v>808261.196807342</v>
      </c>
      <c r="F250" s="1">
        <v>4.54321817162581</v>
      </c>
      <c r="H250" s="94" t="s">
        <v>194</v>
      </c>
      <c r="I250" s="26"/>
      <c r="J250" s="26"/>
      <c r="K250" s="26"/>
      <c r="L250" s="26"/>
      <c r="M250" s="26"/>
      <c r="N250" s="65"/>
    </row>
    <row r="251" spans="1:22" ht="15.75" thickBot="1" x14ac:dyDescent="0.3">
      <c r="A251" s="1" t="s">
        <v>136</v>
      </c>
      <c r="B251" s="1" t="s">
        <v>128</v>
      </c>
      <c r="C251" s="1">
        <v>57</v>
      </c>
      <c r="D251" s="1">
        <v>3301221.0343920402</v>
      </c>
      <c r="E251" s="1">
        <v>868714.66219768405</v>
      </c>
      <c r="F251" s="1">
        <v>3.8001212343309301</v>
      </c>
      <c r="H251" s="95" t="s">
        <v>195</v>
      </c>
      <c r="I251" s="59"/>
      <c r="J251" s="80">
        <v>0</v>
      </c>
      <c r="K251" s="80">
        <v>0</v>
      </c>
      <c r="L251" s="59"/>
      <c r="M251" s="80">
        <v>0</v>
      </c>
      <c r="N251" s="81">
        <v>0</v>
      </c>
    </row>
    <row r="252" spans="1:22" ht="66.75" thickTop="1" thickBot="1" x14ac:dyDescent="0.3">
      <c r="C252" s="87"/>
      <c r="E252" s="18" t="s">
        <v>12</v>
      </c>
      <c r="F252" s="19">
        <v>4</v>
      </c>
      <c r="H252" s="96" t="s">
        <v>196</v>
      </c>
      <c r="I252" s="58"/>
      <c r="J252" s="152">
        <v>1.8987633069058834E-4</v>
      </c>
      <c r="K252" s="148">
        <v>1.8244908241792961E-4</v>
      </c>
      <c r="L252" s="58"/>
      <c r="M252" s="148">
        <v>1.8616270655425897E-4</v>
      </c>
      <c r="N252" s="78">
        <v>5.2518576191530624E-6</v>
      </c>
      <c r="P252" s="97" t="s">
        <v>202</v>
      </c>
      <c r="Q252" s="98" t="s">
        <v>203</v>
      </c>
      <c r="R252" s="99" t="s">
        <v>176</v>
      </c>
      <c r="S252" s="99" t="s">
        <v>204</v>
      </c>
      <c r="T252" s="99" t="s">
        <v>205</v>
      </c>
      <c r="U252" s="99" t="s">
        <v>206</v>
      </c>
      <c r="V252" s="99" t="s">
        <v>198</v>
      </c>
    </row>
    <row r="253" spans="1:22" ht="18.75" thickTop="1" x14ac:dyDescent="0.35">
      <c r="C253" s="87"/>
      <c r="E253" s="20" t="s">
        <v>187</v>
      </c>
      <c r="F253" s="21">
        <v>0.11</v>
      </c>
      <c r="H253" s="94" t="s">
        <v>197</v>
      </c>
      <c r="I253" s="26"/>
      <c r="J253" s="145">
        <v>14.744671785144</v>
      </c>
      <c r="K253" s="136">
        <v>14.6568258099938</v>
      </c>
      <c r="L253" s="26"/>
      <c r="M253" s="136">
        <v>14.700748797568899</v>
      </c>
      <c r="N253" s="76">
        <v>6.2116484728651583E-2</v>
      </c>
      <c r="Q253" s="100"/>
      <c r="R253" s="100" t="s">
        <v>190</v>
      </c>
      <c r="S253" s="104">
        <v>469.56455085816941</v>
      </c>
      <c r="T253" s="104">
        <v>646.73014272871137</v>
      </c>
      <c r="U253" s="100" t="s">
        <v>222</v>
      </c>
      <c r="V253" s="106">
        <v>7.1050749037989984</v>
      </c>
    </row>
    <row r="254" spans="1:22" ht="30" x14ac:dyDescent="0.25">
      <c r="C254" s="87"/>
      <c r="E254" s="20" t="s">
        <v>188</v>
      </c>
      <c r="F254" s="22">
        <v>2</v>
      </c>
      <c r="H254" s="94" t="s">
        <v>198</v>
      </c>
      <c r="I254" s="26"/>
      <c r="J254" s="56">
        <v>1.6033799432695406</v>
      </c>
      <c r="K254" s="41">
        <v>1.395596753085022</v>
      </c>
      <c r="L254" s="26" t="s">
        <v>222</v>
      </c>
      <c r="M254" s="41">
        <v>1.4994883481772812</v>
      </c>
      <c r="N254" s="124">
        <v>0.1469249027960472</v>
      </c>
      <c r="P254" s="101" t="s">
        <v>128</v>
      </c>
      <c r="Q254" s="107">
        <v>10</v>
      </c>
      <c r="R254" s="100" t="s">
        <v>201</v>
      </c>
      <c r="S254" s="104">
        <v>117.0693038120192</v>
      </c>
      <c r="T254" s="104">
        <v>113.16420372890273</v>
      </c>
      <c r="U254" s="100" t="s">
        <v>222</v>
      </c>
      <c r="V254" s="106">
        <v>1.4994883481772812</v>
      </c>
    </row>
    <row r="255" spans="1:22" ht="18.75" thickBot="1" x14ac:dyDescent="0.4">
      <c r="C255" s="87"/>
      <c r="E255" s="23" t="s">
        <v>189</v>
      </c>
      <c r="F255" s="24">
        <v>10</v>
      </c>
      <c r="H255" s="95" t="s">
        <v>200</v>
      </c>
      <c r="I255" s="59"/>
      <c r="J255" s="85">
        <v>117.0693038120192</v>
      </c>
      <c r="K255" s="70">
        <v>113.16420372890273</v>
      </c>
      <c r="L255" s="59" t="s">
        <v>222</v>
      </c>
      <c r="M255" s="70">
        <v>115.11675377046097</v>
      </c>
      <c r="N255" s="151">
        <v>2.7613227499838033</v>
      </c>
      <c r="P255" s="102"/>
      <c r="Q255" s="108"/>
      <c r="R255" s="109" t="s">
        <v>172</v>
      </c>
      <c r="S255" s="110">
        <v>0.24931461201248056</v>
      </c>
      <c r="T255" s="110">
        <v>0.17497901559286461</v>
      </c>
      <c r="U255" s="109" t="s">
        <v>222</v>
      </c>
      <c r="V255" s="109"/>
    </row>
    <row r="256" spans="1:22" ht="15.75" thickBot="1" x14ac:dyDescent="0.3">
      <c r="H256" s="66" t="s">
        <v>172</v>
      </c>
      <c r="I256" s="67"/>
      <c r="J256" s="71">
        <v>0.24931461201248056</v>
      </c>
      <c r="K256" s="71">
        <v>0.17497901559286461</v>
      </c>
      <c r="L256" s="67" t="s">
        <v>222</v>
      </c>
      <c r="M256" s="71">
        <v>0.21214681380267258</v>
      </c>
      <c r="N256" s="82">
        <v>5.256320431185682E-2</v>
      </c>
      <c r="P256" s="103"/>
      <c r="Q256" s="112"/>
      <c r="R256" s="100"/>
      <c r="S256" s="100"/>
      <c r="T256" s="100"/>
      <c r="U256" s="100"/>
      <c r="V256" s="100"/>
    </row>
    <row r="257" spans="1:18" ht="15.75" thickTop="1" x14ac:dyDescent="0.25"/>
    <row r="261" spans="1:18" ht="15.75" thickBot="1" x14ac:dyDescent="0.3">
      <c r="A261" s="244"/>
      <c r="B261" s="244"/>
      <c r="H261" s="87" t="s">
        <v>190</v>
      </c>
    </row>
    <row r="262" spans="1:18" ht="15.75" thickTop="1" x14ac:dyDescent="0.25">
      <c r="A262" s="1" t="s">
        <v>19</v>
      </c>
      <c r="B262" s="1" t="s">
        <v>63</v>
      </c>
      <c r="C262" s="1">
        <v>56</v>
      </c>
      <c r="D262" s="1">
        <v>87489955.620866701</v>
      </c>
      <c r="E262" s="1">
        <v>724003.150201443</v>
      </c>
      <c r="F262" s="1">
        <v>120.84195434304938</v>
      </c>
      <c r="H262" s="88" t="s">
        <v>191</v>
      </c>
      <c r="I262" s="34">
        <v>7.4999999999999997E-2</v>
      </c>
      <c r="J262" s="190">
        <v>480.09741161063289</v>
      </c>
      <c r="K262" s="190">
        <v>396.59082897526093</v>
      </c>
      <c r="L262" s="37"/>
      <c r="M262" s="192">
        <v>438.34412029294691</v>
      </c>
      <c r="N262" s="166">
        <v>59.04807085518631</v>
      </c>
      <c r="P262" s="1" t="s">
        <v>190</v>
      </c>
      <c r="Q262" s="53">
        <v>0</v>
      </c>
      <c r="R262" s="17">
        <v>0</v>
      </c>
    </row>
    <row r="263" spans="1:18" x14ac:dyDescent="0.25">
      <c r="A263" s="1" t="s">
        <v>23</v>
      </c>
      <c r="B263" s="1" t="s">
        <v>63</v>
      </c>
      <c r="C263" s="1">
        <v>56</v>
      </c>
      <c r="D263" s="1">
        <v>105534754.64757299</v>
      </c>
      <c r="E263" s="1">
        <v>767393.257466326</v>
      </c>
      <c r="F263" s="1">
        <v>137.52369286643616</v>
      </c>
      <c r="H263" s="89" t="s">
        <v>192</v>
      </c>
      <c r="I263" s="29">
        <v>0.25</v>
      </c>
      <c r="J263" s="132">
        <v>0</v>
      </c>
      <c r="K263" s="132">
        <v>0</v>
      </c>
      <c r="L263" s="26"/>
      <c r="M263" s="136">
        <v>0</v>
      </c>
      <c r="N263" s="139">
        <v>0</v>
      </c>
      <c r="P263" s="1" t="s">
        <v>201</v>
      </c>
      <c r="Q263" s="17">
        <v>0</v>
      </c>
      <c r="R263" s="17">
        <v>0</v>
      </c>
    </row>
    <row r="264" spans="1:18" x14ac:dyDescent="0.25">
      <c r="A264" s="1" t="s">
        <v>22</v>
      </c>
      <c r="B264" s="1" t="s">
        <v>63</v>
      </c>
      <c r="C264" s="1">
        <v>56</v>
      </c>
      <c r="D264" s="1">
        <v>0</v>
      </c>
      <c r="E264" s="1">
        <v>382677.237752121</v>
      </c>
      <c r="F264" s="1">
        <v>0</v>
      </c>
      <c r="H264" s="89" t="s">
        <v>193</v>
      </c>
      <c r="I264" s="32">
        <v>7.4999999999999997E-2</v>
      </c>
      <c r="J264" s="188">
        <v>284.55305653219295</v>
      </c>
      <c r="K264" s="188">
        <v>256.68301793285696</v>
      </c>
      <c r="L264" s="26"/>
      <c r="M264" s="191">
        <v>270.61803723252496</v>
      </c>
      <c r="N264" s="139">
        <v>19.707093285521314</v>
      </c>
    </row>
    <row r="265" spans="1:18" x14ac:dyDescent="0.25">
      <c r="A265" s="1" t="s">
        <v>24</v>
      </c>
      <c r="B265" s="1" t="s">
        <v>63</v>
      </c>
      <c r="C265" s="1">
        <v>56</v>
      </c>
      <c r="D265" s="1">
        <v>0</v>
      </c>
      <c r="E265" s="1">
        <v>327471.84305237798</v>
      </c>
      <c r="F265" s="1">
        <v>0</v>
      </c>
      <c r="H265" s="89" t="s">
        <v>194</v>
      </c>
      <c r="I265" s="26"/>
      <c r="J265" s="26"/>
      <c r="K265" s="26"/>
      <c r="L265" s="26"/>
      <c r="M265" s="26"/>
      <c r="N265" s="38"/>
    </row>
    <row r="266" spans="1:18" ht="15.75" thickBot="1" x14ac:dyDescent="0.3">
      <c r="A266" s="1" t="s">
        <v>68</v>
      </c>
      <c r="B266" s="1" t="s">
        <v>63</v>
      </c>
      <c r="C266" s="1">
        <v>56</v>
      </c>
      <c r="D266" s="1">
        <v>0</v>
      </c>
      <c r="E266" s="1">
        <v>480380.774274169</v>
      </c>
      <c r="F266" s="1">
        <v>0</v>
      </c>
      <c r="H266" s="90" t="s">
        <v>195</v>
      </c>
      <c r="I266" s="27"/>
      <c r="J266" s="189">
        <v>120.84195434304938</v>
      </c>
      <c r="K266" s="189">
        <v>137.52369286643616</v>
      </c>
      <c r="L266" s="27"/>
      <c r="M266" s="189">
        <v>129.18282360474277</v>
      </c>
      <c r="N266" s="168">
        <v>11.795770431867657</v>
      </c>
    </row>
    <row r="267" spans="1:18" x14ac:dyDescent="0.25">
      <c r="A267" s="1" t="s">
        <v>69</v>
      </c>
      <c r="B267" s="1" t="s">
        <v>63</v>
      </c>
      <c r="C267" s="1">
        <v>56</v>
      </c>
      <c r="D267" s="1">
        <v>0</v>
      </c>
      <c r="E267" s="1">
        <v>540641.26059143397</v>
      </c>
      <c r="F267" s="1">
        <v>0</v>
      </c>
      <c r="H267" s="91" t="s">
        <v>196</v>
      </c>
      <c r="I267" s="25"/>
      <c r="J267" s="144">
        <v>0</v>
      </c>
      <c r="K267" s="135">
        <v>0</v>
      </c>
      <c r="L267" s="25"/>
      <c r="M267" s="28">
        <v>0</v>
      </c>
      <c r="N267" s="141">
        <v>0</v>
      </c>
    </row>
    <row r="268" spans="1:18" ht="18" x14ac:dyDescent="0.35">
      <c r="A268" s="1" t="s">
        <v>66</v>
      </c>
      <c r="B268" s="1" t="s">
        <v>63</v>
      </c>
      <c r="C268" s="1">
        <v>56</v>
      </c>
      <c r="D268" s="1">
        <v>97615304.514212206</v>
      </c>
      <c r="E268" s="1">
        <v>487294.20160689601</v>
      </c>
      <c r="F268" s="1">
        <v>200.321087737791</v>
      </c>
      <c r="H268" s="89" t="s">
        <v>197</v>
      </c>
      <c r="I268" s="26"/>
      <c r="J268" s="193">
        <v>284.55305653219295</v>
      </c>
      <c r="K268" s="191">
        <v>256.68301793285696</v>
      </c>
      <c r="L268" s="26"/>
      <c r="M268" s="191">
        <v>270.61803723252496</v>
      </c>
      <c r="N268" s="139">
        <v>19.707093285521314</v>
      </c>
    </row>
    <row r="269" spans="1:18" x14ac:dyDescent="0.25">
      <c r="A269" s="1" t="s">
        <v>67</v>
      </c>
      <c r="B269" s="1" t="s">
        <v>63</v>
      </c>
      <c r="C269" s="1">
        <v>56</v>
      </c>
      <c r="D269" s="1">
        <v>100742434.546434</v>
      </c>
      <c r="E269" s="1">
        <v>521026.99904837401</v>
      </c>
      <c r="F269" s="1">
        <v>193.353578087957</v>
      </c>
      <c r="H269" s="89" t="s">
        <v>198</v>
      </c>
      <c r="I269" s="26"/>
      <c r="J269" s="56">
        <v>1.687198223985048</v>
      </c>
      <c r="K269" s="41">
        <v>1.5450606439378898</v>
      </c>
      <c r="L269" s="26" t="s">
        <v>222</v>
      </c>
      <c r="M269" s="41">
        <v>1.6161294339614689</v>
      </c>
      <c r="N269" s="142">
        <v>0.10050644671279131</v>
      </c>
    </row>
    <row r="270" spans="1:18" ht="18.75" thickBot="1" x14ac:dyDescent="0.4">
      <c r="A270" s="1" t="s">
        <v>64</v>
      </c>
      <c r="B270" s="1" t="s">
        <v>63</v>
      </c>
      <c r="C270" s="1">
        <v>56</v>
      </c>
      <c r="D270" s="1">
        <v>110336068.42935</v>
      </c>
      <c r="E270" s="1">
        <v>442748.35891843901</v>
      </c>
      <c r="F270" s="1">
        <v>249.20717650740099</v>
      </c>
      <c r="H270" s="92" t="s">
        <v>200</v>
      </c>
      <c r="I270" s="39"/>
      <c r="J270" s="146">
        <v>0</v>
      </c>
      <c r="K270" s="43">
        <v>0</v>
      </c>
      <c r="L270" s="39" t="s">
        <v>222</v>
      </c>
      <c r="M270" s="42">
        <v>0</v>
      </c>
      <c r="N270" s="143">
        <v>0</v>
      </c>
    </row>
    <row r="271" spans="1:18" ht="15.75" thickTop="1" x14ac:dyDescent="0.25">
      <c r="A271" s="1" t="s">
        <v>65</v>
      </c>
      <c r="B271" s="1" t="s">
        <v>63</v>
      </c>
      <c r="C271" s="1">
        <v>56</v>
      </c>
      <c r="D271" s="1">
        <v>109886585.130279</v>
      </c>
      <c r="E271" s="1">
        <v>481261.02419112303</v>
      </c>
      <c r="F271" s="1">
        <v>228.330530848558</v>
      </c>
      <c r="H271" s="86"/>
    </row>
    <row r="272" spans="1:18" ht="15.75" thickBot="1" x14ac:dyDescent="0.3">
      <c r="A272" s="1" t="s">
        <v>74</v>
      </c>
      <c r="B272" s="1" t="s">
        <v>63</v>
      </c>
      <c r="C272" s="1">
        <v>56</v>
      </c>
      <c r="D272" s="1">
        <v>0</v>
      </c>
      <c r="E272" s="1">
        <v>62758.3983801738</v>
      </c>
      <c r="F272" s="1">
        <v>0</v>
      </c>
      <c r="H272" s="87" t="s">
        <v>201</v>
      </c>
    </row>
    <row r="273" spans="1:22" ht="15.75" thickTop="1" x14ac:dyDescent="0.25">
      <c r="A273" s="1" t="s">
        <v>75</v>
      </c>
      <c r="B273" s="1" t="s">
        <v>63</v>
      </c>
      <c r="C273" s="1">
        <v>56</v>
      </c>
      <c r="D273" s="1">
        <v>0</v>
      </c>
      <c r="E273" s="1">
        <v>55582.420259414001</v>
      </c>
      <c r="F273" s="1">
        <v>0</v>
      </c>
      <c r="H273" s="93" t="s">
        <v>191</v>
      </c>
      <c r="I273" s="61">
        <v>0.25</v>
      </c>
      <c r="J273" s="194">
        <v>1076.8888070519281</v>
      </c>
      <c r="K273" s="194">
        <v>1157.367831808428</v>
      </c>
      <c r="L273" s="64"/>
      <c r="M273" s="195">
        <v>1117.1283194301782</v>
      </c>
      <c r="N273" s="170">
        <v>56.907264148601143</v>
      </c>
    </row>
    <row r="274" spans="1:22" x14ac:dyDescent="0.25">
      <c r="A274" s="1" t="s">
        <v>72</v>
      </c>
      <c r="B274" s="1" t="s">
        <v>63</v>
      </c>
      <c r="C274" s="1">
        <v>56</v>
      </c>
      <c r="D274" s="1">
        <v>94848043.9901409</v>
      </c>
      <c r="E274" s="1">
        <v>450323.81216390099</v>
      </c>
      <c r="F274" s="1">
        <v>210.621871258319</v>
      </c>
      <c r="H274" s="94" t="s">
        <v>192</v>
      </c>
      <c r="I274" s="32">
        <v>7.4999999999999997E-2</v>
      </c>
      <c r="J274" s="132">
        <v>0</v>
      </c>
      <c r="K274" s="132">
        <v>0</v>
      </c>
      <c r="L274" s="26"/>
      <c r="M274" s="136">
        <v>0</v>
      </c>
      <c r="N274" s="171">
        <v>0</v>
      </c>
    </row>
    <row r="275" spans="1:22" x14ac:dyDescent="0.25">
      <c r="A275" s="1" t="s">
        <v>73</v>
      </c>
      <c r="B275" s="1" t="s">
        <v>63</v>
      </c>
      <c r="C275" s="1">
        <v>56</v>
      </c>
      <c r="D275" s="1">
        <v>95075920.168228894</v>
      </c>
      <c r="E275" s="1">
        <v>445070.19558852399</v>
      </c>
      <c r="F275" s="1">
        <v>213.62005614082599</v>
      </c>
      <c r="H275" s="94" t="s">
        <v>193</v>
      </c>
      <c r="I275" s="29">
        <v>0.25</v>
      </c>
      <c r="J275" s="188">
        <v>842.48748503327602</v>
      </c>
      <c r="K275" s="188">
        <v>854.48022456330398</v>
      </c>
      <c r="L275" s="26"/>
      <c r="M275" s="191">
        <v>848.48385479828994</v>
      </c>
      <c r="N275" s="123">
        <v>8.4801474466867397</v>
      </c>
    </row>
    <row r="276" spans="1:22" x14ac:dyDescent="0.25">
      <c r="A276" s="1" t="s">
        <v>70</v>
      </c>
      <c r="B276" s="1" t="s">
        <v>63</v>
      </c>
      <c r="C276" s="1">
        <v>56</v>
      </c>
      <c r="D276" s="1">
        <v>120026518.916996</v>
      </c>
      <c r="E276" s="1">
        <v>445826.97166508198</v>
      </c>
      <c r="F276" s="1">
        <v>269.22220176298202</v>
      </c>
      <c r="H276" s="94" t="s">
        <v>194</v>
      </c>
      <c r="I276" s="26"/>
      <c r="J276" s="26"/>
      <c r="K276" s="26"/>
      <c r="L276" s="26"/>
      <c r="M276" s="26"/>
      <c r="N276" s="65"/>
    </row>
    <row r="277" spans="1:22" ht="15.75" thickBot="1" x14ac:dyDescent="0.3">
      <c r="A277" s="1" t="s">
        <v>71</v>
      </c>
      <c r="B277" s="1" t="s">
        <v>63</v>
      </c>
      <c r="C277" s="1">
        <v>56</v>
      </c>
      <c r="D277" s="1">
        <v>124087509.21510001</v>
      </c>
      <c r="E277" s="1">
        <v>428861.09603101399</v>
      </c>
      <c r="F277" s="1">
        <v>289.34195795210701</v>
      </c>
      <c r="H277" s="95" t="s">
        <v>195</v>
      </c>
      <c r="I277" s="59"/>
      <c r="J277" s="80">
        <v>0</v>
      </c>
      <c r="K277" s="80">
        <v>0</v>
      </c>
      <c r="L277" s="59"/>
      <c r="M277" s="80">
        <v>0</v>
      </c>
      <c r="N277" s="81">
        <v>0</v>
      </c>
    </row>
    <row r="278" spans="1:22" ht="66.75" thickTop="1" thickBot="1" x14ac:dyDescent="0.3">
      <c r="C278" s="87"/>
      <c r="E278" s="18" t="s">
        <v>12</v>
      </c>
      <c r="F278" s="19">
        <v>4</v>
      </c>
      <c r="H278" s="96" t="s">
        <v>196</v>
      </c>
      <c r="I278" s="58"/>
      <c r="J278" s="173">
        <v>0</v>
      </c>
      <c r="K278" s="169">
        <v>0</v>
      </c>
      <c r="L278" s="58"/>
      <c r="M278" s="169">
        <v>0</v>
      </c>
      <c r="N278" s="172">
        <v>0</v>
      </c>
      <c r="P278" s="97" t="s">
        <v>202</v>
      </c>
      <c r="Q278" s="98" t="s">
        <v>203</v>
      </c>
      <c r="R278" s="99" t="s">
        <v>176</v>
      </c>
      <c r="S278" s="99" t="s">
        <v>204</v>
      </c>
      <c r="T278" s="99" t="s">
        <v>205</v>
      </c>
      <c r="U278" s="99" t="s">
        <v>206</v>
      </c>
      <c r="V278" s="99" t="s">
        <v>198</v>
      </c>
    </row>
    <row r="279" spans="1:22" ht="18.75" thickTop="1" x14ac:dyDescent="0.35">
      <c r="C279" s="87"/>
      <c r="E279" s="20" t="s">
        <v>187</v>
      </c>
      <c r="F279" s="21">
        <v>0.11</v>
      </c>
      <c r="H279" s="94" t="s">
        <v>197</v>
      </c>
      <c r="I279" s="26"/>
      <c r="J279" s="193">
        <v>842.48748503327602</v>
      </c>
      <c r="K279" s="191">
        <v>854.48022456330398</v>
      </c>
      <c r="L279" s="26"/>
      <c r="M279" s="191">
        <v>848.48385479828994</v>
      </c>
      <c r="N279" s="123">
        <v>8.4801474466867397</v>
      </c>
      <c r="Q279" s="100"/>
      <c r="R279" s="100" t="s">
        <v>190</v>
      </c>
      <c r="S279" s="105">
        <v>0</v>
      </c>
      <c r="T279" s="105">
        <v>0</v>
      </c>
      <c r="U279" s="100" t="s">
        <v>222</v>
      </c>
      <c r="V279" s="106">
        <v>1.6161294339614689</v>
      </c>
    </row>
    <row r="280" spans="1:22" ht="30" x14ac:dyDescent="0.25">
      <c r="C280" s="87"/>
      <c r="E280" s="20" t="s">
        <v>188</v>
      </c>
      <c r="F280" s="22">
        <v>2</v>
      </c>
      <c r="H280" s="94" t="s">
        <v>198</v>
      </c>
      <c r="I280" s="26"/>
      <c r="J280" s="56">
        <v>1.2782252866455266</v>
      </c>
      <c r="K280" s="41">
        <v>1.354470002392296</v>
      </c>
      <c r="L280" s="26" t="s">
        <v>222</v>
      </c>
      <c r="M280" s="41">
        <v>1.3163476445189113</v>
      </c>
      <c r="N280" s="150">
        <v>5.3913155534181377E-2</v>
      </c>
      <c r="P280" s="101" t="s">
        <v>63</v>
      </c>
      <c r="Q280" s="107">
        <v>10</v>
      </c>
      <c r="R280" s="100" t="s">
        <v>201</v>
      </c>
      <c r="S280" s="105">
        <v>0</v>
      </c>
      <c r="T280" s="105">
        <v>0</v>
      </c>
      <c r="U280" s="100" t="s">
        <v>222</v>
      </c>
      <c r="V280" s="106">
        <v>1.3163476445189113</v>
      </c>
    </row>
    <row r="281" spans="1:22" ht="18.75" thickBot="1" x14ac:dyDescent="0.4">
      <c r="C281" s="87"/>
      <c r="E281" s="23" t="s">
        <v>189</v>
      </c>
      <c r="F281" s="24">
        <v>10</v>
      </c>
      <c r="H281" s="95" t="s">
        <v>200</v>
      </c>
      <c r="I281" s="59"/>
      <c r="J281" s="128">
        <v>0</v>
      </c>
      <c r="K281" s="80">
        <v>0</v>
      </c>
      <c r="L281" s="59" t="s">
        <v>222</v>
      </c>
      <c r="M281" s="80">
        <v>0</v>
      </c>
      <c r="N281" s="81">
        <v>0</v>
      </c>
      <c r="P281" s="102"/>
      <c r="Q281" s="108"/>
      <c r="R281" s="109" t="s">
        <v>172</v>
      </c>
      <c r="S281" s="176" t="s">
        <v>222</v>
      </c>
      <c r="T281" s="176" t="s">
        <v>222</v>
      </c>
      <c r="U281" s="109" t="s">
        <v>222</v>
      </c>
      <c r="V281" s="109"/>
    </row>
    <row r="282" spans="1:22" ht="15.75" thickBot="1" x14ac:dyDescent="0.3">
      <c r="H282" s="66" t="s">
        <v>172</v>
      </c>
      <c r="I282" s="67"/>
      <c r="J282" s="174" t="s">
        <v>222</v>
      </c>
      <c r="K282" s="174" t="s">
        <v>222</v>
      </c>
      <c r="L282" s="67" t="s">
        <v>222</v>
      </c>
      <c r="M282" s="174" t="s">
        <v>222</v>
      </c>
      <c r="N282" s="196" t="s">
        <v>222</v>
      </c>
      <c r="P282" s="103"/>
      <c r="Q282" s="112"/>
      <c r="R282" s="100"/>
      <c r="S282" s="100"/>
      <c r="T282" s="100"/>
      <c r="U282" s="100"/>
      <c r="V282" s="100"/>
    </row>
    <row r="283" spans="1:22" ht="15.75" thickTop="1" x14ac:dyDescent="0.25"/>
  </sheetData>
  <sortState ref="A2:X177">
    <sortCondition ref="K2:K177"/>
    <sortCondition ref="B2:B177"/>
    <sortCondition ref="G2:G177"/>
    <sortCondition ref="H2:H177"/>
    <sortCondition descending="1" ref="I2:I177"/>
    <sortCondition ref="J2:J177"/>
  </sortState>
  <conditionalFormatting sqref="J6">
    <cfRule type="expression" dxfId="223" priority="176">
      <formula>ISTEXT($J$6)</formula>
    </cfRule>
  </conditionalFormatting>
  <conditionalFormatting sqref="K6">
    <cfRule type="expression" dxfId="222" priority="175">
      <formula>ISTEXT($K$6)</formula>
    </cfRule>
  </conditionalFormatting>
  <conditionalFormatting sqref="J17">
    <cfRule type="expression" dxfId="221" priority="174">
      <formula>ISTEXT($J$17)</formula>
    </cfRule>
  </conditionalFormatting>
  <conditionalFormatting sqref="K17">
    <cfRule type="expression" dxfId="220" priority="173">
      <formula>ISTEXT($K$17)</formula>
    </cfRule>
  </conditionalFormatting>
  <conditionalFormatting sqref="J3">
    <cfRule type="expression" dxfId="219" priority="172">
      <formula>ISTEXT($J$3)</formula>
    </cfRule>
  </conditionalFormatting>
  <conditionalFormatting sqref="K3">
    <cfRule type="expression" dxfId="218" priority="171">
      <formula>ISTEXT($K$3)</formula>
    </cfRule>
  </conditionalFormatting>
  <conditionalFormatting sqref="J4">
    <cfRule type="expression" dxfId="217" priority="170">
      <formula>ISTEXT($J$4)</formula>
    </cfRule>
  </conditionalFormatting>
  <conditionalFormatting sqref="K4">
    <cfRule type="expression" dxfId="216" priority="169">
      <formula>ISTEXT($K$4)</formula>
    </cfRule>
  </conditionalFormatting>
  <conditionalFormatting sqref="J2">
    <cfRule type="expression" dxfId="215" priority="168">
      <formula>ISTEXT($J$2)</formula>
    </cfRule>
  </conditionalFormatting>
  <conditionalFormatting sqref="K2">
    <cfRule type="expression" dxfId="214" priority="167">
      <formula>ISTEXT($K$2)</formula>
    </cfRule>
  </conditionalFormatting>
  <conditionalFormatting sqref="J14">
    <cfRule type="expression" dxfId="213" priority="166">
      <formula>ISTEXT($J$14)</formula>
    </cfRule>
  </conditionalFormatting>
  <conditionalFormatting sqref="K14">
    <cfRule type="expression" dxfId="212" priority="165">
      <formula>ISTEXT($K$14)</formula>
    </cfRule>
  </conditionalFormatting>
  <conditionalFormatting sqref="J15">
    <cfRule type="expression" dxfId="211" priority="164">
      <formula>ISTEXT($J$15)</formula>
    </cfRule>
  </conditionalFormatting>
  <conditionalFormatting sqref="K15">
    <cfRule type="expression" dxfId="210" priority="163">
      <formula>ISTEXT($K$15)</formula>
    </cfRule>
  </conditionalFormatting>
  <conditionalFormatting sqref="J13">
    <cfRule type="expression" dxfId="209" priority="162">
      <formula>ISTEXT($J$13)</formula>
    </cfRule>
  </conditionalFormatting>
  <conditionalFormatting sqref="K13">
    <cfRule type="expression" dxfId="208" priority="161">
      <formula>ISTEXT($K$13)</formula>
    </cfRule>
  </conditionalFormatting>
  <conditionalFormatting sqref="J32">
    <cfRule type="expression" dxfId="207" priority="160">
      <formula>ISTEXT($J$32)</formula>
    </cfRule>
  </conditionalFormatting>
  <conditionalFormatting sqref="K32">
    <cfRule type="expression" dxfId="206" priority="159">
      <formula>ISTEXT($K$32)</formula>
    </cfRule>
  </conditionalFormatting>
  <conditionalFormatting sqref="J43">
    <cfRule type="expression" dxfId="205" priority="158">
      <formula>ISTEXT($J$43)</formula>
    </cfRule>
  </conditionalFormatting>
  <conditionalFormatting sqref="K43">
    <cfRule type="expression" dxfId="204" priority="157">
      <formula>ISTEXT($K$43)</formula>
    </cfRule>
  </conditionalFormatting>
  <conditionalFormatting sqref="J29">
    <cfRule type="expression" dxfId="203" priority="156">
      <formula>ISTEXT($J$29)</formula>
    </cfRule>
  </conditionalFormatting>
  <conditionalFormatting sqref="K29">
    <cfRule type="expression" dxfId="202" priority="155">
      <formula>ISTEXT($K$29)</formula>
    </cfRule>
  </conditionalFormatting>
  <conditionalFormatting sqref="J30">
    <cfRule type="expression" dxfId="201" priority="154">
      <formula>ISTEXT($J$30)</formula>
    </cfRule>
  </conditionalFormatting>
  <conditionalFormatting sqref="K30">
    <cfRule type="expression" dxfId="200" priority="153">
      <formula>ISTEXT($K$30)</formula>
    </cfRule>
  </conditionalFormatting>
  <conditionalFormatting sqref="J28">
    <cfRule type="expression" dxfId="199" priority="152">
      <formula>ISTEXT($J$28)</formula>
    </cfRule>
  </conditionalFormatting>
  <conditionalFormatting sqref="K28">
    <cfRule type="expression" dxfId="198" priority="151">
      <formula>ISTEXT($K$28)</formula>
    </cfRule>
  </conditionalFormatting>
  <conditionalFormatting sqref="J40">
    <cfRule type="expression" dxfId="197" priority="150">
      <formula>ISTEXT($J$40)</formula>
    </cfRule>
  </conditionalFormatting>
  <conditionalFormatting sqref="K40">
    <cfRule type="expression" dxfId="196" priority="149">
      <formula>ISTEXT($K$40)</formula>
    </cfRule>
  </conditionalFormatting>
  <conditionalFormatting sqref="J41">
    <cfRule type="expression" dxfId="195" priority="148">
      <formula>ISTEXT($J$41)</formula>
    </cfRule>
  </conditionalFormatting>
  <conditionalFormatting sqref="K41">
    <cfRule type="expression" dxfId="194" priority="147">
      <formula>ISTEXT($K$41)</formula>
    </cfRule>
  </conditionalFormatting>
  <conditionalFormatting sqref="J39">
    <cfRule type="expression" dxfId="193" priority="146">
      <formula>ISTEXT($J$39)</formula>
    </cfRule>
  </conditionalFormatting>
  <conditionalFormatting sqref="K39">
    <cfRule type="expression" dxfId="192" priority="145">
      <formula>ISTEXT($K$39)</formula>
    </cfRule>
  </conditionalFormatting>
  <conditionalFormatting sqref="J58">
    <cfRule type="expression" dxfId="191" priority="144">
      <formula>ISTEXT($J$58)</formula>
    </cfRule>
  </conditionalFormatting>
  <conditionalFormatting sqref="K58">
    <cfRule type="expression" dxfId="190" priority="143">
      <formula>ISTEXT($K$58)</formula>
    </cfRule>
  </conditionalFormatting>
  <conditionalFormatting sqref="J69">
    <cfRule type="expression" dxfId="189" priority="142">
      <formula>ISTEXT($J$69)</formula>
    </cfRule>
  </conditionalFormatting>
  <conditionalFormatting sqref="K69">
    <cfRule type="expression" dxfId="188" priority="141">
      <formula>ISTEXT($K$69)</formula>
    </cfRule>
  </conditionalFormatting>
  <conditionalFormatting sqref="J55">
    <cfRule type="expression" dxfId="187" priority="140">
      <formula>ISTEXT($J$55)</formula>
    </cfRule>
  </conditionalFormatting>
  <conditionalFormatting sqref="K55">
    <cfRule type="expression" dxfId="186" priority="139">
      <formula>ISTEXT($K$55)</formula>
    </cfRule>
  </conditionalFormatting>
  <conditionalFormatting sqref="J56">
    <cfRule type="expression" dxfId="185" priority="138">
      <formula>ISTEXT($J$56)</formula>
    </cfRule>
  </conditionalFormatting>
  <conditionalFormatting sqref="K56">
    <cfRule type="expression" dxfId="184" priority="137">
      <formula>ISTEXT($K$56)</formula>
    </cfRule>
  </conditionalFormatting>
  <conditionalFormatting sqref="J54">
    <cfRule type="expression" dxfId="183" priority="136">
      <formula>ISTEXT($J$54)</formula>
    </cfRule>
  </conditionalFormatting>
  <conditionalFormatting sqref="K54">
    <cfRule type="expression" dxfId="182" priority="135">
      <formula>ISTEXT($K$54)</formula>
    </cfRule>
  </conditionalFormatting>
  <conditionalFormatting sqref="J66">
    <cfRule type="expression" dxfId="181" priority="134">
      <formula>ISTEXT($J$66)</formula>
    </cfRule>
  </conditionalFormatting>
  <conditionalFormatting sqref="K66">
    <cfRule type="expression" dxfId="180" priority="133">
      <formula>ISTEXT($K$66)</formula>
    </cfRule>
  </conditionalFormatting>
  <conditionalFormatting sqref="J67">
    <cfRule type="expression" dxfId="179" priority="132">
      <formula>ISTEXT($J$67)</formula>
    </cfRule>
  </conditionalFormatting>
  <conditionalFormatting sqref="K67">
    <cfRule type="expression" dxfId="178" priority="131">
      <formula>ISTEXT($K$67)</formula>
    </cfRule>
  </conditionalFormatting>
  <conditionalFormatting sqref="J65">
    <cfRule type="expression" dxfId="177" priority="130">
      <formula>ISTEXT($J$65)</formula>
    </cfRule>
  </conditionalFormatting>
  <conditionalFormatting sqref="K65">
    <cfRule type="expression" dxfId="176" priority="129">
      <formula>ISTEXT($K$65)</formula>
    </cfRule>
  </conditionalFormatting>
  <conditionalFormatting sqref="J84">
    <cfRule type="expression" dxfId="175" priority="128">
      <formula>ISTEXT($J$84)</formula>
    </cfRule>
  </conditionalFormatting>
  <conditionalFormatting sqref="K84">
    <cfRule type="expression" dxfId="174" priority="127">
      <formula>ISTEXT($K$84)</formula>
    </cfRule>
  </conditionalFormatting>
  <conditionalFormatting sqref="J95">
    <cfRule type="expression" dxfId="173" priority="126">
      <formula>ISTEXT($J$95)</formula>
    </cfRule>
  </conditionalFormatting>
  <conditionalFormatting sqref="K95">
    <cfRule type="expression" dxfId="172" priority="125">
      <formula>ISTEXT($K$95)</formula>
    </cfRule>
  </conditionalFormatting>
  <conditionalFormatting sqref="J81">
    <cfRule type="expression" dxfId="171" priority="124">
      <formula>ISTEXT($J$81)</formula>
    </cfRule>
  </conditionalFormatting>
  <conditionalFormatting sqref="K81">
    <cfRule type="expression" dxfId="170" priority="123">
      <formula>ISTEXT($K$81)</formula>
    </cfRule>
  </conditionalFormatting>
  <conditionalFormatting sqref="J82">
    <cfRule type="expression" dxfId="169" priority="122">
      <formula>ISTEXT($J$82)</formula>
    </cfRule>
  </conditionalFormatting>
  <conditionalFormatting sqref="K82">
    <cfRule type="expression" dxfId="168" priority="121">
      <formula>ISTEXT($K$82)</formula>
    </cfRule>
  </conditionalFormatting>
  <conditionalFormatting sqref="J80">
    <cfRule type="expression" dxfId="167" priority="120">
      <formula>ISTEXT($J$80)</formula>
    </cfRule>
  </conditionalFormatting>
  <conditionalFormatting sqref="K80">
    <cfRule type="expression" dxfId="166" priority="119">
      <formula>ISTEXT($K$80)</formula>
    </cfRule>
  </conditionalFormatting>
  <conditionalFormatting sqref="J92">
    <cfRule type="expression" dxfId="165" priority="118">
      <formula>ISTEXT($J$92)</formula>
    </cfRule>
  </conditionalFormatting>
  <conditionalFormatting sqref="K92">
    <cfRule type="expression" dxfId="164" priority="117">
      <formula>ISTEXT($K$92)</formula>
    </cfRule>
  </conditionalFormatting>
  <conditionalFormatting sqref="J93">
    <cfRule type="expression" dxfId="163" priority="116">
      <formula>ISTEXT($J$93)</formula>
    </cfRule>
  </conditionalFormatting>
  <conditionalFormatting sqref="K93">
    <cfRule type="expression" dxfId="162" priority="115">
      <formula>ISTEXT($K$93)</formula>
    </cfRule>
  </conditionalFormatting>
  <conditionalFormatting sqref="J91">
    <cfRule type="expression" dxfId="161" priority="114">
      <formula>ISTEXT($J$91)</formula>
    </cfRule>
  </conditionalFormatting>
  <conditionalFormatting sqref="K91">
    <cfRule type="expression" dxfId="160" priority="113">
      <formula>ISTEXT($K$91)</formula>
    </cfRule>
  </conditionalFormatting>
  <conditionalFormatting sqref="J110">
    <cfRule type="expression" dxfId="159" priority="112">
      <formula>ISTEXT($J$110)</formula>
    </cfRule>
  </conditionalFormatting>
  <conditionalFormatting sqref="K110">
    <cfRule type="expression" dxfId="158" priority="111">
      <formula>ISTEXT($K$110)</formula>
    </cfRule>
  </conditionalFormatting>
  <conditionalFormatting sqref="J121">
    <cfRule type="expression" dxfId="157" priority="110">
      <formula>ISTEXT($J$121)</formula>
    </cfRule>
  </conditionalFormatting>
  <conditionalFormatting sqref="K121">
    <cfRule type="expression" dxfId="156" priority="109">
      <formula>ISTEXT($K$121)</formula>
    </cfRule>
  </conditionalFormatting>
  <conditionalFormatting sqref="J107">
    <cfRule type="expression" dxfId="155" priority="108">
      <formula>ISTEXT($J$107)</formula>
    </cfRule>
  </conditionalFormatting>
  <conditionalFormatting sqref="K107">
    <cfRule type="expression" dxfId="154" priority="107">
      <formula>ISTEXT($K$107)</formula>
    </cfRule>
  </conditionalFormatting>
  <conditionalFormatting sqref="J108">
    <cfRule type="expression" dxfId="153" priority="106">
      <formula>ISTEXT($J$108)</formula>
    </cfRule>
  </conditionalFormatting>
  <conditionalFormatting sqref="K108">
    <cfRule type="expression" dxfId="152" priority="105">
      <formula>ISTEXT($K$108)</formula>
    </cfRule>
  </conditionalFormatting>
  <conditionalFormatting sqref="J106">
    <cfRule type="expression" dxfId="151" priority="104">
      <formula>ISTEXT($J$106)</formula>
    </cfRule>
  </conditionalFormatting>
  <conditionalFormatting sqref="K106">
    <cfRule type="expression" dxfId="150" priority="103">
      <formula>ISTEXT($K$106)</formula>
    </cfRule>
  </conditionalFormatting>
  <conditionalFormatting sqref="J118">
    <cfRule type="expression" dxfId="149" priority="102">
      <formula>ISTEXT($J$118)</formula>
    </cfRule>
  </conditionalFormatting>
  <conditionalFormatting sqref="K118">
    <cfRule type="expression" dxfId="148" priority="101">
      <formula>ISTEXT($K$118)</formula>
    </cfRule>
  </conditionalFormatting>
  <conditionalFormatting sqref="J119">
    <cfRule type="expression" dxfId="147" priority="100">
      <formula>ISTEXT($J$119)</formula>
    </cfRule>
  </conditionalFormatting>
  <conditionalFormatting sqref="K119">
    <cfRule type="expression" dxfId="146" priority="99">
      <formula>ISTEXT($K$119)</formula>
    </cfRule>
  </conditionalFormatting>
  <conditionalFormatting sqref="J117">
    <cfRule type="expression" dxfId="145" priority="98">
      <formula>ISTEXT($J$117)</formula>
    </cfRule>
  </conditionalFormatting>
  <conditionalFormatting sqref="K117">
    <cfRule type="expression" dxfId="144" priority="97">
      <formula>ISTEXT($K$117)</formula>
    </cfRule>
  </conditionalFormatting>
  <conditionalFormatting sqref="J136">
    <cfRule type="expression" dxfId="143" priority="96">
      <formula>ISTEXT($J$136)</formula>
    </cfRule>
  </conditionalFormatting>
  <conditionalFormatting sqref="K136">
    <cfRule type="expression" dxfId="142" priority="95">
      <formula>ISTEXT($K$136)</formula>
    </cfRule>
  </conditionalFormatting>
  <conditionalFormatting sqref="J147">
    <cfRule type="expression" dxfId="141" priority="94">
      <formula>ISTEXT($J$147)</formula>
    </cfRule>
  </conditionalFormatting>
  <conditionalFormatting sqref="K147">
    <cfRule type="expression" dxfId="140" priority="93">
      <formula>ISTEXT($K$147)</formula>
    </cfRule>
  </conditionalFormatting>
  <conditionalFormatting sqref="J133">
    <cfRule type="expression" dxfId="139" priority="92">
      <formula>ISTEXT($J$133)</formula>
    </cfRule>
  </conditionalFormatting>
  <conditionalFormatting sqref="K133">
    <cfRule type="expression" dxfId="138" priority="91">
      <formula>ISTEXT($K$133)</formula>
    </cfRule>
  </conditionalFormatting>
  <conditionalFormatting sqref="J134">
    <cfRule type="expression" dxfId="137" priority="90">
      <formula>ISTEXT($J$134)</formula>
    </cfRule>
  </conditionalFormatting>
  <conditionalFormatting sqref="K134">
    <cfRule type="expression" dxfId="136" priority="89">
      <formula>ISTEXT($K$134)</formula>
    </cfRule>
  </conditionalFormatting>
  <conditionalFormatting sqref="J132">
    <cfRule type="expression" dxfId="135" priority="88">
      <formula>ISTEXT($J$132)</formula>
    </cfRule>
  </conditionalFormatting>
  <conditionalFormatting sqref="K132">
    <cfRule type="expression" dxfId="134" priority="87">
      <formula>ISTEXT($K$132)</formula>
    </cfRule>
  </conditionalFormatting>
  <conditionalFormatting sqref="J144">
    <cfRule type="expression" dxfId="133" priority="86">
      <formula>ISTEXT($J$144)</formula>
    </cfRule>
  </conditionalFormatting>
  <conditionalFormatting sqref="K144">
    <cfRule type="expression" dxfId="132" priority="85">
      <formula>ISTEXT($K$144)</formula>
    </cfRule>
  </conditionalFormatting>
  <conditionalFormatting sqref="J145">
    <cfRule type="expression" dxfId="131" priority="84">
      <formula>ISTEXT($J$145)</formula>
    </cfRule>
  </conditionalFormatting>
  <conditionalFormatting sqref="K145">
    <cfRule type="expression" dxfId="130" priority="83">
      <formula>ISTEXT($K$145)</formula>
    </cfRule>
  </conditionalFormatting>
  <conditionalFormatting sqref="J143">
    <cfRule type="expression" dxfId="129" priority="82">
      <formula>ISTEXT($J$143)</formula>
    </cfRule>
  </conditionalFormatting>
  <conditionalFormatting sqref="K143">
    <cfRule type="expression" dxfId="128" priority="81">
      <formula>ISTEXT($K$143)</formula>
    </cfRule>
  </conditionalFormatting>
  <conditionalFormatting sqref="J162">
    <cfRule type="expression" dxfId="127" priority="80">
      <formula>ISTEXT($J$162)</formula>
    </cfRule>
  </conditionalFormatting>
  <conditionalFormatting sqref="K162">
    <cfRule type="expression" dxfId="126" priority="79">
      <formula>ISTEXT($K$162)</formula>
    </cfRule>
  </conditionalFormatting>
  <conditionalFormatting sqref="J173">
    <cfRule type="expression" dxfId="125" priority="78">
      <formula>ISTEXT($J$173)</formula>
    </cfRule>
  </conditionalFormatting>
  <conditionalFormatting sqref="K173">
    <cfRule type="expression" dxfId="124" priority="77">
      <formula>ISTEXT($K$173)</formula>
    </cfRule>
  </conditionalFormatting>
  <conditionalFormatting sqref="J159">
    <cfRule type="expression" dxfId="123" priority="76">
      <formula>ISTEXT($J$159)</formula>
    </cfRule>
  </conditionalFormatting>
  <conditionalFormatting sqref="K159">
    <cfRule type="expression" dxfId="122" priority="75">
      <formula>ISTEXT($K$159)</formula>
    </cfRule>
  </conditionalFormatting>
  <conditionalFormatting sqref="J160">
    <cfRule type="expression" dxfId="121" priority="74">
      <formula>ISTEXT($J$160)</formula>
    </cfRule>
  </conditionalFormatting>
  <conditionalFormatting sqref="K160">
    <cfRule type="expression" dxfId="120" priority="73">
      <formula>ISTEXT($K$160)</formula>
    </cfRule>
  </conditionalFormatting>
  <conditionalFormatting sqref="J158">
    <cfRule type="expression" dxfId="119" priority="72">
      <formula>ISTEXT($J$158)</formula>
    </cfRule>
  </conditionalFormatting>
  <conditionalFormatting sqref="K158">
    <cfRule type="expression" dxfId="118" priority="71">
      <formula>ISTEXT($K$158)</formula>
    </cfRule>
  </conditionalFormatting>
  <conditionalFormatting sqref="J170">
    <cfRule type="expression" dxfId="117" priority="70">
      <formula>ISTEXT($J$170)</formula>
    </cfRule>
  </conditionalFormatting>
  <conditionalFormatting sqref="K170">
    <cfRule type="expression" dxfId="116" priority="69">
      <formula>ISTEXT($K$170)</formula>
    </cfRule>
  </conditionalFormatting>
  <conditionalFormatting sqref="J171">
    <cfRule type="expression" dxfId="115" priority="68">
      <formula>ISTEXT($J$171)</formula>
    </cfRule>
  </conditionalFormatting>
  <conditionalFormatting sqref="K171">
    <cfRule type="expression" dxfId="114" priority="67">
      <formula>ISTEXT($K$171)</formula>
    </cfRule>
  </conditionalFormatting>
  <conditionalFormatting sqref="J169">
    <cfRule type="expression" dxfId="113" priority="66">
      <formula>ISTEXT($J$169)</formula>
    </cfRule>
  </conditionalFormatting>
  <conditionalFormatting sqref="K169">
    <cfRule type="expression" dxfId="112" priority="65">
      <formula>ISTEXT($K$169)</formula>
    </cfRule>
  </conditionalFormatting>
  <conditionalFormatting sqref="J188">
    <cfRule type="expression" dxfId="111" priority="64">
      <formula>ISTEXT($J$188)</formula>
    </cfRule>
  </conditionalFormatting>
  <conditionalFormatting sqref="K188">
    <cfRule type="expression" dxfId="110" priority="63">
      <formula>ISTEXT($K$188)</formula>
    </cfRule>
  </conditionalFormatting>
  <conditionalFormatting sqref="J199">
    <cfRule type="expression" dxfId="109" priority="62">
      <formula>ISTEXT($J$199)</formula>
    </cfRule>
  </conditionalFormatting>
  <conditionalFormatting sqref="K199">
    <cfRule type="expression" dxfId="108" priority="61">
      <formula>ISTEXT($K$199)</formula>
    </cfRule>
  </conditionalFormatting>
  <conditionalFormatting sqref="J185">
    <cfRule type="expression" dxfId="107" priority="60">
      <formula>ISTEXT($J$185)</formula>
    </cfRule>
  </conditionalFormatting>
  <conditionalFormatting sqref="K185">
    <cfRule type="expression" dxfId="106" priority="59">
      <formula>ISTEXT($K$185)</formula>
    </cfRule>
  </conditionalFormatting>
  <conditionalFormatting sqref="J186">
    <cfRule type="expression" dxfId="105" priority="58">
      <formula>ISTEXT($J$186)</formula>
    </cfRule>
  </conditionalFormatting>
  <conditionalFormatting sqref="K186">
    <cfRule type="expression" dxfId="104" priority="57">
      <formula>ISTEXT($K$186)</formula>
    </cfRule>
  </conditionalFormatting>
  <conditionalFormatting sqref="J184">
    <cfRule type="expression" dxfId="103" priority="56">
      <formula>ISTEXT($J$184)</formula>
    </cfRule>
  </conditionalFormatting>
  <conditionalFormatting sqref="K184">
    <cfRule type="expression" dxfId="102" priority="55">
      <formula>ISTEXT($K$184)</formula>
    </cfRule>
  </conditionalFormatting>
  <conditionalFormatting sqref="J196">
    <cfRule type="expression" dxfId="101" priority="54">
      <formula>ISTEXT($J$196)</formula>
    </cfRule>
  </conditionalFormatting>
  <conditionalFormatting sqref="K196">
    <cfRule type="expression" dxfId="100" priority="53">
      <formula>ISTEXT($K$196)</formula>
    </cfRule>
  </conditionalFormatting>
  <conditionalFormatting sqref="J197">
    <cfRule type="expression" dxfId="99" priority="52">
      <formula>ISTEXT($J$197)</formula>
    </cfRule>
  </conditionalFormatting>
  <conditionalFormatting sqref="K197">
    <cfRule type="expression" dxfId="98" priority="51">
      <formula>ISTEXT($K$197)</formula>
    </cfRule>
  </conditionalFormatting>
  <conditionalFormatting sqref="J195">
    <cfRule type="expression" dxfId="97" priority="50">
      <formula>ISTEXT($J$195)</formula>
    </cfRule>
  </conditionalFormatting>
  <conditionalFormatting sqref="K195">
    <cfRule type="expression" dxfId="96" priority="49">
      <formula>ISTEXT($K$195)</formula>
    </cfRule>
  </conditionalFormatting>
  <conditionalFormatting sqref="J214">
    <cfRule type="expression" dxfId="95" priority="48">
      <formula>ISTEXT($J$214)</formula>
    </cfRule>
  </conditionalFormatting>
  <conditionalFormatting sqref="K214">
    <cfRule type="expression" dxfId="94" priority="47">
      <formula>ISTEXT($K$214)</formula>
    </cfRule>
  </conditionalFormatting>
  <conditionalFormatting sqref="J225">
    <cfRule type="expression" dxfId="93" priority="46">
      <formula>ISTEXT($J$225)</formula>
    </cfRule>
  </conditionalFormatting>
  <conditionalFormatting sqref="K225">
    <cfRule type="expression" dxfId="92" priority="45">
      <formula>ISTEXT($K$225)</formula>
    </cfRule>
  </conditionalFormatting>
  <conditionalFormatting sqref="J211">
    <cfRule type="expression" dxfId="91" priority="44">
      <formula>ISTEXT($J$211)</formula>
    </cfRule>
  </conditionalFormatting>
  <conditionalFormatting sqref="K211">
    <cfRule type="expression" dxfId="90" priority="43">
      <formula>ISTEXT($K$211)</formula>
    </cfRule>
  </conditionalFormatting>
  <conditionalFormatting sqref="J212">
    <cfRule type="expression" dxfId="89" priority="42">
      <formula>ISTEXT($J$212)</formula>
    </cfRule>
  </conditionalFormatting>
  <conditionalFormatting sqref="K212">
    <cfRule type="expression" dxfId="88" priority="41">
      <formula>ISTEXT($K$212)</formula>
    </cfRule>
  </conditionalFormatting>
  <conditionalFormatting sqref="J210">
    <cfRule type="expression" dxfId="87" priority="40">
      <formula>ISTEXT($J$210)</formula>
    </cfRule>
  </conditionalFormatting>
  <conditionalFormatting sqref="K210">
    <cfRule type="expression" dxfId="86" priority="39">
      <formula>ISTEXT($K$210)</formula>
    </cfRule>
  </conditionalFormatting>
  <conditionalFormatting sqref="J222">
    <cfRule type="expression" dxfId="85" priority="38">
      <formula>ISTEXT($J$222)</formula>
    </cfRule>
  </conditionalFormatting>
  <conditionalFormatting sqref="K222">
    <cfRule type="expression" dxfId="84" priority="37">
      <formula>ISTEXT($K$222)</formula>
    </cfRule>
  </conditionalFormatting>
  <conditionalFormatting sqref="J223">
    <cfRule type="expression" dxfId="83" priority="36">
      <formula>ISTEXT($J$223)</formula>
    </cfRule>
  </conditionalFormatting>
  <conditionalFormatting sqref="K223">
    <cfRule type="expression" dxfId="82" priority="35">
      <formula>ISTEXT($K$223)</formula>
    </cfRule>
  </conditionalFormatting>
  <conditionalFormatting sqref="J221">
    <cfRule type="expression" dxfId="81" priority="34">
      <formula>ISTEXT($J$221)</formula>
    </cfRule>
  </conditionalFormatting>
  <conditionalFormatting sqref="K221">
    <cfRule type="expression" dxfId="80" priority="33">
      <formula>ISTEXT($K$221)</formula>
    </cfRule>
  </conditionalFormatting>
  <conditionalFormatting sqref="J240">
    <cfRule type="expression" dxfId="79" priority="32">
      <formula>ISTEXT($J$240)</formula>
    </cfRule>
  </conditionalFormatting>
  <conditionalFormatting sqref="K240">
    <cfRule type="expression" dxfId="78" priority="31">
      <formula>ISTEXT($K$240)</formula>
    </cfRule>
  </conditionalFormatting>
  <conditionalFormatting sqref="J251">
    <cfRule type="expression" dxfId="77" priority="30">
      <formula>ISTEXT($J$251)</formula>
    </cfRule>
  </conditionalFormatting>
  <conditionalFormatting sqref="K251">
    <cfRule type="expression" dxfId="76" priority="29">
      <formula>ISTEXT($K$251)</formula>
    </cfRule>
  </conditionalFormatting>
  <conditionalFormatting sqref="J237">
    <cfRule type="expression" dxfId="75" priority="28">
      <formula>ISTEXT($J$237)</formula>
    </cfRule>
  </conditionalFormatting>
  <conditionalFormatting sqref="K237">
    <cfRule type="expression" dxfId="74" priority="27">
      <formula>ISTEXT($K$237)</formula>
    </cfRule>
  </conditionalFormatting>
  <conditionalFormatting sqref="J238">
    <cfRule type="expression" dxfId="73" priority="26">
      <formula>ISTEXT($J$238)</formula>
    </cfRule>
  </conditionalFormatting>
  <conditionalFormatting sqref="K238">
    <cfRule type="expression" dxfId="72" priority="25">
      <formula>ISTEXT($K$238)</formula>
    </cfRule>
  </conditionalFormatting>
  <conditionalFormatting sqref="J236">
    <cfRule type="expression" dxfId="71" priority="24">
      <formula>ISTEXT($J$236)</formula>
    </cfRule>
  </conditionalFormatting>
  <conditionalFormatting sqref="K236">
    <cfRule type="expression" dxfId="70" priority="23">
      <formula>ISTEXT($K$236)</formula>
    </cfRule>
  </conditionalFormatting>
  <conditionalFormatting sqref="J248">
    <cfRule type="expression" dxfId="69" priority="22">
      <formula>ISTEXT($J$248)</formula>
    </cfRule>
  </conditionalFormatting>
  <conditionalFormatting sqref="K248">
    <cfRule type="expression" dxfId="68" priority="21">
      <formula>ISTEXT($K$248)</formula>
    </cfRule>
  </conditionalFormatting>
  <conditionalFormatting sqref="J249">
    <cfRule type="expression" dxfId="67" priority="20">
      <formula>ISTEXT($J$249)</formula>
    </cfRule>
  </conditionalFormatting>
  <conditionalFormatting sqref="K249">
    <cfRule type="expression" dxfId="66" priority="19">
      <formula>ISTEXT($K$249)</formula>
    </cfRule>
  </conditionalFormatting>
  <conditionalFormatting sqref="J247">
    <cfRule type="expression" dxfId="65" priority="18">
      <formula>ISTEXT($J$247)</formula>
    </cfRule>
  </conditionalFormatting>
  <conditionalFormatting sqref="K247">
    <cfRule type="expression" dxfId="64" priority="17">
      <formula>ISTEXT($K$247)</formula>
    </cfRule>
  </conditionalFormatting>
  <conditionalFormatting sqref="J266">
    <cfRule type="expression" dxfId="63" priority="16">
      <formula>ISTEXT($J$266)</formula>
    </cfRule>
  </conditionalFormatting>
  <conditionalFormatting sqref="K266">
    <cfRule type="expression" dxfId="62" priority="15">
      <formula>ISTEXT($K$266)</formula>
    </cfRule>
  </conditionalFormatting>
  <conditionalFormatting sqref="J277">
    <cfRule type="expression" dxfId="61" priority="14">
      <formula>ISTEXT($J$277)</formula>
    </cfRule>
  </conditionalFormatting>
  <conditionalFormatting sqref="K277">
    <cfRule type="expression" dxfId="60" priority="13">
      <formula>ISTEXT($K$277)</formula>
    </cfRule>
  </conditionalFormatting>
  <conditionalFormatting sqref="J263">
    <cfRule type="expression" dxfId="59" priority="12">
      <formula>ISTEXT($J$263)</formula>
    </cfRule>
  </conditionalFormatting>
  <conditionalFormatting sqref="K263">
    <cfRule type="expression" dxfId="58" priority="11">
      <formula>ISTEXT($K$263)</formula>
    </cfRule>
  </conditionalFormatting>
  <conditionalFormatting sqref="J264">
    <cfRule type="expression" dxfId="57" priority="10">
      <formula>ISTEXT($J$264)</formula>
    </cfRule>
  </conditionalFormatting>
  <conditionalFormatting sqref="K264">
    <cfRule type="expression" dxfId="56" priority="9">
      <formula>ISTEXT($K$264)</formula>
    </cfRule>
  </conditionalFormatting>
  <conditionalFormatting sqref="J262">
    <cfRule type="expression" dxfId="55" priority="8">
      <formula>ISTEXT($J$262)</formula>
    </cfRule>
  </conditionalFormatting>
  <conditionalFormatting sqref="K262">
    <cfRule type="expression" dxfId="54" priority="7">
      <formula>ISTEXT($K$262)</formula>
    </cfRule>
  </conditionalFormatting>
  <conditionalFormatting sqref="J274">
    <cfRule type="expression" dxfId="53" priority="6">
      <formula>ISTEXT($J$274)</formula>
    </cfRule>
  </conditionalFormatting>
  <conditionalFormatting sqref="K274">
    <cfRule type="expression" dxfId="52" priority="5">
      <formula>ISTEXT($K$274)</formula>
    </cfRule>
  </conditionalFormatting>
  <conditionalFormatting sqref="J275">
    <cfRule type="expression" dxfId="51" priority="4">
      <formula>ISTEXT($J$275)</formula>
    </cfRule>
  </conditionalFormatting>
  <conditionalFormatting sqref="K275">
    <cfRule type="expression" dxfId="50" priority="3">
      <formula>ISTEXT($K$275)</formula>
    </cfRule>
  </conditionalFormatting>
  <conditionalFormatting sqref="J273">
    <cfRule type="expression" dxfId="49" priority="2">
      <formula>ISTEXT($J$273)</formula>
    </cfRule>
  </conditionalFormatting>
  <conditionalFormatting sqref="K273">
    <cfRule type="expression" dxfId="48" priority="1">
      <formula>ISTEXT($K$273)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75"/>
  <sheetViews>
    <sheetView workbookViewId="0">
      <pane ySplit="1" topLeftCell="A8" activePane="bottomLeft" state="frozenSplit"/>
      <selection pane="bottomLeft"/>
    </sheetView>
  </sheetViews>
  <sheetFormatPr defaultRowHeight="15" x14ac:dyDescent="0.25"/>
  <cols>
    <col min="1" max="1" width="66.7109375" style="253" bestFit="1" customWidth="1"/>
    <col min="2" max="3" width="16.140625" style="253" bestFit="1" customWidth="1"/>
    <col min="4" max="4" width="11" style="253" bestFit="1" customWidth="1"/>
    <col min="5" max="5" width="23" style="253" bestFit="1" customWidth="1"/>
    <col min="6" max="7" width="8.7109375" style="253" customWidth="1"/>
    <col min="8" max="8" width="11.140625" style="253" bestFit="1" customWidth="1"/>
    <col min="9" max="9" width="8" style="253" bestFit="1" customWidth="1"/>
    <col min="10" max="10" width="8.5703125" style="253" bestFit="1" customWidth="1"/>
    <col min="11" max="11" width="8.28515625" style="253" bestFit="1" customWidth="1"/>
    <col min="12" max="12" width="4.28515625" style="253" bestFit="1" customWidth="1"/>
    <col min="13" max="13" width="8.85546875" style="253" bestFit="1" customWidth="1"/>
    <col min="14" max="14" width="8.5703125" style="253" bestFit="1" customWidth="1"/>
    <col min="15" max="15" width="8.7109375" style="253" customWidth="1"/>
    <col min="16" max="16" width="11" style="253" bestFit="1" customWidth="1"/>
    <col min="17" max="17" width="14.42578125" style="253" bestFit="1" customWidth="1"/>
    <col min="18" max="18" width="11.140625" style="253" bestFit="1" customWidth="1"/>
    <col min="19" max="21" width="6.140625" style="253" bestFit="1" customWidth="1"/>
    <col min="22" max="22" width="8.140625" style="253" bestFit="1" customWidth="1"/>
    <col min="23" max="40" width="8.7109375" style="253" customWidth="1"/>
    <col min="41" max="16384" width="9.140625" style="253"/>
  </cols>
  <sheetData>
    <row r="1" spans="1:18" s="251" customFormat="1" ht="15.75" thickBot="1" x14ac:dyDescent="0.3">
      <c r="A1" s="251" t="s">
        <v>0</v>
      </c>
      <c r="B1" s="251" t="s">
        <v>6</v>
      </c>
      <c r="C1" s="251" t="s">
        <v>9</v>
      </c>
      <c r="D1" s="251" t="s">
        <v>11</v>
      </c>
      <c r="E1" s="251" t="s">
        <v>13</v>
      </c>
      <c r="F1" s="251" t="s">
        <v>14</v>
      </c>
      <c r="H1" s="252" t="s">
        <v>190</v>
      </c>
      <c r="I1" s="251" t="s">
        <v>181</v>
      </c>
      <c r="J1" s="251" t="s">
        <v>182</v>
      </c>
      <c r="K1" s="251" t="s">
        <v>183</v>
      </c>
      <c r="L1" s="251" t="s">
        <v>184</v>
      </c>
      <c r="M1" s="251" t="s">
        <v>185</v>
      </c>
      <c r="N1" s="251" t="s">
        <v>186</v>
      </c>
    </row>
    <row r="2" spans="1:18" ht="15.75" thickTop="1" x14ac:dyDescent="0.25">
      <c r="A2" s="253" t="s">
        <v>223</v>
      </c>
      <c r="B2" s="253" t="s">
        <v>224</v>
      </c>
      <c r="C2" s="253" t="s">
        <v>225</v>
      </c>
      <c r="D2" s="253">
        <v>0.86899999999999999</v>
      </c>
      <c r="E2" s="253">
        <v>123843.094</v>
      </c>
      <c r="F2" s="253">
        <v>7.0169435527830075E-6</v>
      </c>
      <c r="H2" s="254" t="s">
        <v>191</v>
      </c>
      <c r="I2" s="255">
        <v>7.4999999999999997E-2</v>
      </c>
      <c r="J2" s="256">
        <f>($F$10 - $M$6) * $F$18</f>
        <v>4.4984236256538424</v>
      </c>
      <c r="K2" s="256">
        <f>($F$11 - $M$6) * $F$18</f>
        <v>4.4368645786239789</v>
      </c>
      <c r="L2" s="257"/>
      <c r="M2" s="258">
        <f>IFERROR(AVERAGE(J2:L2),"")</f>
        <v>4.4676441021389106</v>
      </c>
      <c r="N2" s="259">
        <f>IFERROR(STDEV(J2:L2),"")</f>
        <v>4.3528819598198064E-2</v>
      </c>
      <c r="P2" s="253" t="s">
        <v>190</v>
      </c>
      <c r="Q2" s="260">
        <f>$M$10</f>
        <v>1.1795079474672412</v>
      </c>
      <c r="R2" s="261">
        <f>$N$10</f>
        <v>3.522591944721E-2</v>
      </c>
    </row>
    <row r="3" spans="1:18" x14ac:dyDescent="0.25">
      <c r="A3" s="253" t="s">
        <v>226</v>
      </c>
      <c r="B3" s="253" t="s">
        <v>224</v>
      </c>
      <c r="C3" s="253" t="s">
        <v>225</v>
      </c>
      <c r="D3" s="253">
        <v>0.61299999999999999</v>
      </c>
      <c r="E3" s="253">
        <v>121157.031</v>
      </c>
      <c r="F3" s="253">
        <v>5.0595495361717797E-6</v>
      </c>
      <c r="H3" s="262" t="s">
        <v>192</v>
      </c>
      <c r="I3" s="263">
        <v>0.25</v>
      </c>
      <c r="J3" s="264">
        <f>($F$6 - $M$6) * $F$18</f>
        <v>1.9013725505685315E-2</v>
      </c>
      <c r="K3" s="264">
        <f>($F$7 - $M$6) * $F$18</f>
        <v>2.004473411809872E-2</v>
      </c>
      <c r="L3" s="265"/>
      <c r="M3" s="266">
        <f>IFERROR(AVERAGE(J3:L3),"")</f>
        <v>1.9529229811892018E-2</v>
      </c>
      <c r="N3" s="267">
        <f>IFERROR(STDEV(J3:L3),"")</f>
        <v>7.2903318129925124E-4</v>
      </c>
      <c r="P3" s="253" t="s">
        <v>201</v>
      </c>
      <c r="Q3" s="260">
        <f>$M$21</f>
        <v>1.1433363120159894</v>
      </c>
      <c r="R3" s="261">
        <f>$N$21</f>
        <v>5.7537497466901122E-2</v>
      </c>
    </row>
    <row r="4" spans="1:18" x14ac:dyDescent="0.25">
      <c r="A4" s="253" t="s">
        <v>227</v>
      </c>
      <c r="B4" s="253" t="s">
        <v>224</v>
      </c>
      <c r="C4" s="253" t="s">
        <v>225</v>
      </c>
      <c r="D4" s="253">
        <v>3.1E-2</v>
      </c>
      <c r="E4" s="253">
        <v>125768.352</v>
      </c>
      <c r="F4" s="253">
        <v>2.46484902656592E-7</v>
      </c>
      <c r="H4" s="262" t="s">
        <v>193</v>
      </c>
      <c r="I4" s="266">
        <v>7.4999999999999997E-2</v>
      </c>
      <c r="J4" s="268">
        <f>($F$8 - $M$6) * $F$18</f>
        <v>5.1981726100145211</v>
      </c>
      <c r="K4" s="268">
        <f>($F$9 - $M$6) * $F$18</f>
        <v>5.25337562050664</v>
      </c>
      <c r="L4" s="265"/>
      <c r="M4" s="269">
        <f>IFERROR(AVERAGE(J4:L4),"")</f>
        <v>5.225774115260581</v>
      </c>
      <c r="N4" s="270">
        <f>IFERROR(STDEV(J4:L4),"")</f>
        <v>3.9034423060889362E-2</v>
      </c>
    </row>
    <row r="5" spans="1:18" x14ac:dyDescent="0.25">
      <c r="A5" s="253" t="s">
        <v>228</v>
      </c>
      <c r="B5" s="253" t="s">
        <v>224</v>
      </c>
      <c r="C5" s="253" t="s">
        <v>225</v>
      </c>
      <c r="D5" s="253">
        <v>7.3999999999999996E-2</v>
      </c>
      <c r="E5" s="253">
        <v>139708.46900000001</v>
      </c>
      <c r="F5" s="253">
        <v>5.2967440363261004E-7</v>
      </c>
      <c r="H5" s="262" t="s">
        <v>194</v>
      </c>
      <c r="I5" s="265"/>
      <c r="J5" s="265"/>
      <c r="K5" s="265"/>
      <c r="L5" s="265"/>
      <c r="M5" s="265"/>
      <c r="N5" s="271"/>
    </row>
    <row r="6" spans="1:18" ht="15.75" thickBot="1" x14ac:dyDescent="0.3">
      <c r="A6" s="253" t="s">
        <v>229</v>
      </c>
      <c r="B6" s="253" t="s">
        <v>224</v>
      </c>
      <c r="C6" s="253" t="s">
        <v>225</v>
      </c>
      <c r="D6" s="253">
        <v>663.11400000000003</v>
      </c>
      <c r="E6" s="253">
        <v>139325.18799999999</v>
      </c>
      <c r="F6" s="253">
        <v>4.7594696229658062E-3</v>
      </c>
      <c r="H6" s="272" t="s">
        <v>195</v>
      </c>
      <c r="I6" s="273"/>
      <c r="J6" s="274">
        <f>IF($G$2&lt;&gt;"","Point Deleted",$F$2)</f>
        <v>7.0169435527830075E-6</v>
      </c>
      <c r="K6" s="274">
        <f>IF($G$3&lt;&gt;"","Point Deleted",$F$3)</f>
        <v>5.0595495361717797E-6</v>
      </c>
      <c r="L6" s="273"/>
      <c r="M6" s="274">
        <f>IFERROR(AVERAGE(J6:L6),"")</f>
        <v>6.0382465444773932E-6</v>
      </c>
      <c r="N6" s="275">
        <f>IFERROR(STDEV(J6:L6),"")</f>
        <v>1.3840865825997729E-6</v>
      </c>
    </row>
    <row r="7" spans="1:18" x14ac:dyDescent="0.25">
      <c r="A7" s="253" t="s">
        <v>230</v>
      </c>
      <c r="B7" s="253" t="s">
        <v>224</v>
      </c>
      <c r="C7" s="253" t="s">
        <v>225</v>
      </c>
      <c r="D7" s="253">
        <v>657.81899999999996</v>
      </c>
      <c r="E7" s="253">
        <v>131112.20300000001</v>
      </c>
      <c r="F7" s="253">
        <v>5.0172217760691574E-3</v>
      </c>
      <c r="H7" s="276" t="s">
        <v>196</v>
      </c>
      <c r="I7" s="277"/>
      <c r="J7" s="278">
        <f>IFERROR(IF(ISTEXT($J$3),NA(),($J$3 * $I$3) / ($F$20 * 3600)),"")</f>
        <v>6.6019880228074011E-7</v>
      </c>
      <c r="K7" s="279">
        <f>IFERROR(IF(ISTEXT($K$3),NA(),($K$3 * $I$3) / ($F$20 * 3600)),"")</f>
        <v>6.9599771243398331E-7</v>
      </c>
      <c r="L7" s="277"/>
      <c r="M7" s="279">
        <f>IFERROR(AVERAGE(J7:L7),"")</f>
        <v>6.7809825735736177E-7</v>
      </c>
      <c r="N7" s="280">
        <f>IFERROR(STDEV(J7:L7),"")</f>
        <v>2.5313652128446209E-8</v>
      </c>
    </row>
    <row r="8" spans="1:18" ht="18" x14ac:dyDescent="0.35">
      <c r="A8" s="253" t="s">
        <v>231</v>
      </c>
      <c r="B8" s="253" t="s">
        <v>224</v>
      </c>
      <c r="C8" s="253" t="s">
        <v>225</v>
      </c>
      <c r="D8" s="253">
        <v>157236.17199999999</v>
      </c>
      <c r="E8" s="253">
        <v>120992.859</v>
      </c>
      <c r="F8" s="253">
        <v>1.2995491907501748</v>
      </c>
      <c r="H8" s="262" t="s">
        <v>197</v>
      </c>
      <c r="I8" s="265"/>
      <c r="J8" s="281">
        <f>IFERROR(IF(ISTEXT($J$4),NA(),$J$4),"")</f>
        <v>5.1981726100145211</v>
      </c>
      <c r="K8" s="269">
        <f>IFERROR(IF(ISTEXT($K$4),NA(),$K$4),"")</f>
        <v>5.25337562050664</v>
      </c>
      <c r="L8" s="265"/>
      <c r="M8" s="269">
        <f>IFERROR(AVERAGE(J8:L8),"")</f>
        <v>5.225774115260581</v>
      </c>
      <c r="N8" s="270">
        <f>IFERROR(STDEV(J8:L8),"")</f>
        <v>3.9034423060889362E-2</v>
      </c>
    </row>
    <row r="9" spans="1:18" x14ac:dyDescent="0.25">
      <c r="A9" s="253" t="s">
        <v>232</v>
      </c>
      <c r="B9" s="253" t="s">
        <v>224</v>
      </c>
      <c r="C9" s="253" t="s">
        <v>225</v>
      </c>
      <c r="D9" s="253">
        <v>158274.234</v>
      </c>
      <c r="E9" s="253">
        <v>120511.852</v>
      </c>
      <c r="F9" s="253">
        <v>1.3133499433732045</v>
      </c>
      <c r="H9" s="262" t="s">
        <v>198</v>
      </c>
      <c r="I9" s="265"/>
      <c r="J9" s="282">
        <f>IFERROR(IF(OR(ISTEXT($J$2),ISTEXT($J$3),ISTEXT($J$4)),NA(),(($J$2 * $I$2) + ($J$3 * $I$3)) / $J$4 / $I$4),"")</f>
        <v>0.87757815157662677</v>
      </c>
      <c r="K9" s="283">
        <f>IFERROR(IF(OR(ISTEXT($K$2),ISTEXT($K$3),ISTEXT($K$4)),NA(),(($K$2 * $I$2) + ($K$3 * $I$3)) / $K$4 / $I$4),"")</f>
        <v>0.85729265987329162</v>
      </c>
      <c r="L9" s="265" t="str">
        <f>IFERROR(IF(OR(ISTEXT($L$2),ISTEXT($L$3),ISTEXT($L$4)),NA(),(($L$2 * $I$2) + ($L$3 * $I$3)) / $L$4 / $I$4),"")</f>
        <v/>
      </c>
      <c r="M9" s="283">
        <f>IFERROR(AVERAGE(J9:L9),"")</f>
        <v>0.86743540572495914</v>
      </c>
      <c r="N9" s="284">
        <f>IFERROR(STDEV(J9:L9),"")</f>
        <v>1.4344008743131739E-2</v>
      </c>
    </row>
    <row r="10" spans="1:18" ht="18.75" thickBot="1" x14ac:dyDescent="0.4">
      <c r="A10" s="253" t="s">
        <v>233</v>
      </c>
      <c r="B10" s="253" t="s">
        <v>224</v>
      </c>
      <c r="C10" s="253" t="s">
        <v>225</v>
      </c>
      <c r="D10" s="253">
        <v>147901.96900000001</v>
      </c>
      <c r="E10" s="253">
        <v>131513.78099999999</v>
      </c>
      <c r="F10" s="253">
        <v>1.1246119446600051</v>
      </c>
      <c r="H10" s="285" t="s">
        <v>200</v>
      </c>
      <c r="I10" s="286"/>
      <c r="J10" s="287">
        <f>IFERROR($J$7 / $J$4 / $F$19 * 1000000,"")</f>
        <v>1.154599460952588</v>
      </c>
      <c r="K10" s="288">
        <f>IFERROR($K$7 / $K$4 / $F$19 * 1000000,"")</f>
        <v>1.2044164339818946</v>
      </c>
      <c r="L10" s="286" t="str">
        <f>IFERROR($L$7 / $L$4 / $F$19 * 1000000,"")</f>
        <v/>
      </c>
      <c r="M10" s="288">
        <f>IFERROR(AVERAGE(J10:L10),"")</f>
        <v>1.1795079474672412</v>
      </c>
      <c r="N10" s="289">
        <f>IFERROR(STDEV(J10:L10),"")</f>
        <v>3.522591944721E-2</v>
      </c>
    </row>
    <row r="11" spans="1:18" ht="15.75" thickTop="1" x14ac:dyDescent="0.25">
      <c r="A11" s="253" t="s">
        <v>234</v>
      </c>
      <c r="B11" s="253" t="s">
        <v>224</v>
      </c>
      <c r="C11" s="253" t="s">
        <v>225</v>
      </c>
      <c r="D11" s="253">
        <v>140337.109</v>
      </c>
      <c r="E11" s="253">
        <v>126518.484</v>
      </c>
      <c r="F11" s="253">
        <v>1.1092221829025393</v>
      </c>
      <c r="H11" s="290"/>
    </row>
    <row r="12" spans="1:18" ht="15.75" thickBot="1" x14ac:dyDescent="0.3">
      <c r="A12" s="253" t="s">
        <v>235</v>
      </c>
      <c r="B12" s="253" t="s">
        <v>224</v>
      </c>
      <c r="C12" s="253" t="s">
        <v>225</v>
      </c>
      <c r="D12" s="253">
        <v>2440.2469999999998</v>
      </c>
      <c r="E12" s="253">
        <v>131643.484</v>
      </c>
      <c r="F12" s="253">
        <v>1.8536785307201379E-2</v>
      </c>
      <c r="H12" s="252" t="s">
        <v>201</v>
      </c>
    </row>
    <row r="13" spans="1:18" ht="15.75" thickTop="1" x14ac:dyDescent="0.25">
      <c r="A13" s="253" t="s">
        <v>236</v>
      </c>
      <c r="B13" s="253" t="s">
        <v>224</v>
      </c>
      <c r="C13" s="253" t="s">
        <v>225</v>
      </c>
      <c r="D13" s="253">
        <v>2712.1869999999999</v>
      </c>
      <c r="E13" s="253">
        <v>139967.07800000001</v>
      </c>
      <c r="F13" s="253">
        <v>1.9377321001157143E-2</v>
      </c>
      <c r="H13" s="291" t="s">
        <v>191</v>
      </c>
      <c r="I13" s="292">
        <v>0.25</v>
      </c>
      <c r="J13" s="293">
        <f>($F$16 - $M$17) * $F$18</f>
        <v>6.0695430542506941</v>
      </c>
      <c r="K13" s="293">
        <f>($F$17 - $M$17) * $F$18</f>
        <v>5.8891600820909726</v>
      </c>
      <c r="L13" s="294"/>
      <c r="M13" s="295">
        <f>IFERROR(AVERAGE(J13:L13),"")</f>
        <v>5.9793515681708334</v>
      </c>
      <c r="N13" s="296">
        <f>IFERROR(STDEV(J13:L13),"")</f>
        <v>0.12755002282472325</v>
      </c>
    </row>
    <row r="14" spans="1:18" x14ac:dyDescent="0.25">
      <c r="A14" s="253" t="s">
        <v>237</v>
      </c>
      <c r="B14" s="253" t="s">
        <v>224</v>
      </c>
      <c r="C14" s="253" t="s">
        <v>225</v>
      </c>
      <c r="D14" s="253">
        <v>173859.75</v>
      </c>
      <c r="E14" s="253">
        <v>109213.336</v>
      </c>
      <c r="F14" s="253">
        <v>1.5919278392887843</v>
      </c>
      <c r="H14" s="297" t="s">
        <v>192</v>
      </c>
      <c r="I14" s="266">
        <v>7.4999999999999997E-2</v>
      </c>
      <c r="J14" s="264">
        <f>($F$12 - $M$17) * $F$18</f>
        <v>7.4145588910192933E-2</v>
      </c>
      <c r="K14" s="264">
        <f>($F$13 - $M$17) * $F$18</f>
        <v>7.750773168601599E-2</v>
      </c>
      <c r="L14" s="265"/>
      <c r="M14" s="266">
        <f>IFERROR(AVERAGE(J14:L14),"")</f>
        <v>7.5826660298104462E-2</v>
      </c>
      <c r="N14" s="298">
        <f>IFERROR(STDEV(J14:L14),"")</f>
        <v>2.3773939561018459E-3</v>
      </c>
    </row>
    <row r="15" spans="1:18" x14ac:dyDescent="0.25">
      <c r="A15" s="253" t="s">
        <v>238</v>
      </c>
      <c r="B15" s="253" t="s">
        <v>224</v>
      </c>
      <c r="C15" s="253" t="s">
        <v>225</v>
      </c>
      <c r="D15" s="253">
        <v>171071.516</v>
      </c>
      <c r="E15" s="253">
        <v>110386.523</v>
      </c>
      <c r="F15" s="253">
        <v>1.5497500179437667</v>
      </c>
      <c r="H15" s="297" t="s">
        <v>193</v>
      </c>
      <c r="I15" s="263">
        <v>0.25</v>
      </c>
      <c r="J15" s="268">
        <f>($F$14 - $M$17) * $F$18</f>
        <v>6.367709804836525</v>
      </c>
      <c r="K15" s="268">
        <f>($F$15 - $M$17) * $F$18</f>
        <v>6.1989985194564543</v>
      </c>
      <c r="L15" s="265"/>
      <c r="M15" s="269">
        <f>IFERROR(AVERAGE(J15:L15),"")</f>
        <v>6.2833541621464892</v>
      </c>
      <c r="N15" s="299">
        <f>IFERROR(STDEV(J15:L15),"")</f>
        <v>0.11929689395494686</v>
      </c>
    </row>
    <row r="16" spans="1:18" x14ac:dyDescent="0.25">
      <c r="A16" s="253" t="s">
        <v>239</v>
      </c>
      <c r="B16" s="253" t="s">
        <v>224</v>
      </c>
      <c r="C16" s="253" t="s">
        <v>225</v>
      </c>
      <c r="D16" s="253">
        <v>160323.15599999999</v>
      </c>
      <c r="E16" s="253">
        <v>105657.45299999999</v>
      </c>
      <c r="F16" s="253">
        <v>1.5173861516423266</v>
      </c>
      <c r="H16" s="297" t="s">
        <v>194</v>
      </c>
      <c r="I16" s="265"/>
      <c r="J16" s="265"/>
      <c r="K16" s="265"/>
      <c r="L16" s="265"/>
      <c r="M16" s="265"/>
      <c r="N16" s="300"/>
    </row>
    <row r="17" spans="1:22" ht="15.75" thickBot="1" x14ac:dyDescent="0.3">
      <c r="A17" s="253" t="s">
        <v>240</v>
      </c>
      <c r="B17" s="253" t="s">
        <v>224</v>
      </c>
      <c r="C17" s="253" t="s">
        <v>225</v>
      </c>
      <c r="D17" s="253">
        <v>165146.34400000001</v>
      </c>
      <c r="E17" s="253">
        <v>112169.68</v>
      </c>
      <c r="F17" s="253">
        <v>1.4722904086023962</v>
      </c>
      <c r="H17" s="301" t="s">
        <v>195</v>
      </c>
      <c r="I17" s="302"/>
      <c r="J17" s="303">
        <f>IF($G$4&lt;&gt;"","Point Deleted",$F$4)</f>
        <v>2.46484902656592E-7</v>
      </c>
      <c r="K17" s="303">
        <f>IF($G$5&lt;&gt;"","Point Deleted",$F$5)</f>
        <v>5.2967440363261004E-7</v>
      </c>
      <c r="L17" s="302"/>
      <c r="M17" s="303">
        <f t="shared" ref="M17:M22" si="0">IFERROR(AVERAGE(J17:L17),"")</f>
        <v>3.8807965314460105E-7</v>
      </c>
      <c r="N17" s="304">
        <f t="shared" ref="N17:N22" si="1">IFERROR(STDEV(J17:L17),"")</f>
        <v>2.0024521650097676E-7</v>
      </c>
    </row>
    <row r="18" spans="1:22" ht="66.75" thickTop="1" thickBot="1" x14ac:dyDescent="0.3">
      <c r="C18" s="252"/>
      <c r="E18" s="305" t="s">
        <v>12</v>
      </c>
      <c r="F18" s="306">
        <v>4</v>
      </c>
      <c r="H18" s="307" t="s">
        <v>196</v>
      </c>
      <c r="I18" s="308"/>
      <c r="J18" s="309">
        <f>IFERROR(IF(ISTEXT($J$14),NA(),($J$14 * $I$14) / ($F$20 * 3600)),"")</f>
        <v>7.7234988448117645E-7</v>
      </c>
      <c r="K18" s="310">
        <f>IFERROR(IF(ISTEXT($K$14),NA(),($K$14 * $I$14) / ($F$20 * 3600)),"")</f>
        <v>8.0737220506266663E-7</v>
      </c>
      <c r="L18" s="308"/>
      <c r="M18" s="310">
        <f t="shared" si="0"/>
        <v>7.8986104477192154E-7</v>
      </c>
      <c r="N18" s="311">
        <f t="shared" si="1"/>
        <v>2.47645203760609E-8</v>
      </c>
      <c r="P18" s="312" t="s">
        <v>202</v>
      </c>
      <c r="Q18" s="313" t="s">
        <v>203</v>
      </c>
      <c r="R18" s="314" t="s">
        <v>176</v>
      </c>
      <c r="S18" s="314" t="s">
        <v>204</v>
      </c>
      <c r="T18" s="314" t="s">
        <v>205</v>
      </c>
      <c r="U18" s="314" t="s">
        <v>206</v>
      </c>
      <c r="V18" s="314" t="s">
        <v>198</v>
      </c>
    </row>
    <row r="19" spans="1:22" ht="18.75" thickTop="1" x14ac:dyDescent="0.35">
      <c r="C19" s="252"/>
      <c r="E19" s="315" t="s">
        <v>187</v>
      </c>
      <c r="F19" s="316">
        <v>0.11</v>
      </c>
      <c r="H19" s="297" t="s">
        <v>197</v>
      </c>
      <c r="I19" s="265"/>
      <c r="J19" s="281">
        <f>IFERROR(IF(ISTEXT($J$15),NA(),$J$15),"")</f>
        <v>6.367709804836525</v>
      </c>
      <c r="K19" s="269">
        <f>IFERROR(IF(ISTEXT($K$15),NA(),$K$15),"")</f>
        <v>6.1989985194564543</v>
      </c>
      <c r="L19" s="265"/>
      <c r="M19" s="269">
        <f t="shared" si="0"/>
        <v>6.2833541621464892</v>
      </c>
      <c r="N19" s="299">
        <f t="shared" si="1"/>
        <v>0.11929689395494686</v>
      </c>
      <c r="Q19" s="317"/>
      <c r="R19" s="317" t="s">
        <v>190</v>
      </c>
      <c r="S19" s="318">
        <f>$J$10</f>
        <v>1.154599460952588</v>
      </c>
      <c r="T19" s="318">
        <f>$K$10</f>
        <v>1.2044164339818946</v>
      </c>
      <c r="U19" s="317" t="str">
        <f>$L$10</f>
        <v/>
      </c>
      <c r="V19" s="319">
        <f>$M$9</f>
        <v>0.86743540572495914</v>
      </c>
    </row>
    <row r="20" spans="1:22" x14ac:dyDescent="0.25">
      <c r="C20" s="252"/>
      <c r="E20" s="315" t="s">
        <v>188</v>
      </c>
      <c r="F20" s="320">
        <v>2</v>
      </c>
      <c r="H20" s="297" t="s">
        <v>198</v>
      </c>
      <c r="I20" s="265"/>
      <c r="J20" s="282">
        <f>IFERROR(IF(OR(ISTEXT($J$13),ISTEXT($J$14),ISTEXT($J$15)),NA(),(($J$13 * $I$13) + ($J$14 * $I$14)) / $J$15 / $I$15),"")</f>
        <v>0.95666839690100214</v>
      </c>
      <c r="K20" s="283">
        <f>IFERROR(IF(OR(ISTEXT($K$13),ISTEXT($K$14),ISTEXT($K$15)),NA(),(($K$13 * $I$13) + ($K$14 * $I$14)) / $K$15 / $I$15),"")</f>
        <v>0.95376896494487218</v>
      </c>
      <c r="L20" s="265" t="str">
        <f>IFERROR(IF(OR(ISTEXT($L$13),ISTEXT($L$14),ISTEXT($L$15)),NA(),(($L$13 * $I$13) + ($L$14 * $I$14)) / $L$15 / $I$15),"")</f>
        <v/>
      </c>
      <c r="M20" s="283">
        <f t="shared" si="0"/>
        <v>0.95521868092293716</v>
      </c>
      <c r="N20" s="321">
        <f t="shared" si="1"/>
        <v>2.0502079977684716E-3</v>
      </c>
      <c r="P20" s="322" t="str">
        <f>$B$2</f>
        <v>Ranitidine</v>
      </c>
      <c r="Q20" s="323">
        <f>$F$21</f>
        <v>10</v>
      </c>
      <c r="R20" s="317" t="s">
        <v>201</v>
      </c>
      <c r="S20" s="318">
        <f>$J$21</f>
        <v>1.1026511573846398</v>
      </c>
      <c r="T20" s="318">
        <f>$K$21</f>
        <v>1.184021466647339</v>
      </c>
      <c r="U20" s="317" t="str">
        <f>$L$21</f>
        <v/>
      </c>
      <c r="V20" s="319">
        <f>$M$20</f>
        <v>0.95521868092293716</v>
      </c>
    </row>
    <row r="21" spans="1:22" ht="18.75" thickBot="1" x14ac:dyDescent="0.4">
      <c r="C21" s="252"/>
      <c r="E21" s="324" t="s">
        <v>189</v>
      </c>
      <c r="F21" s="325">
        <v>10</v>
      </c>
      <c r="H21" s="301" t="s">
        <v>200</v>
      </c>
      <c r="I21" s="302"/>
      <c r="J21" s="326">
        <f>IFERROR($J$18 / $J$15 / $F$19 * 1000000,"")</f>
        <v>1.1026511573846398</v>
      </c>
      <c r="K21" s="327">
        <f>IFERROR($K$18 / $K$15 / $F$19 * 1000000,"")</f>
        <v>1.184021466647339</v>
      </c>
      <c r="L21" s="302" t="str">
        <f>IFERROR($L$18 / $L$15 / $F$19 * 1000000,"")</f>
        <v/>
      </c>
      <c r="M21" s="327">
        <f t="shared" si="0"/>
        <v>1.1433363120159894</v>
      </c>
      <c r="N21" s="328">
        <f t="shared" si="1"/>
        <v>5.7537497466901122E-2</v>
      </c>
      <c r="P21" s="329"/>
      <c r="Q21" s="330"/>
      <c r="R21" s="331" t="s">
        <v>172</v>
      </c>
      <c r="S21" s="332">
        <f>$J$22</f>
        <v>0.95500751098126369</v>
      </c>
      <c r="T21" s="332">
        <f>$K$22</f>
        <v>0.983066515235824</v>
      </c>
      <c r="U21" s="331" t="str">
        <f>$L$22</f>
        <v/>
      </c>
      <c r="V21" s="331"/>
    </row>
    <row r="22" spans="1:22" ht="15.75" thickBot="1" x14ac:dyDescent="0.3">
      <c r="H22" s="333" t="s">
        <v>172</v>
      </c>
      <c r="I22" s="334"/>
      <c r="J22" s="335">
        <f>IFERROR($J$21 / $J$10,"")</f>
        <v>0.95500751098126369</v>
      </c>
      <c r="K22" s="335">
        <f>IFERROR($K$21 / $K$10,"")</f>
        <v>0.983066515235824</v>
      </c>
      <c r="L22" s="334" t="str">
        <f>IFERROR($L$21 / $L$10,"")</f>
        <v/>
      </c>
      <c r="M22" s="335">
        <f t="shared" si="0"/>
        <v>0.96903701310854384</v>
      </c>
      <c r="N22" s="336">
        <f t="shared" si="1"/>
        <v>1.9840712181741788E-2</v>
      </c>
      <c r="P22" s="337"/>
      <c r="Q22" s="338"/>
      <c r="R22" s="317"/>
      <c r="S22" s="317"/>
      <c r="T22" s="317"/>
      <c r="U22" s="317"/>
      <c r="V22" s="317"/>
    </row>
    <row r="23" spans="1:22" ht="15.75" thickTop="1" x14ac:dyDescent="0.25"/>
    <row r="27" spans="1:22" ht="15.75" thickBot="1" x14ac:dyDescent="0.3">
      <c r="H27" s="252" t="s">
        <v>190</v>
      </c>
    </row>
    <row r="28" spans="1:22" ht="15.75" thickTop="1" x14ac:dyDescent="0.25">
      <c r="A28" s="253" t="s">
        <v>223</v>
      </c>
      <c r="B28" s="253" t="s">
        <v>241</v>
      </c>
      <c r="C28" s="253" t="s">
        <v>242</v>
      </c>
      <c r="D28" s="253">
        <v>3.98</v>
      </c>
      <c r="E28" s="253">
        <v>123843.094</v>
      </c>
      <c r="F28" s="253">
        <v>3.2137439977072923E-5</v>
      </c>
      <c r="H28" s="254" t="s">
        <v>191</v>
      </c>
      <c r="I28" s="255">
        <v>7.4999999999999997E-2</v>
      </c>
      <c r="J28" s="256">
        <f>($F$36 - $M$32) * $F$44</f>
        <v>1.5206692291126627</v>
      </c>
      <c r="K28" s="256">
        <f>($F$37 - $M$32) * $F$44</f>
        <v>1.31748330700151</v>
      </c>
      <c r="L28" s="257"/>
      <c r="M28" s="258">
        <f>IFERROR(AVERAGE(J28:L28),"")</f>
        <v>1.4190762680570863</v>
      </c>
      <c r="N28" s="339">
        <f>IFERROR(STDEV(J28:L28),"")</f>
        <v>0.14367414336643775</v>
      </c>
      <c r="P28" s="253" t="s">
        <v>190</v>
      </c>
      <c r="Q28" s="340">
        <f>$M$36</f>
        <v>0.22039385257422295</v>
      </c>
      <c r="R28" s="340">
        <f>$N$36</f>
        <v>0.14310648575843257</v>
      </c>
    </row>
    <row r="29" spans="1:22" x14ac:dyDescent="0.25">
      <c r="A29" s="253" t="s">
        <v>226</v>
      </c>
      <c r="B29" s="253" t="s">
        <v>241</v>
      </c>
      <c r="C29" s="253" t="s">
        <v>242</v>
      </c>
      <c r="D29" s="253">
        <v>0.14299999999999999</v>
      </c>
      <c r="E29" s="253">
        <v>121157.031</v>
      </c>
      <c r="F29" s="253">
        <v>1.1802864333973319E-6</v>
      </c>
      <c r="H29" s="262" t="s">
        <v>192</v>
      </c>
      <c r="I29" s="263">
        <v>0.25</v>
      </c>
      <c r="J29" s="341">
        <f>($F$32 - $M$32) * $F$44</f>
        <v>8.1786207887292982E-4</v>
      </c>
      <c r="K29" s="342">
        <f>($F$33 - $M$32) * $F$44</f>
        <v>2.093085144085668E-3</v>
      </c>
      <c r="L29" s="265"/>
      <c r="M29" s="343">
        <f>IFERROR(AVERAGE(J29:L29),"")</f>
        <v>1.4554736114792989E-3</v>
      </c>
      <c r="N29" s="267">
        <f>IFERROR(STDEV(J29:L29),"")</f>
        <v>9.0171887693742212E-4</v>
      </c>
      <c r="P29" s="253" t="s">
        <v>201</v>
      </c>
      <c r="Q29" s="260">
        <f>$M$47</f>
        <v>4.2490821133365069</v>
      </c>
      <c r="R29" s="340">
        <f>$N$47</f>
        <v>0.60877680332713657</v>
      </c>
    </row>
    <row r="30" spans="1:22" x14ac:dyDescent="0.25">
      <c r="A30" s="253" t="s">
        <v>227</v>
      </c>
      <c r="B30" s="253" t="s">
        <v>241</v>
      </c>
      <c r="C30" s="253" t="s">
        <v>242</v>
      </c>
      <c r="D30" s="253">
        <v>6.4000000000000001E-2</v>
      </c>
      <c r="E30" s="253">
        <v>125768.352</v>
      </c>
      <c r="F30" s="253">
        <v>5.0887205709748034E-7</v>
      </c>
      <c r="H30" s="262" t="s">
        <v>193</v>
      </c>
      <c r="I30" s="266">
        <v>7.4999999999999997E-2</v>
      </c>
      <c r="J30" s="268">
        <f>($F$34 - $M$32) * $F$44</f>
        <v>2.1657599323394137</v>
      </c>
      <c r="K30" s="268">
        <f>($F$35 - $M$32) * $F$44</f>
        <v>2.0544963452855161</v>
      </c>
      <c r="L30" s="265"/>
      <c r="M30" s="269">
        <f>IFERROR(AVERAGE(J30:L30),"")</f>
        <v>2.1101281388124651</v>
      </c>
      <c r="N30" s="270">
        <f>IFERROR(STDEV(J30:L30),"")</f>
        <v>7.8675236904950749E-2</v>
      </c>
    </row>
    <row r="31" spans="1:22" x14ac:dyDescent="0.25">
      <c r="A31" s="253" t="s">
        <v>228</v>
      </c>
      <c r="B31" s="253" t="s">
        <v>241</v>
      </c>
      <c r="C31" s="253" t="s">
        <v>242</v>
      </c>
      <c r="D31" s="253">
        <v>0.34899999999999998</v>
      </c>
      <c r="E31" s="253">
        <v>139708.46900000001</v>
      </c>
      <c r="F31" s="253">
        <v>2.498059011726769E-6</v>
      </c>
      <c r="H31" s="262" t="s">
        <v>194</v>
      </c>
      <c r="I31" s="265"/>
      <c r="J31" s="265"/>
      <c r="K31" s="265"/>
      <c r="L31" s="265"/>
      <c r="M31" s="265"/>
      <c r="N31" s="271"/>
    </row>
    <row r="32" spans="1:22" ht="15.75" thickBot="1" x14ac:dyDescent="0.3">
      <c r="A32" s="253" t="s">
        <v>243</v>
      </c>
      <c r="B32" s="253" t="s">
        <v>241</v>
      </c>
      <c r="C32" s="253" t="s">
        <v>242</v>
      </c>
      <c r="D32" s="253">
        <v>37.17</v>
      </c>
      <c r="E32" s="253">
        <v>168095.43799999999</v>
      </c>
      <c r="F32" s="253">
        <v>2.2112438292346757E-4</v>
      </c>
      <c r="H32" s="272" t="s">
        <v>195</v>
      </c>
      <c r="I32" s="273"/>
      <c r="J32" s="274">
        <f>IF($G$28&lt;&gt;"","Point Deleted",$F$28)</f>
        <v>3.2137439977072923E-5</v>
      </c>
      <c r="K32" s="274">
        <f>IF($G$29&lt;&gt;"","Point Deleted",$F$29)</f>
        <v>1.1802864333973319E-6</v>
      </c>
      <c r="L32" s="273"/>
      <c r="M32" s="274">
        <f>IFERROR(AVERAGE(J32:L32),"")</f>
        <v>1.6658863205235127E-5</v>
      </c>
      <c r="N32" s="275">
        <f>IFERROR(STDEV(J32:L32),"")</f>
        <v>2.1890013196966169E-5</v>
      </c>
    </row>
    <row r="33" spans="1:22" x14ac:dyDescent="0.25">
      <c r="A33" s="253" t="s">
        <v>244</v>
      </c>
      <c r="B33" s="253" t="s">
        <v>241</v>
      </c>
      <c r="C33" s="253" t="s">
        <v>242</v>
      </c>
      <c r="D33" s="253">
        <v>74.399000000000001</v>
      </c>
      <c r="E33" s="253">
        <v>137793.75</v>
      </c>
      <c r="F33" s="253">
        <v>5.3993014922665218E-4</v>
      </c>
      <c r="H33" s="276" t="s">
        <v>196</v>
      </c>
      <c r="I33" s="277"/>
      <c r="J33" s="278">
        <f>IFERROR(IF(ISTEXT($J$29),NA(),($J$29 * $I$29) / ($F$46 * 3600)),"")</f>
        <v>2.8397988849754507E-8</v>
      </c>
      <c r="K33" s="279">
        <f>IFERROR(IF(ISTEXT($K$29),NA(),($K$29 * $I$29) / ($F$46 * 3600)),"")</f>
        <v>7.2676567502974584E-8</v>
      </c>
      <c r="L33" s="277"/>
      <c r="M33" s="279">
        <f>IFERROR(AVERAGE(J33:L33),"")</f>
        <v>5.0537278176364542E-8</v>
      </c>
      <c r="N33" s="280">
        <f>IFERROR(STDEV(J33:L33),"")</f>
        <v>3.130968322699382E-8</v>
      </c>
    </row>
    <row r="34" spans="1:22" ht="18" x14ac:dyDescent="0.35">
      <c r="A34" s="253" t="s">
        <v>245</v>
      </c>
      <c r="B34" s="253" t="s">
        <v>241</v>
      </c>
      <c r="C34" s="253" t="s">
        <v>242</v>
      </c>
      <c r="D34" s="253">
        <v>59693.188000000002</v>
      </c>
      <c r="E34" s="253">
        <v>110245.55499999999</v>
      </c>
      <c r="F34" s="253">
        <v>0.54145664194805865</v>
      </c>
      <c r="H34" s="262" t="s">
        <v>197</v>
      </c>
      <c r="I34" s="265"/>
      <c r="J34" s="281">
        <f>IFERROR(IF(ISTEXT($J$30),NA(),$J$30),"")</f>
        <v>2.1657599323394137</v>
      </c>
      <c r="K34" s="269">
        <f>IFERROR(IF(ISTEXT($K$30),NA(),$K$30),"")</f>
        <v>2.0544963452855161</v>
      </c>
      <c r="L34" s="265"/>
      <c r="M34" s="269">
        <f>IFERROR(AVERAGE(J34:L34),"")</f>
        <v>2.1101281388124651</v>
      </c>
      <c r="N34" s="270">
        <f>IFERROR(STDEV(J34:L34),"")</f>
        <v>7.8675236904950749E-2</v>
      </c>
    </row>
    <row r="35" spans="1:22" x14ac:dyDescent="0.25">
      <c r="A35" s="253" t="s">
        <v>246</v>
      </c>
      <c r="B35" s="253" t="s">
        <v>241</v>
      </c>
      <c r="C35" s="253" t="s">
        <v>242</v>
      </c>
      <c r="D35" s="253">
        <v>59333.957000000002</v>
      </c>
      <c r="E35" s="253">
        <v>115516.45299999999</v>
      </c>
      <c r="F35" s="253">
        <v>0.51364074518458425</v>
      </c>
      <c r="H35" s="262" t="s">
        <v>198</v>
      </c>
      <c r="I35" s="265"/>
      <c r="J35" s="282">
        <f>IFERROR(IF(OR(ISTEXT($J$28),ISTEXT($J$29),ISTEXT($J$30)),NA(),(($J$28 * $I$28) + ($J$29 * $I$29)) / $J$30 / $I$30),"")</f>
        <v>0.70339995365815799</v>
      </c>
      <c r="K35" s="283">
        <f>IFERROR(IF(OR(ISTEXT($K$28),ISTEXT($K$29),ISTEXT($K$30)),NA(),(($K$28 * $I$28) + ($K$29 * $I$29)) / $K$30 / $I$30),"")</f>
        <v>0.64466420712845496</v>
      </c>
      <c r="L35" s="265" t="str">
        <f>IFERROR(IF(OR(ISTEXT($L$28),ISTEXT($L$29),ISTEXT($L$30)),NA(),(($L$28 * $I$28) + ($L$29 * $I$29)) / $L$30 / $I$30),"")</f>
        <v/>
      </c>
      <c r="M35" s="283">
        <f>IFERROR(AVERAGE(J35:L35),"")</f>
        <v>0.67403208039330642</v>
      </c>
      <c r="N35" s="284">
        <f>IFERROR(STDEV(J35:L35),"")</f>
        <v>4.1532444669207247E-2</v>
      </c>
    </row>
    <row r="36" spans="1:22" ht="18.75" thickBot="1" x14ac:dyDescent="0.4">
      <c r="A36" s="253" t="s">
        <v>247</v>
      </c>
      <c r="B36" s="253" t="s">
        <v>241</v>
      </c>
      <c r="C36" s="253" t="s">
        <v>242</v>
      </c>
      <c r="D36" s="253">
        <v>43278.23</v>
      </c>
      <c r="E36" s="253">
        <v>113834.969</v>
      </c>
      <c r="F36" s="253">
        <v>0.3801839661413709</v>
      </c>
      <c r="H36" s="285" t="s">
        <v>200</v>
      </c>
      <c r="I36" s="286"/>
      <c r="J36" s="344">
        <f>IFERROR($J$33 / $J$30 / $F$45 * 1000000,"")</f>
        <v>0.11920228606265922</v>
      </c>
      <c r="K36" s="345">
        <f>IFERROR($K$33 / $K$30 / $F$45 * 1000000,"")</f>
        <v>0.32158541908578669</v>
      </c>
      <c r="L36" s="286" t="str">
        <f>IFERROR($L$33 / $L$30 / $F$45 * 1000000,"")</f>
        <v/>
      </c>
      <c r="M36" s="345">
        <f>IFERROR(AVERAGE(J36:L36),"")</f>
        <v>0.22039385257422295</v>
      </c>
      <c r="N36" s="346">
        <f>IFERROR(STDEV(J36:L36),"")</f>
        <v>0.14310648575843257</v>
      </c>
    </row>
    <row r="37" spans="1:22" ht="15.75" thickTop="1" x14ac:dyDescent="0.25">
      <c r="A37" s="253" t="s">
        <v>248</v>
      </c>
      <c r="B37" s="253" t="s">
        <v>241</v>
      </c>
      <c r="C37" s="253" t="s">
        <v>242</v>
      </c>
      <c r="D37" s="253">
        <v>42372.836000000003</v>
      </c>
      <c r="E37" s="253">
        <v>128641.30499999999</v>
      </c>
      <c r="F37" s="253">
        <v>0.32938748561358272</v>
      </c>
      <c r="H37" s="290"/>
    </row>
    <row r="38" spans="1:22" ht="15.75" thickBot="1" x14ac:dyDescent="0.3">
      <c r="A38" s="253" t="s">
        <v>249</v>
      </c>
      <c r="B38" s="253" t="s">
        <v>241</v>
      </c>
      <c r="C38" s="253" t="s">
        <v>242</v>
      </c>
      <c r="D38" s="253">
        <v>3045.723</v>
      </c>
      <c r="E38" s="253">
        <v>145734.43799999999</v>
      </c>
      <c r="F38" s="253">
        <v>2.0899130238523307E-2</v>
      </c>
      <c r="H38" s="252" t="s">
        <v>201</v>
      </c>
    </row>
    <row r="39" spans="1:22" ht="15.75" thickTop="1" x14ac:dyDescent="0.25">
      <c r="A39" s="253" t="s">
        <v>250</v>
      </c>
      <c r="B39" s="253" t="s">
        <v>241</v>
      </c>
      <c r="C39" s="253" t="s">
        <v>242</v>
      </c>
      <c r="D39" s="253">
        <v>3786.4290000000001</v>
      </c>
      <c r="E39" s="253">
        <v>147845.65599999999</v>
      </c>
      <c r="F39" s="253">
        <v>2.5610688216635872E-2</v>
      </c>
      <c r="H39" s="291" t="s">
        <v>191</v>
      </c>
      <c r="I39" s="292">
        <v>0.25</v>
      </c>
      <c r="J39" s="293">
        <f>($F$42 - $M$43) * $F$44</f>
        <v>1.5952016954964257</v>
      </c>
      <c r="K39" s="293">
        <f>($F$43 - $M$43) * $F$44</f>
        <v>1.7522005213669756</v>
      </c>
      <c r="L39" s="294"/>
      <c r="M39" s="295">
        <f>IFERROR(AVERAGE(J39:L39),"")</f>
        <v>1.6737011084317006</v>
      </c>
      <c r="N39" s="296">
        <f>IFERROR(STDEV(J39:L39),"")</f>
        <v>0.11101493441139182</v>
      </c>
    </row>
    <row r="40" spans="1:22" x14ac:dyDescent="0.25">
      <c r="A40" s="253" t="s">
        <v>251</v>
      </c>
      <c r="B40" s="253" t="s">
        <v>241</v>
      </c>
      <c r="C40" s="253" t="s">
        <v>242</v>
      </c>
      <c r="D40" s="253">
        <v>58928.718999999997</v>
      </c>
      <c r="E40" s="253">
        <v>113709.883</v>
      </c>
      <c r="F40" s="253">
        <v>0.51823744291426277</v>
      </c>
      <c r="H40" s="297" t="s">
        <v>192</v>
      </c>
      <c r="I40" s="266">
        <v>7.4999999999999997E-2</v>
      </c>
      <c r="J40" s="264">
        <f>($F$38 - $M$43) * $F$44</f>
        <v>8.3590507091955576E-2</v>
      </c>
      <c r="K40" s="347">
        <f>($F$39 - $M$43) * $F$44</f>
        <v>0.10243673900440584</v>
      </c>
      <c r="L40" s="265"/>
      <c r="M40" s="266">
        <f>IFERROR(AVERAGE(J40:L40),"")</f>
        <v>9.3013623048180699E-2</v>
      </c>
      <c r="N40" s="348">
        <f>IFERROR(STDEV(J40:L40),"")</f>
        <v>1.3326298385107975E-2</v>
      </c>
    </row>
    <row r="41" spans="1:22" x14ac:dyDescent="0.25">
      <c r="A41" s="253" t="s">
        <v>252</v>
      </c>
      <c r="B41" s="253" t="s">
        <v>241</v>
      </c>
      <c r="C41" s="253" t="s">
        <v>242</v>
      </c>
      <c r="D41" s="253">
        <v>58928.718999999997</v>
      </c>
      <c r="E41" s="253">
        <v>113709.883</v>
      </c>
      <c r="F41" s="253">
        <v>0.51823744291426277</v>
      </c>
      <c r="H41" s="297" t="s">
        <v>193</v>
      </c>
      <c r="I41" s="263">
        <v>0.25</v>
      </c>
      <c r="J41" s="268">
        <f>($F$40 - $M$43) * $F$44</f>
        <v>2.0729437577949135</v>
      </c>
      <c r="K41" s="268">
        <f>($F$41 - $M$43) * $F$44</f>
        <v>2.0729437577949135</v>
      </c>
      <c r="L41" s="265"/>
      <c r="M41" s="269">
        <f>IFERROR(AVERAGE(J41:L41),"")</f>
        <v>2.0729437577949135</v>
      </c>
      <c r="N41" s="349">
        <f>IFERROR(STDEV(J41:L41),"")</f>
        <v>0</v>
      </c>
    </row>
    <row r="42" spans="1:22" x14ac:dyDescent="0.25">
      <c r="A42" s="253" t="s">
        <v>253</v>
      </c>
      <c r="B42" s="253" t="s">
        <v>241</v>
      </c>
      <c r="C42" s="253" t="s">
        <v>242</v>
      </c>
      <c r="D42" s="253">
        <v>44632.949000000001</v>
      </c>
      <c r="E42" s="253">
        <v>111917.586</v>
      </c>
      <c r="F42" s="253">
        <v>0.39880192733964082</v>
      </c>
      <c r="H42" s="297" t="s">
        <v>194</v>
      </c>
      <c r="I42" s="265"/>
      <c r="J42" s="265"/>
      <c r="K42" s="265"/>
      <c r="L42" s="265"/>
      <c r="M42" s="265"/>
      <c r="N42" s="300"/>
    </row>
    <row r="43" spans="1:22" ht="15.75" thickBot="1" x14ac:dyDescent="0.3">
      <c r="A43" s="253" t="s">
        <v>254</v>
      </c>
      <c r="B43" s="253" t="s">
        <v>241</v>
      </c>
      <c r="C43" s="253" t="s">
        <v>242</v>
      </c>
      <c r="D43" s="253">
        <v>48150.516000000003</v>
      </c>
      <c r="E43" s="253">
        <v>109919.727</v>
      </c>
      <c r="F43" s="253">
        <v>0.4380516338072783</v>
      </c>
      <c r="H43" s="301" t="s">
        <v>195</v>
      </c>
      <c r="I43" s="302"/>
      <c r="J43" s="303">
        <f>IF($G$30&lt;&gt;"","Point Deleted",$F$30)</f>
        <v>5.0887205709748034E-7</v>
      </c>
      <c r="K43" s="303">
        <f>IF($G$31&lt;&gt;"","Point Deleted",$F$31)</f>
        <v>2.498059011726769E-6</v>
      </c>
      <c r="L43" s="302"/>
      <c r="M43" s="303">
        <f t="shared" ref="M43:M48" si="2">IFERROR(AVERAGE(J43:L43),"")</f>
        <v>1.5034655344121247E-6</v>
      </c>
      <c r="N43" s="304">
        <f t="shared" ref="N43:N48" si="3">IFERROR(STDEV(J43:L43),"")</f>
        <v>1.4065675846661873E-6</v>
      </c>
    </row>
    <row r="44" spans="1:22" ht="66.75" thickTop="1" thickBot="1" x14ac:dyDescent="0.3">
      <c r="C44" s="252"/>
      <c r="E44" s="305" t="s">
        <v>12</v>
      </c>
      <c r="F44" s="306">
        <v>4</v>
      </c>
      <c r="H44" s="307" t="s">
        <v>196</v>
      </c>
      <c r="I44" s="308"/>
      <c r="J44" s="309">
        <f>IFERROR(IF(ISTEXT($J$40),NA(),($J$40 * $I$40) / ($F$46 * 3600)),"")</f>
        <v>8.7073444887453728E-7</v>
      </c>
      <c r="K44" s="310">
        <f>IFERROR(IF(ISTEXT($K$40),NA(),($K$40 * $I$40) / ($F$46 * 3600)),"")</f>
        <v>1.0670493646292274E-6</v>
      </c>
      <c r="L44" s="308"/>
      <c r="M44" s="310">
        <f t="shared" si="2"/>
        <v>9.6889190675188237E-7</v>
      </c>
      <c r="N44" s="311">
        <f t="shared" si="3"/>
        <v>1.3881560817820715E-7</v>
      </c>
      <c r="P44" s="312" t="s">
        <v>202</v>
      </c>
      <c r="Q44" s="313" t="s">
        <v>203</v>
      </c>
      <c r="R44" s="314" t="s">
        <v>176</v>
      </c>
      <c r="S44" s="314" t="s">
        <v>204</v>
      </c>
      <c r="T44" s="314" t="s">
        <v>205</v>
      </c>
      <c r="U44" s="314" t="s">
        <v>206</v>
      </c>
      <c r="V44" s="314" t="s">
        <v>198</v>
      </c>
    </row>
    <row r="45" spans="1:22" ht="18.75" thickTop="1" x14ac:dyDescent="0.35">
      <c r="C45" s="252"/>
      <c r="E45" s="315" t="s">
        <v>187</v>
      </c>
      <c r="F45" s="316">
        <v>0.11</v>
      </c>
      <c r="H45" s="297" t="s">
        <v>197</v>
      </c>
      <c r="I45" s="265"/>
      <c r="J45" s="281">
        <f>IFERROR(IF(ISTEXT($J$41),NA(),$J$41),"")</f>
        <v>2.0729437577949135</v>
      </c>
      <c r="K45" s="269">
        <f>IFERROR(IF(ISTEXT($K$41),NA(),$K$41),"")</f>
        <v>2.0729437577949135</v>
      </c>
      <c r="L45" s="265"/>
      <c r="M45" s="269">
        <f t="shared" si="2"/>
        <v>2.0729437577949135</v>
      </c>
      <c r="N45" s="349">
        <f t="shared" si="3"/>
        <v>0</v>
      </c>
      <c r="Q45" s="317"/>
      <c r="R45" s="317" t="s">
        <v>190</v>
      </c>
      <c r="S45" s="350">
        <f>$J$36</f>
        <v>0.11920228606265922</v>
      </c>
      <c r="T45" s="350">
        <f>$K$36</f>
        <v>0.32158541908578669</v>
      </c>
      <c r="U45" s="317" t="str">
        <f>$L$36</f>
        <v/>
      </c>
      <c r="V45" s="319">
        <f>$M$35</f>
        <v>0.67403208039330642</v>
      </c>
    </row>
    <row r="46" spans="1:22" x14ac:dyDescent="0.25">
      <c r="C46" s="252"/>
      <c r="E46" s="315" t="s">
        <v>188</v>
      </c>
      <c r="F46" s="320">
        <v>2</v>
      </c>
      <c r="H46" s="297" t="s">
        <v>198</v>
      </c>
      <c r="I46" s="265"/>
      <c r="J46" s="282">
        <f>IFERROR(IF(OR(ISTEXT($J$39),ISTEXT($J$40),ISTEXT($J$41)),NA(),(($J$39 * $I$39) + ($J$40 * $I$40)) / $J$41 / $I$41),"")</f>
        <v>0.78163184193071322</v>
      </c>
      <c r="K46" s="283">
        <f>IFERROR(IF(OR(ISTEXT($K$39),ISTEXT($K$40),ISTEXT($K$41)),NA(),(($K$39 * $I$39) + ($K$40 * $I$40)) / $K$41 / $I$41),"")</f>
        <v>0.86009643839294725</v>
      </c>
      <c r="L46" s="265" t="str">
        <f>IFERROR(IF(OR(ISTEXT($L$39),ISTEXT($L$40),ISTEXT($L$41)),NA(),(($L$39 * $I$39) + ($L$40 * $I$40)) / $L$41 / $I$41),"")</f>
        <v/>
      </c>
      <c r="M46" s="283">
        <f t="shared" si="2"/>
        <v>0.82086414016183018</v>
      </c>
      <c r="N46" s="351">
        <f t="shared" si="3"/>
        <v>5.5482848241511666E-2</v>
      </c>
      <c r="P46" s="322" t="str">
        <f>$B$28</f>
        <v>Talinolol</v>
      </c>
      <c r="Q46" s="323">
        <f>$F$47</f>
        <v>10</v>
      </c>
      <c r="R46" s="317" t="s">
        <v>201</v>
      </c>
      <c r="S46" s="318">
        <f>$J$47</f>
        <v>3.8186119074748164</v>
      </c>
      <c r="T46" s="318">
        <f>$K$47</f>
        <v>4.6795523191981969</v>
      </c>
      <c r="U46" s="317" t="str">
        <f>$L$47</f>
        <v/>
      </c>
      <c r="V46" s="319">
        <f>$M$46</f>
        <v>0.82086414016183018</v>
      </c>
    </row>
    <row r="47" spans="1:22" ht="18.75" thickBot="1" x14ac:dyDescent="0.4">
      <c r="C47" s="252"/>
      <c r="E47" s="324" t="s">
        <v>189</v>
      </c>
      <c r="F47" s="325">
        <v>10</v>
      </c>
      <c r="H47" s="301" t="s">
        <v>200</v>
      </c>
      <c r="I47" s="302"/>
      <c r="J47" s="326">
        <f>IFERROR($J$44 / $J$41 / $F$45 * 1000000,"")</f>
        <v>3.8186119074748164</v>
      </c>
      <c r="K47" s="327">
        <f>IFERROR($K$44 / $K$41 / $F$45 * 1000000,"")</f>
        <v>4.6795523191981969</v>
      </c>
      <c r="L47" s="302" t="str">
        <f>IFERROR($L$44 / $L$41 / $F$45 * 1000000,"")</f>
        <v/>
      </c>
      <c r="M47" s="327">
        <f t="shared" si="2"/>
        <v>4.2490821133365069</v>
      </c>
      <c r="N47" s="352">
        <f t="shared" si="3"/>
        <v>0.60877680332713657</v>
      </c>
      <c r="P47" s="329"/>
      <c r="Q47" s="330"/>
      <c r="R47" s="331" t="s">
        <v>172</v>
      </c>
      <c r="S47" s="353">
        <f>$J$48</f>
        <v>32.034720420274034</v>
      </c>
      <c r="T47" s="353">
        <f>$K$48</f>
        <v>14.551506509534473</v>
      </c>
      <c r="U47" s="331" t="str">
        <f>$L$48</f>
        <v/>
      </c>
      <c r="V47" s="331"/>
    </row>
    <row r="48" spans="1:22" ht="15.75" thickBot="1" x14ac:dyDescent="0.3">
      <c r="H48" s="333" t="s">
        <v>172</v>
      </c>
      <c r="I48" s="334"/>
      <c r="J48" s="354">
        <f>IFERROR($J$47 / $J$36,"")</f>
        <v>32.034720420274034</v>
      </c>
      <c r="K48" s="354">
        <f>IFERROR($K$47 / $K$36,"")</f>
        <v>14.551506509534473</v>
      </c>
      <c r="L48" s="334" t="str">
        <f>IFERROR($L$47 / $L$36,"")</f>
        <v/>
      </c>
      <c r="M48" s="354">
        <f t="shared" si="2"/>
        <v>23.293113464904252</v>
      </c>
      <c r="N48" s="355">
        <f t="shared" si="3"/>
        <v>12.362499113218922</v>
      </c>
      <c r="P48" s="337"/>
      <c r="Q48" s="338"/>
      <c r="R48" s="317"/>
      <c r="S48" s="317"/>
      <c r="T48" s="317"/>
      <c r="U48" s="317"/>
      <c r="V48" s="317"/>
    </row>
    <row r="49" spans="1:18" ht="15.75" thickTop="1" x14ac:dyDescent="0.25"/>
    <row r="53" spans="1:18" ht="15.75" thickBot="1" x14ac:dyDescent="0.3">
      <c r="H53" s="252" t="s">
        <v>190</v>
      </c>
    </row>
    <row r="54" spans="1:18" ht="15.75" thickTop="1" x14ac:dyDescent="0.25">
      <c r="A54" s="253" t="s">
        <v>223</v>
      </c>
      <c r="B54" s="253" t="s">
        <v>255</v>
      </c>
      <c r="C54" s="253" t="s">
        <v>256</v>
      </c>
      <c r="D54" s="253">
        <v>3.1040000000000001</v>
      </c>
      <c r="E54" s="253">
        <v>123843.094</v>
      </c>
      <c r="F54" s="253">
        <v>2.5063973288651849E-5</v>
      </c>
      <c r="H54" s="254" t="s">
        <v>191</v>
      </c>
      <c r="I54" s="255">
        <v>7.4999999999999997E-2</v>
      </c>
      <c r="J54" s="256">
        <f>($F$62 - $M$58) * $F$70</f>
        <v>1.3154127492717502</v>
      </c>
      <c r="K54" s="256">
        <f>($F$63 - $M$58) * $F$70</f>
        <v>1.5891717609391502</v>
      </c>
      <c r="L54" s="257"/>
      <c r="M54" s="258">
        <f>IFERROR(AVERAGE(J54:L54),"")</f>
        <v>1.4522922551054502</v>
      </c>
      <c r="N54" s="339">
        <f>IFERROR(STDEV(J54:L54),"")</f>
        <v>0.19357685356094576</v>
      </c>
      <c r="P54" s="253" t="s">
        <v>190</v>
      </c>
      <c r="Q54" s="356">
        <f>$M$62</f>
        <v>34.824974402095322</v>
      </c>
      <c r="R54" s="260">
        <f>$N$62</f>
        <v>2.1570855665706796</v>
      </c>
    </row>
    <row r="55" spans="1:18" x14ac:dyDescent="0.25">
      <c r="A55" s="253" t="s">
        <v>226</v>
      </c>
      <c r="B55" s="253" t="s">
        <v>255</v>
      </c>
      <c r="C55" s="253" t="s">
        <v>256</v>
      </c>
      <c r="D55" s="253">
        <v>2.306</v>
      </c>
      <c r="E55" s="253">
        <v>121157.031</v>
      </c>
      <c r="F55" s="253">
        <v>1.9033150457442294E-5</v>
      </c>
      <c r="H55" s="262" t="s">
        <v>192</v>
      </c>
      <c r="I55" s="263">
        <v>0.25</v>
      </c>
      <c r="J55" s="347">
        <f>($F$58 - $M$58) * $F$70</f>
        <v>0.30637918890671928</v>
      </c>
      <c r="K55" s="347">
        <f>($F$59 - $M$58) * $F$70</f>
        <v>0.27605033276684449</v>
      </c>
      <c r="L55" s="265"/>
      <c r="M55" s="263">
        <f>IFERROR(AVERAGE(J55:L55),"")</f>
        <v>0.29121476083678188</v>
      </c>
      <c r="N55" s="270">
        <f>IFERROR(STDEV(J55:L55),"")</f>
        <v>2.1445739842136723E-2</v>
      </c>
      <c r="P55" s="253" t="s">
        <v>201</v>
      </c>
      <c r="Q55" s="356">
        <f>$M$73</f>
        <v>19.214973732768481</v>
      </c>
      <c r="R55" s="260">
        <f>$N$73</f>
        <v>2.2488673013326772</v>
      </c>
    </row>
    <row r="56" spans="1:18" x14ac:dyDescent="0.25">
      <c r="A56" s="253" t="s">
        <v>227</v>
      </c>
      <c r="B56" s="253" t="s">
        <v>255</v>
      </c>
      <c r="C56" s="253" t="s">
        <v>256</v>
      </c>
      <c r="D56" s="253">
        <v>5.6420000000000003</v>
      </c>
      <c r="E56" s="253">
        <v>125768.352</v>
      </c>
      <c r="F56" s="253">
        <v>4.4860252283499749E-5</v>
      </c>
      <c r="H56" s="262" t="s">
        <v>193</v>
      </c>
      <c r="I56" s="266">
        <v>7.4999999999999997E-2</v>
      </c>
      <c r="J56" s="268">
        <f>($F$60 - $M$58) * $F$70</f>
        <v>2.6605199328638758</v>
      </c>
      <c r="K56" s="268">
        <f>($F$61 - $M$58) * $F$70</f>
        <v>2.6167545162592725</v>
      </c>
      <c r="L56" s="265"/>
      <c r="M56" s="269">
        <f>IFERROR(AVERAGE(J56:L56),"")</f>
        <v>2.6386372245615739</v>
      </c>
      <c r="N56" s="270">
        <f>IFERROR(STDEV(J56:L56),"")</f>
        <v>3.0946822862569331E-2</v>
      </c>
    </row>
    <row r="57" spans="1:18" x14ac:dyDescent="0.25">
      <c r="A57" s="253" t="s">
        <v>228</v>
      </c>
      <c r="B57" s="253" t="s">
        <v>255</v>
      </c>
      <c r="C57" s="253" t="s">
        <v>256</v>
      </c>
      <c r="D57" s="253">
        <v>3.0529999999999999</v>
      </c>
      <c r="E57" s="253">
        <v>139708.46900000001</v>
      </c>
      <c r="F57" s="253">
        <v>2.185264803095079E-5</v>
      </c>
      <c r="H57" s="262" t="s">
        <v>194</v>
      </c>
      <c r="I57" s="265"/>
      <c r="J57" s="265"/>
      <c r="K57" s="265"/>
      <c r="L57" s="265"/>
      <c r="M57" s="265"/>
      <c r="N57" s="271"/>
    </row>
    <row r="58" spans="1:18" ht="15.75" thickBot="1" x14ac:dyDescent="0.3">
      <c r="A58" s="253" t="s">
        <v>257</v>
      </c>
      <c r="B58" s="253" t="s">
        <v>255</v>
      </c>
      <c r="C58" s="253" t="s">
        <v>256</v>
      </c>
      <c r="D58" s="253">
        <v>10690.722</v>
      </c>
      <c r="E58" s="253">
        <v>139534.875</v>
      </c>
      <c r="F58" s="253">
        <v>7.6616845788552865E-2</v>
      </c>
      <c r="H58" s="272" t="s">
        <v>195</v>
      </c>
      <c r="I58" s="273"/>
      <c r="J58" s="274">
        <f>IF($G$54&lt;&gt;"","Point Deleted",$F$54)</f>
        <v>2.5063973288651849E-5</v>
      </c>
      <c r="K58" s="274">
        <f>IF($G$55&lt;&gt;"","Point Deleted",$F$55)</f>
        <v>1.9033150457442294E-5</v>
      </c>
      <c r="L58" s="273"/>
      <c r="M58" s="274">
        <f>IFERROR(AVERAGE(J58:L58),"")</f>
        <v>2.2048561873047072E-5</v>
      </c>
      <c r="N58" s="275">
        <f>IFERROR(STDEV(J58:L58),"")</f>
        <v>4.2644357200829298E-6</v>
      </c>
    </row>
    <row r="59" spans="1:18" x14ac:dyDescent="0.25">
      <c r="A59" s="253" t="s">
        <v>258</v>
      </c>
      <c r="B59" s="253" t="s">
        <v>255</v>
      </c>
      <c r="C59" s="253" t="s">
        <v>256</v>
      </c>
      <c r="D59" s="253">
        <v>9465.9089999999997</v>
      </c>
      <c r="E59" s="253">
        <v>137118.266</v>
      </c>
      <c r="F59" s="253">
        <v>6.9034631753584166E-2</v>
      </c>
      <c r="H59" s="276" t="s">
        <v>196</v>
      </c>
      <c r="I59" s="277"/>
      <c r="J59" s="278">
        <f>IFERROR(IF(ISTEXT($J$55),NA(),($J$55 * $I$55) / ($F$72 * 3600)),"")</f>
        <v>1.0638166281483309E-5</v>
      </c>
      <c r="K59" s="279">
        <f>IFERROR(IF(ISTEXT($K$55),NA(),($K$55 * $I$55) / ($F$72 * 3600)),"")</f>
        <v>9.5850809988487675E-6</v>
      </c>
      <c r="L59" s="277"/>
      <c r="M59" s="279">
        <f>IFERROR(AVERAGE(J59:L59),"")</f>
        <v>1.0111623640166037E-5</v>
      </c>
      <c r="N59" s="280">
        <f>IFERROR(STDEV(J59:L59),"")</f>
        <v>7.4464374451863595E-7</v>
      </c>
    </row>
    <row r="60" spans="1:18" ht="18" x14ac:dyDescent="0.35">
      <c r="A60" s="253" t="s">
        <v>259</v>
      </c>
      <c r="B60" s="253" t="s">
        <v>255</v>
      </c>
      <c r="C60" s="253" t="s">
        <v>256</v>
      </c>
      <c r="D60" s="253">
        <v>82257.054999999993</v>
      </c>
      <c r="E60" s="253">
        <v>123666.54700000001</v>
      </c>
      <c r="F60" s="253">
        <v>0.66515203177784199</v>
      </c>
      <c r="H60" s="262" t="s">
        <v>197</v>
      </c>
      <c r="I60" s="265"/>
      <c r="J60" s="281">
        <f>IFERROR(IF(ISTEXT($J$56),NA(),$J$56),"")</f>
        <v>2.6605199328638758</v>
      </c>
      <c r="K60" s="269">
        <f>IFERROR(IF(ISTEXT($K$56),NA(),$K$56),"")</f>
        <v>2.6167545162592725</v>
      </c>
      <c r="L60" s="265"/>
      <c r="M60" s="269">
        <f>IFERROR(AVERAGE(J60:L60),"")</f>
        <v>2.6386372245615739</v>
      </c>
      <c r="N60" s="270">
        <f>IFERROR(STDEV(J60:L60),"")</f>
        <v>3.0946822862569331E-2</v>
      </c>
    </row>
    <row r="61" spans="1:18" x14ac:dyDescent="0.25">
      <c r="A61" s="253" t="s">
        <v>260</v>
      </c>
      <c r="B61" s="253" t="s">
        <v>255</v>
      </c>
      <c r="C61" s="253" t="s">
        <v>256</v>
      </c>
      <c r="D61" s="253">
        <v>81304.516000000003</v>
      </c>
      <c r="E61" s="253">
        <v>124278.79700000001</v>
      </c>
      <c r="F61" s="253">
        <v>0.65421067762669116</v>
      </c>
      <c r="H61" s="262" t="s">
        <v>198</v>
      </c>
      <c r="I61" s="265"/>
      <c r="J61" s="282">
        <f>IFERROR(IF(OR(ISTEXT($J$54),ISTEXT($J$55),ISTEXT($J$56)),NA(),(($J$54 * $I$54) + ($J$55 * $I$55)) / $J$56 / $I$56),"")</f>
        <v>0.87827822052017779</v>
      </c>
      <c r="K61" s="283">
        <f>IFERROR(IF(OR(ISTEXT($K$54),ISTEXT($K$55),ISTEXT($K$56)),NA(),(($K$54 * $I$54) + ($K$55 * $I$55)) / $K$56 / $I$56),"")</f>
        <v>0.95895106752918002</v>
      </c>
      <c r="L61" s="265" t="str">
        <f>IFERROR(IF(OR(ISTEXT($L$54),ISTEXT($L$55),ISTEXT($L$56)),NA(),(($L$54 * $I$54) + ($L$55 * $I$55)) / $L$56 / $I$56),"")</f>
        <v/>
      </c>
      <c r="M61" s="283">
        <f>IFERROR(AVERAGE(J61:L61),"")</f>
        <v>0.91861464402467896</v>
      </c>
      <c r="N61" s="284">
        <f>IFERROR(STDEV(J61:L61),"")</f>
        <v>5.7044317177690373E-2</v>
      </c>
    </row>
    <row r="62" spans="1:18" ht="18.75" thickBot="1" x14ac:dyDescent="0.4">
      <c r="A62" s="253" t="s">
        <v>261</v>
      </c>
      <c r="B62" s="253" t="s">
        <v>255</v>
      </c>
      <c r="C62" s="253" t="s">
        <v>256</v>
      </c>
      <c r="D62" s="253">
        <v>40888.449000000001</v>
      </c>
      <c r="E62" s="253">
        <v>124328.148</v>
      </c>
      <c r="F62" s="253">
        <v>0.3288752358798106</v>
      </c>
      <c r="H62" s="285" t="s">
        <v>200</v>
      </c>
      <c r="I62" s="286"/>
      <c r="J62" s="357">
        <f>IFERROR($J$59 / $J$56 / $F$71 * 1000000,"")</f>
        <v>36.350264233817079</v>
      </c>
      <c r="K62" s="358">
        <f>IFERROR($K$59 / $K$56 / $F$71 * 1000000,"")</f>
        <v>33.299684570373572</v>
      </c>
      <c r="L62" s="286" t="str">
        <f>IFERROR($L$59 / $L$56 / $F$71 * 1000000,"")</f>
        <v/>
      </c>
      <c r="M62" s="358">
        <f>IFERROR(AVERAGE(J62:L62),"")</f>
        <v>34.824974402095322</v>
      </c>
      <c r="N62" s="359">
        <f>IFERROR(STDEV(J62:L62),"")</f>
        <v>2.1570855665706796</v>
      </c>
    </row>
    <row r="63" spans="1:18" ht="15.75" thickTop="1" x14ac:dyDescent="0.25">
      <c r="A63" s="253" t="s">
        <v>262</v>
      </c>
      <c r="B63" s="253" t="s">
        <v>255</v>
      </c>
      <c r="C63" s="253" t="s">
        <v>256</v>
      </c>
      <c r="D63" s="253">
        <v>39959.57</v>
      </c>
      <c r="E63" s="253">
        <v>100574.031</v>
      </c>
      <c r="F63" s="253">
        <v>0.39731498879666061</v>
      </c>
      <c r="H63" s="290"/>
    </row>
    <row r="64" spans="1:18" ht="15.75" thickBot="1" x14ac:dyDescent="0.3">
      <c r="A64" s="253" t="s">
        <v>263</v>
      </c>
      <c r="B64" s="253" t="s">
        <v>255</v>
      </c>
      <c r="C64" s="253" t="s">
        <v>256</v>
      </c>
      <c r="D64" s="253">
        <v>16184.394</v>
      </c>
      <c r="E64" s="253">
        <v>122306.234</v>
      </c>
      <c r="F64" s="253">
        <v>0.13232681173062691</v>
      </c>
      <c r="H64" s="252" t="s">
        <v>201</v>
      </c>
    </row>
    <row r="65" spans="1:22" ht="15.75" thickTop="1" x14ac:dyDescent="0.25">
      <c r="A65" s="253" t="s">
        <v>264</v>
      </c>
      <c r="B65" s="253" t="s">
        <v>255</v>
      </c>
      <c r="C65" s="253" t="s">
        <v>256</v>
      </c>
      <c r="D65" s="253">
        <v>19841.375</v>
      </c>
      <c r="E65" s="253">
        <v>132744.375</v>
      </c>
      <c r="F65" s="253">
        <v>0.14947055195370801</v>
      </c>
      <c r="H65" s="291" t="s">
        <v>191</v>
      </c>
      <c r="I65" s="292">
        <v>0.25</v>
      </c>
      <c r="J65" s="293">
        <f>($F$68 - $M$69) * $F$70</f>
        <v>2.3524910936386405</v>
      </c>
      <c r="K65" s="293">
        <f>($F$69 - $M$69) * $F$70</f>
        <v>2.0143568157646414</v>
      </c>
      <c r="L65" s="294"/>
      <c r="M65" s="295">
        <f>IFERROR(AVERAGE(J65:L65),"")</f>
        <v>2.1834239547016407</v>
      </c>
      <c r="N65" s="296">
        <f>IFERROR(STDEV(J65:L65),"")</f>
        <v>0.23909704083632111</v>
      </c>
    </row>
    <row r="66" spans="1:22" x14ac:dyDescent="0.25">
      <c r="A66" s="253" t="s">
        <v>265</v>
      </c>
      <c r="B66" s="253" t="s">
        <v>255</v>
      </c>
      <c r="C66" s="253" t="s">
        <v>256</v>
      </c>
      <c r="D66" s="253">
        <v>79118.952999999994</v>
      </c>
      <c r="E66" s="253">
        <v>111303.67999999999</v>
      </c>
      <c r="F66" s="253">
        <v>0.71083860839102531</v>
      </c>
      <c r="H66" s="297" t="s">
        <v>192</v>
      </c>
      <c r="I66" s="266">
        <v>7.4999999999999997E-2</v>
      </c>
      <c r="J66" s="347">
        <f>($F$64 - $M$69) * $F$70</f>
        <v>0.52917382112187872</v>
      </c>
      <c r="K66" s="347">
        <f>($F$65 - $M$69) * $F$70</f>
        <v>0.59774878201420312</v>
      </c>
      <c r="L66" s="265"/>
      <c r="M66" s="263">
        <f>IFERROR(AVERAGE(J66:L66),"")</f>
        <v>0.56346130156804097</v>
      </c>
      <c r="N66" s="348">
        <f>IFERROR(STDEV(J66:L66),"")</f>
        <v>4.8489819866564886E-2</v>
      </c>
    </row>
    <row r="67" spans="1:22" x14ac:dyDescent="0.25">
      <c r="A67" s="253" t="s">
        <v>266</v>
      </c>
      <c r="B67" s="253" t="s">
        <v>255</v>
      </c>
      <c r="C67" s="253" t="s">
        <v>256</v>
      </c>
      <c r="D67" s="253">
        <v>82186.577999999994</v>
      </c>
      <c r="E67" s="253">
        <v>120824.758</v>
      </c>
      <c r="F67" s="253">
        <v>0.68021305699614965</v>
      </c>
      <c r="H67" s="297" t="s">
        <v>193</v>
      </c>
      <c r="I67" s="263">
        <v>0.25</v>
      </c>
      <c r="J67" s="268">
        <f>($F$66 - $M$69) * $F$70</f>
        <v>2.8432210077634723</v>
      </c>
      <c r="K67" s="268">
        <f>($F$67 - $M$69) * $F$70</f>
        <v>2.7207188021839697</v>
      </c>
      <c r="L67" s="265"/>
      <c r="M67" s="269">
        <f>IFERROR(AVERAGE(J67:L67),"")</f>
        <v>2.781969904973721</v>
      </c>
      <c r="N67" s="348">
        <f>IFERROR(STDEV(J67:L67),"")</f>
        <v>8.6622140275574841E-2</v>
      </c>
    </row>
    <row r="68" spans="1:22" x14ac:dyDescent="0.25">
      <c r="A68" s="253" t="s">
        <v>267</v>
      </c>
      <c r="B68" s="253" t="s">
        <v>255</v>
      </c>
      <c r="C68" s="253" t="s">
        <v>256</v>
      </c>
      <c r="D68" s="253">
        <v>60181.237999999998</v>
      </c>
      <c r="E68" s="253">
        <v>102321.875</v>
      </c>
      <c r="F68" s="253">
        <v>0.58815612985981736</v>
      </c>
      <c r="H68" s="297" t="s">
        <v>194</v>
      </c>
      <c r="I68" s="265"/>
      <c r="J68" s="265"/>
      <c r="K68" s="265"/>
      <c r="L68" s="265"/>
      <c r="M68" s="265"/>
      <c r="N68" s="300"/>
    </row>
    <row r="69" spans="1:22" ht="15.75" thickBot="1" x14ac:dyDescent="0.3">
      <c r="A69" s="253" t="s">
        <v>268</v>
      </c>
      <c r="B69" s="253" t="s">
        <v>255</v>
      </c>
      <c r="C69" s="253" t="s">
        <v>256</v>
      </c>
      <c r="D69" s="253">
        <v>57863.773000000001</v>
      </c>
      <c r="E69" s="253">
        <v>114895.117</v>
      </c>
      <c r="F69" s="253">
        <v>0.50362256039131759</v>
      </c>
      <c r="H69" s="301" t="s">
        <v>195</v>
      </c>
      <c r="I69" s="302"/>
      <c r="J69" s="303">
        <f>IF($G$56&lt;&gt;"","Point Deleted",$F$56)</f>
        <v>4.4860252283499749E-5</v>
      </c>
      <c r="K69" s="303">
        <f>IF($G$57&lt;&gt;"","Point Deleted",$F$57)</f>
        <v>2.185264803095079E-5</v>
      </c>
      <c r="L69" s="302"/>
      <c r="M69" s="303">
        <f t="shared" ref="M69:M74" si="4">IFERROR(AVERAGE(J69:L69),"")</f>
        <v>3.3356450157225268E-5</v>
      </c>
      <c r="N69" s="304">
        <f t="shared" ref="N69:N74" si="5">IFERROR(STDEV(J69:L69),"")</f>
        <v>1.6268832985833817E-5</v>
      </c>
    </row>
    <row r="70" spans="1:22" ht="66.75" thickTop="1" thickBot="1" x14ac:dyDescent="0.3">
      <c r="C70" s="252"/>
      <c r="E70" s="305" t="s">
        <v>12</v>
      </c>
      <c r="F70" s="306">
        <v>4</v>
      </c>
      <c r="H70" s="307" t="s">
        <v>196</v>
      </c>
      <c r="I70" s="308"/>
      <c r="J70" s="309">
        <f>IFERROR(IF(ISTEXT($J$66),NA(),($J$66 * $I$66) / ($F$72 * 3600)),"")</f>
        <v>5.5122273033529035E-6</v>
      </c>
      <c r="K70" s="310">
        <f>IFERROR(IF(ISTEXT($K$66),NA(),($K$66 * $I$66) / ($F$72 * 3600)),"")</f>
        <v>6.2265498126479492E-6</v>
      </c>
      <c r="L70" s="308"/>
      <c r="M70" s="310">
        <f t="shared" si="4"/>
        <v>5.8693885580004263E-6</v>
      </c>
      <c r="N70" s="311">
        <f t="shared" si="5"/>
        <v>5.0510229027671739E-7</v>
      </c>
      <c r="P70" s="312" t="s">
        <v>202</v>
      </c>
      <c r="Q70" s="313" t="s">
        <v>203</v>
      </c>
      <c r="R70" s="314" t="s">
        <v>176</v>
      </c>
      <c r="S70" s="314" t="s">
        <v>204</v>
      </c>
      <c r="T70" s="314" t="s">
        <v>205</v>
      </c>
      <c r="U70" s="314" t="s">
        <v>206</v>
      </c>
      <c r="V70" s="314" t="s">
        <v>198</v>
      </c>
    </row>
    <row r="71" spans="1:22" ht="18.75" thickTop="1" x14ac:dyDescent="0.35">
      <c r="C71" s="252"/>
      <c r="E71" s="315" t="s">
        <v>187</v>
      </c>
      <c r="F71" s="316">
        <v>0.11</v>
      </c>
      <c r="H71" s="297" t="s">
        <v>197</v>
      </c>
      <c r="I71" s="265"/>
      <c r="J71" s="281">
        <f>IFERROR(IF(ISTEXT($J$67),NA(),$J$67),"")</f>
        <v>2.8432210077634723</v>
      </c>
      <c r="K71" s="269">
        <f>IFERROR(IF(ISTEXT($K$67),NA(),$K$67),"")</f>
        <v>2.7207188021839697</v>
      </c>
      <c r="L71" s="265"/>
      <c r="M71" s="269">
        <f t="shared" si="4"/>
        <v>2.781969904973721</v>
      </c>
      <c r="N71" s="348">
        <f t="shared" si="5"/>
        <v>8.6622140275574841E-2</v>
      </c>
      <c r="Q71" s="317"/>
      <c r="R71" s="317" t="s">
        <v>190</v>
      </c>
      <c r="S71" s="360">
        <f>$J$62</f>
        <v>36.350264233817079</v>
      </c>
      <c r="T71" s="360">
        <f>$K$62</f>
        <v>33.299684570373572</v>
      </c>
      <c r="U71" s="317" t="str">
        <f>$L$62</f>
        <v/>
      </c>
      <c r="V71" s="319">
        <f>$M$61</f>
        <v>0.91861464402467896</v>
      </c>
    </row>
    <row r="72" spans="1:22" x14ac:dyDescent="0.25">
      <c r="C72" s="252"/>
      <c r="E72" s="315" t="s">
        <v>188</v>
      </c>
      <c r="F72" s="320">
        <v>2</v>
      </c>
      <c r="H72" s="297" t="s">
        <v>198</v>
      </c>
      <c r="I72" s="265"/>
      <c r="J72" s="282">
        <f>IFERROR(IF(OR(ISTEXT($J$65),ISTEXT($J$66),ISTEXT($J$67)),NA(),(($J$65 * $I$65) + ($J$66 * $I$66)) / $J$67 / $I$67),"")</f>
        <v>0.8832388453511717</v>
      </c>
      <c r="K72" s="283">
        <f>IFERROR(IF(OR(ISTEXT($K$65),ISTEXT($K$66),ISTEXT($K$67)),NA(),(($K$65 * $I$65) + ($K$66 * $I$66)) / $K$67 / $I$67),"")</f>
        <v>0.80628745925819123</v>
      </c>
      <c r="L72" s="265" t="str">
        <f>IFERROR(IF(OR(ISTEXT($L$65),ISTEXT($L$66),ISTEXT($L$67)),NA(),(($L$65 * $I$65) + ($L$66 * $I$66)) / $L$67 / $I$67),"")</f>
        <v/>
      </c>
      <c r="M72" s="283">
        <f t="shared" si="4"/>
        <v>0.84476315230468146</v>
      </c>
      <c r="N72" s="351">
        <f t="shared" si="5"/>
        <v>5.4412846928050679E-2</v>
      </c>
      <c r="P72" s="322" t="str">
        <f>$B$54</f>
        <v>Warfarin</v>
      </c>
      <c r="Q72" s="323">
        <f>$F$73</f>
        <v>10</v>
      </c>
      <c r="R72" s="317" t="s">
        <v>201</v>
      </c>
      <c r="S72" s="360">
        <f>$J$73</f>
        <v>17.624784414007454</v>
      </c>
      <c r="T72" s="360">
        <f>$K$73</f>
        <v>20.805163051529508</v>
      </c>
      <c r="U72" s="317" t="str">
        <f>$L$73</f>
        <v/>
      </c>
      <c r="V72" s="319">
        <f>$M$72</f>
        <v>0.84476315230468146</v>
      </c>
    </row>
    <row r="73" spans="1:22" ht="18.75" thickBot="1" x14ac:dyDescent="0.4">
      <c r="C73" s="252"/>
      <c r="E73" s="324" t="s">
        <v>189</v>
      </c>
      <c r="F73" s="325">
        <v>10</v>
      </c>
      <c r="H73" s="301" t="s">
        <v>200</v>
      </c>
      <c r="I73" s="302"/>
      <c r="J73" s="361">
        <f>IFERROR($J$70 / $J$67 / $F$71 * 1000000,"")</f>
        <v>17.624784414007454</v>
      </c>
      <c r="K73" s="362">
        <f>IFERROR($K$70 / $K$67 / $F$71 * 1000000,"")</f>
        <v>20.805163051529508</v>
      </c>
      <c r="L73" s="302" t="str">
        <f>IFERROR($L$70 / $L$67 / $F$71 * 1000000,"")</f>
        <v/>
      </c>
      <c r="M73" s="362">
        <f t="shared" si="4"/>
        <v>19.214973732768481</v>
      </c>
      <c r="N73" s="363">
        <f t="shared" si="5"/>
        <v>2.2488673013326772</v>
      </c>
      <c r="P73" s="329"/>
      <c r="Q73" s="330"/>
      <c r="R73" s="331" t="s">
        <v>172</v>
      </c>
      <c r="S73" s="332">
        <f>$J$74</f>
        <v>0.48485987063639857</v>
      </c>
      <c r="T73" s="332">
        <f>$K$74</f>
        <v>0.62478558941184903</v>
      </c>
      <c r="U73" s="331" t="str">
        <f>$L$74</f>
        <v/>
      </c>
      <c r="V73" s="331"/>
    </row>
    <row r="74" spans="1:22" ht="15.75" thickBot="1" x14ac:dyDescent="0.3">
      <c r="H74" s="333" t="s">
        <v>172</v>
      </c>
      <c r="I74" s="334"/>
      <c r="J74" s="335">
        <f>IFERROR($J$73 / $J$62,"")</f>
        <v>0.48485987063639857</v>
      </c>
      <c r="K74" s="335">
        <f>IFERROR($K$73 / $K$62,"")</f>
        <v>0.62478558941184903</v>
      </c>
      <c r="L74" s="334" t="str">
        <f>IFERROR($L$73 / $L$62,"")</f>
        <v/>
      </c>
      <c r="M74" s="335">
        <f t="shared" si="4"/>
        <v>0.55482273002412374</v>
      </c>
      <c r="N74" s="336">
        <f t="shared" si="5"/>
        <v>9.8942424608523233E-2</v>
      </c>
      <c r="P74" s="337"/>
      <c r="Q74" s="338"/>
      <c r="R74" s="317"/>
      <c r="S74" s="317"/>
      <c r="T74" s="317"/>
      <c r="U74" s="317"/>
      <c r="V74" s="317"/>
    </row>
    <row r="75" spans="1:22" ht="15.75" thickTop="1" x14ac:dyDescent="0.25"/>
  </sheetData>
  <conditionalFormatting sqref="J6">
    <cfRule type="expression" dxfId="47" priority="48">
      <formula>ISTEXT($J$6)</formula>
    </cfRule>
  </conditionalFormatting>
  <conditionalFormatting sqref="K6">
    <cfRule type="expression" dxfId="46" priority="47">
      <formula>ISTEXT($K$6)</formula>
    </cfRule>
  </conditionalFormatting>
  <conditionalFormatting sqref="J17">
    <cfRule type="expression" dxfId="45" priority="46">
      <formula>ISTEXT($J$17)</formula>
    </cfRule>
  </conditionalFormatting>
  <conditionalFormatting sqref="K17">
    <cfRule type="expression" dxfId="44" priority="45">
      <formula>ISTEXT($K$17)</formula>
    </cfRule>
  </conditionalFormatting>
  <conditionalFormatting sqref="J3">
    <cfRule type="expression" dxfId="43" priority="44">
      <formula>ISTEXT($J$3)</formula>
    </cfRule>
  </conditionalFormatting>
  <conditionalFormatting sqref="K3">
    <cfRule type="expression" dxfId="42" priority="43">
      <formula>ISTEXT($K$3)</formula>
    </cfRule>
  </conditionalFormatting>
  <conditionalFormatting sqref="J4">
    <cfRule type="expression" dxfId="41" priority="42">
      <formula>ISTEXT($J$4)</formula>
    </cfRule>
  </conditionalFormatting>
  <conditionalFormatting sqref="K4">
    <cfRule type="expression" dxfId="40" priority="41">
      <formula>ISTEXT($K$4)</formula>
    </cfRule>
  </conditionalFormatting>
  <conditionalFormatting sqref="J2">
    <cfRule type="expression" dxfId="39" priority="40">
      <formula>ISTEXT($J$2)</formula>
    </cfRule>
  </conditionalFormatting>
  <conditionalFormatting sqref="K2">
    <cfRule type="expression" dxfId="38" priority="39">
      <formula>ISTEXT($K$2)</formula>
    </cfRule>
  </conditionalFormatting>
  <conditionalFormatting sqref="J14">
    <cfRule type="expression" dxfId="37" priority="38">
      <formula>ISTEXT($J$14)</formula>
    </cfRule>
  </conditionalFormatting>
  <conditionalFormatting sqref="K14">
    <cfRule type="expression" dxfId="36" priority="37">
      <formula>ISTEXT($K$14)</formula>
    </cfRule>
  </conditionalFormatting>
  <conditionalFormatting sqref="J15">
    <cfRule type="expression" dxfId="35" priority="36">
      <formula>ISTEXT($J$15)</formula>
    </cfRule>
  </conditionalFormatting>
  <conditionalFormatting sqref="K15">
    <cfRule type="expression" dxfId="34" priority="35">
      <formula>ISTEXT($K$15)</formula>
    </cfRule>
  </conditionalFormatting>
  <conditionalFormatting sqref="J13">
    <cfRule type="expression" dxfId="33" priority="34">
      <formula>ISTEXT($J$13)</formula>
    </cfRule>
  </conditionalFormatting>
  <conditionalFormatting sqref="K13">
    <cfRule type="expression" dxfId="32" priority="33">
      <formula>ISTEXT($K$13)</formula>
    </cfRule>
  </conditionalFormatting>
  <conditionalFormatting sqref="J32">
    <cfRule type="expression" dxfId="31" priority="32">
      <formula>ISTEXT($J$32)</formula>
    </cfRule>
  </conditionalFormatting>
  <conditionalFormatting sqref="K32">
    <cfRule type="expression" dxfId="30" priority="31">
      <formula>ISTEXT($K$32)</formula>
    </cfRule>
  </conditionalFormatting>
  <conditionalFormatting sqref="J43">
    <cfRule type="expression" dxfId="29" priority="30">
      <formula>ISTEXT($J$43)</formula>
    </cfRule>
  </conditionalFormatting>
  <conditionalFormatting sqref="K43">
    <cfRule type="expression" dxfId="28" priority="29">
      <formula>ISTEXT($K$43)</formula>
    </cfRule>
  </conditionalFormatting>
  <conditionalFormatting sqref="J29">
    <cfRule type="expression" dxfId="27" priority="28">
      <formula>ISTEXT($J$29)</formula>
    </cfRule>
  </conditionalFormatting>
  <conditionalFormatting sqref="K29">
    <cfRule type="expression" dxfId="26" priority="27">
      <formula>ISTEXT($K$29)</formula>
    </cfRule>
  </conditionalFormatting>
  <conditionalFormatting sqref="J30">
    <cfRule type="expression" dxfId="25" priority="26">
      <formula>ISTEXT($J$30)</formula>
    </cfRule>
  </conditionalFormatting>
  <conditionalFormatting sqref="K30">
    <cfRule type="expression" dxfId="24" priority="25">
      <formula>ISTEXT($K$30)</formula>
    </cfRule>
  </conditionalFormatting>
  <conditionalFormatting sqref="J28">
    <cfRule type="expression" dxfId="23" priority="24">
      <formula>ISTEXT($J$28)</formula>
    </cfRule>
  </conditionalFormatting>
  <conditionalFormatting sqref="K28">
    <cfRule type="expression" dxfId="22" priority="23">
      <formula>ISTEXT($K$28)</formula>
    </cfRule>
  </conditionalFormatting>
  <conditionalFormatting sqref="J40">
    <cfRule type="expression" dxfId="21" priority="22">
      <formula>ISTEXT($J$40)</formula>
    </cfRule>
  </conditionalFormatting>
  <conditionalFormatting sqref="K40">
    <cfRule type="expression" dxfId="20" priority="21">
      <formula>ISTEXT($K$40)</formula>
    </cfRule>
  </conditionalFormatting>
  <conditionalFormatting sqref="J41">
    <cfRule type="expression" dxfId="19" priority="20">
      <formula>ISTEXT($J$41)</formula>
    </cfRule>
  </conditionalFormatting>
  <conditionalFormatting sqref="K41">
    <cfRule type="expression" dxfId="18" priority="19">
      <formula>ISTEXT($K$41)</formula>
    </cfRule>
  </conditionalFormatting>
  <conditionalFormatting sqref="J39">
    <cfRule type="expression" dxfId="17" priority="18">
      <formula>ISTEXT($J$39)</formula>
    </cfRule>
  </conditionalFormatting>
  <conditionalFormatting sqref="K39">
    <cfRule type="expression" dxfId="16" priority="17">
      <formula>ISTEXT($K$39)</formula>
    </cfRule>
  </conditionalFormatting>
  <conditionalFormatting sqref="J58">
    <cfRule type="expression" dxfId="15" priority="16">
      <formula>ISTEXT($J$58)</formula>
    </cfRule>
  </conditionalFormatting>
  <conditionalFormatting sqref="K58">
    <cfRule type="expression" dxfId="14" priority="15">
      <formula>ISTEXT($K$58)</formula>
    </cfRule>
  </conditionalFormatting>
  <conditionalFormatting sqref="J69">
    <cfRule type="expression" dxfId="13" priority="14">
      <formula>ISTEXT($J$69)</formula>
    </cfRule>
  </conditionalFormatting>
  <conditionalFormatting sqref="K69">
    <cfRule type="expression" dxfId="12" priority="13">
      <formula>ISTEXT($K$69)</formula>
    </cfRule>
  </conditionalFormatting>
  <conditionalFormatting sqref="J55">
    <cfRule type="expression" dxfId="11" priority="12">
      <formula>ISTEXT($J$55)</formula>
    </cfRule>
  </conditionalFormatting>
  <conditionalFormatting sqref="K55">
    <cfRule type="expression" dxfId="10" priority="11">
      <formula>ISTEXT($K$55)</formula>
    </cfRule>
  </conditionalFormatting>
  <conditionalFormatting sqref="J56">
    <cfRule type="expression" dxfId="9" priority="10">
      <formula>ISTEXT($J$56)</formula>
    </cfRule>
  </conditionalFormatting>
  <conditionalFormatting sqref="K56">
    <cfRule type="expression" dxfId="8" priority="9">
      <formula>ISTEXT($K$56)</formula>
    </cfRule>
  </conditionalFormatting>
  <conditionalFormatting sqref="J54">
    <cfRule type="expression" dxfId="7" priority="8">
      <formula>ISTEXT($J$54)</formula>
    </cfRule>
  </conditionalFormatting>
  <conditionalFormatting sqref="K54">
    <cfRule type="expression" dxfId="6" priority="7">
      <formula>ISTEXT($K$54)</formula>
    </cfRule>
  </conditionalFormatting>
  <conditionalFormatting sqref="J66">
    <cfRule type="expression" dxfId="5" priority="6">
      <formula>ISTEXT($J$66)</formula>
    </cfRule>
  </conditionalFormatting>
  <conditionalFormatting sqref="K66">
    <cfRule type="expression" dxfId="4" priority="5">
      <formula>ISTEXT($K$66)</formula>
    </cfRule>
  </conditionalFormatting>
  <conditionalFormatting sqref="J67">
    <cfRule type="expression" dxfId="3" priority="4">
      <formula>ISTEXT($J$67)</formula>
    </cfRule>
  </conditionalFormatting>
  <conditionalFormatting sqref="K67">
    <cfRule type="expression" dxfId="2" priority="3">
      <formula>ISTEXT($K$67)</formula>
    </cfRule>
  </conditionalFormatting>
  <conditionalFormatting sqref="J65">
    <cfRule type="expression" dxfId="1" priority="2">
      <formula>ISTEXT($J$65)</formula>
    </cfRule>
  </conditionalFormatting>
  <conditionalFormatting sqref="K65">
    <cfRule type="expression" dxfId="0" priority="1">
      <formula>ISTEXT($K$65)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77"/>
  <sheetViews>
    <sheetView topLeftCell="A91" workbookViewId="0">
      <selection activeCell="J139" sqref="J139"/>
    </sheetView>
  </sheetViews>
  <sheetFormatPr defaultRowHeight="15" x14ac:dyDescent="0.25"/>
  <cols>
    <col min="1" max="1" width="32.140625" bestFit="1" customWidth="1"/>
    <col min="19" max="19" width="19.425781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5">
      <c r="A2" s="2" t="s">
        <v>19</v>
      </c>
      <c r="B2" s="2"/>
      <c r="C2" s="2"/>
      <c r="D2" s="2"/>
      <c r="E2" s="2"/>
      <c r="F2" s="3">
        <v>44304.671979166669</v>
      </c>
      <c r="G2" s="2" t="s">
        <v>20</v>
      </c>
      <c r="H2" s="2" t="s">
        <v>21</v>
      </c>
      <c r="I2" s="2">
        <v>6.1434049999999996</v>
      </c>
      <c r="J2" s="2">
        <v>91</v>
      </c>
      <c r="K2" s="2" t="s">
        <v>21</v>
      </c>
      <c r="L2" s="2">
        <v>16789.482730502201</v>
      </c>
      <c r="M2" s="2">
        <v>1</v>
      </c>
      <c r="N2" s="2">
        <v>724003.150201443</v>
      </c>
      <c r="O2" s="2">
        <v>2.3189792372907001E-2</v>
      </c>
      <c r="P2" s="2">
        <v>4.0656966666666596</v>
      </c>
      <c r="Q2" s="2"/>
      <c r="R2" s="2"/>
      <c r="S2" s="2"/>
    </row>
    <row r="3" spans="1:19" x14ac:dyDescent="0.25">
      <c r="A3" s="2" t="s">
        <v>22</v>
      </c>
      <c r="B3" s="2"/>
      <c r="C3" s="2"/>
      <c r="D3" s="2"/>
      <c r="E3" s="2"/>
      <c r="F3" s="3">
        <v>44304.673564814817</v>
      </c>
      <c r="G3" s="2" t="s">
        <v>20</v>
      </c>
      <c r="H3" s="2" t="s">
        <v>21</v>
      </c>
      <c r="I3" s="2">
        <v>6.130725</v>
      </c>
      <c r="J3" s="2">
        <v>91</v>
      </c>
      <c r="K3" s="2" t="s">
        <v>21</v>
      </c>
      <c r="L3" s="2">
        <v>21813.509530008501</v>
      </c>
      <c r="M3" s="2">
        <v>1</v>
      </c>
      <c r="N3" s="2">
        <v>382677.237752121</v>
      </c>
      <c r="O3" s="2">
        <v>5.7002370086454E-2</v>
      </c>
      <c r="P3" s="2">
        <v>4.0729333333333297</v>
      </c>
      <c r="Q3" s="2"/>
      <c r="R3" s="2"/>
      <c r="S3" s="2"/>
    </row>
    <row r="4" spans="1:19" x14ac:dyDescent="0.25">
      <c r="A4" s="2" t="s">
        <v>23</v>
      </c>
      <c r="B4" s="2"/>
      <c r="C4" s="2"/>
      <c r="D4" s="2"/>
      <c r="E4" s="2"/>
      <c r="F4" s="3">
        <v>44304.675150462965</v>
      </c>
      <c r="G4" s="2" t="s">
        <v>20</v>
      </c>
      <c r="H4" s="2" t="s">
        <v>21</v>
      </c>
      <c r="I4" s="2">
        <v>6.1391616666666602</v>
      </c>
      <c r="J4" s="2">
        <v>91</v>
      </c>
      <c r="K4" s="2" t="s">
        <v>21</v>
      </c>
      <c r="L4" s="2">
        <v>23494.467389735699</v>
      </c>
      <c r="M4" s="2">
        <v>1</v>
      </c>
      <c r="N4" s="2">
        <v>767393.257466326</v>
      </c>
      <c r="O4" s="2">
        <v>3.0615941906118001E-2</v>
      </c>
      <c r="P4" s="2">
        <v>4.0699016666666603</v>
      </c>
      <c r="Q4" s="2"/>
      <c r="R4" s="2"/>
      <c r="S4" s="2"/>
    </row>
    <row r="5" spans="1:19" x14ac:dyDescent="0.25">
      <c r="A5" s="2" t="s">
        <v>24</v>
      </c>
      <c r="B5" s="2"/>
      <c r="C5" s="2"/>
      <c r="D5" s="2"/>
      <c r="E5" s="2"/>
      <c r="F5" s="3">
        <v>44304.676724537036</v>
      </c>
      <c r="G5" s="2" t="s">
        <v>20</v>
      </c>
      <c r="H5" s="2" t="s">
        <v>21</v>
      </c>
      <c r="I5" s="2">
        <v>6.1265116666666604</v>
      </c>
      <c r="J5" s="2">
        <v>91</v>
      </c>
      <c r="K5" s="2" t="s">
        <v>21</v>
      </c>
      <c r="L5" s="2">
        <v>13384.432629643101</v>
      </c>
      <c r="M5" s="2">
        <v>1</v>
      </c>
      <c r="N5" s="2">
        <v>327471.84305237798</v>
      </c>
      <c r="O5" s="2">
        <v>4.0872010567035003E-2</v>
      </c>
      <c r="P5" s="2">
        <v>4.0699249999999996</v>
      </c>
      <c r="Q5" s="2"/>
      <c r="R5" s="2"/>
      <c r="S5" s="2"/>
    </row>
    <row r="6" spans="1:19" x14ac:dyDescent="0.25">
      <c r="A6" s="2" t="s">
        <v>25</v>
      </c>
      <c r="B6" s="2"/>
      <c r="C6" s="2"/>
      <c r="D6" s="2"/>
      <c r="E6" s="2"/>
      <c r="F6" s="3">
        <v>44304.69730324074</v>
      </c>
      <c r="G6" s="2" t="s">
        <v>20</v>
      </c>
      <c r="H6" s="2" t="s">
        <v>21</v>
      </c>
      <c r="I6" s="2">
        <v>6.1394566666666597</v>
      </c>
      <c r="J6" s="2">
        <v>91</v>
      </c>
      <c r="K6" s="2" t="s">
        <v>21</v>
      </c>
      <c r="L6" s="2">
        <v>16419.807636797199</v>
      </c>
      <c r="M6" s="2">
        <v>1</v>
      </c>
      <c r="N6" s="2">
        <v>488583.38536782103</v>
      </c>
      <c r="O6" s="2">
        <v>3.3606970946087E-2</v>
      </c>
      <c r="P6" s="2">
        <v>4.06518333333333</v>
      </c>
      <c r="Q6" s="2"/>
      <c r="R6" s="2"/>
      <c r="S6" s="2"/>
    </row>
    <row r="7" spans="1:19" x14ac:dyDescent="0.25">
      <c r="A7" s="2" t="s">
        <v>26</v>
      </c>
      <c r="B7" s="2"/>
      <c r="C7" s="2"/>
      <c r="D7" s="2"/>
      <c r="E7" s="2"/>
      <c r="F7" s="3">
        <v>44304.698888888888</v>
      </c>
      <c r="G7" s="2" t="s">
        <v>20</v>
      </c>
      <c r="H7" s="2" t="s">
        <v>21</v>
      </c>
      <c r="I7" s="2">
        <v>6.1437249999999999</v>
      </c>
      <c r="J7" s="2">
        <v>91</v>
      </c>
      <c r="K7" s="2" t="s">
        <v>21</v>
      </c>
      <c r="L7" s="2">
        <v>12353.1999185349</v>
      </c>
      <c r="M7" s="2">
        <v>1</v>
      </c>
      <c r="N7" s="2">
        <v>511134.20417821698</v>
      </c>
      <c r="O7" s="2">
        <v>2.4168212218150999E-2</v>
      </c>
      <c r="P7" s="2">
        <v>4.0651799999999998</v>
      </c>
      <c r="Q7" s="2"/>
      <c r="R7" s="2"/>
      <c r="S7" s="2"/>
    </row>
    <row r="8" spans="1:19" x14ac:dyDescent="0.25">
      <c r="A8" s="2" t="s">
        <v>27</v>
      </c>
      <c r="B8" s="2"/>
      <c r="C8" s="2"/>
      <c r="D8" s="2"/>
      <c r="E8" s="2"/>
      <c r="F8" s="3">
        <v>44304.700486111113</v>
      </c>
      <c r="G8" s="2" t="s">
        <v>20</v>
      </c>
      <c r="H8" s="2" t="s">
        <v>21</v>
      </c>
      <c r="I8" s="2">
        <v>6.1394500000000001</v>
      </c>
      <c r="J8" s="2">
        <v>91</v>
      </c>
      <c r="K8" s="2" t="s">
        <v>21</v>
      </c>
      <c r="L8" s="2">
        <v>12951.899229134</v>
      </c>
      <c r="M8" s="2">
        <v>1</v>
      </c>
      <c r="N8" s="2">
        <v>492512.45195383503</v>
      </c>
      <c r="O8" s="2">
        <v>2.6297607659974999E-2</v>
      </c>
      <c r="P8" s="2">
        <v>4.0609066666666598</v>
      </c>
      <c r="Q8" s="2"/>
      <c r="R8" s="2"/>
      <c r="S8" s="2"/>
    </row>
    <row r="9" spans="1:19" x14ac:dyDescent="0.25">
      <c r="A9" s="2" t="s">
        <v>28</v>
      </c>
      <c r="B9" s="2"/>
      <c r="C9" s="2"/>
      <c r="D9" s="2"/>
      <c r="E9" s="2"/>
      <c r="F9" s="3">
        <v>44304.70207175926</v>
      </c>
      <c r="G9" s="2" t="s">
        <v>20</v>
      </c>
      <c r="H9" s="2" t="s">
        <v>21</v>
      </c>
      <c r="I9" s="2">
        <v>6.1394616666666604</v>
      </c>
      <c r="J9" s="2">
        <v>91</v>
      </c>
      <c r="K9" s="2" t="s">
        <v>21</v>
      </c>
      <c r="L9" s="2">
        <v>14210.690897951201</v>
      </c>
      <c r="M9" s="2">
        <v>1</v>
      </c>
      <c r="N9" s="2">
        <v>498579.209917525</v>
      </c>
      <c r="O9" s="2">
        <v>2.8502373575308E-2</v>
      </c>
      <c r="P9" s="2">
        <v>4.0609166666666603</v>
      </c>
      <c r="Q9" s="2"/>
      <c r="R9" s="2"/>
      <c r="S9" s="2"/>
    </row>
    <row r="10" spans="1:19" x14ac:dyDescent="0.25">
      <c r="A10" s="2" t="s">
        <v>29</v>
      </c>
      <c r="B10" s="2"/>
      <c r="C10" s="2"/>
      <c r="D10" s="2"/>
      <c r="E10" s="2"/>
      <c r="F10" s="3">
        <v>44304.703657407408</v>
      </c>
      <c r="G10" s="2" t="s">
        <v>20</v>
      </c>
      <c r="H10" s="2" t="s">
        <v>21</v>
      </c>
      <c r="I10" s="2">
        <v>6.1309199999999997</v>
      </c>
      <c r="J10" s="2">
        <v>91</v>
      </c>
      <c r="K10" s="2" t="s">
        <v>21</v>
      </c>
      <c r="L10" s="2">
        <v>11979.847768867699</v>
      </c>
      <c r="M10" s="2">
        <v>1</v>
      </c>
      <c r="N10" s="2">
        <v>437679.80143792299</v>
      </c>
      <c r="O10" s="2">
        <v>2.737126029008E-2</v>
      </c>
      <c r="P10" s="2">
        <v>4.0737266666666603</v>
      </c>
      <c r="Q10" s="2"/>
      <c r="R10" s="2"/>
      <c r="S10" s="2"/>
    </row>
    <row r="11" spans="1:19" x14ac:dyDescent="0.25">
      <c r="A11" s="2" t="s">
        <v>30</v>
      </c>
      <c r="B11" s="2"/>
      <c r="C11" s="2"/>
      <c r="D11" s="2"/>
      <c r="E11" s="2"/>
      <c r="F11" s="3">
        <v>44304.705231481479</v>
      </c>
      <c r="G11" s="2" t="s">
        <v>20</v>
      </c>
      <c r="H11" s="2" t="s">
        <v>21</v>
      </c>
      <c r="I11" s="2">
        <v>6.1309183333333301</v>
      </c>
      <c r="J11" s="2">
        <v>91</v>
      </c>
      <c r="K11" s="2" t="s">
        <v>21</v>
      </c>
      <c r="L11" s="2">
        <v>3890.7759827535901</v>
      </c>
      <c r="M11" s="2">
        <v>1</v>
      </c>
      <c r="N11" s="2">
        <v>440856.63533809799</v>
      </c>
      <c r="O11" s="2">
        <v>8.8254903541819998E-3</v>
      </c>
      <c r="P11" s="2">
        <v>4.0694549999999996</v>
      </c>
      <c r="Q11" s="2"/>
      <c r="R11" s="2"/>
      <c r="S11" s="2"/>
    </row>
    <row r="12" spans="1:19" x14ac:dyDescent="0.25">
      <c r="A12" s="2" t="s">
        <v>31</v>
      </c>
      <c r="B12" s="2"/>
      <c r="C12" s="2"/>
      <c r="D12" s="2"/>
      <c r="E12" s="2"/>
      <c r="F12" s="3">
        <v>44304.71</v>
      </c>
      <c r="G12" s="2" t="s">
        <v>20</v>
      </c>
      <c r="H12" s="2" t="s">
        <v>21</v>
      </c>
      <c r="I12" s="2">
        <v>6.1394583333333301</v>
      </c>
      <c r="J12" s="2">
        <v>91</v>
      </c>
      <c r="K12" s="2" t="s">
        <v>21</v>
      </c>
      <c r="L12" s="2">
        <v>10273.791049780901</v>
      </c>
      <c r="M12" s="2">
        <v>1</v>
      </c>
      <c r="N12" s="2">
        <v>400255.96354888001</v>
      </c>
      <c r="O12" s="2">
        <v>2.5668052409982999E-2</v>
      </c>
      <c r="P12" s="2">
        <v>4.06518333333333</v>
      </c>
      <c r="Q12" s="2"/>
      <c r="R12" s="2"/>
      <c r="S12" s="2"/>
    </row>
    <row r="13" spans="1:19" x14ac:dyDescent="0.25">
      <c r="A13" s="2" t="s">
        <v>32</v>
      </c>
      <c r="B13" s="2"/>
      <c r="C13" s="2"/>
      <c r="D13" s="2"/>
      <c r="E13" s="2"/>
      <c r="F13" s="3">
        <v>44304.711585648147</v>
      </c>
      <c r="G13" s="2" t="s">
        <v>20</v>
      </c>
      <c r="H13" s="2" t="s">
        <v>21</v>
      </c>
      <c r="I13" s="2">
        <v>6.1608116666666604</v>
      </c>
      <c r="J13" s="2">
        <v>91</v>
      </c>
      <c r="K13" s="2" t="s">
        <v>21</v>
      </c>
      <c r="L13" s="2">
        <v>4409.4604075705402</v>
      </c>
      <c r="M13" s="2">
        <v>1</v>
      </c>
      <c r="N13" s="2">
        <v>512655.67009097099</v>
      </c>
      <c r="O13" s="2">
        <v>8.6012125971179996E-3</v>
      </c>
      <c r="P13" s="2">
        <v>4.0779966666666603</v>
      </c>
      <c r="Q13" s="2"/>
      <c r="R13" s="2"/>
      <c r="S13" s="2"/>
    </row>
    <row r="14" spans="1:19" x14ac:dyDescent="0.25">
      <c r="A14" s="2" t="s">
        <v>33</v>
      </c>
      <c r="B14" s="2"/>
      <c r="C14" s="2"/>
      <c r="D14" s="2"/>
      <c r="E14" s="2"/>
      <c r="F14" s="3">
        <v>44304.713171296295</v>
      </c>
      <c r="G14" s="2" t="s">
        <v>20</v>
      </c>
      <c r="H14" s="2" t="s">
        <v>21</v>
      </c>
      <c r="I14" s="2">
        <v>6.1351899999999997</v>
      </c>
      <c r="J14" s="2">
        <v>91</v>
      </c>
      <c r="K14" s="2" t="s">
        <v>21</v>
      </c>
      <c r="L14" s="2">
        <v>5121.67707919641</v>
      </c>
      <c r="M14" s="2">
        <v>1</v>
      </c>
      <c r="N14" s="2">
        <v>287502.01011157699</v>
      </c>
      <c r="O14" s="2">
        <v>1.7814404418280999E-2</v>
      </c>
      <c r="P14" s="2">
        <v>4.0737266666666603</v>
      </c>
      <c r="Q14" s="2"/>
      <c r="R14" s="2"/>
      <c r="S14" s="2"/>
    </row>
    <row r="15" spans="1:19" x14ac:dyDescent="0.25">
      <c r="A15" s="2" t="s">
        <v>34</v>
      </c>
      <c r="B15" s="2"/>
      <c r="C15" s="2"/>
      <c r="D15" s="2"/>
      <c r="E15" s="2"/>
      <c r="F15" s="3">
        <v>44304.727418981478</v>
      </c>
      <c r="G15" s="2" t="s">
        <v>20</v>
      </c>
      <c r="H15" s="2" t="s">
        <v>21</v>
      </c>
      <c r="I15" s="2">
        <v>6.1394616666666604</v>
      </c>
      <c r="J15" s="2">
        <v>91</v>
      </c>
      <c r="K15" s="2" t="s">
        <v>21</v>
      </c>
      <c r="L15" s="2">
        <v>16556.787231509301</v>
      </c>
      <c r="M15" s="2">
        <v>1</v>
      </c>
      <c r="N15" s="2">
        <v>481443.62275941699</v>
      </c>
      <c r="O15" s="2">
        <v>3.4389877544983002E-2</v>
      </c>
      <c r="P15" s="2">
        <v>4.0651866666666603</v>
      </c>
      <c r="Q15" s="2"/>
      <c r="R15" s="2"/>
      <c r="S15" s="2"/>
    </row>
    <row r="16" spans="1:19" x14ac:dyDescent="0.25">
      <c r="A16" s="2" t="s">
        <v>35</v>
      </c>
      <c r="B16" s="2"/>
      <c r="C16" s="2"/>
      <c r="D16" s="2"/>
      <c r="E16" s="2"/>
      <c r="F16" s="3">
        <v>44304.732164351852</v>
      </c>
      <c r="G16" s="2" t="s">
        <v>20</v>
      </c>
      <c r="H16" s="2" t="s">
        <v>21</v>
      </c>
      <c r="I16" s="2">
        <v>6.1394583333333301</v>
      </c>
      <c r="J16" s="2">
        <v>91</v>
      </c>
      <c r="K16" s="2" t="s">
        <v>21</v>
      </c>
      <c r="L16" s="2">
        <v>24000.2101749992</v>
      </c>
      <c r="M16" s="2">
        <v>1</v>
      </c>
      <c r="N16" s="2">
        <v>528382.27264672797</v>
      </c>
      <c r="O16" s="2">
        <v>4.5422057887709998E-2</v>
      </c>
      <c r="P16" s="2">
        <v>4.06518333333333</v>
      </c>
      <c r="Q16" s="2"/>
      <c r="R16" s="2"/>
      <c r="S16" s="2"/>
    </row>
    <row r="17" spans="1:19" x14ac:dyDescent="0.25">
      <c r="A17" s="2" t="s">
        <v>36</v>
      </c>
      <c r="B17" s="2"/>
      <c r="C17" s="2"/>
      <c r="D17" s="2"/>
      <c r="E17" s="2"/>
      <c r="F17" s="3">
        <v>44304.733761574076</v>
      </c>
      <c r="G17" s="2" t="s">
        <v>20</v>
      </c>
      <c r="H17" s="2" t="s">
        <v>21</v>
      </c>
      <c r="I17" s="2">
        <v>6.1351883333333301</v>
      </c>
      <c r="J17" s="2">
        <v>91</v>
      </c>
      <c r="K17" s="2" t="s">
        <v>21</v>
      </c>
      <c r="L17" s="2">
        <v>20616.6917919806</v>
      </c>
      <c r="M17" s="2">
        <v>1</v>
      </c>
      <c r="N17" s="2">
        <v>542179.23915253405</v>
      </c>
      <c r="O17" s="2">
        <v>3.8025601688855E-2</v>
      </c>
      <c r="P17" s="2">
        <v>4.0651849999999996</v>
      </c>
      <c r="Q17" s="2"/>
      <c r="R17" s="2"/>
      <c r="S17" s="2"/>
    </row>
    <row r="18" spans="1:19" x14ac:dyDescent="0.25">
      <c r="A18" s="2" t="s">
        <v>19</v>
      </c>
      <c r="B18" s="2"/>
      <c r="C18" s="2"/>
      <c r="D18" s="2"/>
      <c r="E18" s="2"/>
      <c r="F18" s="3">
        <v>44304.783043981479</v>
      </c>
      <c r="G18" s="2" t="s">
        <v>50</v>
      </c>
      <c r="H18" s="2" t="s">
        <v>21</v>
      </c>
      <c r="I18" s="2">
        <v>6.1434049999999996</v>
      </c>
      <c r="J18" s="2">
        <v>66</v>
      </c>
      <c r="K18" s="2" t="s">
        <v>21</v>
      </c>
      <c r="L18" s="2">
        <v>113419.484044989</v>
      </c>
      <c r="M18" s="2">
        <v>1</v>
      </c>
      <c r="N18" s="2">
        <v>724003.150201443</v>
      </c>
      <c r="O18" s="2">
        <v>0.15665606429120199</v>
      </c>
      <c r="P18" s="2">
        <v>4.3743883333333304</v>
      </c>
      <c r="Q18" s="2"/>
      <c r="R18" s="2"/>
      <c r="S18" s="2"/>
    </row>
    <row r="19" spans="1:19" x14ac:dyDescent="0.25">
      <c r="A19" s="2" t="s">
        <v>22</v>
      </c>
      <c r="B19" s="2"/>
      <c r="C19" s="2"/>
      <c r="D19" s="2"/>
      <c r="E19" s="2"/>
      <c r="F19" s="3">
        <v>44304.797361111108</v>
      </c>
      <c r="G19" s="2" t="s">
        <v>50</v>
      </c>
      <c r="H19" s="2" t="s">
        <v>21</v>
      </c>
      <c r="I19" s="2">
        <v>6.130725</v>
      </c>
      <c r="J19" s="2">
        <v>66</v>
      </c>
      <c r="K19" s="2" t="s">
        <v>21</v>
      </c>
      <c r="L19" s="2">
        <v>85279.957100182903</v>
      </c>
      <c r="M19" s="2">
        <v>1</v>
      </c>
      <c r="N19" s="2">
        <v>382677.237752121</v>
      </c>
      <c r="O19" s="2">
        <v>0.22285087454149299</v>
      </c>
      <c r="P19" s="2">
        <v>4.3659333333333299</v>
      </c>
      <c r="Q19" s="2"/>
      <c r="R19" s="2"/>
      <c r="S19" s="2"/>
    </row>
    <row r="20" spans="1:19" x14ac:dyDescent="0.25">
      <c r="A20" s="2" t="s">
        <v>23</v>
      </c>
      <c r="B20" s="2"/>
      <c r="C20" s="2"/>
      <c r="D20" s="2"/>
      <c r="E20" s="2"/>
      <c r="F20" s="3">
        <v>44304.802129629628</v>
      </c>
      <c r="G20" s="2" t="s">
        <v>50</v>
      </c>
      <c r="H20" s="2" t="s">
        <v>21</v>
      </c>
      <c r="I20" s="2">
        <v>6.1391616666666602</v>
      </c>
      <c r="J20" s="2">
        <v>66</v>
      </c>
      <c r="K20" s="2" t="s">
        <v>21</v>
      </c>
      <c r="L20" s="2">
        <v>87801.736329482606</v>
      </c>
      <c r="M20" s="2">
        <v>1</v>
      </c>
      <c r="N20" s="2">
        <v>767393.257466326</v>
      </c>
      <c r="O20" s="2">
        <v>0.114415569169026</v>
      </c>
      <c r="P20" s="2">
        <v>4.3785933333333302</v>
      </c>
      <c r="Q20" s="2"/>
      <c r="R20" s="2"/>
      <c r="S20" s="2"/>
    </row>
    <row r="21" spans="1:19" x14ac:dyDescent="0.25">
      <c r="A21" s="2" t="s">
        <v>24</v>
      </c>
      <c r="B21" s="2"/>
      <c r="C21" s="2"/>
      <c r="D21" s="2"/>
      <c r="E21" s="2"/>
      <c r="F21" s="3">
        <v>44304.803726851853</v>
      </c>
      <c r="G21" s="2" t="s">
        <v>50</v>
      </c>
      <c r="H21" s="2" t="s">
        <v>21</v>
      </c>
      <c r="I21" s="2">
        <v>6.1265116666666604</v>
      </c>
      <c r="J21" s="2">
        <v>66</v>
      </c>
      <c r="K21" s="2" t="s">
        <v>21</v>
      </c>
      <c r="L21" s="2">
        <v>98469.6629885968</v>
      </c>
      <c r="M21" s="2">
        <v>1</v>
      </c>
      <c r="N21" s="2">
        <v>327471.84305237798</v>
      </c>
      <c r="O21" s="2">
        <v>0.30069657919519699</v>
      </c>
      <c r="P21" s="2">
        <v>4.3659433333333304</v>
      </c>
      <c r="Q21" s="2"/>
      <c r="R21" s="2"/>
      <c r="S21" s="2"/>
    </row>
    <row r="22" spans="1:19" x14ac:dyDescent="0.25">
      <c r="A22" s="2" t="s">
        <v>51</v>
      </c>
      <c r="B22" s="2"/>
      <c r="C22" s="2"/>
      <c r="D22" s="2"/>
      <c r="E22" s="2"/>
      <c r="F22" s="3">
        <v>44304.805324074077</v>
      </c>
      <c r="G22" s="2" t="s">
        <v>50</v>
      </c>
      <c r="H22" s="2" t="s">
        <v>21</v>
      </c>
      <c r="I22" s="2">
        <v>6.1426633333333296</v>
      </c>
      <c r="J22" s="2">
        <v>66</v>
      </c>
      <c r="K22" s="2" t="s">
        <v>21</v>
      </c>
      <c r="L22" s="2">
        <v>78900.989110102804</v>
      </c>
      <c r="M22" s="2">
        <v>1</v>
      </c>
      <c r="N22" s="2">
        <v>486608.939442017</v>
      </c>
      <c r="O22" s="2">
        <v>0.16214455328456701</v>
      </c>
      <c r="P22" s="2">
        <v>4.3726450000000003</v>
      </c>
      <c r="Q22" s="2"/>
      <c r="R22" s="2"/>
      <c r="S22" s="2"/>
    </row>
    <row r="23" spans="1:19" x14ac:dyDescent="0.25">
      <c r="A23" s="2" t="s">
        <v>52</v>
      </c>
      <c r="B23" s="2"/>
      <c r="C23" s="2"/>
      <c r="D23" s="2"/>
      <c r="E23" s="2"/>
      <c r="F23" s="3">
        <v>44304.806921296295</v>
      </c>
      <c r="G23" s="2" t="s">
        <v>50</v>
      </c>
      <c r="H23" s="2" t="s">
        <v>21</v>
      </c>
      <c r="I23" s="2">
        <v>6.1426600000000002</v>
      </c>
      <c r="J23" s="2">
        <v>66</v>
      </c>
      <c r="K23" s="2" t="s">
        <v>21</v>
      </c>
      <c r="L23" s="2">
        <v>56921.194632111998</v>
      </c>
      <c r="M23" s="2">
        <v>1</v>
      </c>
      <c r="N23" s="2">
        <v>498591.496551021</v>
      </c>
      <c r="O23" s="2">
        <v>0.114163990011585</v>
      </c>
      <c r="P23" s="2">
        <v>4.3769099999999996</v>
      </c>
      <c r="Q23" s="2"/>
      <c r="R23" s="2"/>
      <c r="S23" s="2"/>
    </row>
    <row r="24" spans="1:19" x14ac:dyDescent="0.25">
      <c r="A24" s="2" t="s">
        <v>53</v>
      </c>
      <c r="B24" s="2"/>
      <c r="C24" s="2"/>
      <c r="D24" s="2"/>
      <c r="E24" s="2"/>
      <c r="F24" s="3">
        <v>44304.808506944442</v>
      </c>
      <c r="G24" s="2" t="s">
        <v>50</v>
      </c>
      <c r="H24" s="2" t="s">
        <v>21</v>
      </c>
      <c r="I24" s="2">
        <v>6.1383900000000002</v>
      </c>
      <c r="J24" s="2">
        <v>66</v>
      </c>
      <c r="K24" s="2" t="s">
        <v>21</v>
      </c>
      <c r="L24" s="2">
        <v>61497.260201724202</v>
      </c>
      <c r="M24" s="2">
        <v>1</v>
      </c>
      <c r="N24" s="2">
        <v>489074.30064158503</v>
      </c>
      <c r="O24" s="2">
        <v>0.12574216253246201</v>
      </c>
      <c r="P24" s="2">
        <v>4.3769116666666603</v>
      </c>
      <c r="Q24" s="2"/>
      <c r="R24" s="2"/>
      <c r="S24" s="2"/>
    </row>
    <row r="25" spans="1:19" x14ac:dyDescent="0.25">
      <c r="A25" s="2" t="s">
        <v>54</v>
      </c>
      <c r="B25" s="2"/>
      <c r="C25" s="2"/>
      <c r="D25" s="2"/>
      <c r="E25" s="2"/>
      <c r="F25" s="3">
        <v>44304.81009259259</v>
      </c>
      <c r="G25" s="2" t="s">
        <v>50</v>
      </c>
      <c r="H25" s="2" t="s">
        <v>21</v>
      </c>
      <c r="I25" s="2">
        <v>6.1383933333333296</v>
      </c>
      <c r="J25" s="2">
        <v>66</v>
      </c>
      <c r="K25" s="2" t="s">
        <v>21</v>
      </c>
      <c r="L25" s="2">
        <v>550384.07951754704</v>
      </c>
      <c r="M25" s="2">
        <v>1</v>
      </c>
      <c r="N25" s="2">
        <v>488405.12086071202</v>
      </c>
      <c r="O25" s="2">
        <v>1.1269007142013701</v>
      </c>
      <c r="P25" s="2">
        <v>4.4399016666666604</v>
      </c>
      <c r="Q25" s="2"/>
      <c r="R25" s="2"/>
      <c r="S25" s="2"/>
    </row>
    <row r="26" spans="1:19" x14ac:dyDescent="0.25">
      <c r="A26" s="2" t="s">
        <v>55</v>
      </c>
      <c r="B26" s="2"/>
      <c r="C26" s="2"/>
      <c r="D26" s="2"/>
      <c r="E26" s="2"/>
      <c r="F26" s="3">
        <v>44304.811678240738</v>
      </c>
      <c r="G26" s="2" t="s">
        <v>50</v>
      </c>
      <c r="H26" s="2" t="s">
        <v>21</v>
      </c>
      <c r="I26" s="2">
        <v>6.1298533333333296</v>
      </c>
      <c r="J26" s="2">
        <v>66</v>
      </c>
      <c r="K26" s="2" t="s">
        <v>21</v>
      </c>
      <c r="L26" s="2">
        <v>87574.238927198094</v>
      </c>
      <c r="M26" s="2">
        <v>1</v>
      </c>
      <c r="N26" s="2">
        <v>445368.96665092203</v>
      </c>
      <c r="O26" s="2">
        <v>0.196633006528805</v>
      </c>
      <c r="P26" s="2">
        <v>4.3769150000000003</v>
      </c>
      <c r="Q26" s="2"/>
      <c r="R26" s="2"/>
      <c r="S26" s="2"/>
    </row>
    <row r="27" spans="1:19" x14ac:dyDescent="0.25">
      <c r="A27" s="2" t="s">
        <v>56</v>
      </c>
      <c r="B27" s="2"/>
      <c r="C27" s="2"/>
      <c r="D27" s="2"/>
      <c r="E27" s="2"/>
      <c r="F27" s="3">
        <v>44304.813275462962</v>
      </c>
      <c r="G27" s="2" t="s">
        <v>50</v>
      </c>
      <c r="H27" s="2" t="s">
        <v>21</v>
      </c>
      <c r="I27" s="2">
        <v>6.1298483333333298</v>
      </c>
      <c r="J27" s="2">
        <v>66</v>
      </c>
      <c r="K27" s="2" t="s">
        <v>21</v>
      </c>
      <c r="L27" s="2">
        <v>107879.93568577099</v>
      </c>
      <c r="M27" s="2">
        <v>1</v>
      </c>
      <c r="N27" s="2">
        <v>508438.51277072699</v>
      </c>
      <c r="O27" s="2">
        <v>0.212178922280851</v>
      </c>
      <c r="P27" s="2">
        <v>4.3769116666666603</v>
      </c>
      <c r="Q27" s="2"/>
      <c r="R27" s="2"/>
      <c r="S27" s="2"/>
    </row>
    <row r="28" spans="1:19" x14ac:dyDescent="0.25">
      <c r="A28" s="2" t="s">
        <v>57</v>
      </c>
      <c r="B28" s="2"/>
      <c r="C28" s="2"/>
      <c r="D28" s="2"/>
      <c r="E28" s="2"/>
      <c r="F28" s="3">
        <v>44304.814872685187</v>
      </c>
      <c r="G28" s="2" t="s">
        <v>50</v>
      </c>
      <c r="H28" s="2" t="s">
        <v>21</v>
      </c>
      <c r="I28" s="2">
        <v>6.1383900000000002</v>
      </c>
      <c r="J28" s="2">
        <v>66</v>
      </c>
      <c r="K28" s="2" t="s">
        <v>21</v>
      </c>
      <c r="L28" s="2">
        <v>56390.160044637501</v>
      </c>
      <c r="M28" s="2">
        <v>1</v>
      </c>
      <c r="N28" s="2">
        <v>500488.95990080398</v>
      </c>
      <c r="O28" s="2">
        <v>0.11267013773053899</v>
      </c>
      <c r="P28" s="2">
        <v>4.3769116666666603</v>
      </c>
      <c r="Q28" s="2"/>
      <c r="R28" s="2"/>
      <c r="S28" s="2"/>
    </row>
    <row r="29" spans="1:19" x14ac:dyDescent="0.25">
      <c r="A29" s="2" t="s">
        <v>58</v>
      </c>
      <c r="B29" s="2"/>
      <c r="C29" s="2"/>
      <c r="D29" s="2"/>
      <c r="E29" s="2"/>
      <c r="F29" s="3">
        <v>44304.816458333335</v>
      </c>
      <c r="G29" s="2" t="s">
        <v>50</v>
      </c>
      <c r="H29" s="2" t="s">
        <v>21</v>
      </c>
      <c r="I29" s="2">
        <v>6.13839166666666</v>
      </c>
      <c r="J29" s="2">
        <v>66</v>
      </c>
      <c r="K29" s="2" t="s">
        <v>21</v>
      </c>
      <c r="L29" s="2">
        <v>68444.456895301206</v>
      </c>
      <c r="M29" s="2">
        <v>1</v>
      </c>
      <c r="N29" s="2">
        <v>496605.50175895198</v>
      </c>
      <c r="O29" s="2">
        <v>0.137824604546011</v>
      </c>
      <c r="P29" s="2">
        <v>4.3726433333333299</v>
      </c>
      <c r="Q29" s="2"/>
      <c r="R29" s="2"/>
      <c r="S29" s="2"/>
    </row>
    <row r="30" spans="1:19" x14ac:dyDescent="0.25">
      <c r="A30" s="2" t="s">
        <v>59</v>
      </c>
      <c r="B30" s="2"/>
      <c r="C30" s="2"/>
      <c r="D30" s="2"/>
      <c r="E30" s="2"/>
      <c r="F30" s="3">
        <v>44304.837187500001</v>
      </c>
      <c r="G30" s="2" t="s">
        <v>50</v>
      </c>
      <c r="H30" s="2" t="s">
        <v>21</v>
      </c>
      <c r="I30" s="2">
        <v>6.13838333333333</v>
      </c>
      <c r="J30" s="2">
        <v>66</v>
      </c>
      <c r="K30" s="2" t="s">
        <v>21</v>
      </c>
      <c r="L30" s="2">
        <v>402877.11242681701</v>
      </c>
      <c r="M30" s="2">
        <v>1</v>
      </c>
      <c r="N30" s="2">
        <v>308390.24750191299</v>
      </c>
      <c r="O30" s="2">
        <v>1.30638733128004</v>
      </c>
      <c r="P30" s="2">
        <v>4.4484316666666599</v>
      </c>
      <c r="Q30" s="2"/>
      <c r="R30" s="2"/>
      <c r="S30" s="2"/>
    </row>
    <row r="31" spans="1:19" x14ac:dyDescent="0.25">
      <c r="A31" s="2" t="s">
        <v>60</v>
      </c>
      <c r="B31" s="2"/>
      <c r="C31" s="2"/>
      <c r="D31" s="2"/>
      <c r="E31" s="2"/>
      <c r="F31" s="3">
        <v>44304.838761574072</v>
      </c>
      <c r="G31" s="2" t="s">
        <v>50</v>
      </c>
      <c r="H31" s="2" t="s">
        <v>21</v>
      </c>
      <c r="I31" s="2">
        <v>6.1383900000000002</v>
      </c>
      <c r="J31" s="2">
        <v>66</v>
      </c>
      <c r="K31" s="2" t="s">
        <v>21</v>
      </c>
      <c r="L31" s="2">
        <v>36416.009832166601</v>
      </c>
      <c r="M31" s="2">
        <v>1</v>
      </c>
      <c r="N31" s="2">
        <v>437076.16844337102</v>
      </c>
      <c r="O31" s="2">
        <v>8.3317308197929998E-2</v>
      </c>
      <c r="P31" s="2">
        <v>4.3726416666666603</v>
      </c>
      <c r="Q31" s="2"/>
      <c r="R31" s="2"/>
      <c r="S31" s="2"/>
    </row>
    <row r="32" spans="1:19" x14ac:dyDescent="0.25">
      <c r="A32" s="2" t="s">
        <v>61</v>
      </c>
      <c r="B32" s="2"/>
      <c r="C32" s="2"/>
      <c r="D32" s="2"/>
      <c r="E32" s="2"/>
      <c r="F32" s="3">
        <v>44304.840358796297</v>
      </c>
      <c r="G32" s="2" t="s">
        <v>50</v>
      </c>
      <c r="H32" s="2" t="s">
        <v>21</v>
      </c>
      <c r="I32" s="2">
        <v>6.1383900000000002</v>
      </c>
      <c r="J32" s="2">
        <v>66</v>
      </c>
      <c r="K32" s="2" t="s">
        <v>21</v>
      </c>
      <c r="L32" s="2">
        <v>110674.50288997</v>
      </c>
      <c r="M32" s="2">
        <v>1</v>
      </c>
      <c r="N32" s="2">
        <v>535561.02937159501</v>
      </c>
      <c r="O32" s="2">
        <v>0.206651523953921</v>
      </c>
      <c r="P32" s="2">
        <v>4.3726416666666603</v>
      </c>
      <c r="Q32" s="2"/>
      <c r="R32" s="2"/>
      <c r="S32" s="2"/>
    </row>
    <row r="33" spans="1:19" x14ac:dyDescent="0.25">
      <c r="A33" s="2" t="s">
        <v>62</v>
      </c>
      <c r="B33" s="2"/>
      <c r="C33" s="2"/>
      <c r="D33" s="2"/>
      <c r="E33" s="2"/>
      <c r="F33" s="3">
        <v>44304.841944444444</v>
      </c>
      <c r="G33" s="2" t="s">
        <v>50</v>
      </c>
      <c r="H33" s="2" t="s">
        <v>21</v>
      </c>
      <c r="I33" s="2">
        <v>6.13839166666666</v>
      </c>
      <c r="J33" s="2">
        <v>66</v>
      </c>
      <c r="K33" s="2" t="s">
        <v>21</v>
      </c>
      <c r="L33" s="2">
        <v>82592.639841345197</v>
      </c>
      <c r="M33" s="2">
        <v>1</v>
      </c>
      <c r="N33" s="2">
        <v>528599.99226026796</v>
      </c>
      <c r="O33" s="2">
        <v>0.15624790210113901</v>
      </c>
      <c r="P33" s="2">
        <v>4.3726433333333299</v>
      </c>
      <c r="Q33" s="2"/>
      <c r="R33" s="2"/>
      <c r="S33" s="2"/>
    </row>
    <row r="34" spans="1:19" x14ac:dyDescent="0.25">
      <c r="A34" s="2" t="s">
        <v>19</v>
      </c>
      <c r="B34" s="2"/>
      <c r="C34" s="2"/>
      <c r="D34" s="2"/>
      <c r="E34" s="2"/>
      <c r="F34" s="3">
        <v>44304.783043981479</v>
      </c>
      <c r="G34" s="2" t="s">
        <v>102</v>
      </c>
      <c r="H34" s="2" t="s">
        <v>21</v>
      </c>
      <c r="I34" s="2">
        <v>6.1434049999999996</v>
      </c>
      <c r="J34" s="2">
        <v>57</v>
      </c>
      <c r="K34" s="2" t="s">
        <v>21</v>
      </c>
      <c r="L34" s="2">
        <v>5096727.0529405102</v>
      </c>
      <c r="M34" s="2">
        <v>1</v>
      </c>
      <c r="N34" s="2">
        <v>724003.150201443</v>
      </c>
      <c r="O34" s="2">
        <v>7.03964761965804</v>
      </c>
      <c r="P34" s="2">
        <v>4.9044150000000002</v>
      </c>
      <c r="Q34" s="2"/>
      <c r="R34" s="2"/>
      <c r="S34" s="2"/>
    </row>
    <row r="35" spans="1:19" x14ac:dyDescent="0.25">
      <c r="A35" s="2" t="s">
        <v>22</v>
      </c>
      <c r="B35" s="2"/>
      <c r="C35" s="2"/>
      <c r="D35" s="2"/>
      <c r="E35" s="2"/>
      <c r="F35" s="3">
        <v>44304.797361111108</v>
      </c>
      <c r="G35" s="2" t="s">
        <v>102</v>
      </c>
      <c r="H35" s="2" t="s">
        <v>21</v>
      </c>
      <c r="I35" s="2">
        <v>6.130725</v>
      </c>
      <c r="J35" s="2">
        <v>57</v>
      </c>
      <c r="K35" s="2" t="s">
        <v>21</v>
      </c>
      <c r="L35" s="2">
        <v>0</v>
      </c>
      <c r="M35" s="2">
        <v>1</v>
      </c>
      <c r="N35" s="2">
        <v>382677.237752121</v>
      </c>
      <c r="O35" s="2">
        <v>0</v>
      </c>
      <c r="P35" s="2" t="s">
        <v>21</v>
      </c>
      <c r="Q35" s="2"/>
      <c r="R35" s="2"/>
      <c r="S35" s="2"/>
    </row>
    <row r="36" spans="1:19" x14ac:dyDescent="0.25">
      <c r="A36" s="2" t="s">
        <v>23</v>
      </c>
      <c r="B36" s="2"/>
      <c r="C36" s="2"/>
      <c r="D36" s="2"/>
      <c r="E36" s="2"/>
      <c r="F36" s="3">
        <v>44304.802129629628</v>
      </c>
      <c r="G36" s="2" t="s">
        <v>102</v>
      </c>
      <c r="H36" s="2" t="s">
        <v>21</v>
      </c>
      <c r="I36" s="2">
        <v>6.1391616666666602</v>
      </c>
      <c r="J36" s="2">
        <v>57</v>
      </c>
      <c r="K36" s="2" t="s">
        <v>21</v>
      </c>
      <c r="L36" s="2">
        <v>5367245.4426638503</v>
      </c>
      <c r="M36" s="2">
        <v>1</v>
      </c>
      <c r="N36" s="2">
        <v>767393.257466326</v>
      </c>
      <c r="O36" s="2">
        <v>6.9941264018720899</v>
      </c>
      <c r="P36" s="2">
        <v>4.89594666666666</v>
      </c>
      <c r="Q36" s="2"/>
      <c r="R36" s="2"/>
      <c r="S36" s="2"/>
    </row>
    <row r="37" spans="1:19" x14ac:dyDescent="0.25">
      <c r="A37" s="2" t="s">
        <v>24</v>
      </c>
      <c r="B37" s="2"/>
      <c r="C37" s="2"/>
      <c r="D37" s="2"/>
      <c r="E37" s="2"/>
      <c r="F37" s="3">
        <v>44304.803726851853</v>
      </c>
      <c r="G37" s="2" t="s">
        <v>102</v>
      </c>
      <c r="H37" s="2" t="s">
        <v>21</v>
      </c>
      <c r="I37" s="2">
        <v>6.1265116666666604</v>
      </c>
      <c r="J37" s="2">
        <v>57</v>
      </c>
      <c r="K37" s="2" t="s">
        <v>21</v>
      </c>
      <c r="L37" s="2">
        <v>0</v>
      </c>
      <c r="M37" s="2">
        <v>1</v>
      </c>
      <c r="N37" s="2">
        <v>327471.84305237798</v>
      </c>
      <c r="O37" s="2">
        <v>0</v>
      </c>
      <c r="P37" s="2" t="s">
        <v>21</v>
      </c>
      <c r="Q37" s="2"/>
      <c r="R37" s="2"/>
      <c r="S37" s="2"/>
    </row>
    <row r="38" spans="1:19" x14ac:dyDescent="0.25">
      <c r="A38" s="2" t="s">
        <v>103</v>
      </c>
      <c r="B38" s="2"/>
      <c r="C38" s="2"/>
      <c r="D38" s="2"/>
      <c r="E38" s="2"/>
      <c r="F38" s="3">
        <v>44304.805324074077</v>
      </c>
      <c r="G38" s="2" t="s">
        <v>102</v>
      </c>
      <c r="H38" s="2" t="s">
        <v>21</v>
      </c>
      <c r="I38" s="2">
        <v>6.1394533333333303</v>
      </c>
      <c r="J38" s="2">
        <v>57</v>
      </c>
      <c r="K38" s="2" t="s">
        <v>21</v>
      </c>
      <c r="L38" s="2">
        <v>2554698.1867902</v>
      </c>
      <c r="M38" s="2">
        <v>1</v>
      </c>
      <c r="N38" s="2">
        <v>549609.51071963098</v>
      </c>
      <c r="O38" s="2">
        <v>4.6482059297795004</v>
      </c>
      <c r="P38" s="2">
        <v>4.98328333333333</v>
      </c>
      <c r="Q38" s="2"/>
      <c r="R38" s="2"/>
      <c r="S38" s="2"/>
    </row>
    <row r="39" spans="1:19" x14ac:dyDescent="0.25">
      <c r="A39" s="2" t="s">
        <v>104</v>
      </c>
      <c r="B39" s="2"/>
      <c r="C39" s="2"/>
      <c r="D39" s="2"/>
      <c r="E39" s="2"/>
      <c r="F39" s="3">
        <v>44304.806921296295</v>
      </c>
      <c r="G39" s="2" t="s">
        <v>102</v>
      </c>
      <c r="H39" s="2" t="s">
        <v>21</v>
      </c>
      <c r="I39" s="2">
        <v>6.13957833333333</v>
      </c>
      <c r="J39" s="2">
        <v>57</v>
      </c>
      <c r="K39" s="2" t="s">
        <v>21</v>
      </c>
      <c r="L39" s="2">
        <v>2741293.4156452399</v>
      </c>
      <c r="M39" s="2">
        <v>1</v>
      </c>
      <c r="N39" s="2">
        <v>505498.18645709299</v>
      </c>
      <c r="O39" s="2">
        <v>5.4229540067359299</v>
      </c>
      <c r="P39" s="2">
        <v>4.8937316666666604</v>
      </c>
      <c r="Q39" s="2"/>
      <c r="R39" s="2"/>
      <c r="S39" s="2"/>
    </row>
    <row r="40" spans="1:19" x14ac:dyDescent="0.25">
      <c r="A40" s="2" t="s">
        <v>105</v>
      </c>
      <c r="B40" s="2"/>
      <c r="C40" s="2"/>
      <c r="D40" s="2"/>
      <c r="E40" s="2"/>
      <c r="F40" s="3">
        <v>44304.808506944442</v>
      </c>
      <c r="G40" s="2" t="s">
        <v>102</v>
      </c>
      <c r="H40" s="2" t="s">
        <v>21</v>
      </c>
      <c r="I40" s="2">
        <v>6.1394516666666599</v>
      </c>
      <c r="J40" s="2">
        <v>57</v>
      </c>
      <c r="K40" s="2" t="s">
        <v>21</v>
      </c>
      <c r="L40" s="2">
        <v>6652726.7009542603</v>
      </c>
      <c r="M40" s="2">
        <v>1</v>
      </c>
      <c r="N40" s="2">
        <v>482071.51816922502</v>
      </c>
      <c r="O40" s="2">
        <v>13.8002898951995</v>
      </c>
      <c r="P40" s="2">
        <v>4.8978766666666598</v>
      </c>
      <c r="Q40" s="2"/>
      <c r="R40" s="2"/>
      <c r="S40" s="2"/>
    </row>
    <row r="41" spans="1:19" x14ac:dyDescent="0.25">
      <c r="A41" s="2" t="s">
        <v>106</v>
      </c>
      <c r="B41" s="2"/>
      <c r="C41" s="2"/>
      <c r="D41" s="2"/>
      <c r="E41" s="2"/>
      <c r="F41" s="3">
        <v>44304.81009259259</v>
      </c>
      <c r="G41" s="2" t="s">
        <v>102</v>
      </c>
      <c r="H41" s="2" t="s">
        <v>21</v>
      </c>
      <c r="I41" s="2">
        <v>6.1351816666666599</v>
      </c>
      <c r="J41" s="2">
        <v>57</v>
      </c>
      <c r="K41" s="2" t="s">
        <v>21</v>
      </c>
      <c r="L41" s="2">
        <v>7957250.7030447796</v>
      </c>
      <c r="M41" s="2">
        <v>1</v>
      </c>
      <c r="N41" s="2">
        <v>483980.66740853299</v>
      </c>
      <c r="O41" s="2">
        <v>16.4412573453641</v>
      </c>
      <c r="P41" s="2">
        <v>4.8978766666666598</v>
      </c>
      <c r="Q41" s="2"/>
      <c r="R41" s="2"/>
      <c r="S41" s="2"/>
    </row>
    <row r="42" spans="1:19" x14ac:dyDescent="0.25">
      <c r="A42" s="2" t="s">
        <v>107</v>
      </c>
      <c r="B42" s="2"/>
      <c r="C42" s="2"/>
      <c r="D42" s="2"/>
      <c r="E42" s="2"/>
      <c r="F42" s="3">
        <v>44304.811678240738</v>
      </c>
      <c r="G42" s="2" t="s">
        <v>102</v>
      </c>
      <c r="H42" s="2" t="s">
        <v>21</v>
      </c>
      <c r="I42" s="2">
        <v>6.1309149999999999</v>
      </c>
      <c r="J42" s="2">
        <v>57</v>
      </c>
      <c r="K42" s="2" t="s">
        <v>21</v>
      </c>
      <c r="L42" s="2">
        <v>0</v>
      </c>
      <c r="M42" s="2">
        <v>1</v>
      </c>
      <c r="N42" s="2">
        <v>516175.40712197701</v>
      </c>
      <c r="O42" s="2">
        <v>0</v>
      </c>
      <c r="P42" s="2" t="s">
        <v>21</v>
      </c>
      <c r="Q42" s="2"/>
      <c r="R42" s="2"/>
      <c r="S42" s="2"/>
    </row>
    <row r="43" spans="1:19" x14ac:dyDescent="0.25">
      <c r="A43" s="2" t="s">
        <v>108</v>
      </c>
      <c r="B43" s="2"/>
      <c r="C43" s="2"/>
      <c r="D43" s="2"/>
      <c r="E43" s="2"/>
      <c r="F43" s="3">
        <v>44304.813275462962</v>
      </c>
      <c r="G43" s="2" t="s">
        <v>102</v>
      </c>
      <c r="H43" s="2" t="s">
        <v>21</v>
      </c>
      <c r="I43" s="2">
        <v>6.1309183333333301</v>
      </c>
      <c r="J43" s="2">
        <v>57</v>
      </c>
      <c r="K43" s="2" t="s">
        <v>21</v>
      </c>
      <c r="L43" s="2">
        <v>0</v>
      </c>
      <c r="M43" s="2">
        <v>1</v>
      </c>
      <c r="N43" s="2">
        <v>510275.36895166303</v>
      </c>
      <c r="O43" s="2">
        <v>0</v>
      </c>
      <c r="P43" s="2" t="s">
        <v>21</v>
      </c>
      <c r="Q43" s="2"/>
      <c r="R43" s="2"/>
      <c r="S43" s="2"/>
    </row>
    <row r="44" spans="1:19" x14ac:dyDescent="0.25">
      <c r="A44" s="2" t="s">
        <v>109</v>
      </c>
      <c r="B44" s="2"/>
      <c r="C44" s="2"/>
      <c r="D44" s="2"/>
      <c r="E44" s="2"/>
      <c r="F44" s="3">
        <v>44304.814872685187</v>
      </c>
      <c r="G44" s="2" t="s">
        <v>102</v>
      </c>
      <c r="H44" s="2" t="s">
        <v>21</v>
      </c>
      <c r="I44" s="2">
        <v>6.1351849999999999</v>
      </c>
      <c r="J44" s="2">
        <v>57</v>
      </c>
      <c r="K44" s="2" t="s">
        <v>21</v>
      </c>
      <c r="L44" s="2">
        <v>3491476.6934586102</v>
      </c>
      <c r="M44" s="2">
        <v>1</v>
      </c>
      <c r="N44" s="2">
        <v>435073.94810690201</v>
      </c>
      <c r="O44" s="2">
        <v>8.0250189850501599</v>
      </c>
      <c r="P44" s="2">
        <v>4.8978799999999998</v>
      </c>
      <c r="Q44" s="2"/>
      <c r="R44" s="2"/>
      <c r="S44" s="2"/>
    </row>
    <row r="45" spans="1:19" x14ac:dyDescent="0.25">
      <c r="A45" s="2" t="s">
        <v>110</v>
      </c>
      <c r="B45" s="2"/>
      <c r="C45" s="2"/>
      <c r="D45" s="2"/>
      <c r="E45" s="2"/>
      <c r="F45" s="3">
        <v>44304.816458333335</v>
      </c>
      <c r="G45" s="2" t="s">
        <v>102</v>
      </c>
      <c r="H45" s="2" t="s">
        <v>21</v>
      </c>
      <c r="I45" s="2">
        <v>6.1394533333333303</v>
      </c>
      <c r="J45" s="2">
        <v>57</v>
      </c>
      <c r="K45" s="2" t="s">
        <v>21</v>
      </c>
      <c r="L45" s="2">
        <v>3365856.9548883298</v>
      </c>
      <c r="M45" s="2">
        <v>1</v>
      </c>
      <c r="N45" s="2">
        <v>420310.44787950697</v>
      </c>
      <c r="O45" s="2">
        <v>8.0080259053023806</v>
      </c>
      <c r="P45" s="2">
        <v>4.9021483333333302</v>
      </c>
      <c r="Q45" s="2"/>
      <c r="R45" s="2"/>
      <c r="S45" s="2"/>
    </row>
    <row r="46" spans="1:19" x14ac:dyDescent="0.25">
      <c r="A46" s="2" t="s">
        <v>111</v>
      </c>
      <c r="B46" s="2"/>
      <c r="C46" s="2"/>
      <c r="D46" s="2"/>
      <c r="E46" s="2"/>
      <c r="F46" s="3">
        <v>44304.837187500001</v>
      </c>
      <c r="G46" s="2" t="s">
        <v>102</v>
      </c>
      <c r="H46" s="2" t="s">
        <v>21</v>
      </c>
      <c r="I46" s="2">
        <v>6.1309183333333301</v>
      </c>
      <c r="J46" s="2">
        <v>57</v>
      </c>
      <c r="K46" s="2" t="s">
        <v>21</v>
      </c>
      <c r="L46" s="2">
        <v>11409081.264265699</v>
      </c>
      <c r="M46" s="2">
        <v>1</v>
      </c>
      <c r="N46" s="2">
        <v>483844.09861302999</v>
      </c>
      <c r="O46" s="2">
        <v>23.580077336833501</v>
      </c>
      <c r="P46" s="2">
        <v>4.88934333333333</v>
      </c>
      <c r="Q46" s="2"/>
      <c r="R46" s="2"/>
      <c r="S46" s="2"/>
    </row>
    <row r="47" spans="1:19" x14ac:dyDescent="0.25">
      <c r="A47" s="2" t="s">
        <v>112</v>
      </c>
      <c r="B47" s="2"/>
      <c r="C47" s="2"/>
      <c r="D47" s="2"/>
      <c r="E47" s="2"/>
      <c r="F47" s="3">
        <v>44304.838761574072</v>
      </c>
      <c r="G47" s="2" t="s">
        <v>102</v>
      </c>
      <c r="H47" s="2" t="s">
        <v>21</v>
      </c>
      <c r="I47" s="2">
        <v>6.1309166666666597</v>
      </c>
      <c r="J47" s="2">
        <v>57</v>
      </c>
      <c r="K47" s="2" t="s">
        <v>21</v>
      </c>
      <c r="L47" s="2">
        <v>10327315.494603699</v>
      </c>
      <c r="M47" s="2">
        <v>1</v>
      </c>
      <c r="N47" s="2">
        <v>460221.54262050299</v>
      </c>
      <c r="O47" s="2">
        <v>22.439878489390001</v>
      </c>
      <c r="P47" s="2">
        <v>4.8893416666666596</v>
      </c>
      <c r="Q47" s="2"/>
      <c r="R47" s="2"/>
      <c r="S47" s="2"/>
    </row>
    <row r="48" spans="1:19" x14ac:dyDescent="0.25">
      <c r="A48" s="2" t="s">
        <v>113</v>
      </c>
      <c r="B48" s="2"/>
      <c r="C48" s="2"/>
      <c r="D48" s="2"/>
      <c r="E48" s="2"/>
      <c r="F48" s="3">
        <v>44304.840358796297</v>
      </c>
      <c r="G48" s="2" t="s">
        <v>102</v>
      </c>
      <c r="H48" s="2" t="s">
        <v>21</v>
      </c>
      <c r="I48" s="2">
        <v>6.1394599999999997</v>
      </c>
      <c r="J48" s="2">
        <v>57</v>
      </c>
      <c r="K48" s="2" t="s">
        <v>21</v>
      </c>
      <c r="L48" s="2">
        <v>2030495.88359217</v>
      </c>
      <c r="M48" s="2">
        <v>1</v>
      </c>
      <c r="N48" s="2">
        <v>532349.10722195404</v>
      </c>
      <c r="O48" s="2">
        <v>3.81421863218339</v>
      </c>
      <c r="P48" s="2">
        <v>4.89361333333333</v>
      </c>
      <c r="Q48" s="2"/>
      <c r="R48" s="2"/>
      <c r="S48" s="2"/>
    </row>
    <row r="49" spans="1:19" x14ac:dyDescent="0.25">
      <c r="A49" s="2" t="s">
        <v>114</v>
      </c>
      <c r="B49" s="2"/>
      <c r="C49" s="2"/>
      <c r="D49" s="2"/>
      <c r="E49" s="2"/>
      <c r="F49" s="3">
        <v>44304.841944444444</v>
      </c>
      <c r="G49" s="2" t="s">
        <v>102</v>
      </c>
      <c r="H49" s="2" t="s">
        <v>21</v>
      </c>
      <c r="I49" s="2">
        <v>6.1351849999999999</v>
      </c>
      <c r="J49" s="2">
        <v>57</v>
      </c>
      <c r="K49" s="2" t="s">
        <v>21</v>
      </c>
      <c r="L49" s="2">
        <v>2055712.19335231</v>
      </c>
      <c r="M49" s="2">
        <v>1</v>
      </c>
      <c r="N49" s="2">
        <v>514921.78328505199</v>
      </c>
      <c r="O49" s="2">
        <v>3.9922804978990398</v>
      </c>
      <c r="P49" s="2">
        <v>4.8893383333333302</v>
      </c>
      <c r="Q49" s="2"/>
      <c r="R49" s="2"/>
      <c r="S49" s="2"/>
    </row>
    <row r="50" spans="1:19" x14ac:dyDescent="0.25">
      <c r="A50" s="2" t="s">
        <v>19</v>
      </c>
      <c r="B50" s="2"/>
      <c r="C50" s="2"/>
      <c r="D50" s="2"/>
      <c r="E50" s="2"/>
      <c r="F50" s="3">
        <v>44304.671979166669</v>
      </c>
      <c r="G50" s="2" t="s">
        <v>76</v>
      </c>
      <c r="H50" s="2" t="s">
        <v>21</v>
      </c>
      <c r="I50" s="2">
        <v>6.1434049999999996</v>
      </c>
      <c r="J50" s="2">
        <v>57</v>
      </c>
      <c r="K50" s="2" t="s">
        <v>21</v>
      </c>
      <c r="L50" s="2">
        <v>2077138.72382842</v>
      </c>
      <c r="M50" s="2">
        <v>1</v>
      </c>
      <c r="N50" s="2">
        <v>724003.150201443</v>
      </c>
      <c r="O50" s="2">
        <v>2.86896365471681</v>
      </c>
      <c r="P50" s="2">
        <v>4.7058616666666602</v>
      </c>
      <c r="Q50" s="2"/>
      <c r="R50" s="2"/>
      <c r="S50" s="2"/>
    </row>
    <row r="51" spans="1:19" x14ac:dyDescent="0.25">
      <c r="A51" s="2" t="s">
        <v>22</v>
      </c>
      <c r="B51" s="2"/>
      <c r="C51" s="2"/>
      <c r="D51" s="2"/>
      <c r="E51" s="2"/>
      <c r="F51" s="3">
        <v>44304.673564814817</v>
      </c>
      <c r="G51" s="2" t="s">
        <v>76</v>
      </c>
      <c r="H51" s="2" t="s">
        <v>21</v>
      </c>
      <c r="I51" s="2">
        <v>6.130725</v>
      </c>
      <c r="J51" s="2">
        <v>57</v>
      </c>
      <c r="K51" s="2" t="s">
        <v>21</v>
      </c>
      <c r="L51" s="2">
        <v>0</v>
      </c>
      <c r="M51" s="2">
        <v>1</v>
      </c>
      <c r="N51" s="2">
        <v>382677.237752121</v>
      </c>
      <c r="O51" s="2">
        <v>0</v>
      </c>
      <c r="P51" s="2" t="s">
        <v>21</v>
      </c>
      <c r="Q51" s="2"/>
      <c r="R51" s="2"/>
      <c r="S51" s="2"/>
    </row>
    <row r="52" spans="1:19" x14ac:dyDescent="0.25">
      <c r="A52" s="2" t="s">
        <v>23</v>
      </c>
      <c r="B52" s="2"/>
      <c r="C52" s="2"/>
      <c r="D52" s="2"/>
      <c r="E52" s="2"/>
      <c r="F52" s="3">
        <v>44304.675150462965</v>
      </c>
      <c r="G52" s="2" t="s">
        <v>76</v>
      </c>
      <c r="H52" s="2" t="s">
        <v>21</v>
      </c>
      <c r="I52" s="2">
        <v>6.1391616666666602</v>
      </c>
      <c r="J52" s="2">
        <v>57</v>
      </c>
      <c r="K52" s="2" t="s">
        <v>21</v>
      </c>
      <c r="L52" s="2">
        <v>532205.11400279298</v>
      </c>
      <c r="M52" s="2">
        <v>1</v>
      </c>
      <c r="N52" s="2">
        <v>767393.257466326</v>
      </c>
      <c r="O52" s="2">
        <v>0.69352331262325095</v>
      </c>
      <c r="P52" s="2">
        <v>4.7227416666666597</v>
      </c>
      <c r="Q52" s="2"/>
      <c r="R52" s="2"/>
      <c r="S52" s="2"/>
    </row>
    <row r="53" spans="1:19" x14ac:dyDescent="0.25">
      <c r="A53" s="2" t="s">
        <v>24</v>
      </c>
      <c r="B53" s="2"/>
      <c r="C53" s="2"/>
      <c r="D53" s="2"/>
      <c r="E53" s="2"/>
      <c r="F53" s="3">
        <v>44304.676724537036</v>
      </c>
      <c r="G53" s="2" t="s">
        <v>76</v>
      </c>
      <c r="H53" s="2" t="s">
        <v>21</v>
      </c>
      <c r="I53" s="2">
        <v>6.1265116666666604</v>
      </c>
      <c r="J53" s="2">
        <v>57</v>
      </c>
      <c r="K53" s="2" t="s">
        <v>21</v>
      </c>
      <c r="L53" s="2">
        <v>0</v>
      </c>
      <c r="M53" s="2">
        <v>1</v>
      </c>
      <c r="N53" s="2">
        <v>327471.84305237798</v>
      </c>
      <c r="O53" s="2">
        <v>0</v>
      </c>
      <c r="P53" s="2" t="s">
        <v>21</v>
      </c>
      <c r="Q53" s="2"/>
      <c r="R53" s="2"/>
      <c r="S53" s="2"/>
    </row>
    <row r="54" spans="1:19" x14ac:dyDescent="0.25">
      <c r="A54" s="2" t="s">
        <v>77</v>
      </c>
      <c r="B54" s="2"/>
      <c r="C54" s="2"/>
      <c r="D54" s="2"/>
      <c r="E54" s="2"/>
      <c r="F54" s="3">
        <v>44304.69730324074</v>
      </c>
      <c r="G54" s="2" t="s">
        <v>76</v>
      </c>
      <c r="H54" s="2" t="s">
        <v>21</v>
      </c>
      <c r="I54" s="2">
        <v>6.1394616666666604</v>
      </c>
      <c r="J54" s="2">
        <v>57</v>
      </c>
      <c r="K54" s="2" t="s">
        <v>21</v>
      </c>
      <c r="L54" s="2">
        <v>2580890.8678812799</v>
      </c>
      <c r="M54" s="2">
        <v>1</v>
      </c>
      <c r="N54" s="2">
        <v>503604.73551430099</v>
      </c>
      <c r="O54" s="2">
        <v>5.1248343906964502</v>
      </c>
      <c r="P54" s="2">
        <v>4.7099950000000002</v>
      </c>
      <c r="Q54" s="2"/>
      <c r="R54" s="2"/>
      <c r="S54" s="2"/>
    </row>
    <row r="55" spans="1:19" x14ac:dyDescent="0.25">
      <c r="A55" s="2" t="s">
        <v>78</v>
      </c>
      <c r="B55" s="2"/>
      <c r="C55" s="2"/>
      <c r="D55" s="2"/>
      <c r="E55" s="2"/>
      <c r="F55" s="3">
        <v>44304.698888888888</v>
      </c>
      <c r="G55" s="2" t="s">
        <v>76</v>
      </c>
      <c r="H55" s="2" t="s">
        <v>21</v>
      </c>
      <c r="I55" s="2">
        <v>6.1437216666666599</v>
      </c>
      <c r="J55" s="2">
        <v>57</v>
      </c>
      <c r="K55" s="2" t="s">
        <v>21</v>
      </c>
      <c r="L55" s="2">
        <v>2538548.9386423398</v>
      </c>
      <c r="M55" s="2">
        <v>1</v>
      </c>
      <c r="N55" s="2">
        <v>488690.66108789301</v>
      </c>
      <c r="O55" s="2">
        <v>5.1945926959012798</v>
      </c>
      <c r="P55" s="2">
        <v>4.7099849999999996</v>
      </c>
      <c r="Q55" s="2"/>
      <c r="R55" s="2"/>
      <c r="S55" s="2"/>
    </row>
    <row r="56" spans="1:19" x14ac:dyDescent="0.25">
      <c r="A56" s="2" t="s">
        <v>79</v>
      </c>
      <c r="B56" s="2"/>
      <c r="C56" s="2"/>
      <c r="D56" s="2"/>
      <c r="E56" s="2"/>
      <c r="F56" s="3">
        <v>44304.700486111113</v>
      </c>
      <c r="G56" s="2" t="s">
        <v>76</v>
      </c>
      <c r="H56" s="2" t="s">
        <v>21</v>
      </c>
      <c r="I56" s="2">
        <v>6.1394583333333301</v>
      </c>
      <c r="J56" s="2">
        <v>57</v>
      </c>
      <c r="K56" s="2" t="s">
        <v>21</v>
      </c>
      <c r="L56" s="2">
        <v>5212264.3824795997</v>
      </c>
      <c r="M56" s="2">
        <v>1</v>
      </c>
      <c r="N56" s="2">
        <v>475331.02953999798</v>
      </c>
      <c r="O56" s="2">
        <v>10.9655462373743</v>
      </c>
      <c r="P56" s="2">
        <v>4.7057216666666601</v>
      </c>
      <c r="Q56" s="2"/>
      <c r="R56" s="2"/>
      <c r="S56" s="2"/>
    </row>
    <row r="57" spans="1:19" x14ac:dyDescent="0.25">
      <c r="A57" s="2" t="s">
        <v>80</v>
      </c>
      <c r="B57" s="2"/>
      <c r="C57" s="2"/>
      <c r="D57" s="2"/>
      <c r="E57" s="2"/>
      <c r="F57" s="3">
        <v>44304.70207175926</v>
      </c>
      <c r="G57" s="2" t="s">
        <v>76</v>
      </c>
      <c r="H57" s="2" t="s">
        <v>21</v>
      </c>
      <c r="I57" s="2">
        <v>6.1394599999999997</v>
      </c>
      <c r="J57" s="2">
        <v>57</v>
      </c>
      <c r="K57" s="2" t="s">
        <v>21</v>
      </c>
      <c r="L57" s="2">
        <v>5677566.6878783396</v>
      </c>
      <c r="M57" s="2">
        <v>1</v>
      </c>
      <c r="N57" s="2">
        <v>475006.24111150601</v>
      </c>
      <c r="O57" s="2">
        <v>11.952614926896301</v>
      </c>
      <c r="P57" s="2">
        <v>4.7057233333333297</v>
      </c>
      <c r="Q57" s="2"/>
      <c r="R57" s="2"/>
      <c r="S57" s="2"/>
    </row>
    <row r="58" spans="1:19" x14ac:dyDescent="0.25">
      <c r="A58" s="2" t="s">
        <v>81</v>
      </c>
      <c r="B58" s="2"/>
      <c r="C58" s="2"/>
      <c r="D58" s="2"/>
      <c r="E58" s="2"/>
      <c r="F58" s="3">
        <v>44304.703657407408</v>
      </c>
      <c r="G58" s="2" t="s">
        <v>76</v>
      </c>
      <c r="H58" s="2" t="s">
        <v>21</v>
      </c>
      <c r="I58" s="2">
        <v>6.1351866666666597</v>
      </c>
      <c r="J58" s="2">
        <v>57</v>
      </c>
      <c r="K58" s="2" t="s">
        <v>21</v>
      </c>
      <c r="L58" s="2">
        <v>665769.87741707102</v>
      </c>
      <c r="M58" s="2">
        <v>1</v>
      </c>
      <c r="N58" s="2">
        <v>505554.06240871799</v>
      </c>
      <c r="O58" s="2">
        <v>1.31691133930365</v>
      </c>
      <c r="P58" s="2">
        <v>4.6886400000000004</v>
      </c>
      <c r="Q58" s="2"/>
      <c r="R58" s="2"/>
      <c r="S58" s="2"/>
    </row>
    <row r="59" spans="1:19" x14ac:dyDescent="0.25">
      <c r="A59" s="2" t="s">
        <v>82</v>
      </c>
      <c r="B59" s="2"/>
      <c r="C59" s="2"/>
      <c r="D59" s="2"/>
      <c r="E59" s="2"/>
      <c r="F59" s="3">
        <v>44304.705231481479</v>
      </c>
      <c r="G59" s="2" t="s">
        <v>76</v>
      </c>
      <c r="H59" s="2" t="s">
        <v>21</v>
      </c>
      <c r="I59" s="2">
        <v>6.1351899999999997</v>
      </c>
      <c r="J59" s="2">
        <v>57</v>
      </c>
      <c r="K59" s="2" t="s">
        <v>21</v>
      </c>
      <c r="L59" s="2">
        <v>538482.07816334802</v>
      </c>
      <c r="M59" s="2">
        <v>1</v>
      </c>
      <c r="N59" s="2">
        <v>326983.826170013</v>
      </c>
      <c r="O59" s="2">
        <v>1.64681563755195</v>
      </c>
      <c r="P59" s="2">
        <v>4.6886433333333297</v>
      </c>
      <c r="Q59" s="2"/>
      <c r="R59" s="2"/>
      <c r="S59" s="2"/>
    </row>
    <row r="60" spans="1:19" x14ac:dyDescent="0.25">
      <c r="A60" s="2" t="s">
        <v>83</v>
      </c>
      <c r="B60" s="2"/>
      <c r="C60" s="2"/>
      <c r="D60" s="2"/>
      <c r="E60" s="2"/>
      <c r="F60" s="3">
        <v>44304.71</v>
      </c>
      <c r="G60" s="2" t="s">
        <v>76</v>
      </c>
      <c r="H60" s="2" t="s">
        <v>21</v>
      </c>
      <c r="I60" s="2">
        <v>6.1394433333333298</v>
      </c>
      <c r="J60" s="2">
        <v>57</v>
      </c>
      <c r="K60" s="2" t="s">
        <v>21</v>
      </c>
      <c r="L60" s="2">
        <v>3496822.02719273</v>
      </c>
      <c r="M60" s="2">
        <v>1</v>
      </c>
      <c r="N60" s="2">
        <v>479071.89267343102</v>
      </c>
      <c r="O60" s="2">
        <v>7.2991592298995602</v>
      </c>
      <c r="P60" s="2">
        <v>4.7057066666666598</v>
      </c>
      <c r="Q60" s="2"/>
      <c r="R60" s="2"/>
      <c r="S60" s="2"/>
    </row>
    <row r="61" spans="1:19" x14ac:dyDescent="0.25">
      <c r="A61" s="2" t="s">
        <v>84</v>
      </c>
      <c r="B61" s="2"/>
      <c r="C61" s="2"/>
      <c r="D61" s="2"/>
      <c r="E61" s="2"/>
      <c r="F61" s="3">
        <v>44304.711585648147</v>
      </c>
      <c r="G61" s="2" t="s">
        <v>76</v>
      </c>
      <c r="H61" s="2" t="s">
        <v>21</v>
      </c>
      <c r="I61" s="2">
        <v>6.1351916666666604</v>
      </c>
      <c r="J61" s="2">
        <v>57</v>
      </c>
      <c r="K61" s="2" t="s">
        <v>21</v>
      </c>
      <c r="L61" s="2">
        <v>3188245.52275777</v>
      </c>
      <c r="M61" s="2">
        <v>1</v>
      </c>
      <c r="N61" s="2">
        <v>472881.981311051</v>
      </c>
      <c r="O61" s="2">
        <v>6.7421590349424001</v>
      </c>
      <c r="P61" s="2">
        <v>4.7014550000000002</v>
      </c>
      <c r="Q61" s="2"/>
      <c r="R61" s="2"/>
      <c r="S61" s="2"/>
    </row>
    <row r="62" spans="1:19" x14ac:dyDescent="0.25">
      <c r="A62" s="2" t="s">
        <v>85</v>
      </c>
      <c r="B62" s="2"/>
      <c r="C62" s="2"/>
      <c r="D62" s="2"/>
      <c r="E62" s="2"/>
      <c r="F62" s="3">
        <v>44304.713171296295</v>
      </c>
      <c r="G62" s="2" t="s">
        <v>76</v>
      </c>
      <c r="H62" s="2" t="s">
        <v>21</v>
      </c>
      <c r="I62" s="2">
        <v>6.1394583333333301</v>
      </c>
      <c r="J62" s="2">
        <v>57</v>
      </c>
      <c r="K62" s="2" t="s">
        <v>21</v>
      </c>
      <c r="L62" s="2">
        <v>6027241.2958363499</v>
      </c>
      <c r="M62" s="2">
        <v>1</v>
      </c>
      <c r="N62" s="2">
        <v>466690.67346993199</v>
      </c>
      <c r="O62" s="2">
        <v>12.9148526818046</v>
      </c>
      <c r="P62" s="2">
        <v>4.7014516666666601</v>
      </c>
      <c r="Q62" s="2"/>
      <c r="R62" s="2"/>
      <c r="S62" s="2"/>
    </row>
    <row r="63" spans="1:19" x14ac:dyDescent="0.25">
      <c r="A63" s="2" t="s">
        <v>86</v>
      </c>
      <c r="B63" s="2"/>
      <c r="C63" s="2"/>
      <c r="D63" s="2"/>
      <c r="E63" s="2"/>
      <c r="F63" s="3">
        <v>44304.727418981478</v>
      </c>
      <c r="G63" s="2" t="s">
        <v>76</v>
      </c>
      <c r="H63" s="2" t="s">
        <v>21</v>
      </c>
      <c r="I63" s="2">
        <v>6.1394516666666599</v>
      </c>
      <c r="J63" s="2">
        <v>57</v>
      </c>
      <c r="K63" s="2" t="s">
        <v>21</v>
      </c>
      <c r="L63" s="2">
        <v>5714986.03072209</v>
      </c>
      <c r="M63" s="2">
        <v>1</v>
      </c>
      <c r="N63" s="2">
        <v>460001.482277904</v>
      </c>
      <c r="O63" s="2">
        <v>12.423842641597</v>
      </c>
      <c r="P63" s="2">
        <v>4.6971733333333301</v>
      </c>
      <c r="Q63" s="2"/>
      <c r="R63" s="2"/>
      <c r="S63" s="2"/>
    </row>
    <row r="64" spans="1:19" x14ac:dyDescent="0.25">
      <c r="A64" s="2" t="s">
        <v>87</v>
      </c>
      <c r="B64" s="2"/>
      <c r="C64" s="2"/>
      <c r="D64" s="2"/>
      <c r="E64" s="2"/>
      <c r="F64" s="3">
        <v>44304.732164351852</v>
      </c>
      <c r="G64" s="2" t="s">
        <v>76</v>
      </c>
      <c r="H64" s="2" t="s">
        <v>21</v>
      </c>
      <c r="I64" s="2">
        <v>6.1394566666666597</v>
      </c>
      <c r="J64" s="2">
        <v>57</v>
      </c>
      <c r="K64" s="2" t="s">
        <v>21</v>
      </c>
      <c r="L64" s="2">
        <v>1176439.3716416799</v>
      </c>
      <c r="M64" s="2">
        <v>1</v>
      </c>
      <c r="N64" s="2">
        <v>504161.52560343198</v>
      </c>
      <c r="O64" s="2">
        <v>2.3334572590274401</v>
      </c>
      <c r="P64" s="2">
        <v>4.7014500000000004</v>
      </c>
      <c r="Q64" s="2"/>
      <c r="R64" s="2"/>
      <c r="S64" s="2"/>
    </row>
    <row r="65" spans="1:19" x14ac:dyDescent="0.25">
      <c r="A65" s="2" t="s">
        <v>88</v>
      </c>
      <c r="B65" s="2"/>
      <c r="C65" s="2"/>
      <c r="D65" s="2"/>
      <c r="E65" s="2"/>
      <c r="F65" s="3">
        <v>44304.733761574076</v>
      </c>
      <c r="G65" s="2" t="s">
        <v>76</v>
      </c>
      <c r="H65" s="2" t="s">
        <v>21</v>
      </c>
      <c r="I65" s="2">
        <v>6.1351866666666597</v>
      </c>
      <c r="J65" s="2">
        <v>57</v>
      </c>
      <c r="K65" s="2" t="s">
        <v>21</v>
      </c>
      <c r="L65" s="2">
        <v>1080355.7490232</v>
      </c>
      <c r="M65" s="2">
        <v>1</v>
      </c>
      <c r="N65" s="2">
        <v>497939.99930419202</v>
      </c>
      <c r="O65" s="2">
        <v>2.1696504609648901</v>
      </c>
      <c r="P65" s="2">
        <v>4.6971800000000004</v>
      </c>
      <c r="Q65" s="2"/>
      <c r="R65" s="2"/>
      <c r="S65" s="2"/>
    </row>
    <row r="66" spans="1:19" x14ac:dyDescent="0.25">
      <c r="A66" s="2" t="s">
        <v>19</v>
      </c>
      <c r="B66" s="2"/>
      <c r="C66" s="2"/>
      <c r="D66" s="2"/>
      <c r="E66" s="2"/>
      <c r="F66" s="3">
        <v>44304.73537037037</v>
      </c>
      <c r="G66" s="2" t="s">
        <v>89</v>
      </c>
      <c r="H66" s="2" t="s">
        <v>21</v>
      </c>
      <c r="I66" s="2">
        <v>6.1434049999999996</v>
      </c>
      <c r="J66" s="2">
        <v>80</v>
      </c>
      <c r="K66" s="2" t="s">
        <v>21</v>
      </c>
      <c r="L66" s="2">
        <v>6454.1230523621098</v>
      </c>
      <c r="M66" s="2">
        <v>1</v>
      </c>
      <c r="N66" s="2">
        <v>724003.150201443</v>
      </c>
      <c r="O66" s="2">
        <v>8.9144958147849996E-3</v>
      </c>
      <c r="P66" s="2">
        <v>4.8642816666666597</v>
      </c>
      <c r="Q66" s="2"/>
      <c r="R66" s="2"/>
      <c r="S66" s="2"/>
    </row>
    <row r="67" spans="1:19" x14ac:dyDescent="0.25">
      <c r="A67" s="2" t="s">
        <v>22</v>
      </c>
      <c r="B67" s="2"/>
      <c r="C67" s="2"/>
      <c r="D67" s="2"/>
      <c r="E67" s="2"/>
      <c r="F67" s="3">
        <v>44304.736956018518</v>
      </c>
      <c r="G67" s="2" t="s">
        <v>89</v>
      </c>
      <c r="H67" s="2" t="s">
        <v>21</v>
      </c>
      <c r="I67" s="2">
        <v>6.130725</v>
      </c>
      <c r="J67" s="2">
        <v>80</v>
      </c>
      <c r="K67" s="2" t="s">
        <v>21</v>
      </c>
      <c r="L67" s="2">
        <v>2753.0220083571598</v>
      </c>
      <c r="M67" s="2">
        <v>1</v>
      </c>
      <c r="N67" s="2">
        <v>382677.237752121</v>
      </c>
      <c r="O67" s="2">
        <v>7.1941096484559996E-3</v>
      </c>
      <c r="P67" s="2">
        <v>4.8473783333333298</v>
      </c>
      <c r="Q67" s="2"/>
      <c r="R67" s="2"/>
      <c r="S67" s="2"/>
    </row>
    <row r="68" spans="1:19" x14ac:dyDescent="0.25">
      <c r="A68" s="2" t="s">
        <v>23</v>
      </c>
      <c r="B68" s="2"/>
      <c r="C68" s="2"/>
      <c r="D68" s="2"/>
      <c r="E68" s="2"/>
      <c r="F68" s="3">
        <v>44304.738553240742</v>
      </c>
      <c r="G68" s="2" t="s">
        <v>89</v>
      </c>
      <c r="H68" s="2" t="s">
        <v>21</v>
      </c>
      <c r="I68" s="2">
        <v>6.1391616666666602</v>
      </c>
      <c r="J68" s="2">
        <v>80</v>
      </c>
      <c r="K68" s="2" t="s">
        <v>21</v>
      </c>
      <c r="L68" s="2">
        <v>31336.1336507302</v>
      </c>
      <c r="M68" s="2">
        <v>1</v>
      </c>
      <c r="N68" s="2">
        <v>767393.257466326</v>
      </c>
      <c r="O68" s="2">
        <v>4.0834517824918003E-2</v>
      </c>
      <c r="P68" s="2">
        <v>4.8558133333333302</v>
      </c>
      <c r="Q68" s="2"/>
      <c r="R68" s="2"/>
      <c r="S68" s="2"/>
    </row>
    <row r="69" spans="1:19" x14ac:dyDescent="0.25">
      <c r="A69" s="2" t="s">
        <v>24</v>
      </c>
      <c r="B69" s="2"/>
      <c r="C69" s="2"/>
      <c r="D69" s="2"/>
      <c r="E69" s="2"/>
      <c r="F69" s="3">
        <v>44304.740162037036</v>
      </c>
      <c r="G69" s="2" t="s">
        <v>89</v>
      </c>
      <c r="H69" s="2" t="s">
        <v>21</v>
      </c>
      <c r="I69" s="2">
        <v>6.1265116666666604</v>
      </c>
      <c r="J69" s="2">
        <v>80</v>
      </c>
      <c r="K69" s="2" t="s">
        <v>21</v>
      </c>
      <c r="L69" s="2">
        <v>2304.38145660296</v>
      </c>
      <c r="M69" s="2">
        <v>1</v>
      </c>
      <c r="N69" s="2">
        <v>327471.84305237798</v>
      </c>
      <c r="O69" s="2">
        <v>7.0368842558299997E-3</v>
      </c>
      <c r="P69" s="2">
        <v>4.8473883333333303</v>
      </c>
      <c r="Q69" s="2"/>
      <c r="R69" s="2"/>
      <c r="S69" s="2"/>
    </row>
    <row r="70" spans="1:19" x14ac:dyDescent="0.25">
      <c r="A70" s="2" t="s">
        <v>90</v>
      </c>
      <c r="B70" s="2"/>
      <c r="C70" s="2"/>
      <c r="D70" s="2"/>
      <c r="E70" s="2"/>
      <c r="F70" s="3">
        <v>44304.741747685184</v>
      </c>
      <c r="G70" s="2" t="s">
        <v>89</v>
      </c>
      <c r="H70" s="2" t="s">
        <v>21</v>
      </c>
      <c r="I70" s="2">
        <v>6.1394566666666597</v>
      </c>
      <c r="J70" s="2">
        <v>80</v>
      </c>
      <c r="K70" s="2" t="s">
        <v>21</v>
      </c>
      <c r="L70" s="2">
        <v>16818.249134867001</v>
      </c>
      <c r="M70" s="2">
        <v>1</v>
      </c>
      <c r="N70" s="2">
        <v>461049.86076831399</v>
      </c>
      <c r="O70" s="2">
        <v>3.6478156845857E-2</v>
      </c>
      <c r="P70" s="2">
        <v>4.8594483333333303</v>
      </c>
      <c r="Q70" s="2"/>
      <c r="R70" s="2"/>
      <c r="S70" s="2"/>
    </row>
    <row r="71" spans="1:19" x14ac:dyDescent="0.25">
      <c r="A71" s="2" t="s">
        <v>91</v>
      </c>
      <c r="B71" s="2"/>
      <c r="C71" s="2"/>
      <c r="D71" s="2"/>
      <c r="E71" s="2"/>
      <c r="F71" s="3">
        <v>44304.743344907409</v>
      </c>
      <c r="G71" s="2" t="s">
        <v>89</v>
      </c>
      <c r="H71" s="2" t="s">
        <v>21</v>
      </c>
      <c r="I71" s="2">
        <v>6.1394583333333301</v>
      </c>
      <c r="J71" s="2">
        <v>80</v>
      </c>
      <c r="K71" s="2" t="s">
        <v>21</v>
      </c>
      <c r="L71" s="2">
        <v>18962.7540172716</v>
      </c>
      <c r="M71" s="2">
        <v>1</v>
      </c>
      <c r="N71" s="2">
        <v>469090.81908300897</v>
      </c>
      <c r="O71" s="2">
        <v>4.0424483374756001E-2</v>
      </c>
      <c r="P71" s="2">
        <v>4.8551816666666596</v>
      </c>
      <c r="Q71" s="2"/>
      <c r="R71" s="2"/>
      <c r="S71" s="2"/>
    </row>
    <row r="72" spans="1:19" x14ac:dyDescent="0.25">
      <c r="A72" s="2" t="s">
        <v>92</v>
      </c>
      <c r="B72" s="2"/>
      <c r="C72" s="2"/>
      <c r="D72" s="2"/>
      <c r="E72" s="2"/>
      <c r="F72" s="3">
        <v>44304.744930555556</v>
      </c>
      <c r="G72" s="2" t="s">
        <v>89</v>
      </c>
      <c r="H72" s="2" t="s">
        <v>21</v>
      </c>
      <c r="I72" s="2">
        <v>6.1394583333333301</v>
      </c>
      <c r="J72" s="2">
        <v>80</v>
      </c>
      <c r="K72" s="2" t="s">
        <v>21</v>
      </c>
      <c r="L72" s="2">
        <v>32168.374386150299</v>
      </c>
      <c r="M72" s="2">
        <v>1</v>
      </c>
      <c r="N72" s="2">
        <v>463169.70309983502</v>
      </c>
      <c r="O72" s="2">
        <v>6.9452673978583998E-2</v>
      </c>
      <c r="P72" s="2">
        <v>4.8594516666666596</v>
      </c>
      <c r="Q72" s="2"/>
      <c r="R72" s="2"/>
      <c r="S72" s="2"/>
    </row>
    <row r="73" spans="1:19" x14ac:dyDescent="0.25">
      <c r="A73" s="2" t="s">
        <v>93</v>
      </c>
      <c r="B73" s="2"/>
      <c r="C73" s="2"/>
      <c r="D73" s="2"/>
      <c r="E73" s="2"/>
      <c r="F73" s="3">
        <v>44304.746516203704</v>
      </c>
      <c r="G73" s="2" t="s">
        <v>89</v>
      </c>
      <c r="H73" s="2" t="s">
        <v>21</v>
      </c>
      <c r="I73" s="2">
        <v>6.1351883333333301</v>
      </c>
      <c r="J73" s="2">
        <v>80</v>
      </c>
      <c r="K73" s="2" t="s">
        <v>21</v>
      </c>
      <c r="L73" s="2">
        <v>30718.8913793477</v>
      </c>
      <c r="M73" s="2">
        <v>1</v>
      </c>
      <c r="N73" s="2">
        <v>426625.78481254203</v>
      </c>
      <c r="O73" s="2">
        <v>7.2004300895327999E-2</v>
      </c>
      <c r="P73" s="2">
        <v>4.8594499999999998</v>
      </c>
      <c r="Q73" s="2"/>
      <c r="R73" s="2"/>
      <c r="S73" s="2"/>
    </row>
    <row r="74" spans="1:19" x14ac:dyDescent="0.25">
      <c r="A74" s="2" t="s">
        <v>94</v>
      </c>
      <c r="B74" s="2"/>
      <c r="C74" s="2"/>
      <c r="D74" s="2"/>
      <c r="E74" s="2"/>
      <c r="F74" s="3">
        <v>44304.767060185186</v>
      </c>
      <c r="G74" s="2" t="s">
        <v>89</v>
      </c>
      <c r="H74" s="2" t="s">
        <v>21</v>
      </c>
      <c r="I74" s="2">
        <v>6.1351966666666602</v>
      </c>
      <c r="J74" s="2">
        <v>80</v>
      </c>
      <c r="K74" s="2" t="s">
        <v>21</v>
      </c>
      <c r="L74" s="2">
        <v>15598.958306942999</v>
      </c>
      <c r="M74" s="2">
        <v>1</v>
      </c>
      <c r="N74" s="2">
        <v>528290.71833039797</v>
      </c>
      <c r="O74" s="2">
        <v>2.9527223866892001E-2</v>
      </c>
      <c r="P74" s="2">
        <v>4.8466483333333299</v>
      </c>
      <c r="Q74" s="2"/>
      <c r="R74" s="2"/>
      <c r="S74" s="2"/>
    </row>
    <row r="75" spans="1:19" x14ac:dyDescent="0.25">
      <c r="A75" s="2" t="s">
        <v>95</v>
      </c>
      <c r="B75" s="2"/>
      <c r="C75" s="2"/>
      <c r="D75" s="2"/>
      <c r="E75" s="2"/>
      <c r="F75" s="3">
        <v>44304.768645833334</v>
      </c>
      <c r="G75" s="2" t="s">
        <v>89</v>
      </c>
      <c r="H75" s="2" t="s">
        <v>21</v>
      </c>
      <c r="I75" s="2">
        <v>6.1351883333333301</v>
      </c>
      <c r="J75" s="2">
        <v>80</v>
      </c>
      <c r="K75" s="2" t="s">
        <v>21</v>
      </c>
      <c r="L75" s="2">
        <v>14064.8398855793</v>
      </c>
      <c r="M75" s="2">
        <v>1</v>
      </c>
      <c r="N75" s="2">
        <v>485396.413698752</v>
      </c>
      <c r="O75" s="2">
        <v>2.8975986407489999E-2</v>
      </c>
      <c r="P75" s="2">
        <v>4.8509099999999998</v>
      </c>
      <c r="Q75" s="2"/>
      <c r="R75" s="2"/>
      <c r="S75" s="2"/>
    </row>
    <row r="76" spans="1:19" x14ac:dyDescent="0.25">
      <c r="A76" s="2" t="s">
        <v>96</v>
      </c>
      <c r="B76" s="2"/>
      <c r="C76" s="2"/>
      <c r="D76" s="2"/>
      <c r="E76" s="2"/>
      <c r="F76" s="3">
        <v>44304.770243055558</v>
      </c>
      <c r="G76" s="2" t="s">
        <v>89</v>
      </c>
      <c r="H76" s="2" t="s">
        <v>21</v>
      </c>
      <c r="I76" s="2">
        <v>6.1394549999999999</v>
      </c>
      <c r="J76" s="2">
        <v>80</v>
      </c>
      <c r="K76" s="2" t="s">
        <v>21</v>
      </c>
      <c r="L76" s="2">
        <v>18439.238772227101</v>
      </c>
      <c r="M76" s="2">
        <v>1</v>
      </c>
      <c r="N76" s="2">
        <v>432267.327521878</v>
      </c>
      <c r="O76" s="2">
        <v>4.2657026331221003E-2</v>
      </c>
      <c r="P76" s="2">
        <v>4.8637183333333303</v>
      </c>
      <c r="Q76" s="2"/>
      <c r="R76" s="2"/>
      <c r="S76" s="2"/>
    </row>
    <row r="77" spans="1:19" x14ac:dyDescent="0.25">
      <c r="A77" s="2" t="s">
        <v>97</v>
      </c>
      <c r="B77" s="2"/>
      <c r="C77" s="2"/>
      <c r="D77" s="2"/>
      <c r="E77" s="2"/>
      <c r="F77" s="3">
        <v>44304.771828703706</v>
      </c>
      <c r="G77" s="2" t="s">
        <v>89</v>
      </c>
      <c r="H77" s="2" t="s">
        <v>21</v>
      </c>
      <c r="I77" s="2">
        <v>6.1437249999999999</v>
      </c>
      <c r="J77" s="2">
        <v>80</v>
      </c>
      <c r="K77" s="2" t="s">
        <v>21</v>
      </c>
      <c r="L77" s="2">
        <v>21152.763042958399</v>
      </c>
      <c r="M77" s="2">
        <v>1</v>
      </c>
      <c r="N77" s="2">
        <v>446075.05349959101</v>
      </c>
      <c r="O77" s="2">
        <v>4.7419739967543E-2</v>
      </c>
      <c r="P77" s="2">
        <v>4.8637166666666598</v>
      </c>
      <c r="Q77" s="2"/>
      <c r="R77" s="2"/>
      <c r="S77" s="2"/>
    </row>
    <row r="78" spans="1:19" x14ac:dyDescent="0.25">
      <c r="A78" s="2" t="s">
        <v>98</v>
      </c>
      <c r="B78" s="2"/>
      <c r="C78" s="2"/>
      <c r="D78" s="2"/>
      <c r="E78" s="2"/>
      <c r="F78" s="3">
        <v>44304.773414351854</v>
      </c>
      <c r="G78" s="2" t="s">
        <v>89</v>
      </c>
      <c r="H78" s="2" t="s">
        <v>21</v>
      </c>
      <c r="I78" s="2">
        <v>6.1351899999999997</v>
      </c>
      <c r="J78" s="2">
        <v>80</v>
      </c>
      <c r="K78" s="2" t="s">
        <v>21</v>
      </c>
      <c r="L78" s="2">
        <v>38046.2289402631</v>
      </c>
      <c r="M78" s="2">
        <v>1</v>
      </c>
      <c r="N78" s="2">
        <v>442510.25975336903</v>
      </c>
      <c r="O78" s="2">
        <v>8.5978184915910999E-2</v>
      </c>
      <c r="P78" s="2">
        <v>4.8551816666666596</v>
      </c>
      <c r="Q78" s="2"/>
      <c r="R78" s="2"/>
      <c r="S78" s="2"/>
    </row>
    <row r="79" spans="1:19" x14ac:dyDescent="0.25">
      <c r="A79" s="2" t="s">
        <v>99</v>
      </c>
      <c r="B79" s="2"/>
      <c r="C79" s="2"/>
      <c r="D79" s="2"/>
      <c r="E79" s="2"/>
      <c r="F79" s="3">
        <v>44304.775023148148</v>
      </c>
      <c r="G79" s="2" t="s">
        <v>89</v>
      </c>
      <c r="H79" s="2" t="s">
        <v>21</v>
      </c>
      <c r="I79" s="2">
        <v>6.13957</v>
      </c>
      <c r="J79" s="2">
        <v>80</v>
      </c>
      <c r="K79" s="2" t="s">
        <v>21</v>
      </c>
      <c r="L79" s="2">
        <v>39767.174516763502</v>
      </c>
      <c r="M79" s="2">
        <v>1</v>
      </c>
      <c r="N79" s="2">
        <v>445164.87408924301</v>
      </c>
      <c r="O79" s="2">
        <v>8.9331339535991997E-2</v>
      </c>
      <c r="P79" s="2">
        <v>4.8552916666666599</v>
      </c>
      <c r="Q79" s="2"/>
      <c r="R79" s="2"/>
      <c r="S79" s="2"/>
    </row>
    <row r="80" spans="1:19" x14ac:dyDescent="0.25">
      <c r="A80" s="2" t="s">
        <v>100</v>
      </c>
      <c r="B80" s="2"/>
      <c r="C80" s="2"/>
      <c r="D80" s="2"/>
      <c r="E80" s="2"/>
      <c r="F80" s="3">
        <v>44304.779826388891</v>
      </c>
      <c r="G80" s="2" t="s">
        <v>89</v>
      </c>
      <c r="H80" s="2" t="s">
        <v>21</v>
      </c>
      <c r="I80" s="2">
        <v>6.1394549999999999</v>
      </c>
      <c r="J80" s="2">
        <v>80</v>
      </c>
      <c r="K80" s="2" t="s">
        <v>21</v>
      </c>
      <c r="L80" s="2">
        <v>9228.7210792125206</v>
      </c>
      <c r="M80" s="2">
        <v>1</v>
      </c>
      <c r="N80" s="2">
        <v>483395.13520066201</v>
      </c>
      <c r="O80" s="2">
        <v>1.9091464533216002E-2</v>
      </c>
      <c r="P80" s="2">
        <v>4.8509066666666598</v>
      </c>
      <c r="Q80" s="2"/>
      <c r="R80" s="2"/>
      <c r="S80" s="2"/>
    </row>
    <row r="81" spans="1:19" x14ac:dyDescent="0.25">
      <c r="A81" s="2" t="s">
        <v>101</v>
      </c>
      <c r="B81" s="2"/>
      <c r="C81" s="2"/>
      <c r="D81" s="2"/>
      <c r="E81" s="2"/>
      <c r="F81" s="3">
        <v>44304.781423611108</v>
      </c>
      <c r="G81" s="2" t="s">
        <v>89</v>
      </c>
      <c r="H81" s="2" t="s">
        <v>21</v>
      </c>
      <c r="I81" s="2">
        <v>6.1394616666666604</v>
      </c>
      <c r="J81" s="2">
        <v>80</v>
      </c>
      <c r="K81" s="2" t="s">
        <v>21</v>
      </c>
      <c r="L81" s="2">
        <v>9491.4741158806191</v>
      </c>
      <c r="M81" s="2">
        <v>1</v>
      </c>
      <c r="N81" s="2">
        <v>473997.52944417601</v>
      </c>
      <c r="O81" s="2">
        <v>2.0024311365105001E-2</v>
      </c>
      <c r="P81" s="2">
        <v>4.8637233333333301</v>
      </c>
      <c r="Q81" s="2"/>
      <c r="R81" s="2"/>
      <c r="S81" s="2"/>
    </row>
    <row r="82" spans="1:19" x14ac:dyDescent="0.25">
      <c r="A82" s="2" t="s">
        <v>19</v>
      </c>
      <c r="B82" s="2"/>
      <c r="C82" s="2"/>
      <c r="D82" s="2"/>
      <c r="E82" s="2"/>
      <c r="F82" s="3">
        <v>44304.73537037037</v>
      </c>
      <c r="G82" s="2" t="s">
        <v>37</v>
      </c>
      <c r="H82" s="2" t="s">
        <v>21</v>
      </c>
      <c r="I82" s="2">
        <v>6.1434049999999996</v>
      </c>
      <c r="J82" s="2">
        <v>66</v>
      </c>
      <c r="K82" s="2" t="s">
        <v>21</v>
      </c>
      <c r="L82" s="2">
        <v>0</v>
      </c>
      <c r="M82" s="2">
        <v>1</v>
      </c>
      <c r="N82" s="2">
        <v>724003.150201443</v>
      </c>
      <c r="O82" s="2">
        <v>0</v>
      </c>
      <c r="P82" s="2" t="s">
        <v>21</v>
      </c>
      <c r="Q82" s="2"/>
      <c r="R82" s="2"/>
      <c r="S82" s="2"/>
    </row>
    <row r="83" spans="1:19" x14ac:dyDescent="0.25">
      <c r="A83" s="2" t="s">
        <v>22</v>
      </c>
      <c r="B83" s="2"/>
      <c r="C83" s="2"/>
      <c r="D83" s="2"/>
      <c r="E83" s="2"/>
      <c r="F83" s="3">
        <v>44304.736956018518</v>
      </c>
      <c r="G83" s="2" t="s">
        <v>37</v>
      </c>
      <c r="H83" s="2" t="s">
        <v>21</v>
      </c>
      <c r="I83" s="2">
        <v>6.130725</v>
      </c>
      <c r="J83" s="2">
        <v>66</v>
      </c>
      <c r="K83" s="2" t="s">
        <v>21</v>
      </c>
      <c r="L83" s="2">
        <v>0</v>
      </c>
      <c r="M83" s="2">
        <v>1</v>
      </c>
      <c r="N83" s="2">
        <v>382677.237752121</v>
      </c>
      <c r="O83" s="2">
        <v>0</v>
      </c>
      <c r="P83" s="2" t="s">
        <v>21</v>
      </c>
      <c r="Q83" s="2"/>
      <c r="R83" s="2"/>
      <c r="S83" s="2"/>
    </row>
    <row r="84" spans="1:19" x14ac:dyDescent="0.25">
      <c r="A84" s="2" t="s">
        <v>23</v>
      </c>
      <c r="B84" s="2"/>
      <c r="C84" s="2"/>
      <c r="D84" s="2"/>
      <c r="E84" s="2"/>
      <c r="F84" s="3">
        <v>44304.738553240742</v>
      </c>
      <c r="G84" s="2" t="s">
        <v>37</v>
      </c>
      <c r="H84" s="2" t="s">
        <v>21</v>
      </c>
      <c r="I84" s="2">
        <v>6.1391616666666602</v>
      </c>
      <c r="J84" s="2">
        <v>66</v>
      </c>
      <c r="K84" s="2" t="s">
        <v>21</v>
      </c>
      <c r="L84" s="2">
        <v>0</v>
      </c>
      <c r="M84" s="2">
        <v>1</v>
      </c>
      <c r="N84" s="2">
        <v>767393.257466326</v>
      </c>
      <c r="O84" s="2">
        <v>0</v>
      </c>
      <c r="P84" s="2" t="s">
        <v>21</v>
      </c>
      <c r="Q84" s="2"/>
      <c r="R84" s="2"/>
      <c r="S84" s="2"/>
    </row>
    <row r="85" spans="1:19" x14ac:dyDescent="0.25">
      <c r="A85" s="2" t="s">
        <v>24</v>
      </c>
      <c r="B85" s="2"/>
      <c r="C85" s="2"/>
      <c r="D85" s="2"/>
      <c r="E85" s="2"/>
      <c r="F85" s="3">
        <v>44304.740162037036</v>
      </c>
      <c r="G85" s="2" t="s">
        <v>37</v>
      </c>
      <c r="H85" s="2" t="s">
        <v>21</v>
      </c>
      <c r="I85" s="2">
        <v>6.1265116666666604</v>
      </c>
      <c r="J85" s="2">
        <v>66</v>
      </c>
      <c r="K85" s="2" t="s">
        <v>21</v>
      </c>
      <c r="L85" s="2">
        <v>0</v>
      </c>
      <c r="M85" s="2">
        <v>1</v>
      </c>
      <c r="N85" s="2">
        <v>327471.84305237798</v>
      </c>
      <c r="O85" s="2">
        <v>0</v>
      </c>
      <c r="P85" s="2" t="s">
        <v>21</v>
      </c>
      <c r="Q85" s="2"/>
      <c r="R85" s="2"/>
      <c r="S85" s="2"/>
    </row>
    <row r="86" spans="1:19" x14ac:dyDescent="0.25">
      <c r="A86" s="2" t="s">
        <v>38</v>
      </c>
      <c r="B86" s="2"/>
      <c r="C86" s="2"/>
      <c r="D86" s="2"/>
      <c r="E86" s="2"/>
      <c r="F86" s="3">
        <v>44304.741747685184</v>
      </c>
      <c r="G86" s="2" t="s">
        <v>37</v>
      </c>
      <c r="H86" s="2" t="s">
        <v>21</v>
      </c>
      <c r="I86" s="2">
        <v>6.1373583333333297</v>
      </c>
      <c r="J86" s="2">
        <v>66</v>
      </c>
      <c r="K86" s="2" t="s">
        <v>21</v>
      </c>
      <c r="L86" s="2">
        <v>0</v>
      </c>
      <c r="M86" s="2">
        <v>1</v>
      </c>
      <c r="N86" s="2">
        <v>479720.247263739</v>
      </c>
      <c r="O86" s="2">
        <v>0</v>
      </c>
      <c r="P86" s="2" t="s">
        <v>21</v>
      </c>
      <c r="Q86" s="2"/>
      <c r="R86" s="2"/>
      <c r="S86" s="2"/>
    </row>
    <row r="87" spans="1:19" x14ac:dyDescent="0.25">
      <c r="A87" s="2" t="s">
        <v>39</v>
      </c>
      <c r="B87" s="2"/>
      <c r="C87" s="2"/>
      <c r="D87" s="2"/>
      <c r="E87" s="2"/>
      <c r="F87" s="3">
        <v>44304.743344907409</v>
      </c>
      <c r="G87" s="2" t="s">
        <v>37</v>
      </c>
      <c r="H87" s="2" t="s">
        <v>21</v>
      </c>
      <c r="I87" s="2">
        <v>6.1437666666666599</v>
      </c>
      <c r="J87" s="2">
        <v>66</v>
      </c>
      <c r="K87" s="2" t="s">
        <v>21</v>
      </c>
      <c r="L87" s="2">
        <v>0</v>
      </c>
      <c r="M87" s="2">
        <v>1</v>
      </c>
      <c r="N87" s="2">
        <v>470544.813138286</v>
      </c>
      <c r="O87" s="2">
        <v>0</v>
      </c>
      <c r="P87" s="2" t="s">
        <v>21</v>
      </c>
      <c r="Q87" s="2"/>
      <c r="R87" s="2"/>
      <c r="S87" s="2"/>
    </row>
    <row r="88" spans="1:19" x14ac:dyDescent="0.25">
      <c r="A88" s="2" t="s">
        <v>40</v>
      </c>
      <c r="B88" s="2"/>
      <c r="C88" s="2"/>
      <c r="D88" s="2"/>
      <c r="E88" s="2"/>
      <c r="F88" s="3">
        <v>44304.744930555556</v>
      </c>
      <c r="G88" s="2" t="s">
        <v>37</v>
      </c>
      <c r="H88" s="2" t="s">
        <v>21</v>
      </c>
      <c r="I88" s="2">
        <v>6.1405649999999996</v>
      </c>
      <c r="J88" s="2">
        <v>66</v>
      </c>
      <c r="K88" s="2" t="s">
        <v>21</v>
      </c>
      <c r="L88" s="2">
        <v>2135.4720486613301</v>
      </c>
      <c r="M88" s="2">
        <v>1</v>
      </c>
      <c r="N88" s="2">
        <v>481576.09928817302</v>
      </c>
      <c r="O88" s="2">
        <v>4.4343397685600002E-3</v>
      </c>
      <c r="P88" s="2">
        <v>4.2114616666666604</v>
      </c>
      <c r="Q88" s="2"/>
      <c r="R88" s="2"/>
      <c r="S88" s="2"/>
    </row>
    <row r="89" spans="1:19" x14ac:dyDescent="0.25">
      <c r="A89" s="2" t="s">
        <v>41</v>
      </c>
      <c r="B89" s="2"/>
      <c r="C89" s="2"/>
      <c r="D89" s="2"/>
      <c r="E89" s="2"/>
      <c r="F89" s="3">
        <v>44304.746516203704</v>
      </c>
      <c r="G89" s="2" t="s">
        <v>37</v>
      </c>
      <c r="H89" s="2" t="s">
        <v>21</v>
      </c>
      <c r="I89" s="2">
        <v>6.1341599999999996</v>
      </c>
      <c r="J89" s="2">
        <v>66</v>
      </c>
      <c r="K89" s="2" t="s">
        <v>21</v>
      </c>
      <c r="L89" s="2">
        <v>1366.0893759297501</v>
      </c>
      <c r="M89" s="2">
        <v>1</v>
      </c>
      <c r="N89" s="2">
        <v>289003.43465469498</v>
      </c>
      <c r="O89" s="2">
        <v>4.7268966805259997E-3</v>
      </c>
      <c r="P89" s="2">
        <v>4.2082600000000001</v>
      </c>
      <c r="Q89" s="2"/>
      <c r="R89" s="2"/>
      <c r="S89" s="2"/>
    </row>
    <row r="90" spans="1:19" x14ac:dyDescent="0.25">
      <c r="A90" s="2" t="s">
        <v>42</v>
      </c>
      <c r="B90" s="2"/>
      <c r="C90" s="2"/>
      <c r="D90" s="2"/>
      <c r="E90" s="2"/>
      <c r="F90" s="3">
        <v>44304.767060185186</v>
      </c>
      <c r="G90" s="2" t="s">
        <v>37</v>
      </c>
      <c r="H90" s="2" t="s">
        <v>21</v>
      </c>
      <c r="I90" s="2">
        <v>6.1309533333333297</v>
      </c>
      <c r="J90" s="2">
        <v>66</v>
      </c>
      <c r="K90" s="2" t="s">
        <v>21</v>
      </c>
      <c r="L90" s="2">
        <v>0</v>
      </c>
      <c r="M90" s="2">
        <v>1</v>
      </c>
      <c r="N90" s="2">
        <v>452315.21125252498</v>
      </c>
      <c r="O90" s="2">
        <v>0</v>
      </c>
      <c r="P90" s="2" t="s">
        <v>21</v>
      </c>
      <c r="Q90" s="2"/>
      <c r="R90" s="2"/>
      <c r="S90" s="2"/>
    </row>
    <row r="91" spans="1:19" x14ac:dyDescent="0.25">
      <c r="A91" s="2" t="s">
        <v>43</v>
      </c>
      <c r="B91" s="2"/>
      <c r="C91" s="2"/>
      <c r="D91" s="2"/>
      <c r="E91" s="2"/>
      <c r="F91" s="3">
        <v>44304.768645833334</v>
      </c>
      <c r="G91" s="2" t="s">
        <v>37</v>
      </c>
      <c r="H91" s="2" t="s">
        <v>21</v>
      </c>
      <c r="I91" s="2">
        <v>6.1373616666666599</v>
      </c>
      <c r="J91" s="2">
        <v>66</v>
      </c>
      <c r="K91" s="2" t="s">
        <v>21</v>
      </c>
      <c r="L91" s="2">
        <v>0</v>
      </c>
      <c r="M91" s="2">
        <v>1</v>
      </c>
      <c r="N91" s="2">
        <v>470254.229530796</v>
      </c>
      <c r="O91" s="2">
        <v>0</v>
      </c>
      <c r="P91" s="2" t="s">
        <v>21</v>
      </c>
      <c r="Q91" s="2"/>
      <c r="R91" s="2"/>
      <c r="S91" s="2"/>
    </row>
    <row r="92" spans="1:19" x14ac:dyDescent="0.25">
      <c r="A92" s="2" t="s">
        <v>44</v>
      </c>
      <c r="B92" s="2"/>
      <c r="C92" s="2"/>
      <c r="D92" s="2"/>
      <c r="E92" s="2"/>
      <c r="F92" s="3">
        <v>44304.770243055558</v>
      </c>
      <c r="G92" s="2" t="s">
        <v>37</v>
      </c>
      <c r="H92" s="2" t="s">
        <v>21</v>
      </c>
      <c r="I92" s="2">
        <v>6.1373566666666601</v>
      </c>
      <c r="J92" s="2">
        <v>66</v>
      </c>
      <c r="K92" s="2" t="s">
        <v>21</v>
      </c>
      <c r="L92" s="2">
        <v>0</v>
      </c>
      <c r="M92" s="2">
        <v>1</v>
      </c>
      <c r="N92" s="2">
        <v>474960.48671360698</v>
      </c>
      <c r="O92" s="2">
        <v>0</v>
      </c>
      <c r="P92" s="2" t="s">
        <v>21</v>
      </c>
      <c r="Q92" s="2"/>
      <c r="R92" s="2"/>
      <c r="S92" s="2"/>
    </row>
    <row r="93" spans="1:19" x14ac:dyDescent="0.25">
      <c r="A93" s="2" t="s">
        <v>45</v>
      </c>
      <c r="B93" s="2"/>
      <c r="C93" s="2"/>
      <c r="D93" s="2"/>
      <c r="E93" s="2"/>
      <c r="F93" s="3">
        <v>44304.771828703706</v>
      </c>
      <c r="G93" s="2" t="s">
        <v>37</v>
      </c>
      <c r="H93" s="2" t="s">
        <v>21</v>
      </c>
      <c r="I93" s="2">
        <v>6.1408250000000004</v>
      </c>
      <c r="J93" s="2">
        <v>66</v>
      </c>
      <c r="K93" s="2" t="s">
        <v>21</v>
      </c>
      <c r="L93" s="2">
        <v>0</v>
      </c>
      <c r="M93" s="2">
        <v>1</v>
      </c>
      <c r="N93" s="2">
        <v>454403.22043358599</v>
      </c>
      <c r="O93" s="2">
        <v>0</v>
      </c>
      <c r="P93" s="2" t="s">
        <v>21</v>
      </c>
      <c r="Q93" s="2"/>
      <c r="R93" s="2"/>
      <c r="S93" s="2"/>
    </row>
    <row r="94" spans="1:19" x14ac:dyDescent="0.25">
      <c r="A94" s="2" t="s">
        <v>46</v>
      </c>
      <c r="B94" s="2"/>
      <c r="C94" s="2"/>
      <c r="D94" s="2"/>
      <c r="E94" s="2"/>
      <c r="F94" s="3">
        <v>44304.773414351854</v>
      </c>
      <c r="G94" s="2" t="s">
        <v>37</v>
      </c>
      <c r="H94" s="2" t="s">
        <v>21</v>
      </c>
      <c r="I94" s="2">
        <v>6.1405649999999996</v>
      </c>
      <c r="J94" s="2">
        <v>66</v>
      </c>
      <c r="K94" s="2" t="s">
        <v>21</v>
      </c>
      <c r="L94" s="2">
        <v>1788.90703986531</v>
      </c>
      <c r="M94" s="2">
        <v>1</v>
      </c>
      <c r="N94" s="2">
        <v>329674.03829815402</v>
      </c>
      <c r="O94" s="2">
        <v>5.4262903111809997E-3</v>
      </c>
      <c r="P94" s="2">
        <v>4.2114616666666604</v>
      </c>
      <c r="Q94" s="2"/>
      <c r="R94" s="2"/>
      <c r="S94" s="2"/>
    </row>
    <row r="95" spans="1:19" x14ac:dyDescent="0.25">
      <c r="A95" s="2" t="s">
        <v>47</v>
      </c>
      <c r="B95" s="2"/>
      <c r="C95" s="2"/>
      <c r="D95" s="2"/>
      <c r="E95" s="2"/>
      <c r="F95" s="3">
        <v>44304.775023148148</v>
      </c>
      <c r="G95" s="2" t="s">
        <v>37</v>
      </c>
      <c r="H95" s="2" t="s">
        <v>21</v>
      </c>
      <c r="I95" s="2">
        <v>6.1245533333333304</v>
      </c>
      <c r="J95" s="2">
        <v>66</v>
      </c>
      <c r="K95" s="2" t="s">
        <v>21</v>
      </c>
      <c r="L95" s="2">
        <v>3817.2132241272102</v>
      </c>
      <c r="M95" s="2">
        <v>1</v>
      </c>
      <c r="N95" s="2">
        <v>558747.25594510802</v>
      </c>
      <c r="O95" s="2">
        <v>6.8317350707530001E-3</v>
      </c>
      <c r="P95" s="2">
        <v>4.1954500000000001</v>
      </c>
      <c r="Q95" s="2"/>
      <c r="R95" s="2"/>
      <c r="S95" s="2"/>
    </row>
    <row r="96" spans="1:19" x14ac:dyDescent="0.25">
      <c r="A96" s="2" t="s">
        <v>48</v>
      </c>
      <c r="B96" s="2"/>
      <c r="C96" s="2"/>
      <c r="D96" s="2"/>
      <c r="E96" s="2"/>
      <c r="F96" s="3">
        <v>44304.779826388891</v>
      </c>
      <c r="G96" s="2" t="s">
        <v>37</v>
      </c>
      <c r="H96" s="2" t="s">
        <v>21</v>
      </c>
      <c r="I96" s="2">
        <v>6.1373600000000001</v>
      </c>
      <c r="J96" s="2">
        <v>66</v>
      </c>
      <c r="K96" s="2" t="s">
        <v>21</v>
      </c>
      <c r="L96" s="2">
        <v>0</v>
      </c>
      <c r="M96" s="2">
        <v>1</v>
      </c>
      <c r="N96" s="2">
        <v>503819.05493291997</v>
      </c>
      <c r="O96" s="2">
        <v>0</v>
      </c>
      <c r="P96" s="2" t="s">
        <v>21</v>
      </c>
      <c r="Q96" s="2"/>
      <c r="R96" s="2"/>
      <c r="S96" s="2"/>
    </row>
    <row r="97" spans="1:19" x14ac:dyDescent="0.25">
      <c r="A97" s="2" t="s">
        <v>49</v>
      </c>
      <c r="B97" s="2"/>
      <c r="C97" s="2"/>
      <c r="D97" s="2"/>
      <c r="E97" s="2"/>
      <c r="F97" s="3">
        <v>44304.781423611108</v>
      </c>
      <c r="G97" s="2" t="s">
        <v>37</v>
      </c>
      <c r="H97" s="2" t="s">
        <v>21</v>
      </c>
      <c r="I97" s="2">
        <v>6.1405649999999996</v>
      </c>
      <c r="J97" s="2">
        <v>66</v>
      </c>
      <c r="K97" s="2" t="s">
        <v>21</v>
      </c>
      <c r="L97" s="2">
        <v>0</v>
      </c>
      <c r="M97" s="2">
        <v>1</v>
      </c>
      <c r="N97" s="2">
        <v>502455.24312755401</v>
      </c>
      <c r="O97" s="2">
        <v>0</v>
      </c>
      <c r="P97" s="2" t="s">
        <v>21</v>
      </c>
      <c r="Q97" s="2"/>
      <c r="R97" s="2"/>
      <c r="S97" s="2"/>
    </row>
    <row r="98" spans="1:19" x14ac:dyDescent="0.25">
      <c r="A98" s="2" t="s">
        <v>19</v>
      </c>
      <c r="B98" s="2"/>
      <c r="C98" s="2"/>
      <c r="D98" s="2"/>
      <c r="E98" s="2"/>
      <c r="F98" s="3">
        <v>44304.783043981479</v>
      </c>
      <c r="G98" s="2" t="s">
        <v>154</v>
      </c>
      <c r="H98" s="2" t="s">
        <v>21</v>
      </c>
      <c r="I98" s="2">
        <v>6.1434049999999996</v>
      </c>
      <c r="J98" s="2">
        <v>83</v>
      </c>
      <c r="K98" s="2" t="s">
        <v>21</v>
      </c>
      <c r="L98" s="2">
        <v>36767.3426645172</v>
      </c>
      <c r="M98" s="2">
        <v>1</v>
      </c>
      <c r="N98" s="2">
        <v>724003.150201443</v>
      </c>
      <c r="O98" s="2">
        <v>5.0783401500790998E-2</v>
      </c>
      <c r="P98" s="2">
        <v>6.8979333333333299</v>
      </c>
      <c r="Q98" s="2"/>
      <c r="R98" s="2"/>
      <c r="S98" s="2"/>
    </row>
    <row r="99" spans="1:19" x14ac:dyDescent="0.25">
      <c r="A99" s="2" t="s">
        <v>22</v>
      </c>
      <c r="B99" s="2"/>
      <c r="C99" s="2"/>
      <c r="D99" s="2"/>
      <c r="E99" s="2"/>
      <c r="F99" s="3">
        <v>44304.797361111108</v>
      </c>
      <c r="G99" s="2" t="s">
        <v>154</v>
      </c>
      <c r="H99" s="2" t="s">
        <v>21</v>
      </c>
      <c r="I99" s="2">
        <v>6.130725</v>
      </c>
      <c r="J99" s="2">
        <v>83</v>
      </c>
      <c r="K99" s="2" t="s">
        <v>21</v>
      </c>
      <c r="L99" s="2">
        <v>58138.452584858896</v>
      </c>
      <c r="M99" s="2">
        <v>1</v>
      </c>
      <c r="N99" s="2">
        <v>382677.237752121</v>
      </c>
      <c r="O99" s="2">
        <v>0.15192555723034201</v>
      </c>
      <c r="P99" s="2">
        <v>6.8979283333333301</v>
      </c>
      <c r="Q99" s="2"/>
      <c r="R99" s="2"/>
      <c r="S99" s="2"/>
    </row>
    <row r="100" spans="1:19" x14ac:dyDescent="0.25">
      <c r="A100" s="2" t="s">
        <v>23</v>
      </c>
      <c r="B100" s="2"/>
      <c r="C100" s="2"/>
      <c r="D100" s="2"/>
      <c r="E100" s="2"/>
      <c r="F100" s="3">
        <v>44304.802129629628</v>
      </c>
      <c r="G100" s="2" t="s">
        <v>154</v>
      </c>
      <c r="H100" s="2" t="s">
        <v>21</v>
      </c>
      <c r="I100" s="2">
        <v>6.1391616666666602</v>
      </c>
      <c r="J100" s="2">
        <v>83</v>
      </c>
      <c r="K100" s="2" t="s">
        <v>21</v>
      </c>
      <c r="L100" s="2">
        <v>81290.910194673706</v>
      </c>
      <c r="M100" s="2">
        <v>1</v>
      </c>
      <c r="N100" s="2">
        <v>767393.257466326</v>
      </c>
      <c r="O100" s="2">
        <v>0.10593122809427501</v>
      </c>
      <c r="P100" s="2">
        <v>6.8979150000000002</v>
      </c>
      <c r="Q100" s="2"/>
      <c r="R100" s="2"/>
      <c r="S100" s="2"/>
    </row>
    <row r="101" spans="1:19" x14ac:dyDescent="0.25">
      <c r="A101" s="2" t="s">
        <v>24</v>
      </c>
      <c r="B101" s="2"/>
      <c r="C101" s="2"/>
      <c r="D101" s="2"/>
      <c r="E101" s="2"/>
      <c r="F101" s="3">
        <v>44304.803726851853</v>
      </c>
      <c r="G101" s="2" t="s">
        <v>154</v>
      </c>
      <c r="H101" s="2" t="s">
        <v>21</v>
      </c>
      <c r="I101" s="2">
        <v>6.1265116666666604</v>
      </c>
      <c r="J101" s="2">
        <v>83</v>
      </c>
      <c r="K101" s="2" t="s">
        <v>21</v>
      </c>
      <c r="L101" s="2">
        <v>55578.263082912701</v>
      </c>
      <c r="M101" s="2">
        <v>1</v>
      </c>
      <c r="N101" s="2">
        <v>327471.84305237798</v>
      </c>
      <c r="O101" s="2">
        <v>0.16971921177975299</v>
      </c>
      <c r="P101" s="2">
        <v>6.8937133333333298</v>
      </c>
      <c r="Q101" s="2"/>
      <c r="R101" s="2"/>
      <c r="S101" s="2"/>
    </row>
    <row r="102" spans="1:19" x14ac:dyDescent="0.25">
      <c r="A102" s="2" t="s">
        <v>155</v>
      </c>
      <c r="B102" s="2"/>
      <c r="C102" s="2"/>
      <c r="D102" s="2"/>
      <c r="E102" s="2"/>
      <c r="F102" s="3">
        <v>44304.805324074077</v>
      </c>
      <c r="G102" s="2" t="s">
        <v>154</v>
      </c>
      <c r="H102" s="2" t="s">
        <v>21</v>
      </c>
      <c r="I102" s="2">
        <v>6.1341650000000003</v>
      </c>
      <c r="J102" s="2">
        <v>83</v>
      </c>
      <c r="K102" s="2" t="s">
        <v>21</v>
      </c>
      <c r="L102" s="2">
        <v>60255.901958909999</v>
      </c>
      <c r="M102" s="2">
        <v>1</v>
      </c>
      <c r="N102" s="2">
        <v>442084.17262650997</v>
      </c>
      <c r="O102" s="2">
        <v>0.13629961371590801</v>
      </c>
      <c r="P102" s="2">
        <v>6.8953433333333303</v>
      </c>
      <c r="Q102" s="2"/>
      <c r="R102" s="2"/>
      <c r="S102" s="2"/>
    </row>
    <row r="103" spans="1:19" x14ac:dyDescent="0.25">
      <c r="A103" s="2" t="s">
        <v>156</v>
      </c>
      <c r="B103" s="2"/>
      <c r="C103" s="2"/>
      <c r="D103" s="2"/>
      <c r="E103" s="2"/>
      <c r="F103" s="3">
        <v>44304.806921296295</v>
      </c>
      <c r="G103" s="2" t="s">
        <v>154</v>
      </c>
      <c r="H103" s="2" t="s">
        <v>21</v>
      </c>
      <c r="I103" s="2">
        <v>6.1341683333333297</v>
      </c>
      <c r="J103" s="2">
        <v>83</v>
      </c>
      <c r="K103" s="2" t="s">
        <v>21</v>
      </c>
      <c r="L103" s="2">
        <v>63050.363727772899</v>
      </c>
      <c r="M103" s="2">
        <v>1</v>
      </c>
      <c r="N103" s="2">
        <v>426031.99311222503</v>
      </c>
      <c r="O103" s="2">
        <v>0.147994434096794</v>
      </c>
      <c r="P103" s="2">
        <v>6.8953466666666596</v>
      </c>
      <c r="Q103" s="2"/>
      <c r="R103" s="2"/>
      <c r="S103" s="2"/>
    </row>
    <row r="104" spans="1:19" x14ac:dyDescent="0.25">
      <c r="A104" s="2" t="s">
        <v>157</v>
      </c>
      <c r="B104" s="2"/>
      <c r="C104" s="2"/>
      <c r="D104" s="2"/>
      <c r="E104" s="2"/>
      <c r="F104" s="3">
        <v>44304.808506944442</v>
      </c>
      <c r="G104" s="2" t="s">
        <v>154</v>
      </c>
      <c r="H104" s="2" t="s">
        <v>21</v>
      </c>
      <c r="I104" s="2">
        <v>6.1384299999999996</v>
      </c>
      <c r="J104" s="2">
        <v>83</v>
      </c>
      <c r="K104" s="2" t="s">
        <v>21</v>
      </c>
      <c r="L104" s="2">
        <v>130582.624786367</v>
      </c>
      <c r="M104" s="2">
        <v>1</v>
      </c>
      <c r="N104" s="2">
        <v>464570.86674136302</v>
      </c>
      <c r="O104" s="2">
        <v>0.28108225059894898</v>
      </c>
      <c r="P104" s="2">
        <v>6.8996083333333296</v>
      </c>
      <c r="Q104" s="2"/>
      <c r="R104" s="2"/>
      <c r="S104" s="2"/>
    </row>
    <row r="105" spans="1:19" x14ac:dyDescent="0.25">
      <c r="A105" s="2" t="s">
        <v>158</v>
      </c>
      <c r="B105" s="2"/>
      <c r="C105" s="2"/>
      <c r="D105" s="2"/>
      <c r="E105" s="2"/>
      <c r="F105" s="3">
        <v>44304.81009259259</v>
      </c>
      <c r="G105" s="2" t="s">
        <v>154</v>
      </c>
      <c r="H105" s="2" t="s">
        <v>21</v>
      </c>
      <c r="I105" s="2">
        <v>6.1384333333333299</v>
      </c>
      <c r="J105" s="2">
        <v>83</v>
      </c>
      <c r="K105" s="2" t="s">
        <v>21</v>
      </c>
      <c r="L105" s="2">
        <v>160505.38183841601</v>
      </c>
      <c r="M105" s="2">
        <v>1</v>
      </c>
      <c r="N105" s="2">
        <v>489323.06273817201</v>
      </c>
      <c r="O105" s="2">
        <v>0.32801515820704302</v>
      </c>
      <c r="P105" s="2">
        <v>6.9038816666666598</v>
      </c>
      <c r="Q105" s="2"/>
      <c r="R105" s="2"/>
      <c r="S105" s="2"/>
    </row>
    <row r="106" spans="1:19" x14ac:dyDescent="0.25">
      <c r="A106" s="2" t="s">
        <v>159</v>
      </c>
      <c r="B106" s="2"/>
      <c r="C106" s="2"/>
      <c r="D106" s="2"/>
      <c r="E106" s="2"/>
      <c r="F106" s="3">
        <v>44304.811678240738</v>
      </c>
      <c r="G106" s="2" t="s">
        <v>154</v>
      </c>
      <c r="H106" s="2" t="s">
        <v>21</v>
      </c>
      <c r="I106" s="2">
        <v>6.1256233333333299</v>
      </c>
      <c r="J106" s="2">
        <v>83</v>
      </c>
      <c r="K106" s="2" t="s">
        <v>21</v>
      </c>
      <c r="L106" s="2">
        <v>57641.581849178503</v>
      </c>
      <c r="M106" s="2">
        <v>1</v>
      </c>
      <c r="N106" s="2">
        <v>377610.199196339</v>
      </c>
      <c r="O106" s="2">
        <v>0.152648371182388</v>
      </c>
      <c r="P106" s="2">
        <v>6.8996133333333303</v>
      </c>
      <c r="Q106" s="2"/>
      <c r="R106" s="2"/>
      <c r="S106" s="2"/>
    </row>
    <row r="107" spans="1:19" x14ac:dyDescent="0.25">
      <c r="A107" s="2" t="s">
        <v>160</v>
      </c>
      <c r="B107" s="2"/>
      <c r="C107" s="2"/>
      <c r="D107" s="2"/>
      <c r="E107" s="2"/>
      <c r="F107" s="3">
        <v>44304.813275462962</v>
      </c>
      <c r="G107" s="2" t="s">
        <v>154</v>
      </c>
      <c r="H107" s="2" t="s">
        <v>21</v>
      </c>
      <c r="I107" s="2">
        <v>6.1298983333333297</v>
      </c>
      <c r="J107" s="2">
        <v>83</v>
      </c>
      <c r="K107" s="2" t="s">
        <v>21</v>
      </c>
      <c r="L107" s="2">
        <v>67357.039614864407</v>
      </c>
      <c r="M107" s="2">
        <v>1</v>
      </c>
      <c r="N107" s="2">
        <v>507630.96115732199</v>
      </c>
      <c r="O107" s="2">
        <v>0.13268899016975</v>
      </c>
      <c r="P107" s="2">
        <v>6.8996166666666596</v>
      </c>
      <c r="Q107" s="2"/>
      <c r="R107" s="2"/>
      <c r="S107" s="2"/>
    </row>
    <row r="108" spans="1:19" x14ac:dyDescent="0.25">
      <c r="A108" s="2" t="s">
        <v>161</v>
      </c>
      <c r="B108" s="2"/>
      <c r="C108" s="2"/>
      <c r="D108" s="2"/>
      <c r="E108" s="2"/>
      <c r="F108" s="3">
        <v>44304.814872685187</v>
      </c>
      <c r="G108" s="2" t="s">
        <v>154</v>
      </c>
      <c r="H108" s="2" t="s">
        <v>21</v>
      </c>
      <c r="I108" s="2">
        <v>6.1384400000000001</v>
      </c>
      <c r="J108" s="2">
        <v>83</v>
      </c>
      <c r="K108" s="2" t="s">
        <v>21</v>
      </c>
      <c r="L108" s="2">
        <v>70770.268316463902</v>
      </c>
      <c r="M108" s="2">
        <v>1</v>
      </c>
      <c r="N108" s="2">
        <v>423387.89476340398</v>
      </c>
      <c r="O108" s="2">
        <v>0.167152318693503</v>
      </c>
      <c r="P108" s="2">
        <v>6.8953483333333301</v>
      </c>
      <c r="Q108" s="2"/>
      <c r="R108" s="2"/>
      <c r="S108" s="2"/>
    </row>
    <row r="109" spans="1:19" x14ac:dyDescent="0.25">
      <c r="A109" s="2" t="s">
        <v>162</v>
      </c>
      <c r="B109" s="2"/>
      <c r="C109" s="2"/>
      <c r="D109" s="2"/>
      <c r="E109" s="2"/>
      <c r="F109" s="3">
        <v>44304.816458333335</v>
      </c>
      <c r="G109" s="2" t="s">
        <v>154</v>
      </c>
      <c r="H109" s="2" t="s">
        <v>21</v>
      </c>
      <c r="I109" s="2">
        <v>6.1427149999999999</v>
      </c>
      <c r="J109" s="2">
        <v>83</v>
      </c>
      <c r="K109" s="2" t="s">
        <v>21</v>
      </c>
      <c r="L109" s="2">
        <v>81184.721691792394</v>
      </c>
      <c r="M109" s="2">
        <v>1</v>
      </c>
      <c r="N109" s="2">
        <v>445580.025201526</v>
      </c>
      <c r="O109" s="2">
        <v>0.18220009223948999</v>
      </c>
      <c r="P109" s="2">
        <v>6.8996233333333299</v>
      </c>
      <c r="Q109" s="2"/>
      <c r="R109" s="2"/>
      <c r="S109" s="2"/>
    </row>
    <row r="110" spans="1:19" x14ac:dyDescent="0.25">
      <c r="A110" s="2" t="s">
        <v>163</v>
      </c>
      <c r="B110" s="2"/>
      <c r="C110" s="2"/>
      <c r="D110" s="2"/>
      <c r="E110" s="2"/>
      <c r="F110" s="3">
        <v>44304.837187500001</v>
      </c>
      <c r="G110" s="2" t="s">
        <v>154</v>
      </c>
      <c r="H110" s="2" t="s">
        <v>21</v>
      </c>
      <c r="I110" s="2">
        <v>6.1384366666666601</v>
      </c>
      <c r="J110" s="2">
        <v>83</v>
      </c>
      <c r="K110" s="2" t="s">
        <v>21</v>
      </c>
      <c r="L110" s="2">
        <v>129487.300376748</v>
      </c>
      <c r="M110" s="2">
        <v>1</v>
      </c>
      <c r="N110" s="2">
        <v>446004.97790382599</v>
      </c>
      <c r="O110" s="2">
        <v>0.29032702949936701</v>
      </c>
      <c r="P110" s="2">
        <v>6.8996149999999998</v>
      </c>
      <c r="Q110" s="2"/>
      <c r="R110" s="2"/>
      <c r="S110" s="2"/>
    </row>
    <row r="111" spans="1:19" x14ac:dyDescent="0.25">
      <c r="A111" s="2" t="s">
        <v>164</v>
      </c>
      <c r="B111" s="2"/>
      <c r="C111" s="2"/>
      <c r="D111" s="2"/>
      <c r="E111" s="2"/>
      <c r="F111" s="3">
        <v>44304.838761574072</v>
      </c>
      <c r="G111" s="2" t="s">
        <v>154</v>
      </c>
      <c r="H111" s="2" t="s">
        <v>21</v>
      </c>
      <c r="I111" s="2">
        <v>6.1384366666666601</v>
      </c>
      <c r="J111" s="2">
        <v>83</v>
      </c>
      <c r="K111" s="2" t="s">
        <v>21</v>
      </c>
      <c r="L111" s="2">
        <v>142991.52052959701</v>
      </c>
      <c r="M111" s="2">
        <v>1</v>
      </c>
      <c r="N111" s="2">
        <v>450350.81097350398</v>
      </c>
      <c r="O111" s="2">
        <v>0.31751140898469599</v>
      </c>
      <c r="P111" s="2">
        <v>6.8996149999999998</v>
      </c>
      <c r="Q111" s="2"/>
      <c r="R111" s="2"/>
      <c r="S111" s="2"/>
    </row>
    <row r="112" spans="1:19" x14ac:dyDescent="0.25">
      <c r="A112" s="2" t="s">
        <v>165</v>
      </c>
      <c r="B112" s="2"/>
      <c r="C112" s="2"/>
      <c r="D112" s="2"/>
      <c r="E112" s="2"/>
      <c r="F112" s="3">
        <v>44304.840358796297</v>
      </c>
      <c r="G112" s="2" t="s">
        <v>154</v>
      </c>
      <c r="H112" s="2" t="s">
        <v>21</v>
      </c>
      <c r="I112" s="2">
        <v>6.1854116666666599</v>
      </c>
      <c r="J112" s="2">
        <v>83</v>
      </c>
      <c r="K112" s="2" t="s">
        <v>21</v>
      </c>
      <c r="L112" s="2">
        <v>0</v>
      </c>
      <c r="M112" s="2">
        <v>1</v>
      </c>
      <c r="N112" s="2">
        <v>35834.328296142798</v>
      </c>
      <c r="O112" s="2">
        <v>0</v>
      </c>
      <c r="P112" s="2" t="s">
        <v>21</v>
      </c>
      <c r="Q112" s="2"/>
      <c r="R112" s="2"/>
      <c r="S112" s="2"/>
    </row>
    <row r="113" spans="1:19" x14ac:dyDescent="0.25">
      <c r="A113" s="2" t="s">
        <v>166</v>
      </c>
      <c r="B113" s="2"/>
      <c r="C113" s="2"/>
      <c r="D113" s="2"/>
      <c r="E113" s="2"/>
      <c r="F113" s="3">
        <v>44304.841944444444</v>
      </c>
      <c r="G113" s="2" t="s">
        <v>154</v>
      </c>
      <c r="H113" s="2" t="s">
        <v>21</v>
      </c>
      <c r="I113" s="2">
        <v>6.1811316666666603</v>
      </c>
      <c r="J113" s="2">
        <v>83</v>
      </c>
      <c r="K113" s="2" t="s">
        <v>21</v>
      </c>
      <c r="L113" s="2">
        <v>0</v>
      </c>
      <c r="M113" s="2">
        <v>1</v>
      </c>
      <c r="N113" s="2">
        <v>68583.712031908304</v>
      </c>
      <c r="O113" s="2">
        <v>0</v>
      </c>
      <c r="P113" s="2" t="s">
        <v>21</v>
      </c>
      <c r="Q113" s="2"/>
      <c r="R113" s="2"/>
      <c r="S113" s="2"/>
    </row>
    <row r="114" spans="1:19" x14ac:dyDescent="0.25">
      <c r="A114" s="2" t="s">
        <v>19</v>
      </c>
      <c r="B114" s="2"/>
      <c r="C114" s="2"/>
      <c r="D114" s="2"/>
      <c r="E114" s="2"/>
      <c r="F114" s="3">
        <v>44304.843530092592</v>
      </c>
      <c r="G114" s="2" t="s">
        <v>115</v>
      </c>
      <c r="H114" s="2" t="s">
        <v>21</v>
      </c>
      <c r="I114" s="2">
        <v>6.1434049999999996</v>
      </c>
      <c r="J114" s="2">
        <v>148</v>
      </c>
      <c r="K114" s="2" t="s">
        <v>21</v>
      </c>
      <c r="L114" s="2">
        <v>0</v>
      </c>
      <c r="M114" s="2">
        <v>1</v>
      </c>
      <c r="N114" s="2">
        <v>724003.150201443</v>
      </c>
      <c r="O114" s="2">
        <v>0</v>
      </c>
      <c r="P114" s="2" t="s">
        <v>21</v>
      </c>
      <c r="Q114" s="2"/>
      <c r="R114" s="2"/>
      <c r="S114" s="2"/>
    </row>
    <row r="115" spans="1:19" x14ac:dyDescent="0.25">
      <c r="A115" s="2" t="s">
        <v>22</v>
      </c>
      <c r="B115" s="2"/>
      <c r="C115" s="2"/>
      <c r="D115" s="2"/>
      <c r="E115" s="2"/>
      <c r="F115" s="3">
        <v>44304.84511574074</v>
      </c>
      <c r="G115" s="2" t="s">
        <v>115</v>
      </c>
      <c r="H115" s="2" t="s">
        <v>21</v>
      </c>
      <c r="I115" s="2">
        <v>6.130725</v>
      </c>
      <c r="J115" s="2">
        <v>148</v>
      </c>
      <c r="K115" s="2" t="s">
        <v>21</v>
      </c>
      <c r="L115" s="2">
        <v>0</v>
      </c>
      <c r="M115" s="2">
        <v>1</v>
      </c>
      <c r="N115" s="2">
        <v>382677.237752121</v>
      </c>
      <c r="O115" s="2">
        <v>0</v>
      </c>
      <c r="P115" s="2" t="s">
        <v>21</v>
      </c>
      <c r="Q115" s="2"/>
      <c r="R115" s="2"/>
      <c r="S115" s="2"/>
    </row>
    <row r="116" spans="1:19" x14ac:dyDescent="0.25">
      <c r="A116" s="2" t="s">
        <v>23</v>
      </c>
      <c r="B116" s="2"/>
      <c r="C116" s="2"/>
      <c r="D116" s="2"/>
      <c r="E116" s="2"/>
      <c r="F116" s="3">
        <v>44304.849849537037</v>
      </c>
      <c r="G116" s="2" t="s">
        <v>115</v>
      </c>
      <c r="H116" s="2" t="s">
        <v>21</v>
      </c>
      <c r="I116" s="2">
        <v>6.1391616666666602</v>
      </c>
      <c r="J116" s="2">
        <v>148</v>
      </c>
      <c r="K116" s="2" t="s">
        <v>21</v>
      </c>
      <c r="L116" s="2">
        <v>0</v>
      </c>
      <c r="M116" s="2">
        <v>1</v>
      </c>
      <c r="N116" s="2">
        <v>767393.257466326</v>
      </c>
      <c r="O116" s="2">
        <v>0</v>
      </c>
      <c r="P116" s="2" t="s">
        <v>21</v>
      </c>
      <c r="Q116" s="2"/>
      <c r="R116" s="2"/>
      <c r="S116" s="2"/>
    </row>
    <row r="117" spans="1:19" x14ac:dyDescent="0.25">
      <c r="A117" s="2" t="s">
        <v>24</v>
      </c>
      <c r="B117" s="2"/>
      <c r="C117" s="2"/>
      <c r="D117" s="2"/>
      <c r="E117" s="2"/>
      <c r="F117" s="3">
        <v>44304.851435185185</v>
      </c>
      <c r="G117" s="2" t="s">
        <v>115</v>
      </c>
      <c r="H117" s="2" t="s">
        <v>21</v>
      </c>
      <c r="I117" s="2">
        <v>6.1265116666666604</v>
      </c>
      <c r="J117" s="2">
        <v>148</v>
      </c>
      <c r="K117" s="2" t="s">
        <v>21</v>
      </c>
      <c r="L117" s="2">
        <v>0</v>
      </c>
      <c r="M117" s="2">
        <v>1</v>
      </c>
      <c r="N117" s="2">
        <v>327471.84305237798</v>
      </c>
      <c r="O117" s="2">
        <v>0</v>
      </c>
      <c r="P117" s="2" t="s">
        <v>21</v>
      </c>
      <c r="Q117" s="2"/>
      <c r="R117" s="2"/>
      <c r="S117" s="2"/>
    </row>
    <row r="118" spans="1:19" x14ac:dyDescent="0.25">
      <c r="A118" s="2" t="s">
        <v>116</v>
      </c>
      <c r="B118" s="2"/>
      <c r="C118" s="2"/>
      <c r="D118" s="2"/>
      <c r="E118" s="2"/>
      <c r="F118" s="3">
        <v>44304.853009259263</v>
      </c>
      <c r="G118" s="2" t="s">
        <v>115</v>
      </c>
      <c r="H118" s="2" t="s">
        <v>21</v>
      </c>
      <c r="I118" s="2">
        <v>6.1511983333333298</v>
      </c>
      <c r="J118" s="2">
        <v>148</v>
      </c>
      <c r="K118" s="2" t="s">
        <v>21</v>
      </c>
      <c r="L118" s="2">
        <v>5437.5543344441103</v>
      </c>
      <c r="M118" s="2">
        <v>1</v>
      </c>
      <c r="N118" s="2">
        <v>559402.35125010205</v>
      </c>
      <c r="O118" s="2">
        <v>9.7202922409829993E-3</v>
      </c>
      <c r="P118" s="2">
        <v>4.9800833333333303</v>
      </c>
      <c r="Q118" s="2"/>
      <c r="R118" s="2"/>
      <c r="S118" s="2"/>
    </row>
    <row r="119" spans="1:19" x14ac:dyDescent="0.25">
      <c r="A119" s="2" t="s">
        <v>117</v>
      </c>
      <c r="B119" s="2"/>
      <c r="C119" s="2"/>
      <c r="D119" s="2"/>
      <c r="E119" s="2"/>
      <c r="F119" s="3">
        <v>44304.867361111108</v>
      </c>
      <c r="G119" s="2" t="s">
        <v>115</v>
      </c>
      <c r="H119" s="2" t="s">
        <v>21</v>
      </c>
      <c r="I119" s="2">
        <v>6.1383866666666602</v>
      </c>
      <c r="J119" s="2">
        <v>148</v>
      </c>
      <c r="K119" s="2" t="s">
        <v>21</v>
      </c>
      <c r="L119" s="2">
        <v>3739.9853781378201</v>
      </c>
      <c r="M119" s="2">
        <v>1</v>
      </c>
      <c r="N119" s="2">
        <v>331874.07742441702</v>
      </c>
      <c r="O119" s="2">
        <v>1.1269290470539E-2</v>
      </c>
      <c r="P119" s="2">
        <v>4.9758116666666599</v>
      </c>
      <c r="Q119" s="2"/>
      <c r="R119" s="2"/>
      <c r="S119" s="2"/>
    </row>
    <row r="120" spans="1:19" x14ac:dyDescent="0.25">
      <c r="A120" s="2" t="s">
        <v>118</v>
      </c>
      <c r="B120" s="2"/>
      <c r="C120" s="2"/>
      <c r="D120" s="2"/>
      <c r="E120" s="2"/>
      <c r="F120" s="3">
        <v>44304.872164351851</v>
      </c>
      <c r="G120" s="2" t="s">
        <v>115</v>
      </c>
      <c r="H120" s="2" t="s">
        <v>21</v>
      </c>
      <c r="I120" s="2">
        <v>6.1383999999999999</v>
      </c>
      <c r="J120" s="2">
        <v>148</v>
      </c>
      <c r="K120" s="2" t="s">
        <v>21</v>
      </c>
      <c r="L120" s="2">
        <v>3485.8450655206102</v>
      </c>
      <c r="M120" s="2">
        <v>1</v>
      </c>
      <c r="N120" s="2">
        <v>500812.21190633602</v>
      </c>
      <c r="O120" s="2">
        <v>6.9603835183090004E-3</v>
      </c>
      <c r="P120" s="2">
        <v>4.9758250000000004</v>
      </c>
      <c r="Q120" s="2"/>
      <c r="R120" s="2"/>
      <c r="S120" s="2"/>
    </row>
    <row r="121" spans="1:19" x14ac:dyDescent="0.25">
      <c r="A121" s="2" t="s">
        <v>119</v>
      </c>
      <c r="B121" s="2"/>
      <c r="C121" s="2"/>
      <c r="D121" s="2"/>
      <c r="E121" s="2"/>
      <c r="F121" s="3">
        <v>44304.873749999999</v>
      </c>
      <c r="G121" s="2" t="s">
        <v>115</v>
      </c>
      <c r="H121" s="2" t="s">
        <v>21</v>
      </c>
      <c r="I121" s="2">
        <v>6.1383900000000002</v>
      </c>
      <c r="J121" s="2">
        <v>148</v>
      </c>
      <c r="K121" s="2" t="s">
        <v>21</v>
      </c>
      <c r="L121" s="2">
        <v>3523.6111747247</v>
      </c>
      <c r="M121" s="2">
        <v>1</v>
      </c>
      <c r="N121" s="2">
        <v>480366.28368994</v>
      </c>
      <c r="O121" s="2">
        <v>7.335259143623E-3</v>
      </c>
      <c r="P121" s="2">
        <v>4.9843549999999999</v>
      </c>
      <c r="Q121" s="2"/>
      <c r="R121" s="2"/>
      <c r="S121" s="2"/>
    </row>
    <row r="122" spans="1:19" x14ac:dyDescent="0.25">
      <c r="A122" s="2" t="s">
        <v>120</v>
      </c>
      <c r="B122" s="2"/>
      <c r="C122" s="2"/>
      <c r="D122" s="2"/>
      <c r="E122" s="2"/>
      <c r="F122" s="3">
        <v>44304.875347222223</v>
      </c>
      <c r="G122" s="2" t="s">
        <v>115</v>
      </c>
      <c r="H122" s="2" t="s">
        <v>21</v>
      </c>
      <c r="I122" s="2">
        <v>6.1255800000000002</v>
      </c>
      <c r="J122" s="2">
        <v>148</v>
      </c>
      <c r="K122" s="2" t="s">
        <v>21</v>
      </c>
      <c r="L122" s="2">
        <v>0</v>
      </c>
      <c r="M122" s="2">
        <v>1</v>
      </c>
      <c r="N122" s="2">
        <v>348860.18507954699</v>
      </c>
      <c r="O122" s="2">
        <v>0</v>
      </c>
      <c r="P122" s="2" t="s">
        <v>21</v>
      </c>
      <c r="Q122" s="2"/>
      <c r="R122" s="2"/>
      <c r="S122" s="2"/>
    </row>
    <row r="123" spans="1:19" x14ac:dyDescent="0.25">
      <c r="A123" s="2" t="s">
        <v>121</v>
      </c>
      <c r="B123" s="2"/>
      <c r="C123" s="2"/>
      <c r="D123" s="2"/>
      <c r="E123" s="2"/>
      <c r="F123" s="3">
        <v>44304.876944444448</v>
      </c>
      <c r="G123" s="2" t="s">
        <v>115</v>
      </c>
      <c r="H123" s="2" t="s">
        <v>21</v>
      </c>
      <c r="I123" s="2">
        <v>6.1298483333333298</v>
      </c>
      <c r="J123" s="2">
        <v>148</v>
      </c>
      <c r="K123" s="2" t="s">
        <v>21</v>
      </c>
      <c r="L123" s="2">
        <v>0</v>
      </c>
      <c r="M123" s="2">
        <v>1</v>
      </c>
      <c r="N123" s="2">
        <v>483468.33693901199</v>
      </c>
      <c r="O123" s="2">
        <v>0</v>
      </c>
      <c r="P123" s="2" t="s">
        <v>21</v>
      </c>
      <c r="Q123" s="2"/>
      <c r="R123" s="2"/>
      <c r="S123" s="2"/>
    </row>
    <row r="124" spans="1:19" x14ac:dyDescent="0.25">
      <c r="A124" s="2" t="s">
        <v>122</v>
      </c>
      <c r="B124" s="2"/>
      <c r="C124" s="2"/>
      <c r="D124" s="2"/>
      <c r="E124" s="2"/>
      <c r="F124" s="3">
        <v>44304.878541666665</v>
      </c>
      <c r="G124" s="2" t="s">
        <v>115</v>
      </c>
      <c r="H124" s="2" t="s">
        <v>21</v>
      </c>
      <c r="I124" s="2">
        <v>6.1383883333333298</v>
      </c>
      <c r="J124" s="2">
        <v>148</v>
      </c>
      <c r="K124" s="2" t="s">
        <v>21</v>
      </c>
      <c r="L124" s="2">
        <v>6133.7763255685504</v>
      </c>
      <c r="M124" s="2">
        <v>1</v>
      </c>
      <c r="N124" s="2">
        <v>474293.54890798603</v>
      </c>
      <c r="O124" s="2">
        <v>1.2932447299127001E-2</v>
      </c>
      <c r="P124" s="2">
        <v>4.9758133333333303</v>
      </c>
      <c r="Q124" s="2"/>
      <c r="R124" s="2"/>
      <c r="S124" s="2"/>
    </row>
    <row r="125" spans="1:19" x14ac:dyDescent="0.25">
      <c r="A125" s="2" t="s">
        <v>123</v>
      </c>
      <c r="B125" s="2"/>
      <c r="C125" s="2"/>
      <c r="D125" s="2"/>
      <c r="E125" s="2"/>
      <c r="F125" s="3">
        <v>44304.88013888889</v>
      </c>
      <c r="G125" s="2" t="s">
        <v>115</v>
      </c>
      <c r="H125" s="2" t="s">
        <v>21</v>
      </c>
      <c r="I125" s="2">
        <v>6.13839166666666</v>
      </c>
      <c r="J125" s="2">
        <v>148</v>
      </c>
      <c r="K125" s="2" t="s">
        <v>21</v>
      </c>
      <c r="L125" s="2">
        <v>5040.4892543838496</v>
      </c>
      <c r="M125" s="2">
        <v>1</v>
      </c>
      <c r="N125" s="2">
        <v>480684.31701296999</v>
      </c>
      <c r="O125" s="2">
        <v>1.0486069705178E-2</v>
      </c>
      <c r="P125" s="2">
        <v>4.9800849999999999</v>
      </c>
      <c r="Q125" s="2"/>
      <c r="R125" s="2"/>
      <c r="S125" s="2"/>
    </row>
    <row r="126" spans="1:19" x14ac:dyDescent="0.25">
      <c r="A126" s="2" t="s">
        <v>124</v>
      </c>
      <c r="B126" s="2"/>
      <c r="C126" s="2"/>
      <c r="D126" s="2"/>
      <c r="E126" s="2"/>
      <c r="F126" s="3">
        <v>44304.881747685184</v>
      </c>
      <c r="G126" s="2" t="s">
        <v>115</v>
      </c>
      <c r="H126" s="2" t="s">
        <v>21</v>
      </c>
      <c r="I126" s="2">
        <v>6.1469300000000002</v>
      </c>
      <c r="J126" s="2">
        <v>148</v>
      </c>
      <c r="K126" s="2" t="s">
        <v>21</v>
      </c>
      <c r="L126" s="2">
        <v>2536.8691457077598</v>
      </c>
      <c r="M126" s="2">
        <v>1</v>
      </c>
      <c r="N126" s="2">
        <v>485003.58369810501</v>
      </c>
      <c r="O126" s="2">
        <v>5.2306193829830001E-3</v>
      </c>
      <c r="P126" s="2">
        <v>4.9886249999999999</v>
      </c>
      <c r="Q126" s="2"/>
      <c r="R126" s="2"/>
      <c r="S126" s="2"/>
    </row>
    <row r="127" spans="1:19" x14ac:dyDescent="0.25">
      <c r="A127" s="2" t="s">
        <v>125</v>
      </c>
      <c r="B127" s="2"/>
      <c r="C127" s="2"/>
      <c r="D127" s="2"/>
      <c r="E127" s="2"/>
      <c r="F127" s="3">
        <v>44304.883333333331</v>
      </c>
      <c r="G127" s="2" t="s">
        <v>115</v>
      </c>
      <c r="H127" s="2" t="s">
        <v>21</v>
      </c>
      <c r="I127" s="2">
        <v>6.13839166666666</v>
      </c>
      <c r="J127" s="2">
        <v>148</v>
      </c>
      <c r="K127" s="2" t="s">
        <v>21</v>
      </c>
      <c r="L127" s="2">
        <v>2667.9104176611199</v>
      </c>
      <c r="M127" s="2">
        <v>1</v>
      </c>
      <c r="N127" s="2">
        <v>485130.46317140799</v>
      </c>
      <c r="O127" s="2">
        <v>5.4993669130159999E-3</v>
      </c>
      <c r="P127" s="2">
        <v>4.9843566666666597</v>
      </c>
      <c r="Q127" s="2"/>
      <c r="R127" s="2"/>
      <c r="S127" s="2"/>
    </row>
    <row r="128" spans="1:19" x14ac:dyDescent="0.25">
      <c r="A128" s="2" t="s">
        <v>126</v>
      </c>
      <c r="B128" s="2"/>
      <c r="C128" s="2"/>
      <c r="D128" s="2"/>
      <c r="E128" s="2"/>
      <c r="F128" s="3">
        <v>44304.884942129633</v>
      </c>
      <c r="G128" s="2" t="s">
        <v>115</v>
      </c>
      <c r="H128" s="2" t="s">
        <v>21</v>
      </c>
      <c r="I128" s="2">
        <v>6.1341183333333298</v>
      </c>
      <c r="J128" s="2">
        <v>148</v>
      </c>
      <c r="K128" s="2" t="s">
        <v>21</v>
      </c>
      <c r="L128" s="2">
        <v>0</v>
      </c>
      <c r="M128" s="2">
        <v>1</v>
      </c>
      <c r="N128" s="2">
        <v>489575.13838345598</v>
      </c>
      <c r="O128" s="2">
        <v>0</v>
      </c>
      <c r="P128" s="2" t="s">
        <v>21</v>
      </c>
      <c r="Q128" s="2"/>
      <c r="R128" s="2"/>
      <c r="S128" s="2"/>
    </row>
    <row r="129" spans="1:19" x14ac:dyDescent="0.25">
      <c r="A129" s="2" t="s">
        <v>127</v>
      </c>
      <c r="B129" s="2"/>
      <c r="C129" s="2"/>
      <c r="D129" s="2"/>
      <c r="E129" s="2"/>
      <c r="F129" s="3">
        <v>44304.88653935185</v>
      </c>
      <c r="G129" s="2" t="s">
        <v>115</v>
      </c>
      <c r="H129" s="2" t="s">
        <v>21</v>
      </c>
      <c r="I129" s="2">
        <v>6.13412166666666</v>
      </c>
      <c r="J129" s="2">
        <v>148</v>
      </c>
      <c r="K129" s="2" t="s">
        <v>21</v>
      </c>
      <c r="L129" s="2">
        <v>0</v>
      </c>
      <c r="M129" s="2">
        <v>1</v>
      </c>
      <c r="N129" s="2">
        <v>370017.99102145399</v>
      </c>
      <c r="O129" s="2">
        <v>0</v>
      </c>
      <c r="P129" s="2" t="s">
        <v>21</v>
      </c>
      <c r="Q129" s="2"/>
      <c r="R129" s="2"/>
      <c r="S129" s="2"/>
    </row>
    <row r="130" spans="1:19" x14ac:dyDescent="0.25">
      <c r="A130" s="2" t="s">
        <v>19</v>
      </c>
      <c r="B130" s="2"/>
      <c r="C130" s="2"/>
      <c r="D130" s="2"/>
      <c r="E130" s="2"/>
      <c r="F130" s="3">
        <v>44304.73537037037</v>
      </c>
      <c r="G130" s="2" t="s">
        <v>141</v>
      </c>
      <c r="H130" s="2" t="s">
        <v>21</v>
      </c>
      <c r="I130" s="2">
        <v>6.1434049999999996</v>
      </c>
      <c r="J130" s="2">
        <v>56</v>
      </c>
      <c r="K130" s="2" t="s">
        <v>21</v>
      </c>
      <c r="L130" s="2">
        <v>152653.17577164</v>
      </c>
      <c r="M130" s="2">
        <v>1</v>
      </c>
      <c r="N130" s="2">
        <v>724003.150201443</v>
      </c>
      <c r="O130" s="2">
        <v>0.21084601044783699</v>
      </c>
      <c r="P130" s="2">
        <v>5.5068599999999996</v>
      </c>
      <c r="Q130" s="2"/>
      <c r="R130" s="2"/>
      <c r="S130" s="2"/>
    </row>
    <row r="131" spans="1:19" x14ac:dyDescent="0.25">
      <c r="A131" s="2" t="s">
        <v>22</v>
      </c>
      <c r="B131" s="2"/>
      <c r="C131" s="2"/>
      <c r="D131" s="2"/>
      <c r="E131" s="2"/>
      <c r="F131" s="3">
        <v>44304.736956018518</v>
      </c>
      <c r="G131" s="2" t="s">
        <v>141</v>
      </c>
      <c r="H131" s="2" t="s">
        <v>21</v>
      </c>
      <c r="I131" s="2">
        <v>6.130725</v>
      </c>
      <c r="J131" s="2">
        <v>56</v>
      </c>
      <c r="K131" s="2" t="s">
        <v>21</v>
      </c>
      <c r="L131" s="2">
        <v>0</v>
      </c>
      <c r="M131" s="2">
        <v>1</v>
      </c>
      <c r="N131" s="2">
        <v>382677.237752121</v>
      </c>
      <c r="O131" s="2">
        <v>0</v>
      </c>
      <c r="P131" s="2" t="s">
        <v>21</v>
      </c>
      <c r="Q131" s="2"/>
      <c r="R131" s="2"/>
      <c r="S131" s="2"/>
    </row>
    <row r="132" spans="1:19" x14ac:dyDescent="0.25">
      <c r="A132" s="2" t="s">
        <v>23</v>
      </c>
      <c r="B132" s="2"/>
      <c r="C132" s="2"/>
      <c r="D132" s="2"/>
      <c r="E132" s="2"/>
      <c r="F132" s="3">
        <v>44304.738553240742</v>
      </c>
      <c r="G132" s="2" t="s">
        <v>141</v>
      </c>
      <c r="H132" s="2" t="s">
        <v>21</v>
      </c>
      <c r="I132" s="2">
        <v>6.1391616666666602</v>
      </c>
      <c r="J132" s="2">
        <v>56</v>
      </c>
      <c r="K132" s="2" t="s">
        <v>21</v>
      </c>
      <c r="L132" s="2">
        <v>113096.52865993899</v>
      </c>
      <c r="M132" s="2">
        <v>1</v>
      </c>
      <c r="N132" s="2">
        <v>767393.257466326</v>
      </c>
      <c r="O132" s="2">
        <v>0.14737753760483299</v>
      </c>
      <c r="P132" s="2">
        <v>5.5068416666666602</v>
      </c>
      <c r="Q132" s="2"/>
      <c r="R132" s="2"/>
      <c r="S132" s="2"/>
    </row>
    <row r="133" spans="1:19" x14ac:dyDescent="0.25">
      <c r="A133" s="2" t="s">
        <v>24</v>
      </c>
      <c r="B133" s="2"/>
      <c r="C133" s="2"/>
      <c r="D133" s="2"/>
      <c r="E133" s="2"/>
      <c r="F133" s="3">
        <v>44304.740162037036</v>
      </c>
      <c r="G133" s="2" t="s">
        <v>141</v>
      </c>
      <c r="H133" s="2" t="s">
        <v>21</v>
      </c>
      <c r="I133" s="2">
        <v>6.1265116666666604</v>
      </c>
      <c r="J133" s="2">
        <v>56</v>
      </c>
      <c r="K133" s="2" t="s">
        <v>21</v>
      </c>
      <c r="L133" s="2">
        <v>0</v>
      </c>
      <c r="M133" s="2">
        <v>1</v>
      </c>
      <c r="N133" s="2">
        <v>327471.84305237798</v>
      </c>
      <c r="O133" s="2">
        <v>0</v>
      </c>
      <c r="P133" s="2" t="s">
        <v>21</v>
      </c>
      <c r="Q133" s="2"/>
      <c r="R133" s="2"/>
      <c r="S133" s="2"/>
    </row>
    <row r="134" spans="1:19" x14ac:dyDescent="0.25">
      <c r="A134" s="2" t="s">
        <v>142</v>
      </c>
      <c r="B134" s="2"/>
      <c r="C134" s="2"/>
      <c r="D134" s="2"/>
      <c r="E134" s="2"/>
      <c r="F134" s="3">
        <v>44304.741747685184</v>
      </c>
      <c r="G134" s="2" t="s">
        <v>141</v>
      </c>
      <c r="H134" s="2" t="s">
        <v>21</v>
      </c>
      <c r="I134" s="2">
        <v>6.1394583333333301</v>
      </c>
      <c r="J134" s="2">
        <v>56</v>
      </c>
      <c r="K134" s="2" t="s">
        <v>21</v>
      </c>
      <c r="L134" s="2">
        <v>183311.93035015999</v>
      </c>
      <c r="M134" s="2">
        <v>1</v>
      </c>
      <c r="N134" s="2">
        <v>517593.27638614399</v>
      </c>
      <c r="O134" s="2">
        <v>0.35416211669141201</v>
      </c>
      <c r="P134" s="2">
        <v>5.5085283333333299</v>
      </c>
      <c r="Q134" s="2"/>
      <c r="R134" s="2"/>
      <c r="S134" s="2"/>
    </row>
    <row r="135" spans="1:19" x14ac:dyDescent="0.25">
      <c r="A135" s="2" t="s">
        <v>143</v>
      </c>
      <c r="B135" s="2"/>
      <c r="C135" s="2"/>
      <c r="D135" s="2"/>
      <c r="E135" s="2"/>
      <c r="F135" s="3">
        <v>44304.743344907409</v>
      </c>
      <c r="G135" s="2" t="s">
        <v>141</v>
      </c>
      <c r="H135" s="2" t="s">
        <v>21</v>
      </c>
      <c r="I135" s="2">
        <v>6.1394566666666597</v>
      </c>
      <c r="J135" s="2">
        <v>56</v>
      </c>
      <c r="K135" s="2" t="s">
        <v>21</v>
      </c>
      <c r="L135" s="2">
        <v>170397.22271409901</v>
      </c>
      <c r="M135" s="2">
        <v>1</v>
      </c>
      <c r="N135" s="2">
        <v>501779.57551341702</v>
      </c>
      <c r="O135" s="2">
        <v>0.33958580825006701</v>
      </c>
      <c r="P135" s="2">
        <v>5.5042566666666604</v>
      </c>
      <c r="Q135" s="2"/>
      <c r="R135" s="2"/>
      <c r="S135" s="2"/>
    </row>
    <row r="136" spans="1:19" x14ac:dyDescent="0.25">
      <c r="A136" s="2" t="s">
        <v>144</v>
      </c>
      <c r="B136" s="2"/>
      <c r="C136" s="2"/>
      <c r="D136" s="2"/>
      <c r="E136" s="2"/>
      <c r="F136" s="3">
        <v>44304.744930555556</v>
      </c>
      <c r="G136" s="2" t="s">
        <v>141</v>
      </c>
      <c r="H136" s="2" t="s">
        <v>21</v>
      </c>
      <c r="I136" s="2">
        <v>6.1351849999999999</v>
      </c>
      <c r="J136" s="2">
        <v>56</v>
      </c>
      <c r="K136" s="2" t="s">
        <v>21</v>
      </c>
      <c r="L136" s="2">
        <v>258571.500277977</v>
      </c>
      <c r="M136" s="2">
        <v>1</v>
      </c>
      <c r="N136" s="2">
        <v>486366.73661976203</v>
      </c>
      <c r="O136" s="2">
        <v>0.53163894816295099</v>
      </c>
      <c r="P136" s="2">
        <v>5.4957149999999997</v>
      </c>
      <c r="Q136" s="2"/>
      <c r="R136" s="2"/>
      <c r="S136" s="2"/>
    </row>
    <row r="137" spans="1:19" x14ac:dyDescent="0.25">
      <c r="A137" s="2" t="s">
        <v>145</v>
      </c>
      <c r="B137" s="2"/>
      <c r="C137" s="2"/>
      <c r="D137" s="2"/>
      <c r="E137" s="2"/>
      <c r="F137" s="3">
        <v>44304.746516203704</v>
      </c>
      <c r="G137" s="2" t="s">
        <v>141</v>
      </c>
      <c r="H137" s="2" t="s">
        <v>21</v>
      </c>
      <c r="I137" s="2">
        <v>6.1394616666666604</v>
      </c>
      <c r="J137" s="2">
        <v>56</v>
      </c>
      <c r="K137" s="2" t="s">
        <v>21</v>
      </c>
      <c r="L137" s="2">
        <v>262918.31103965198</v>
      </c>
      <c r="M137" s="2">
        <v>1</v>
      </c>
      <c r="N137" s="2">
        <v>495844.34750219702</v>
      </c>
      <c r="O137" s="2">
        <v>0.53024363868237301</v>
      </c>
      <c r="P137" s="2">
        <v>5.5042616666666602</v>
      </c>
      <c r="Q137" s="2"/>
      <c r="R137" s="2"/>
      <c r="S137" s="2"/>
    </row>
    <row r="138" spans="1:19" x14ac:dyDescent="0.25">
      <c r="A138" s="2" t="s">
        <v>146</v>
      </c>
      <c r="B138" s="2"/>
      <c r="C138" s="2"/>
      <c r="D138" s="2"/>
      <c r="E138" s="2"/>
      <c r="F138" s="3">
        <v>44304.767060185186</v>
      </c>
      <c r="G138" s="2" t="s">
        <v>141</v>
      </c>
      <c r="H138" s="2" t="s">
        <v>21</v>
      </c>
      <c r="I138" s="2">
        <v>6.1351866666666597</v>
      </c>
      <c r="J138" s="2">
        <v>56</v>
      </c>
      <c r="K138" s="2" t="s">
        <v>21</v>
      </c>
      <c r="L138" s="2">
        <v>77089.281983013105</v>
      </c>
      <c r="M138" s="2">
        <v>1</v>
      </c>
      <c r="N138" s="2">
        <v>511194.83167550497</v>
      </c>
      <c r="O138" s="2">
        <v>0.15080215449429199</v>
      </c>
      <c r="P138" s="2">
        <v>5.5127966666666604</v>
      </c>
      <c r="Q138" s="2"/>
      <c r="R138" s="2"/>
      <c r="S138" s="2"/>
    </row>
    <row r="139" spans="1:19" x14ac:dyDescent="0.25">
      <c r="A139" s="2" t="s">
        <v>147</v>
      </c>
      <c r="B139" s="2"/>
      <c r="C139" s="2"/>
      <c r="D139" s="2"/>
      <c r="E139" s="2"/>
      <c r="F139" s="3">
        <v>44304.768645833334</v>
      </c>
      <c r="G139" s="2" t="s">
        <v>141</v>
      </c>
      <c r="H139" s="2" t="s">
        <v>21</v>
      </c>
      <c r="I139" s="2">
        <v>6.1351883333333301</v>
      </c>
      <c r="J139" s="2">
        <v>56</v>
      </c>
      <c r="K139" s="2" t="s">
        <v>21</v>
      </c>
      <c r="L139" s="2">
        <v>73298.724315618907</v>
      </c>
      <c r="M139" s="2">
        <v>1</v>
      </c>
      <c r="N139" s="2">
        <v>577719.75196777296</v>
      </c>
      <c r="O139" s="2">
        <v>0.12687591875811099</v>
      </c>
      <c r="P139" s="2">
        <v>5.5085283333333299</v>
      </c>
      <c r="Q139" s="2"/>
      <c r="R139" s="2"/>
      <c r="S139" s="2"/>
    </row>
    <row r="140" spans="1:19" x14ac:dyDescent="0.25">
      <c r="A140" s="2" t="s">
        <v>148</v>
      </c>
      <c r="B140" s="2"/>
      <c r="C140" s="2"/>
      <c r="D140" s="2"/>
      <c r="E140" s="2"/>
      <c r="F140" s="3">
        <v>44304.770243055558</v>
      </c>
      <c r="G140" s="2" t="s">
        <v>141</v>
      </c>
      <c r="H140" s="2" t="s">
        <v>21</v>
      </c>
      <c r="I140" s="2">
        <v>6.1351800000000001</v>
      </c>
      <c r="J140" s="2">
        <v>56</v>
      </c>
      <c r="K140" s="2" t="s">
        <v>21</v>
      </c>
      <c r="L140" s="2">
        <v>281676.58839994599</v>
      </c>
      <c r="M140" s="2">
        <v>1</v>
      </c>
      <c r="N140" s="2">
        <v>481908.75373893901</v>
      </c>
      <c r="O140" s="2">
        <v>0.58450191289228404</v>
      </c>
      <c r="P140" s="2">
        <v>5.5085216666666597</v>
      </c>
      <c r="Q140" s="2"/>
      <c r="R140" s="2"/>
      <c r="S140" s="2"/>
    </row>
    <row r="141" spans="1:19" x14ac:dyDescent="0.25">
      <c r="A141" s="2" t="s">
        <v>149</v>
      </c>
      <c r="B141" s="2"/>
      <c r="C141" s="2"/>
      <c r="D141" s="2"/>
      <c r="E141" s="2"/>
      <c r="F141" s="3">
        <v>44304.771828703706</v>
      </c>
      <c r="G141" s="2" t="s">
        <v>141</v>
      </c>
      <c r="H141" s="2" t="s">
        <v>21</v>
      </c>
      <c r="I141" s="2">
        <v>6.1437283333333301</v>
      </c>
      <c r="J141" s="2">
        <v>56</v>
      </c>
      <c r="K141" s="2" t="s">
        <v>21</v>
      </c>
      <c r="L141" s="2">
        <v>277406.64363998902</v>
      </c>
      <c r="M141" s="2">
        <v>1</v>
      </c>
      <c r="N141" s="2">
        <v>453028.40963951498</v>
      </c>
      <c r="O141" s="2">
        <v>0.61233829432623899</v>
      </c>
      <c r="P141" s="2">
        <v>5.5085283333333299</v>
      </c>
      <c r="Q141" s="2"/>
      <c r="R141" s="2"/>
      <c r="S141" s="2"/>
    </row>
    <row r="142" spans="1:19" x14ac:dyDescent="0.25">
      <c r="A142" s="2" t="s">
        <v>150</v>
      </c>
      <c r="B142" s="2"/>
      <c r="C142" s="2"/>
      <c r="D142" s="2"/>
      <c r="E142" s="2"/>
      <c r="F142" s="3">
        <v>44304.773414351854</v>
      </c>
      <c r="G142" s="2" t="s">
        <v>141</v>
      </c>
      <c r="H142" s="2" t="s">
        <v>21</v>
      </c>
      <c r="I142" s="2">
        <v>6.1437299999999997</v>
      </c>
      <c r="J142" s="2">
        <v>56</v>
      </c>
      <c r="K142" s="2" t="s">
        <v>21</v>
      </c>
      <c r="L142" s="2">
        <v>290939.90937179798</v>
      </c>
      <c r="M142" s="2">
        <v>1</v>
      </c>
      <c r="N142" s="2">
        <v>468854.45266579598</v>
      </c>
      <c r="O142" s="2">
        <v>0.62053353171241599</v>
      </c>
      <c r="P142" s="2">
        <v>5.5085300000000004</v>
      </c>
      <c r="Q142" s="2"/>
      <c r="R142" s="2"/>
      <c r="S142" s="2"/>
    </row>
    <row r="143" spans="1:19" x14ac:dyDescent="0.25">
      <c r="A143" s="2" t="s">
        <v>151</v>
      </c>
      <c r="B143" s="2"/>
      <c r="C143" s="2"/>
      <c r="D143" s="2"/>
      <c r="E143" s="2"/>
      <c r="F143" s="3">
        <v>44304.775023148148</v>
      </c>
      <c r="G143" s="2" t="s">
        <v>141</v>
      </c>
      <c r="H143" s="2" t="s">
        <v>21</v>
      </c>
      <c r="I143" s="2">
        <v>6.1437233333333303</v>
      </c>
      <c r="J143" s="2">
        <v>56</v>
      </c>
      <c r="K143" s="2" t="s">
        <v>21</v>
      </c>
      <c r="L143" s="2">
        <v>290072.65123637801</v>
      </c>
      <c r="M143" s="2">
        <v>1</v>
      </c>
      <c r="N143" s="2">
        <v>474755.74139634898</v>
      </c>
      <c r="O143" s="2">
        <v>0.61099345609432298</v>
      </c>
      <c r="P143" s="2">
        <v>5.5085233333333301</v>
      </c>
      <c r="Q143" s="2"/>
      <c r="R143" s="2"/>
      <c r="S143" s="2"/>
    </row>
    <row r="144" spans="1:19" x14ac:dyDescent="0.25">
      <c r="A144" s="2" t="s">
        <v>152</v>
      </c>
      <c r="B144" s="2"/>
      <c r="C144" s="2"/>
      <c r="D144" s="2"/>
      <c r="E144" s="2"/>
      <c r="F144" s="3">
        <v>44304.779826388891</v>
      </c>
      <c r="G144" s="2" t="s">
        <v>141</v>
      </c>
      <c r="H144" s="2" t="s">
        <v>21</v>
      </c>
      <c r="I144" s="2">
        <v>6.1351883333333301</v>
      </c>
      <c r="J144" s="2">
        <v>56</v>
      </c>
      <c r="K144" s="2" t="s">
        <v>21</v>
      </c>
      <c r="L144" s="2">
        <v>93288.402939801905</v>
      </c>
      <c r="M144" s="2">
        <v>1</v>
      </c>
      <c r="N144" s="2">
        <v>526923.13438792003</v>
      </c>
      <c r="O144" s="2">
        <v>0.17704366510338701</v>
      </c>
      <c r="P144" s="2">
        <v>5.5042583333333299</v>
      </c>
      <c r="Q144" s="2"/>
      <c r="R144" s="2"/>
      <c r="S144" s="2"/>
    </row>
    <row r="145" spans="1:19" x14ac:dyDescent="0.25">
      <c r="A145" s="2" t="s">
        <v>153</v>
      </c>
      <c r="B145" s="2"/>
      <c r="C145" s="2"/>
      <c r="D145" s="2"/>
      <c r="E145" s="2"/>
      <c r="F145" s="3">
        <v>44304.781423611108</v>
      </c>
      <c r="G145" s="2" t="s">
        <v>141</v>
      </c>
      <c r="H145" s="2" t="s">
        <v>21</v>
      </c>
      <c r="I145" s="2">
        <v>6.1394583333333301</v>
      </c>
      <c r="J145" s="2">
        <v>56</v>
      </c>
      <c r="K145" s="2" t="s">
        <v>21</v>
      </c>
      <c r="L145" s="2">
        <v>80970.739549208505</v>
      </c>
      <c r="M145" s="2">
        <v>1</v>
      </c>
      <c r="N145" s="2">
        <v>531276.04907886905</v>
      </c>
      <c r="O145" s="2">
        <v>0.15240803663104399</v>
      </c>
      <c r="P145" s="2">
        <v>5.5042583333333299</v>
      </c>
      <c r="Q145" s="2"/>
      <c r="R145" s="2"/>
      <c r="S145" s="2"/>
    </row>
    <row r="146" spans="1:19" x14ac:dyDescent="0.25">
      <c r="A146" s="2" t="s">
        <v>19</v>
      </c>
      <c r="B146" s="2"/>
      <c r="C146" s="2"/>
      <c r="D146" s="2"/>
      <c r="E146" s="2"/>
      <c r="F146" s="3">
        <v>44304.671979166669</v>
      </c>
      <c r="G146" s="2" t="s">
        <v>128</v>
      </c>
      <c r="H146" s="2" t="s">
        <v>21</v>
      </c>
      <c r="I146" s="2">
        <v>6.1434049999999996</v>
      </c>
      <c r="J146" s="2">
        <v>57</v>
      </c>
      <c r="K146" s="2" t="s">
        <v>21</v>
      </c>
      <c r="L146" s="2">
        <v>0</v>
      </c>
      <c r="M146" s="2">
        <v>1</v>
      </c>
      <c r="N146" s="2">
        <v>724003.150201443</v>
      </c>
      <c r="O146" s="2">
        <v>0</v>
      </c>
      <c r="P146" s="2" t="s">
        <v>21</v>
      </c>
      <c r="Q146" s="2"/>
      <c r="R146" s="2"/>
      <c r="S146" s="2"/>
    </row>
    <row r="147" spans="1:19" x14ac:dyDescent="0.25">
      <c r="A147" s="2" t="s">
        <v>22</v>
      </c>
      <c r="B147" s="2"/>
      <c r="C147" s="2"/>
      <c r="D147" s="2"/>
      <c r="E147" s="2"/>
      <c r="F147" s="3">
        <v>44304.673564814817</v>
      </c>
      <c r="G147" s="2" t="s">
        <v>128</v>
      </c>
      <c r="H147" s="2" t="s">
        <v>21</v>
      </c>
      <c r="I147" s="2">
        <v>6.130725</v>
      </c>
      <c r="J147" s="2">
        <v>57</v>
      </c>
      <c r="K147" s="2" t="s">
        <v>21</v>
      </c>
      <c r="L147" s="2">
        <v>0</v>
      </c>
      <c r="M147" s="2">
        <v>1</v>
      </c>
      <c r="N147" s="2">
        <v>382677.237752121</v>
      </c>
      <c r="O147" s="2">
        <v>0</v>
      </c>
      <c r="P147" s="2" t="s">
        <v>21</v>
      </c>
      <c r="Q147" s="2"/>
      <c r="R147" s="2"/>
      <c r="S147" s="2"/>
    </row>
    <row r="148" spans="1:19" x14ac:dyDescent="0.25">
      <c r="A148" s="2" t="s">
        <v>23</v>
      </c>
      <c r="B148" s="2"/>
      <c r="C148" s="2"/>
      <c r="D148" s="2"/>
      <c r="E148" s="2"/>
      <c r="F148" s="3">
        <v>44304.675150462965</v>
      </c>
      <c r="G148" s="2" t="s">
        <v>128</v>
      </c>
      <c r="H148" s="2" t="s">
        <v>21</v>
      </c>
      <c r="I148" s="2">
        <v>6.1391616666666602</v>
      </c>
      <c r="J148" s="2">
        <v>57</v>
      </c>
      <c r="K148" s="2" t="s">
        <v>21</v>
      </c>
      <c r="L148" s="2">
        <v>0</v>
      </c>
      <c r="M148" s="2">
        <v>1</v>
      </c>
      <c r="N148" s="2">
        <v>767393.257466326</v>
      </c>
      <c r="O148" s="2">
        <v>0</v>
      </c>
      <c r="P148" s="2" t="s">
        <v>21</v>
      </c>
      <c r="Q148" s="2"/>
      <c r="R148" s="2"/>
      <c r="S148" s="2"/>
    </row>
    <row r="149" spans="1:19" x14ac:dyDescent="0.25">
      <c r="A149" s="2" t="s">
        <v>24</v>
      </c>
      <c r="B149" s="2"/>
      <c r="C149" s="2"/>
      <c r="D149" s="2"/>
      <c r="E149" s="2"/>
      <c r="F149" s="3">
        <v>44304.676724537036</v>
      </c>
      <c r="G149" s="2" t="s">
        <v>128</v>
      </c>
      <c r="H149" s="2" t="s">
        <v>21</v>
      </c>
      <c r="I149" s="2">
        <v>6.1265116666666604</v>
      </c>
      <c r="J149" s="2">
        <v>57</v>
      </c>
      <c r="K149" s="2" t="s">
        <v>21</v>
      </c>
      <c r="L149" s="2">
        <v>0</v>
      </c>
      <c r="M149" s="2">
        <v>1</v>
      </c>
      <c r="N149" s="2">
        <v>327471.84305237798</v>
      </c>
      <c r="O149" s="2">
        <v>0</v>
      </c>
      <c r="P149" s="2" t="s">
        <v>21</v>
      </c>
      <c r="Q149" s="2"/>
      <c r="R149" s="2"/>
      <c r="S149" s="2"/>
    </row>
    <row r="150" spans="1:19" x14ac:dyDescent="0.25">
      <c r="A150" s="2" t="s">
        <v>129</v>
      </c>
      <c r="B150" s="2"/>
      <c r="C150" s="2"/>
      <c r="D150" s="2"/>
      <c r="E150" s="2"/>
      <c r="F150" s="3">
        <v>44304.69730324074</v>
      </c>
      <c r="G150" s="2" t="s">
        <v>128</v>
      </c>
      <c r="H150" s="2" t="s">
        <v>21</v>
      </c>
      <c r="I150" s="2">
        <v>6.1138816666666598</v>
      </c>
      <c r="J150" s="2">
        <v>57</v>
      </c>
      <c r="K150" s="2" t="s">
        <v>21</v>
      </c>
      <c r="L150" s="2">
        <v>4210393.7459822996</v>
      </c>
      <c r="M150" s="2">
        <v>1</v>
      </c>
      <c r="N150" s="2">
        <v>901559.28483324195</v>
      </c>
      <c r="O150" s="2">
        <v>4.6701241025553699</v>
      </c>
      <c r="P150" s="2">
        <v>5.3035949999999996</v>
      </c>
      <c r="Q150" s="2"/>
      <c r="R150" s="2"/>
      <c r="S150" s="2"/>
    </row>
    <row r="151" spans="1:19" x14ac:dyDescent="0.25">
      <c r="A151" s="2" t="s">
        <v>130</v>
      </c>
      <c r="B151" s="2"/>
      <c r="C151" s="2"/>
      <c r="D151" s="2"/>
      <c r="E151" s="2"/>
      <c r="F151" s="3">
        <v>44304.698888888888</v>
      </c>
      <c r="G151" s="2" t="s">
        <v>128</v>
      </c>
      <c r="H151" s="2" t="s">
        <v>21</v>
      </c>
      <c r="I151" s="2">
        <v>6.1096149999999998</v>
      </c>
      <c r="J151" s="2">
        <v>57</v>
      </c>
      <c r="K151" s="2" t="s">
        <v>21</v>
      </c>
      <c r="L151" s="2">
        <v>4267000.4020290002</v>
      </c>
      <c r="M151" s="2">
        <v>1</v>
      </c>
      <c r="N151" s="2">
        <v>918920.50468895002</v>
      </c>
      <c r="O151" s="2">
        <v>4.64349242426945</v>
      </c>
      <c r="P151" s="2">
        <v>5.3078700000000003</v>
      </c>
      <c r="Q151" s="2"/>
      <c r="R151" s="2"/>
      <c r="S151" s="2"/>
    </row>
    <row r="152" spans="1:19" x14ac:dyDescent="0.25">
      <c r="A152" s="2" t="s">
        <v>131</v>
      </c>
      <c r="B152" s="2"/>
      <c r="C152" s="2"/>
      <c r="D152" s="2"/>
      <c r="E152" s="2"/>
      <c r="F152" s="3">
        <v>44304.700486111113</v>
      </c>
      <c r="G152" s="2" t="s">
        <v>128</v>
      </c>
      <c r="H152" s="2" t="s">
        <v>21</v>
      </c>
      <c r="I152" s="2">
        <v>6.11388</v>
      </c>
      <c r="J152" s="2">
        <v>57</v>
      </c>
      <c r="K152" s="2" t="s">
        <v>21</v>
      </c>
      <c r="L152" s="2">
        <v>3809203.6523329699</v>
      </c>
      <c r="M152" s="2">
        <v>1</v>
      </c>
      <c r="N152" s="2">
        <v>926700.14004957594</v>
      </c>
      <c r="O152" s="2">
        <v>4.1105029423316797</v>
      </c>
      <c r="P152" s="2">
        <v>5.3164049999999996</v>
      </c>
      <c r="Q152" s="2"/>
      <c r="R152" s="2"/>
      <c r="S152" s="2"/>
    </row>
    <row r="153" spans="1:19" x14ac:dyDescent="0.25">
      <c r="A153" s="2" t="s">
        <v>132</v>
      </c>
      <c r="B153" s="2"/>
      <c r="C153" s="2"/>
      <c r="D153" s="2"/>
      <c r="E153" s="2"/>
      <c r="F153" s="3">
        <v>44304.70207175926</v>
      </c>
      <c r="G153" s="2" t="s">
        <v>128</v>
      </c>
      <c r="H153" s="2" t="s">
        <v>21</v>
      </c>
      <c r="I153" s="2">
        <v>6.1096133333333302</v>
      </c>
      <c r="J153" s="2">
        <v>57</v>
      </c>
      <c r="K153" s="2" t="s">
        <v>21</v>
      </c>
      <c r="L153" s="2">
        <v>3191402.8433261602</v>
      </c>
      <c r="M153" s="2">
        <v>1</v>
      </c>
      <c r="N153" s="2">
        <v>883802.94201438001</v>
      </c>
      <c r="O153" s="2">
        <v>3.6109891601540198</v>
      </c>
      <c r="P153" s="2">
        <v>5.3206783333333298</v>
      </c>
      <c r="Q153" s="2"/>
      <c r="R153" s="2"/>
      <c r="S153" s="2"/>
    </row>
    <row r="154" spans="1:19" x14ac:dyDescent="0.25">
      <c r="A154" s="2" t="s">
        <v>133</v>
      </c>
      <c r="B154" s="2"/>
      <c r="C154" s="2"/>
      <c r="D154" s="2"/>
      <c r="E154" s="2"/>
      <c r="F154" s="3">
        <v>44304.703657407408</v>
      </c>
      <c r="G154" s="2" t="s">
        <v>128</v>
      </c>
      <c r="H154" s="2" t="s">
        <v>21</v>
      </c>
      <c r="I154" s="2">
        <v>6.1096149999999998</v>
      </c>
      <c r="J154" s="2">
        <v>57</v>
      </c>
      <c r="K154" s="2" t="s">
        <v>21</v>
      </c>
      <c r="L154" s="2">
        <v>5662279.0782678202</v>
      </c>
      <c r="M154" s="2">
        <v>1</v>
      </c>
      <c r="N154" s="2">
        <v>926010.32996411703</v>
      </c>
      <c r="O154" s="2">
        <v>6.1147040103615602</v>
      </c>
      <c r="P154" s="2">
        <v>5.3164100000000003</v>
      </c>
      <c r="Q154" s="2"/>
      <c r="R154" s="2"/>
      <c r="S154" s="2"/>
    </row>
    <row r="155" spans="1:19" x14ac:dyDescent="0.25">
      <c r="A155" s="2" t="s">
        <v>134</v>
      </c>
      <c r="B155" s="2"/>
      <c r="C155" s="2"/>
      <c r="D155" s="2"/>
      <c r="E155" s="2"/>
      <c r="F155" s="3">
        <v>44304.705231481479</v>
      </c>
      <c r="G155" s="2" t="s">
        <v>128</v>
      </c>
      <c r="H155" s="2" t="s">
        <v>21</v>
      </c>
      <c r="I155" s="2">
        <v>6.1053266666666604</v>
      </c>
      <c r="J155" s="2">
        <v>57</v>
      </c>
      <c r="K155" s="2" t="s">
        <v>21</v>
      </c>
      <c r="L155" s="2">
        <v>6931883.4184776302</v>
      </c>
      <c r="M155" s="2">
        <v>1</v>
      </c>
      <c r="N155" s="2">
        <v>936950.80671403697</v>
      </c>
      <c r="O155" s="2">
        <v>7.3983429746843399</v>
      </c>
      <c r="P155" s="2">
        <v>5.3206633333333304</v>
      </c>
      <c r="Q155" s="2"/>
      <c r="R155" s="2"/>
      <c r="S155" s="2"/>
    </row>
    <row r="156" spans="1:19" x14ac:dyDescent="0.25">
      <c r="A156" s="2" t="s">
        <v>135</v>
      </c>
      <c r="B156" s="2"/>
      <c r="C156" s="2"/>
      <c r="D156" s="2"/>
      <c r="E156" s="2"/>
      <c r="F156" s="3">
        <v>44304.71</v>
      </c>
      <c r="G156" s="2" t="s">
        <v>128</v>
      </c>
      <c r="H156" s="2" t="s">
        <v>21</v>
      </c>
      <c r="I156" s="2">
        <v>6.11388</v>
      </c>
      <c r="J156" s="2">
        <v>57</v>
      </c>
      <c r="K156" s="2" t="s">
        <v>21</v>
      </c>
      <c r="L156" s="2">
        <v>3672106.9567551399</v>
      </c>
      <c r="M156" s="2">
        <v>1</v>
      </c>
      <c r="N156" s="2">
        <v>808261.196807342</v>
      </c>
      <c r="O156" s="2">
        <v>4.54321817162581</v>
      </c>
      <c r="P156" s="2">
        <v>5.31640333333333</v>
      </c>
      <c r="Q156" s="2"/>
      <c r="R156" s="2"/>
      <c r="S156" s="2"/>
    </row>
    <row r="157" spans="1:19" x14ac:dyDescent="0.25">
      <c r="A157" s="2" t="s">
        <v>136</v>
      </c>
      <c r="B157" s="2"/>
      <c r="C157" s="2"/>
      <c r="D157" s="2"/>
      <c r="E157" s="2"/>
      <c r="F157" s="3">
        <v>44304.711585648147</v>
      </c>
      <c r="G157" s="2" t="s">
        <v>128</v>
      </c>
      <c r="H157" s="2" t="s">
        <v>21</v>
      </c>
      <c r="I157" s="2">
        <v>6.1138950000000003</v>
      </c>
      <c r="J157" s="2">
        <v>57</v>
      </c>
      <c r="K157" s="2" t="s">
        <v>21</v>
      </c>
      <c r="L157" s="2">
        <v>3301221.0343920402</v>
      </c>
      <c r="M157" s="2">
        <v>1</v>
      </c>
      <c r="N157" s="2">
        <v>868714.66219768405</v>
      </c>
      <c r="O157" s="2">
        <v>3.8001212343309301</v>
      </c>
      <c r="P157" s="2">
        <v>5.3164199999999999</v>
      </c>
      <c r="Q157" s="2"/>
      <c r="R157" s="2"/>
      <c r="S157" s="2"/>
    </row>
    <row r="158" spans="1:19" x14ac:dyDescent="0.25">
      <c r="A158" s="2" t="s">
        <v>137</v>
      </c>
      <c r="B158" s="2"/>
      <c r="C158" s="2"/>
      <c r="D158" s="2"/>
      <c r="E158" s="2"/>
      <c r="F158" s="3">
        <v>44304.713171296295</v>
      </c>
      <c r="G158" s="2" t="s">
        <v>128</v>
      </c>
      <c r="H158" s="2" t="s">
        <v>21</v>
      </c>
      <c r="I158" s="2">
        <v>6.1096083333333304</v>
      </c>
      <c r="J158" s="2">
        <v>57</v>
      </c>
      <c r="K158" s="2" t="s">
        <v>21</v>
      </c>
      <c r="L158" s="2">
        <v>3197734.2854619501</v>
      </c>
      <c r="M158" s="2">
        <v>1</v>
      </c>
      <c r="N158" s="2">
        <v>867495.54878090299</v>
      </c>
      <c r="O158" s="2">
        <v>3.686167946286</v>
      </c>
      <c r="P158" s="2">
        <v>5.32067333333333</v>
      </c>
      <c r="Q158" s="2"/>
      <c r="R158" s="2"/>
      <c r="S158" s="2"/>
    </row>
    <row r="159" spans="1:19" x14ac:dyDescent="0.25">
      <c r="A159" s="2" t="s">
        <v>138</v>
      </c>
      <c r="B159" s="2"/>
      <c r="C159" s="2"/>
      <c r="D159" s="2"/>
      <c r="E159" s="2"/>
      <c r="F159" s="3">
        <v>44304.727418981478</v>
      </c>
      <c r="G159" s="2" t="s">
        <v>128</v>
      </c>
      <c r="H159" s="2" t="s">
        <v>21</v>
      </c>
      <c r="I159" s="2">
        <v>6.1053516666666603</v>
      </c>
      <c r="J159" s="2">
        <v>57</v>
      </c>
      <c r="K159" s="2" t="s">
        <v>21</v>
      </c>
      <c r="L159" s="2">
        <v>3192492.1544152498</v>
      </c>
      <c r="M159" s="2">
        <v>1</v>
      </c>
      <c r="N159" s="2">
        <v>871264.26848532096</v>
      </c>
      <c r="O159" s="2">
        <v>3.6642064524984499</v>
      </c>
      <c r="P159" s="2">
        <v>5.3292266666666599</v>
      </c>
      <c r="Q159" s="2"/>
      <c r="R159" s="2"/>
      <c r="S159" s="2"/>
    </row>
    <row r="160" spans="1:19" x14ac:dyDescent="0.25">
      <c r="A160" s="2" t="s">
        <v>139</v>
      </c>
      <c r="B160" s="2"/>
      <c r="C160" s="2"/>
      <c r="D160" s="2"/>
      <c r="E160" s="2"/>
      <c r="F160" s="3">
        <v>44304.732164351852</v>
      </c>
      <c r="G160" s="2" t="s">
        <v>128</v>
      </c>
      <c r="H160" s="2" t="s">
        <v>21</v>
      </c>
      <c r="I160" s="2">
        <v>6.11388</v>
      </c>
      <c r="J160" s="2">
        <v>57</v>
      </c>
      <c r="K160" s="2" t="s">
        <v>21</v>
      </c>
      <c r="L160" s="2">
        <v>4658896.6252423897</v>
      </c>
      <c r="M160" s="2">
        <v>1</v>
      </c>
      <c r="N160" s="2">
        <v>1022353.29707714</v>
      </c>
      <c r="O160" s="2">
        <v>4.5570319365741199</v>
      </c>
      <c r="P160" s="2">
        <v>5.2993233333333301</v>
      </c>
      <c r="Q160" s="2"/>
      <c r="R160" s="2"/>
      <c r="S160" s="2"/>
    </row>
    <row r="161" spans="1:19" x14ac:dyDescent="0.25">
      <c r="A161" s="2" t="s">
        <v>140</v>
      </c>
      <c r="B161" s="2"/>
      <c r="C161" s="2"/>
      <c r="D161" s="2"/>
      <c r="E161" s="2"/>
      <c r="F161" s="3">
        <v>44304.733761574076</v>
      </c>
      <c r="G161" s="2" t="s">
        <v>128</v>
      </c>
      <c r="H161" s="2" t="s">
        <v>21</v>
      </c>
      <c r="I161" s="2">
        <v>6.1138783333333304</v>
      </c>
      <c r="J161" s="2">
        <v>57</v>
      </c>
      <c r="K161" s="2" t="s">
        <v>21</v>
      </c>
      <c r="L161" s="2">
        <v>4226587.5540222097</v>
      </c>
      <c r="M161" s="2">
        <v>1</v>
      </c>
      <c r="N161" s="2">
        <v>965243.63080939697</v>
      </c>
      <c r="O161" s="2">
        <v>4.3787779780303104</v>
      </c>
      <c r="P161" s="2">
        <v>5.2993216666666596</v>
      </c>
      <c r="Q161" s="2"/>
      <c r="R161" s="2"/>
      <c r="S161" s="2"/>
    </row>
    <row r="162" spans="1:19" x14ac:dyDescent="0.25">
      <c r="A162" s="2" t="s">
        <v>19</v>
      </c>
      <c r="B162" s="2"/>
      <c r="C162" s="2"/>
      <c r="D162" s="2"/>
      <c r="E162" s="2"/>
      <c r="F162" s="3">
        <v>44304.843530092592</v>
      </c>
      <c r="G162" s="2" t="s">
        <v>63</v>
      </c>
      <c r="H162" s="2" t="s">
        <v>21</v>
      </c>
      <c r="I162" s="2">
        <v>6.1434049999999996</v>
      </c>
      <c r="J162" s="2">
        <v>56</v>
      </c>
      <c r="K162" s="2" t="s">
        <v>21</v>
      </c>
      <c r="L162" s="2">
        <v>87489955.620866701</v>
      </c>
      <c r="M162" s="2">
        <v>1</v>
      </c>
      <c r="N162" s="2">
        <v>724003.150201443</v>
      </c>
      <c r="O162" s="2">
        <v>120.841954343049</v>
      </c>
      <c r="P162" s="2">
        <v>4.45767166666666</v>
      </c>
      <c r="Q162" s="2"/>
      <c r="R162" s="2"/>
      <c r="S162" s="2"/>
    </row>
    <row r="163" spans="1:19" x14ac:dyDescent="0.25">
      <c r="A163" s="2" t="s">
        <v>22</v>
      </c>
      <c r="B163" s="2"/>
      <c r="C163" s="2"/>
      <c r="D163" s="2"/>
      <c r="E163" s="2"/>
      <c r="F163" s="3">
        <v>44304.84511574074</v>
      </c>
      <c r="G163" s="2" t="s">
        <v>63</v>
      </c>
      <c r="H163" s="2" t="s">
        <v>21</v>
      </c>
      <c r="I163" s="2">
        <v>6.130725</v>
      </c>
      <c r="J163" s="2">
        <v>56</v>
      </c>
      <c r="K163" s="2" t="s">
        <v>21</v>
      </c>
      <c r="L163" s="2">
        <v>0</v>
      </c>
      <c r="M163" s="2">
        <v>1</v>
      </c>
      <c r="N163" s="2">
        <v>382677.237752121</v>
      </c>
      <c r="O163" s="2">
        <v>0</v>
      </c>
      <c r="P163" s="2" t="s">
        <v>21</v>
      </c>
      <c r="Q163" s="2"/>
      <c r="R163" s="2"/>
      <c r="S163" s="2"/>
    </row>
    <row r="164" spans="1:19" x14ac:dyDescent="0.25">
      <c r="A164" s="2" t="s">
        <v>23</v>
      </c>
      <c r="B164" s="2"/>
      <c r="C164" s="2"/>
      <c r="D164" s="2"/>
      <c r="E164" s="2"/>
      <c r="F164" s="3">
        <v>44304.849849537037</v>
      </c>
      <c r="G164" s="2" t="s">
        <v>63</v>
      </c>
      <c r="H164" s="2" t="s">
        <v>21</v>
      </c>
      <c r="I164" s="2">
        <v>6.1391616666666602</v>
      </c>
      <c r="J164" s="2">
        <v>56</v>
      </c>
      <c r="K164" s="2" t="s">
        <v>21</v>
      </c>
      <c r="L164" s="2">
        <v>105534754.64757299</v>
      </c>
      <c r="M164" s="2">
        <v>1</v>
      </c>
      <c r="N164" s="2">
        <v>767393.257466326</v>
      </c>
      <c r="O164" s="2">
        <v>137.52369286643599</v>
      </c>
      <c r="P164" s="2">
        <v>4.4661016666666598</v>
      </c>
      <c r="Q164" s="2"/>
      <c r="R164" s="2"/>
      <c r="S164" s="2"/>
    </row>
    <row r="165" spans="1:19" x14ac:dyDescent="0.25">
      <c r="A165" s="2" t="s">
        <v>24</v>
      </c>
      <c r="B165" s="2"/>
      <c r="C165" s="2"/>
      <c r="D165" s="2"/>
      <c r="E165" s="2"/>
      <c r="F165" s="3">
        <v>44304.851435185185</v>
      </c>
      <c r="G165" s="2" t="s">
        <v>63</v>
      </c>
      <c r="H165" s="2" t="s">
        <v>21</v>
      </c>
      <c r="I165" s="2">
        <v>6.1265116666666604</v>
      </c>
      <c r="J165" s="2">
        <v>56</v>
      </c>
      <c r="K165" s="2" t="s">
        <v>21</v>
      </c>
      <c r="L165" s="2">
        <v>0</v>
      </c>
      <c r="M165" s="2">
        <v>1</v>
      </c>
      <c r="N165" s="2">
        <v>327471.84305237798</v>
      </c>
      <c r="O165" s="2">
        <v>0</v>
      </c>
      <c r="P165" s="2" t="s">
        <v>21</v>
      </c>
      <c r="Q165" s="2"/>
      <c r="R165" s="2"/>
      <c r="S165" s="2"/>
    </row>
    <row r="166" spans="1:19" x14ac:dyDescent="0.25">
      <c r="A166" s="2" t="s">
        <v>64</v>
      </c>
      <c r="B166" s="2"/>
      <c r="C166" s="2"/>
      <c r="D166" s="2"/>
      <c r="E166" s="2"/>
      <c r="F166" s="3">
        <v>44304.853009259263</v>
      </c>
      <c r="G166" s="2" t="s">
        <v>63</v>
      </c>
      <c r="H166" s="2" t="s">
        <v>21</v>
      </c>
      <c r="I166" s="2">
        <v>6.1352366666666596</v>
      </c>
      <c r="J166" s="2">
        <v>56</v>
      </c>
      <c r="K166" s="2" t="s">
        <v>21</v>
      </c>
      <c r="L166" s="2">
        <v>110336068.42935</v>
      </c>
      <c r="M166" s="2">
        <v>1</v>
      </c>
      <c r="N166" s="2">
        <v>442748.35891843901</v>
      </c>
      <c r="O166" s="2">
        <v>249.20717650740099</v>
      </c>
      <c r="P166" s="2">
        <v>4.4676900000000002</v>
      </c>
      <c r="Q166" s="2"/>
      <c r="R166" s="2"/>
      <c r="S166" s="2"/>
    </row>
    <row r="167" spans="1:19" x14ac:dyDescent="0.25">
      <c r="A167" s="2" t="s">
        <v>65</v>
      </c>
      <c r="B167" s="2"/>
      <c r="C167" s="2"/>
      <c r="D167" s="2"/>
      <c r="E167" s="2"/>
      <c r="F167" s="3">
        <v>44304.867361111108</v>
      </c>
      <c r="G167" s="2" t="s">
        <v>63</v>
      </c>
      <c r="H167" s="2" t="s">
        <v>21</v>
      </c>
      <c r="I167" s="2">
        <v>6.1395049999999998</v>
      </c>
      <c r="J167" s="2">
        <v>56</v>
      </c>
      <c r="K167" s="2" t="s">
        <v>21</v>
      </c>
      <c r="L167" s="2">
        <v>109886585.130279</v>
      </c>
      <c r="M167" s="2">
        <v>1</v>
      </c>
      <c r="N167" s="2">
        <v>481261.02419112303</v>
      </c>
      <c r="O167" s="2">
        <v>228.330530848558</v>
      </c>
      <c r="P167" s="2">
        <v>4.4676900000000002</v>
      </c>
      <c r="Q167" s="2"/>
      <c r="R167" s="2"/>
      <c r="S167" s="2"/>
    </row>
    <row r="168" spans="1:19" x14ac:dyDescent="0.25">
      <c r="A168" s="2" t="s">
        <v>66</v>
      </c>
      <c r="B168" s="2"/>
      <c r="C168" s="2"/>
      <c r="D168" s="2"/>
      <c r="E168" s="2"/>
      <c r="F168" s="3">
        <v>44304.872164351851</v>
      </c>
      <c r="G168" s="2" t="s">
        <v>63</v>
      </c>
      <c r="H168" s="2" t="s">
        <v>21</v>
      </c>
      <c r="I168" s="2">
        <v>6.1352366666666596</v>
      </c>
      <c r="J168" s="2">
        <v>56</v>
      </c>
      <c r="K168" s="2" t="s">
        <v>21</v>
      </c>
      <c r="L168" s="2">
        <v>97615304.514212206</v>
      </c>
      <c r="M168" s="2">
        <v>1</v>
      </c>
      <c r="N168" s="2">
        <v>487294.20160689601</v>
      </c>
      <c r="O168" s="2">
        <v>200.321087737791</v>
      </c>
      <c r="P168" s="2">
        <v>4.4420683333333297</v>
      </c>
      <c r="Q168" s="2"/>
      <c r="R168" s="2"/>
      <c r="S168" s="2"/>
    </row>
    <row r="169" spans="1:19" x14ac:dyDescent="0.25">
      <c r="A169" s="2" t="s">
        <v>67</v>
      </c>
      <c r="B169" s="2"/>
      <c r="C169" s="2"/>
      <c r="D169" s="2"/>
      <c r="E169" s="2"/>
      <c r="F169" s="3">
        <v>44304.873749999999</v>
      </c>
      <c r="G169" s="2" t="s">
        <v>63</v>
      </c>
      <c r="H169" s="2" t="s">
        <v>21</v>
      </c>
      <c r="I169" s="2">
        <v>6.1352366666666596</v>
      </c>
      <c r="J169" s="2">
        <v>56</v>
      </c>
      <c r="K169" s="2" t="s">
        <v>21</v>
      </c>
      <c r="L169" s="2">
        <v>100742434.546434</v>
      </c>
      <c r="M169" s="2">
        <v>1</v>
      </c>
      <c r="N169" s="2">
        <v>521026.99904837401</v>
      </c>
      <c r="O169" s="2">
        <v>193.353578087957</v>
      </c>
      <c r="P169" s="2">
        <v>4.4548800000000002</v>
      </c>
      <c r="Q169" s="2"/>
      <c r="R169" s="2"/>
      <c r="S169" s="2"/>
    </row>
    <row r="170" spans="1:19" x14ac:dyDescent="0.25">
      <c r="A170" s="2" t="s">
        <v>68</v>
      </c>
      <c r="B170" s="2"/>
      <c r="C170" s="2"/>
      <c r="D170" s="2"/>
      <c r="E170" s="2"/>
      <c r="F170" s="3">
        <v>44304.875347222223</v>
      </c>
      <c r="G170" s="2" t="s">
        <v>63</v>
      </c>
      <c r="H170" s="2" t="s">
        <v>21</v>
      </c>
      <c r="I170" s="2">
        <v>6.1309649999999998</v>
      </c>
      <c r="J170" s="2">
        <v>56</v>
      </c>
      <c r="K170" s="2" t="s">
        <v>21</v>
      </c>
      <c r="L170" s="2">
        <v>0</v>
      </c>
      <c r="M170" s="2">
        <v>1</v>
      </c>
      <c r="N170" s="2">
        <v>480380.774274169</v>
      </c>
      <c r="O170" s="2">
        <v>0</v>
      </c>
      <c r="P170" s="2" t="s">
        <v>21</v>
      </c>
      <c r="Q170" s="2"/>
      <c r="R170" s="2"/>
      <c r="S170" s="2"/>
    </row>
    <row r="171" spans="1:19" x14ac:dyDescent="0.25">
      <c r="A171" s="2" t="s">
        <v>69</v>
      </c>
      <c r="B171" s="2"/>
      <c r="C171" s="2"/>
      <c r="D171" s="2"/>
      <c r="E171" s="2"/>
      <c r="F171" s="3">
        <v>44304.876944444448</v>
      </c>
      <c r="G171" s="2" t="s">
        <v>63</v>
      </c>
      <c r="H171" s="2" t="s">
        <v>21</v>
      </c>
      <c r="I171" s="2">
        <v>6.1352366666666596</v>
      </c>
      <c r="J171" s="2">
        <v>56</v>
      </c>
      <c r="K171" s="2" t="s">
        <v>21</v>
      </c>
      <c r="L171" s="2">
        <v>0</v>
      </c>
      <c r="M171" s="2">
        <v>1</v>
      </c>
      <c r="N171" s="2">
        <v>540641.26059143397</v>
      </c>
      <c r="O171" s="2">
        <v>0</v>
      </c>
      <c r="P171" s="2" t="s">
        <v>21</v>
      </c>
      <c r="Q171" s="2"/>
      <c r="R171" s="2"/>
      <c r="S171" s="2"/>
    </row>
    <row r="172" spans="1:19" x14ac:dyDescent="0.25">
      <c r="A172" s="2" t="s">
        <v>70</v>
      </c>
      <c r="B172" s="2"/>
      <c r="C172" s="2"/>
      <c r="D172" s="2"/>
      <c r="E172" s="2"/>
      <c r="F172" s="3">
        <v>44304.878541666665</v>
      </c>
      <c r="G172" s="2" t="s">
        <v>63</v>
      </c>
      <c r="H172" s="2" t="s">
        <v>21</v>
      </c>
      <c r="I172" s="2">
        <v>6.1352366666666596</v>
      </c>
      <c r="J172" s="2">
        <v>56</v>
      </c>
      <c r="K172" s="2" t="s">
        <v>21</v>
      </c>
      <c r="L172" s="2">
        <v>120026518.916996</v>
      </c>
      <c r="M172" s="2">
        <v>1</v>
      </c>
      <c r="N172" s="2">
        <v>445826.97166508198</v>
      </c>
      <c r="O172" s="2">
        <v>269.22220176298202</v>
      </c>
      <c r="P172" s="2">
        <v>4.4591500000000002</v>
      </c>
      <c r="Q172" s="2"/>
      <c r="R172" s="2"/>
      <c r="S172" s="2"/>
    </row>
    <row r="173" spans="1:19" x14ac:dyDescent="0.25">
      <c r="A173" s="2" t="s">
        <v>71</v>
      </c>
      <c r="B173" s="2"/>
      <c r="C173" s="2"/>
      <c r="D173" s="2"/>
      <c r="E173" s="2"/>
      <c r="F173" s="3">
        <v>44304.88013888889</v>
      </c>
      <c r="G173" s="2" t="s">
        <v>63</v>
      </c>
      <c r="H173" s="2" t="s">
        <v>21</v>
      </c>
      <c r="I173" s="2">
        <v>6.13523833333333</v>
      </c>
      <c r="J173" s="2">
        <v>56</v>
      </c>
      <c r="K173" s="2" t="s">
        <v>21</v>
      </c>
      <c r="L173" s="2">
        <v>124087509.21510001</v>
      </c>
      <c r="M173" s="2">
        <v>1</v>
      </c>
      <c r="N173" s="2">
        <v>428861.09603101399</v>
      </c>
      <c r="O173" s="2">
        <v>289.34195795210701</v>
      </c>
      <c r="P173" s="2">
        <v>4.45915166666666</v>
      </c>
      <c r="Q173" s="2"/>
      <c r="R173" s="2"/>
      <c r="S173" s="2"/>
    </row>
    <row r="174" spans="1:19" x14ac:dyDescent="0.25">
      <c r="A174" s="2" t="s">
        <v>72</v>
      </c>
      <c r="B174" s="2"/>
      <c r="C174" s="2"/>
      <c r="D174" s="2"/>
      <c r="E174" s="2"/>
      <c r="F174" s="3">
        <v>44304.881747685184</v>
      </c>
      <c r="G174" s="2" t="s">
        <v>63</v>
      </c>
      <c r="H174" s="2" t="s">
        <v>21</v>
      </c>
      <c r="I174" s="2">
        <v>6.1395033333333302</v>
      </c>
      <c r="J174" s="2">
        <v>56</v>
      </c>
      <c r="K174" s="2" t="s">
        <v>21</v>
      </c>
      <c r="L174" s="2">
        <v>94848043.9901409</v>
      </c>
      <c r="M174" s="2">
        <v>1</v>
      </c>
      <c r="N174" s="2">
        <v>450323.81216390099</v>
      </c>
      <c r="O174" s="2">
        <v>210.621871258319</v>
      </c>
      <c r="P174" s="2">
        <v>4.4420666666666602</v>
      </c>
      <c r="Q174" s="2"/>
      <c r="R174" s="2"/>
      <c r="S174" s="2"/>
    </row>
    <row r="175" spans="1:19" x14ac:dyDescent="0.25">
      <c r="A175" s="2" t="s">
        <v>73</v>
      </c>
      <c r="B175" s="2"/>
      <c r="C175" s="2"/>
      <c r="D175" s="2"/>
      <c r="E175" s="2"/>
      <c r="F175" s="3">
        <v>44304.883333333331</v>
      </c>
      <c r="G175" s="2" t="s">
        <v>63</v>
      </c>
      <c r="H175" s="2" t="s">
        <v>21</v>
      </c>
      <c r="I175" s="2">
        <v>6.1395033333333302</v>
      </c>
      <c r="J175" s="2">
        <v>56</v>
      </c>
      <c r="K175" s="2" t="s">
        <v>21</v>
      </c>
      <c r="L175" s="2">
        <v>95075920.168228894</v>
      </c>
      <c r="M175" s="2">
        <v>1</v>
      </c>
      <c r="N175" s="2">
        <v>445070.19558852399</v>
      </c>
      <c r="O175" s="2">
        <v>213.62005614082599</v>
      </c>
      <c r="P175" s="2">
        <v>4.4377950000000004</v>
      </c>
      <c r="Q175" s="2"/>
      <c r="R175" s="2"/>
      <c r="S175" s="2"/>
    </row>
    <row r="176" spans="1:19" x14ac:dyDescent="0.25">
      <c r="A176" s="2" t="s">
        <v>74</v>
      </c>
      <c r="B176" s="2"/>
      <c r="C176" s="2"/>
      <c r="D176" s="2"/>
      <c r="E176" s="2"/>
      <c r="F176" s="3">
        <v>44304.884942129633</v>
      </c>
      <c r="G176" s="2" t="s">
        <v>63</v>
      </c>
      <c r="H176" s="2" t="s">
        <v>21</v>
      </c>
      <c r="I176" s="2">
        <v>6.18220833333333</v>
      </c>
      <c r="J176" s="2">
        <v>56</v>
      </c>
      <c r="K176" s="2" t="s">
        <v>21</v>
      </c>
      <c r="L176" s="2">
        <v>0</v>
      </c>
      <c r="M176" s="2">
        <v>1</v>
      </c>
      <c r="N176" s="2">
        <v>62758.3983801738</v>
      </c>
      <c r="O176" s="2">
        <v>0</v>
      </c>
      <c r="P176" s="2" t="s">
        <v>21</v>
      </c>
      <c r="Q176" s="2"/>
      <c r="R176" s="2"/>
      <c r="S176" s="2"/>
    </row>
    <row r="177" spans="1:19" x14ac:dyDescent="0.25">
      <c r="A177" s="2" t="s">
        <v>75</v>
      </c>
      <c r="B177" s="2"/>
      <c r="C177" s="2"/>
      <c r="D177" s="2"/>
      <c r="E177" s="2"/>
      <c r="F177" s="3">
        <v>44304.88653935185</v>
      </c>
      <c r="G177" s="2" t="s">
        <v>63</v>
      </c>
      <c r="H177" s="2" t="s">
        <v>21</v>
      </c>
      <c r="I177" s="2">
        <v>6.1779416666666602</v>
      </c>
      <c r="J177" s="2">
        <v>56</v>
      </c>
      <c r="K177" s="2" t="s">
        <v>21</v>
      </c>
      <c r="L177" s="2">
        <v>0</v>
      </c>
      <c r="M177" s="2">
        <v>1</v>
      </c>
      <c r="N177" s="2">
        <v>55582.420259414001</v>
      </c>
      <c r="O177" s="2">
        <v>0</v>
      </c>
      <c r="P177" s="2" t="s">
        <v>21</v>
      </c>
      <c r="Q177" s="2"/>
      <c r="R177" s="2"/>
      <c r="S177" s="2"/>
    </row>
  </sheetData>
  <sortState ref="A2:S177">
    <sortCondition ref="G2:G17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9"/>
  <sheetViews>
    <sheetView workbookViewId="0">
      <selection activeCell="B35" sqref="B35"/>
    </sheetView>
  </sheetViews>
  <sheetFormatPr defaultRowHeight="15" x14ac:dyDescent="0.25"/>
  <cols>
    <col min="1" max="1" width="68.5703125" bestFit="1" customWidth="1"/>
    <col min="19" max="19" width="19.425781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5">
      <c r="A2" s="2" t="s">
        <v>223</v>
      </c>
      <c r="B2" s="2"/>
      <c r="C2" s="2"/>
      <c r="D2" s="2"/>
      <c r="E2" s="2"/>
      <c r="F2" s="2">
        <v>0.57004629629629633</v>
      </c>
      <c r="G2" s="2" t="s">
        <v>224</v>
      </c>
      <c r="H2" s="2">
        <v>0</v>
      </c>
      <c r="I2" s="2">
        <v>0.9</v>
      </c>
      <c r="J2" s="2" t="s">
        <v>225</v>
      </c>
      <c r="K2" s="2" t="s">
        <v>269</v>
      </c>
      <c r="L2" s="2">
        <v>0.86899999999999999</v>
      </c>
      <c r="M2" s="2">
        <v>1</v>
      </c>
      <c r="N2" s="2">
        <v>123843.094</v>
      </c>
      <c r="O2" s="2">
        <v>7.0169435527830075E-6</v>
      </c>
      <c r="P2" s="2">
        <v>0.64</v>
      </c>
      <c r="Q2" s="2"/>
      <c r="R2" s="2"/>
      <c r="S2" s="2"/>
    </row>
    <row r="3" spans="1:19" x14ac:dyDescent="0.25">
      <c r="A3" s="2" t="s">
        <v>226</v>
      </c>
      <c r="B3" s="2"/>
      <c r="C3" s="2"/>
      <c r="D3" s="2"/>
      <c r="E3" s="2"/>
      <c r="F3" s="2">
        <v>0.57201388888888893</v>
      </c>
      <c r="G3" s="2" t="s">
        <v>224</v>
      </c>
      <c r="H3" s="2">
        <v>0</v>
      </c>
      <c r="I3" s="2">
        <v>0.89</v>
      </c>
      <c r="J3" s="2" t="s">
        <v>225</v>
      </c>
      <c r="K3" s="2" t="s">
        <v>269</v>
      </c>
      <c r="L3" s="2">
        <v>0.61299999999999999</v>
      </c>
      <c r="M3" s="2">
        <v>1</v>
      </c>
      <c r="N3" s="2">
        <v>121157.031</v>
      </c>
      <c r="O3" s="2">
        <v>5.0595495361717797E-6</v>
      </c>
      <c r="P3" s="2">
        <v>0.69</v>
      </c>
      <c r="Q3" s="2"/>
      <c r="R3" s="2"/>
      <c r="S3" s="2"/>
    </row>
    <row r="4" spans="1:19" x14ac:dyDescent="0.25">
      <c r="A4" s="2" t="s">
        <v>227</v>
      </c>
      <c r="B4" s="2"/>
      <c r="C4" s="2"/>
      <c r="D4" s="2"/>
      <c r="E4" s="2"/>
      <c r="F4" s="2">
        <v>0.57396990740740739</v>
      </c>
      <c r="G4" s="2" t="s">
        <v>224</v>
      </c>
      <c r="H4" s="2">
        <v>0</v>
      </c>
      <c r="I4" s="2">
        <v>0.89</v>
      </c>
      <c r="J4" s="2" t="s">
        <v>225</v>
      </c>
      <c r="K4" s="2" t="s">
        <v>269</v>
      </c>
      <c r="L4" s="2">
        <v>3.1E-2</v>
      </c>
      <c r="M4" s="2">
        <v>1</v>
      </c>
      <c r="N4" s="2">
        <v>125768.352</v>
      </c>
      <c r="O4" s="2">
        <v>2.46484902656592E-7</v>
      </c>
      <c r="P4" s="2">
        <v>0.69</v>
      </c>
      <c r="Q4" s="2"/>
      <c r="R4" s="2"/>
      <c r="S4" s="2"/>
    </row>
    <row r="5" spans="1:19" x14ac:dyDescent="0.25">
      <c r="A5" s="2" t="s">
        <v>228</v>
      </c>
      <c r="B5" s="2"/>
      <c r="C5" s="2"/>
      <c r="D5" s="2"/>
      <c r="E5" s="2"/>
      <c r="F5" s="2">
        <v>0.57593749999999999</v>
      </c>
      <c r="G5" s="2" t="s">
        <v>224</v>
      </c>
      <c r="H5" s="2">
        <v>0</v>
      </c>
      <c r="I5" s="2">
        <v>0.89</v>
      </c>
      <c r="J5" s="2" t="s">
        <v>225</v>
      </c>
      <c r="K5" s="2" t="s">
        <v>269</v>
      </c>
      <c r="L5" s="2">
        <v>7.3999999999999996E-2</v>
      </c>
      <c r="M5" s="2">
        <v>1</v>
      </c>
      <c r="N5" s="2">
        <v>139708.46900000001</v>
      </c>
      <c r="O5" s="2">
        <v>5.2967440363261004E-7</v>
      </c>
      <c r="P5" s="2">
        <v>0.71</v>
      </c>
      <c r="Q5" s="2"/>
      <c r="R5" s="2"/>
      <c r="S5" s="2"/>
    </row>
    <row r="6" spans="1:19" x14ac:dyDescent="0.25">
      <c r="A6" s="2" t="s">
        <v>229</v>
      </c>
      <c r="B6" s="2"/>
      <c r="C6" s="2"/>
      <c r="D6" s="2"/>
      <c r="E6" s="2"/>
      <c r="F6" s="2">
        <v>0.58173611111111112</v>
      </c>
      <c r="G6" s="2" t="s">
        <v>224</v>
      </c>
      <c r="H6" s="2">
        <v>0</v>
      </c>
      <c r="I6" s="2">
        <v>0.89</v>
      </c>
      <c r="J6" s="2" t="s">
        <v>225</v>
      </c>
      <c r="K6" s="2" t="s">
        <v>270</v>
      </c>
      <c r="L6" s="2">
        <v>663.11400000000003</v>
      </c>
      <c r="M6" s="2">
        <v>1</v>
      </c>
      <c r="N6" s="2">
        <v>139325.18799999999</v>
      </c>
      <c r="O6" s="2">
        <v>4.7594696229658062E-3</v>
      </c>
      <c r="P6" s="2">
        <v>0.63</v>
      </c>
      <c r="Q6" s="2"/>
      <c r="R6" s="2"/>
      <c r="S6" s="2"/>
    </row>
    <row r="7" spans="1:19" x14ac:dyDescent="0.25">
      <c r="A7" s="2" t="s">
        <v>230</v>
      </c>
      <c r="B7" s="2"/>
      <c r="C7" s="2"/>
      <c r="D7" s="2"/>
      <c r="E7" s="2"/>
      <c r="F7" s="2">
        <v>0.58370370370370372</v>
      </c>
      <c r="G7" s="2" t="s">
        <v>224</v>
      </c>
      <c r="H7" s="2">
        <v>0</v>
      </c>
      <c r="I7" s="2">
        <v>0.89</v>
      </c>
      <c r="J7" s="2" t="s">
        <v>225</v>
      </c>
      <c r="K7" s="2" t="s">
        <v>270</v>
      </c>
      <c r="L7" s="2">
        <v>657.81899999999996</v>
      </c>
      <c r="M7" s="2">
        <v>1</v>
      </c>
      <c r="N7" s="2">
        <v>131112.20300000001</v>
      </c>
      <c r="O7" s="2">
        <v>5.0172217760691574E-3</v>
      </c>
      <c r="P7" s="2">
        <v>0.63</v>
      </c>
      <c r="Q7" s="2"/>
      <c r="R7" s="2"/>
      <c r="S7" s="2"/>
    </row>
    <row r="8" spans="1:19" x14ac:dyDescent="0.25">
      <c r="A8" s="2" t="s">
        <v>233</v>
      </c>
      <c r="B8" s="2"/>
      <c r="C8" s="2"/>
      <c r="D8" s="2"/>
      <c r="E8" s="2"/>
      <c r="F8" s="2">
        <v>0.6130902777777778</v>
      </c>
      <c r="G8" s="2" t="s">
        <v>224</v>
      </c>
      <c r="H8" s="2">
        <v>0</v>
      </c>
      <c r="I8" s="2">
        <v>0.89</v>
      </c>
      <c r="J8" s="2" t="s">
        <v>225</v>
      </c>
      <c r="K8" s="2" t="s">
        <v>270</v>
      </c>
      <c r="L8" s="2">
        <v>147901.96900000001</v>
      </c>
      <c r="M8" s="2">
        <v>1</v>
      </c>
      <c r="N8" s="2">
        <v>131513.78099999999</v>
      </c>
      <c r="O8" s="2">
        <v>1.1246119446600051</v>
      </c>
      <c r="P8" s="2">
        <v>0.63</v>
      </c>
      <c r="Q8" s="2"/>
      <c r="R8" s="2"/>
      <c r="S8" s="2"/>
    </row>
    <row r="9" spans="1:19" x14ac:dyDescent="0.25">
      <c r="A9" s="2" t="s">
        <v>234</v>
      </c>
      <c r="B9" s="2"/>
      <c r="C9" s="2"/>
      <c r="D9" s="2"/>
      <c r="E9" s="2"/>
      <c r="F9" s="2">
        <v>0.61494212962962969</v>
      </c>
      <c r="G9" s="2" t="s">
        <v>224</v>
      </c>
      <c r="H9" s="2">
        <v>0</v>
      </c>
      <c r="I9" s="2">
        <v>0.89</v>
      </c>
      <c r="J9" s="2" t="s">
        <v>225</v>
      </c>
      <c r="K9" s="2" t="s">
        <v>270</v>
      </c>
      <c r="L9" s="2">
        <v>140337.109</v>
      </c>
      <c r="M9" s="2">
        <v>1</v>
      </c>
      <c r="N9" s="2">
        <v>126518.484</v>
      </c>
      <c r="O9" s="2">
        <v>1.1092221829025393</v>
      </c>
      <c r="P9" s="2">
        <v>0.63</v>
      </c>
      <c r="Q9" s="2"/>
      <c r="R9" s="2"/>
      <c r="S9" s="2"/>
    </row>
    <row r="10" spans="1:19" x14ac:dyDescent="0.25">
      <c r="A10" s="2" t="s">
        <v>231</v>
      </c>
      <c r="B10" s="2"/>
      <c r="C10" s="2"/>
      <c r="D10" s="2"/>
      <c r="E10" s="2"/>
      <c r="F10" s="2">
        <v>0.64415509259259263</v>
      </c>
      <c r="G10" s="2" t="s">
        <v>224</v>
      </c>
      <c r="H10" s="2">
        <v>0</v>
      </c>
      <c r="I10" s="2">
        <v>0.89</v>
      </c>
      <c r="J10" s="2" t="s">
        <v>225</v>
      </c>
      <c r="K10" s="2" t="s">
        <v>270</v>
      </c>
      <c r="L10" s="2">
        <v>157236.17199999999</v>
      </c>
      <c r="M10" s="2">
        <v>1</v>
      </c>
      <c r="N10" s="2">
        <v>120992.859</v>
      </c>
      <c r="O10" s="2">
        <v>1.2995491907501748</v>
      </c>
      <c r="P10" s="2">
        <v>0.63</v>
      </c>
      <c r="Q10" s="2"/>
      <c r="R10" s="2"/>
      <c r="S10" s="2"/>
    </row>
    <row r="11" spans="1:19" x14ac:dyDescent="0.25">
      <c r="A11" s="2" t="s">
        <v>232</v>
      </c>
      <c r="B11" s="2"/>
      <c r="C11" s="2"/>
      <c r="D11" s="2"/>
      <c r="E11" s="2"/>
      <c r="F11" s="2">
        <v>0.64611111111111108</v>
      </c>
      <c r="G11" s="2" t="s">
        <v>224</v>
      </c>
      <c r="H11" s="2">
        <v>0</v>
      </c>
      <c r="I11" s="2">
        <v>0.89</v>
      </c>
      <c r="J11" s="2" t="s">
        <v>225</v>
      </c>
      <c r="K11" s="2" t="s">
        <v>270</v>
      </c>
      <c r="L11" s="2">
        <v>158274.234</v>
      </c>
      <c r="M11" s="2">
        <v>1</v>
      </c>
      <c r="N11" s="2">
        <v>120511.852</v>
      </c>
      <c r="O11" s="2">
        <v>1.3133499433732045</v>
      </c>
      <c r="P11" s="2">
        <v>0.63</v>
      </c>
      <c r="Q11" s="2"/>
      <c r="R11" s="2"/>
      <c r="S11" s="2"/>
    </row>
    <row r="12" spans="1:19" x14ac:dyDescent="0.25">
      <c r="A12" s="2" t="s">
        <v>235</v>
      </c>
      <c r="B12" s="2"/>
      <c r="C12" s="2"/>
      <c r="D12" s="2"/>
      <c r="E12" s="2"/>
      <c r="F12" s="2">
        <v>0.59745370370370365</v>
      </c>
      <c r="G12" s="2" t="s">
        <v>224</v>
      </c>
      <c r="H12" s="2">
        <v>0</v>
      </c>
      <c r="I12" s="2">
        <v>0.89</v>
      </c>
      <c r="J12" s="2" t="s">
        <v>225</v>
      </c>
      <c r="K12" s="2" t="s">
        <v>270</v>
      </c>
      <c r="L12" s="2">
        <v>2440.2469999999998</v>
      </c>
      <c r="M12" s="2">
        <v>1</v>
      </c>
      <c r="N12" s="2">
        <v>131643.484</v>
      </c>
      <c r="O12" s="2">
        <v>1.8536785307201379E-2</v>
      </c>
      <c r="P12" s="2">
        <v>0.63</v>
      </c>
      <c r="Q12" s="2"/>
      <c r="R12" s="2"/>
      <c r="S12" s="2"/>
    </row>
    <row r="13" spans="1:19" x14ac:dyDescent="0.25">
      <c r="A13" s="2" t="s">
        <v>236</v>
      </c>
      <c r="B13" s="2"/>
      <c r="C13" s="2"/>
      <c r="D13" s="2"/>
      <c r="E13" s="2"/>
      <c r="F13" s="2">
        <v>0.59940972222222222</v>
      </c>
      <c r="G13" s="2" t="s">
        <v>224</v>
      </c>
      <c r="H13" s="2">
        <v>0</v>
      </c>
      <c r="I13" s="2">
        <v>0.89</v>
      </c>
      <c r="J13" s="2" t="s">
        <v>225</v>
      </c>
      <c r="K13" s="2" t="s">
        <v>270</v>
      </c>
      <c r="L13" s="2">
        <v>2712.1869999999999</v>
      </c>
      <c r="M13" s="2">
        <v>1</v>
      </c>
      <c r="N13" s="2">
        <v>139967.07800000001</v>
      </c>
      <c r="O13" s="2">
        <v>1.9377321001157143E-2</v>
      </c>
      <c r="P13" s="2">
        <v>0.63</v>
      </c>
      <c r="Q13" s="2"/>
      <c r="R13" s="2"/>
      <c r="S13" s="2"/>
    </row>
    <row r="14" spans="1:19" x14ac:dyDescent="0.25">
      <c r="A14" s="2" t="s">
        <v>239</v>
      </c>
      <c r="B14" s="2"/>
      <c r="C14" s="2"/>
      <c r="D14" s="2"/>
      <c r="E14" s="2"/>
      <c r="F14" s="2">
        <v>0.62853009259259263</v>
      </c>
      <c r="G14" s="2" t="s">
        <v>224</v>
      </c>
      <c r="H14" s="2">
        <v>0</v>
      </c>
      <c r="I14" s="2">
        <v>0.89</v>
      </c>
      <c r="J14" s="2" t="s">
        <v>225</v>
      </c>
      <c r="K14" s="2" t="s">
        <v>270</v>
      </c>
      <c r="L14" s="2">
        <v>160323.15599999999</v>
      </c>
      <c r="M14" s="2">
        <v>1</v>
      </c>
      <c r="N14" s="2">
        <v>105657.45299999999</v>
      </c>
      <c r="O14" s="2">
        <v>1.5173861516423266</v>
      </c>
      <c r="P14" s="2">
        <v>0.63</v>
      </c>
      <c r="Q14" s="2"/>
      <c r="R14" s="2"/>
      <c r="S14" s="2"/>
    </row>
    <row r="15" spans="1:19" x14ac:dyDescent="0.25">
      <c r="A15" s="2" t="s">
        <v>240</v>
      </c>
      <c r="B15" s="2"/>
      <c r="C15" s="2"/>
      <c r="D15" s="2"/>
      <c r="E15" s="2"/>
      <c r="F15" s="2">
        <v>0.63039351851851855</v>
      </c>
      <c r="G15" s="2" t="s">
        <v>224</v>
      </c>
      <c r="H15" s="2">
        <v>0</v>
      </c>
      <c r="I15" s="2">
        <v>0.89</v>
      </c>
      <c r="J15" s="2" t="s">
        <v>225</v>
      </c>
      <c r="K15" s="2" t="s">
        <v>270</v>
      </c>
      <c r="L15" s="2">
        <v>165146.34400000001</v>
      </c>
      <c r="M15" s="2">
        <v>1</v>
      </c>
      <c r="N15" s="2">
        <v>112169.68</v>
      </c>
      <c r="O15" s="2">
        <v>1.4722904086023962</v>
      </c>
      <c r="P15" s="2">
        <v>0.63</v>
      </c>
      <c r="Q15" s="2"/>
      <c r="R15" s="2"/>
      <c r="S15" s="2"/>
    </row>
    <row r="16" spans="1:19" x14ac:dyDescent="0.25">
      <c r="A16" s="2" t="s">
        <v>237</v>
      </c>
      <c r="B16" s="2"/>
      <c r="C16" s="2"/>
      <c r="D16" s="2"/>
      <c r="E16" s="2"/>
      <c r="F16" s="2">
        <v>0.6595833333333333</v>
      </c>
      <c r="G16" s="2" t="s">
        <v>224</v>
      </c>
      <c r="H16" s="2">
        <v>0</v>
      </c>
      <c r="I16" s="2">
        <v>0.89</v>
      </c>
      <c r="J16" s="2" t="s">
        <v>225</v>
      </c>
      <c r="K16" s="2" t="s">
        <v>270</v>
      </c>
      <c r="L16" s="2">
        <v>173859.75</v>
      </c>
      <c r="M16" s="2">
        <v>1</v>
      </c>
      <c r="N16" s="2">
        <v>109213.336</v>
      </c>
      <c r="O16" s="2">
        <v>1.5919278392887843</v>
      </c>
      <c r="P16" s="2">
        <v>0.63</v>
      </c>
      <c r="Q16" s="2"/>
      <c r="R16" s="2"/>
      <c r="S16" s="2"/>
    </row>
    <row r="17" spans="1:19" x14ac:dyDescent="0.25">
      <c r="A17" s="2" t="s">
        <v>238</v>
      </c>
      <c r="B17" s="2"/>
      <c r="C17" s="2"/>
      <c r="D17" s="2"/>
      <c r="E17" s="2"/>
      <c r="F17" s="2">
        <v>0.6615509259259259</v>
      </c>
      <c r="G17" s="2" t="s">
        <v>224</v>
      </c>
      <c r="H17" s="2">
        <v>0</v>
      </c>
      <c r="I17" s="2">
        <v>0.89</v>
      </c>
      <c r="J17" s="2" t="s">
        <v>225</v>
      </c>
      <c r="K17" s="2" t="s">
        <v>270</v>
      </c>
      <c r="L17" s="2">
        <v>171071.516</v>
      </c>
      <c r="M17" s="2">
        <v>1</v>
      </c>
      <c r="N17" s="2">
        <v>110386.523</v>
      </c>
      <c r="O17" s="2">
        <v>1.5497500179437667</v>
      </c>
      <c r="P17" s="2">
        <v>0.63</v>
      </c>
      <c r="Q17" s="2"/>
      <c r="R17" s="2"/>
      <c r="S17" s="2"/>
    </row>
    <row r="18" spans="1:19" x14ac:dyDescent="0.25">
      <c r="A18" s="2" t="s">
        <v>223</v>
      </c>
      <c r="B18" s="2"/>
      <c r="C18" s="2"/>
      <c r="D18" s="2"/>
      <c r="E18" s="2"/>
      <c r="F18" s="2">
        <v>0.57004629629629633</v>
      </c>
      <c r="G18" s="2" t="s">
        <v>241</v>
      </c>
      <c r="H18" s="2">
        <v>0</v>
      </c>
      <c r="I18" s="2">
        <v>0.9</v>
      </c>
      <c r="J18" s="2" t="s">
        <v>242</v>
      </c>
      <c r="K18" s="2" t="s">
        <v>269</v>
      </c>
      <c r="L18" s="2">
        <v>3.98</v>
      </c>
      <c r="M18" s="2">
        <v>1</v>
      </c>
      <c r="N18" s="2">
        <v>123843.094</v>
      </c>
      <c r="O18" s="2">
        <v>3.2137439977072923E-5</v>
      </c>
      <c r="P18" s="2">
        <v>0.9</v>
      </c>
      <c r="Q18" s="2"/>
      <c r="R18" s="2"/>
      <c r="S18" s="2"/>
    </row>
    <row r="19" spans="1:19" x14ac:dyDescent="0.25">
      <c r="A19" s="2" t="s">
        <v>226</v>
      </c>
      <c r="B19" s="2"/>
      <c r="C19" s="2"/>
      <c r="D19" s="2"/>
      <c r="E19" s="2"/>
      <c r="F19" s="2">
        <v>0.57201388888888893</v>
      </c>
      <c r="G19" s="2" t="s">
        <v>241</v>
      </c>
      <c r="H19" s="2">
        <v>0</v>
      </c>
      <c r="I19" s="2">
        <v>0.89</v>
      </c>
      <c r="J19" s="2" t="s">
        <v>242</v>
      </c>
      <c r="K19" s="2" t="s">
        <v>270</v>
      </c>
      <c r="L19" s="2">
        <v>0.14299999999999999</v>
      </c>
      <c r="M19" s="2">
        <v>1</v>
      </c>
      <c r="N19" s="2">
        <v>121157.031</v>
      </c>
      <c r="O19" s="2">
        <v>1.1802864333973319E-6</v>
      </c>
      <c r="P19" s="2">
        <v>0.84</v>
      </c>
      <c r="Q19" s="2"/>
      <c r="R19" s="2"/>
      <c r="S19" s="2"/>
    </row>
    <row r="20" spans="1:19" x14ac:dyDescent="0.25">
      <c r="A20" s="2" t="s">
        <v>227</v>
      </c>
      <c r="B20" s="2"/>
      <c r="C20" s="2"/>
      <c r="D20" s="2"/>
      <c r="E20" s="2"/>
      <c r="F20" s="2">
        <v>0.57396990740740739</v>
      </c>
      <c r="G20" s="2" t="s">
        <v>241</v>
      </c>
      <c r="H20" s="2">
        <v>0</v>
      </c>
      <c r="I20" s="2">
        <v>0.89</v>
      </c>
      <c r="J20" s="2" t="s">
        <v>242</v>
      </c>
      <c r="K20" s="2" t="s">
        <v>270</v>
      </c>
      <c r="L20" s="2">
        <v>6.4000000000000001E-2</v>
      </c>
      <c r="M20" s="2">
        <v>1</v>
      </c>
      <c r="N20" s="2">
        <v>125768.352</v>
      </c>
      <c r="O20" s="2">
        <v>5.0887205709748034E-7</v>
      </c>
      <c r="P20" s="2">
        <v>0.79</v>
      </c>
      <c r="Q20" s="2"/>
      <c r="R20" s="2"/>
      <c r="S20" s="2"/>
    </row>
    <row r="21" spans="1:19" x14ac:dyDescent="0.25">
      <c r="A21" s="2" t="s">
        <v>228</v>
      </c>
      <c r="B21" s="2"/>
      <c r="C21" s="2"/>
      <c r="D21" s="2"/>
      <c r="E21" s="2"/>
      <c r="F21" s="2">
        <v>0.57593749999999999</v>
      </c>
      <c r="G21" s="2" t="s">
        <v>241</v>
      </c>
      <c r="H21" s="2">
        <v>0</v>
      </c>
      <c r="I21" s="2">
        <v>0.89</v>
      </c>
      <c r="J21" s="2" t="s">
        <v>242</v>
      </c>
      <c r="K21" s="2" t="s">
        <v>270</v>
      </c>
      <c r="L21" s="2">
        <v>0.34899999999999998</v>
      </c>
      <c r="M21" s="2">
        <v>1</v>
      </c>
      <c r="N21" s="2">
        <v>139708.46900000001</v>
      </c>
      <c r="O21" s="2">
        <v>2.498059011726769E-6</v>
      </c>
      <c r="P21" s="2">
        <v>0.83</v>
      </c>
      <c r="Q21" s="2"/>
      <c r="R21" s="2"/>
      <c r="S21" s="2"/>
    </row>
    <row r="22" spans="1:19" x14ac:dyDescent="0.25">
      <c r="A22" s="2" t="s">
        <v>243</v>
      </c>
      <c r="B22" s="2"/>
      <c r="C22" s="2"/>
      <c r="D22" s="2"/>
      <c r="E22" s="2"/>
      <c r="F22" s="2">
        <v>0.57780092592592591</v>
      </c>
      <c r="G22" s="2" t="s">
        <v>241</v>
      </c>
      <c r="H22" s="2">
        <v>0</v>
      </c>
      <c r="I22" s="2">
        <v>0.89</v>
      </c>
      <c r="J22" s="2" t="s">
        <v>242</v>
      </c>
      <c r="K22" s="2" t="s">
        <v>270</v>
      </c>
      <c r="L22" s="2">
        <v>37.17</v>
      </c>
      <c r="M22" s="2">
        <v>1</v>
      </c>
      <c r="N22" s="2">
        <v>168095.43799999999</v>
      </c>
      <c r="O22" s="2">
        <v>2.2112438292346757E-4</v>
      </c>
      <c r="P22" s="2">
        <v>0.83</v>
      </c>
      <c r="Q22" s="2"/>
      <c r="R22" s="2"/>
      <c r="S22" s="2"/>
    </row>
    <row r="23" spans="1:19" x14ac:dyDescent="0.25">
      <c r="A23" s="2" t="s">
        <v>244</v>
      </c>
      <c r="B23" s="2"/>
      <c r="C23" s="2"/>
      <c r="D23" s="2"/>
      <c r="E23" s="2"/>
      <c r="F23" s="2">
        <v>0.57978009259259256</v>
      </c>
      <c r="G23" s="2" t="s">
        <v>241</v>
      </c>
      <c r="H23" s="2">
        <v>0</v>
      </c>
      <c r="I23" s="2">
        <v>0.89</v>
      </c>
      <c r="J23" s="2" t="s">
        <v>242</v>
      </c>
      <c r="K23" s="2" t="s">
        <v>270</v>
      </c>
      <c r="L23" s="2">
        <v>74.399000000000001</v>
      </c>
      <c r="M23" s="2">
        <v>1</v>
      </c>
      <c r="N23" s="2">
        <v>137793.75</v>
      </c>
      <c r="O23" s="2">
        <v>5.3993014922665218E-4</v>
      </c>
      <c r="P23" s="2">
        <v>0.82</v>
      </c>
      <c r="Q23" s="2"/>
      <c r="R23" s="2"/>
      <c r="S23" s="2"/>
    </row>
    <row r="24" spans="1:19" x14ac:dyDescent="0.25">
      <c r="A24" s="2" t="s">
        <v>247</v>
      </c>
      <c r="B24" s="2"/>
      <c r="C24" s="2"/>
      <c r="D24" s="2"/>
      <c r="E24" s="2"/>
      <c r="F24" s="2">
        <v>0.51858796296296295</v>
      </c>
      <c r="G24" s="2" t="s">
        <v>241</v>
      </c>
      <c r="H24" s="2">
        <v>0</v>
      </c>
      <c r="I24" s="2">
        <v>0.89</v>
      </c>
      <c r="J24" s="2" t="s">
        <v>242</v>
      </c>
      <c r="K24" s="2" t="s">
        <v>270</v>
      </c>
      <c r="L24" s="2">
        <v>43278.23</v>
      </c>
      <c r="M24" s="2">
        <v>1</v>
      </c>
      <c r="N24" s="2">
        <v>113834.969</v>
      </c>
      <c r="O24" s="2">
        <v>0.3801839661413709</v>
      </c>
      <c r="P24" s="2">
        <v>0.81</v>
      </c>
      <c r="Q24" s="2"/>
      <c r="R24" s="2"/>
      <c r="S24" s="2"/>
    </row>
    <row r="25" spans="1:19" x14ac:dyDescent="0.25">
      <c r="A25" s="2" t="s">
        <v>248</v>
      </c>
      <c r="B25" s="2"/>
      <c r="C25" s="2"/>
      <c r="D25" s="2"/>
      <c r="E25" s="2"/>
      <c r="F25" s="2">
        <v>0.61111111111111105</v>
      </c>
      <c r="G25" s="2" t="s">
        <v>241</v>
      </c>
      <c r="H25" s="2">
        <v>0</v>
      </c>
      <c r="I25" s="2">
        <v>0.89</v>
      </c>
      <c r="J25" s="2" t="s">
        <v>242</v>
      </c>
      <c r="K25" s="2" t="s">
        <v>270</v>
      </c>
      <c r="L25" s="2">
        <v>42372.836000000003</v>
      </c>
      <c r="M25" s="2">
        <v>1</v>
      </c>
      <c r="N25" s="2">
        <v>128641.30499999999</v>
      </c>
      <c r="O25" s="2">
        <v>0.32938748561358272</v>
      </c>
      <c r="P25" s="2">
        <v>0.82</v>
      </c>
      <c r="Q25" s="2"/>
      <c r="R25" s="2"/>
      <c r="S25" s="2"/>
    </row>
    <row r="26" spans="1:19" x14ac:dyDescent="0.25">
      <c r="A26" s="2" t="s">
        <v>245</v>
      </c>
      <c r="B26" s="2"/>
      <c r="C26" s="2"/>
      <c r="D26" s="2"/>
      <c r="E26" s="2"/>
      <c r="F26" s="2">
        <v>0.64021990740740742</v>
      </c>
      <c r="G26" s="2" t="s">
        <v>241</v>
      </c>
      <c r="H26" s="2">
        <v>0</v>
      </c>
      <c r="I26" s="2">
        <v>0.89</v>
      </c>
      <c r="J26" s="2" t="s">
        <v>242</v>
      </c>
      <c r="K26" s="2" t="s">
        <v>270</v>
      </c>
      <c r="L26" s="2">
        <v>59693.188000000002</v>
      </c>
      <c r="M26" s="2">
        <v>1</v>
      </c>
      <c r="N26" s="2">
        <v>110245.55499999999</v>
      </c>
      <c r="O26" s="2">
        <v>0.54145664194805865</v>
      </c>
      <c r="P26" s="2">
        <v>0.82</v>
      </c>
      <c r="Q26" s="2"/>
      <c r="R26" s="2"/>
      <c r="S26" s="2"/>
    </row>
    <row r="27" spans="1:19" x14ac:dyDescent="0.25">
      <c r="A27" s="2" t="s">
        <v>246</v>
      </c>
      <c r="B27" s="2"/>
      <c r="C27" s="2"/>
      <c r="D27" s="2"/>
      <c r="E27" s="2"/>
      <c r="F27" s="2">
        <v>0.64218750000000002</v>
      </c>
      <c r="G27" s="2" t="s">
        <v>241</v>
      </c>
      <c r="H27" s="2">
        <v>0</v>
      </c>
      <c r="I27" s="2">
        <v>0.89</v>
      </c>
      <c r="J27" s="2" t="s">
        <v>242</v>
      </c>
      <c r="K27" s="2" t="s">
        <v>270</v>
      </c>
      <c r="L27" s="2">
        <v>59333.957000000002</v>
      </c>
      <c r="M27" s="2">
        <v>1</v>
      </c>
      <c r="N27" s="2">
        <v>115516.45299999999</v>
      </c>
      <c r="O27" s="2">
        <v>0.51364074518458425</v>
      </c>
      <c r="P27" s="2">
        <v>0.82</v>
      </c>
      <c r="Q27" s="2"/>
      <c r="R27" s="2"/>
      <c r="S27" s="2"/>
    </row>
    <row r="28" spans="1:19" x14ac:dyDescent="0.25">
      <c r="A28" s="2" t="s">
        <v>249</v>
      </c>
      <c r="B28" s="2"/>
      <c r="C28" s="2"/>
      <c r="D28" s="2"/>
      <c r="E28" s="2"/>
      <c r="F28" s="2">
        <v>0.5935300925925926</v>
      </c>
      <c r="G28" s="2" t="s">
        <v>241</v>
      </c>
      <c r="H28" s="2">
        <v>0</v>
      </c>
      <c r="I28" s="2">
        <v>0.89</v>
      </c>
      <c r="J28" s="2" t="s">
        <v>242</v>
      </c>
      <c r="K28" s="2" t="s">
        <v>270</v>
      </c>
      <c r="L28" s="2">
        <v>3045.723</v>
      </c>
      <c r="M28" s="2">
        <v>1</v>
      </c>
      <c r="N28" s="2">
        <v>145734.43799999999</v>
      </c>
      <c r="O28" s="2">
        <v>2.0899130238523307E-2</v>
      </c>
      <c r="P28" s="2">
        <v>0.82</v>
      </c>
      <c r="Q28" s="2"/>
      <c r="R28" s="2"/>
      <c r="S28" s="2"/>
    </row>
    <row r="29" spans="1:19" x14ac:dyDescent="0.25">
      <c r="A29" s="2" t="s">
        <v>250</v>
      </c>
      <c r="B29" s="2"/>
      <c r="C29" s="2"/>
      <c r="D29" s="2"/>
      <c r="E29" s="2"/>
      <c r="F29" s="2">
        <v>0.59548611111111105</v>
      </c>
      <c r="G29" s="2" t="s">
        <v>241</v>
      </c>
      <c r="H29" s="2">
        <v>0</v>
      </c>
      <c r="I29" s="2">
        <v>0.89</v>
      </c>
      <c r="J29" s="2" t="s">
        <v>242</v>
      </c>
      <c r="K29" s="2" t="s">
        <v>270</v>
      </c>
      <c r="L29" s="2">
        <v>3786.4290000000001</v>
      </c>
      <c r="M29" s="2">
        <v>1</v>
      </c>
      <c r="N29" s="2">
        <v>147845.65599999999</v>
      </c>
      <c r="O29" s="2">
        <v>2.5610688216635872E-2</v>
      </c>
      <c r="P29" s="2">
        <v>0.82</v>
      </c>
      <c r="Q29" s="2"/>
      <c r="R29" s="2"/>
      <c r="S29" s="2"/>
    </row>
    <row r="30" spans="1:19" x14ac:dyDescent="0.25">
      <c r="A30" s="2" t="s">
        <v>253</v>
      </c>
      <c r="B30" s="2"/>
      <c r="C30" s="2"/>
      <c r="D30" s="2"/>
      <c r="E30" s="2"/>
      <c r="F30" s="2">
        <v>0.52069444444444446</v>
      </c>
      <c r="G30" s="2" t="s">
        <v>241</v>
      </c>
      <c r="H30" s="2">
        <v>0</v>
      </c>
      <c r="I30" s="2">
        <v>0.89</v>
      </c>
      <c r="J30" s="2" t="s">
        <v>242</v>
      </c>
      <c r="K30" s="2" t="s">
        <v>270</v>
      </c>
      <c r="L30" s="2">
        <v>44632.949000000001</v>
      </c>
      <c r="M30" s="2">
        <v>1</v>
      </c>
      <c r="N30" s="2">
        <v>111917.586</v>
      </c>
      <c r="O30" s="2">
        <v>0.39880192733964082</v>
      </c>
      <c r="P30" s="2">
        <v>0.81</v>
      </c>
      <c r="Q30" s="2"/>
      <c r="R30" s="2"/>
      <c r="S30" s="2"/>
    </row>
    <row r="31" spans="1:19" x14ac:dyDescent="0.25">
      <c r="A31" s="2" t="s">
        <v>254</v>
      </c>
      <c r="B31" s="2"/>
      <c r="C31" s="2"/>
      <c r="D31" s="2"/>
      <c r="E31" s="2"/>
      <c r="F31" s="2">
        <v>0.62657407407407406</v>
      </c>
      <c r="G31" s="2" t="s">
        <v>241</v>
      </c>
      <c r="H31" s="2">
        <v>0</v>
      </c>
      <c r="I31" s="2">
        <v>0.89</v>
      </c>
      <c r="J31" s="2" t="s">
        <v>242</v>
      </c>
      <c r="K31" s="2" t="s">
        <v>270</v>
      </c>
      <c r="L31" s="2">
        <v>48150.516000000003</v>
      </c>
      <c r="M31" s="2">
        <v>1</v>
      </c>
      <c r="N31" s="2">
        <v>109919.727</v>
      </c>
      <c r="O31" s="2">
        <v>0.4380516338072783</v>
      </c>
      <c r="P31" s="2">
        <v>0.82</v>
      </c>
      <c r="Q31" s="2"/>
      <c r="R31" s="2"/>
      <c r="S31" s="2"/>
    </row>
    <row r="32" spans="1:19" x14ac:dyDescent="0.25">
      <c r="A32" s="2" t="s">
        <v>251</v>
      </c>
      <c r="B32" s="2"/>
      <c r="C32" s="2"/>
      <c r="D32" s="2"/>
      <c r="E32" s="2"/>
      <c r="F32" s="2">
        <v>0.65574074074074074</v>
      </c>
      <c r="G32" s="2" t="s">
        <v>241</v>
      </c>
      <c r="H32" s="2">
        <v>0</v>
      </c>
      <c r="I32" s="2">
        <v>0.9</v>
      </c>
      <c r="J32" s="2" t="s">
        <v>242</v>
      </c>
      <c r="K32" s="2"/>
      <c r="L32" s="2">
        <v>58928.718999999997</v>
      </c>
      <c r="M32" s="2">
        <v>1</v>
      </c>
      <c r="N32" s="2">
        <v>113709.883</v>
      </c>
      <c r="O32" s="2">
        <v>0.51823744291426277</v>
      </c>
      <c r="P32" s="2">
        <v>0.82</v>
      </c>
      <c r="Q32" s="2"/>
      <c r="R32" s="2"/>
      <c r="S32" s="2"/>
    </row>
    <row r="33" spans="1:19" x14ac:dyDescent="0.25">
      <c r="A33" s="2" t="s">
        <v>252</v>
      </c>
      <c r="B33" s="2"/>
      <c r="C33" s="2"/>
      <c r="D33" s="2"/>
      <c r="E33" s="2"/>
      <c r="F33" s="2">
        <v>0.65762731481481485</v>
      </c>
      <c r="G33" s="2" t="s">
        <v>241</v>
      </c>
      <c r="H33" s="2">
        <v>0</v>
      </c>
      <c r="I33" s="2">
        <v>0.89</v>
      </c>
      <c r="J33" s="2" t="s">
        <v>242</v>
      </c>
      <c r="K33" s="2" t="s">
        <v>270</v>
      </c>
      <c r="L33" s="2">
        <v>58928.718999999997</v>
      </c>
      <c r="M33" s="2">
        <v>1</v>
      </c>
      <c r="N33" s="2">
        <v>113709.883</v>
      </c>
      <c r="O33" s="2">
        <v>0.51823744291426277</v>
      </c>
      <c r="P33" s="2">
        <v>0.82</v>
      </c>
      <c r="Q33" s="2"/>
      <c r="R33" s="2"/>
      <c r="S33" s="2"/>
    </row>
    <row r="34" spans="1:19" x14ac:dyDescent="0.25">
      <c r="A34" s="2" t="s">
        <v>223</v>
      </c>
      <c r="B34" s="2"/>
      <c r="C34" s="2"/>
      <c r="D34" s="2"/>
      <c r="E34" s="2"/>
      <c r="F34" s="2">
        <v>0.57004629629629633</v>
      </c>
      <c r="G34" s="2" t="s">
        <v>255</v>
      </c>
      <c r="H34" s="2">
        <v>0</v>
      </c>
      <c r="I34" s="2">
        <v>0.9</v>
      </c>
      <c r="J34" s="2" t="s">
        <v>256</v>
      </c>
      <c r="K34" s="2" t="s">
        <v>269</v>
      </c>
      <c r="L34" s="2">
        <v>3.1040000000000001</v>
      </c>
      <c r="M34" s="2">
        <v>1</v>
      </c>
      <c r="N34" s="2">
        <v>123843.094</v>
      </c>
      <c r="O34" s="2">
        <v>2.5063973288651849E-5</v>
      </c>
      <c r="P34" s="2">
        <v>1.1399999999999999</v>
      </c>
      <c r="Q34" s="2"/>
      <c r="R34" s="2"/>
      <c r="S34" s="2"/>
    </row>
    <row r="35" spans="1:19" x14ac:dyDescent="0.25">
      <c r="A35" s="2" t="s">
        <v>226</v>
      </c>
      <c r="B35" s="2"/>
      <c r="C35" s="2"/>
      <c r="D35" s="2"/>
      <c r="E35" s="2"/>
      <c r="F35" s="2">
        <v>0.57201388888888893</v>
      </c>
      <c r="G35" s="2" t="s">
        <v>255</v>
      </c>
      <c r="H35" s="2">
        <v>0</v>
      </c>
      <c r="I35" s="2">
        <v>0.89</v>
      </c>
      <c r="J35" s="2" t="s">
        <v>256</v>
      </c>
      <c r="K35" s="2" t="s">
        <v>269</v>
      </c>
      <c r="L35" s="2">
        <v>2.306</v>
      </c>
      <c r="M35" s="2">
        <v>1</v>
      </c>
      <c r="N35" s="2">
        <v>121157.031</v>
      </c>
      <c r="O35" s="2">
        <v>1.9033150457442294E-5</v>
      </c>
      <c r="P35" s="2">
        <v>1.27</v>
      </c>
      <c r="Q35" s="2"/>
      <c r="R35" s="2"/>
      <c r="S35" s="2"/>
    </row>
    <row r="36" spans="1:19" x14ac:dyDescent="0.25">
      <c r="A36" s="2" t="s">
        <v>227</v>
      </c>
      <c r="B36" s="2"/>
      <c r="C36" s="2"/>
      <c r="D36" s="2"/>
      <c r="E36" s="2"/>
      <c r="F36" s="2">
        <v>0.57396990740740739</v>
      </c>
      <c r="G36" s="2" t="s">
        <v>255</v>
      </c>
      <c r="H36" s="2">
        <v>0</v>
      </c>
      <c r="I36" s="2">
        <v>0.89</v>
      </c>
      <c r="J36" s="2" t="s">
        <v>256</v>
      </c>
      <c r="K36" s="2" t="s">
        <v>269</v>
      </c>
      <c r="L36" s="2">
        <v>5.6420000000000003</v>
      </c>
      <c r="M36" s="2">
        <v>1</v>
      </c>
      <c r="N36" s="2">
        <v>125768.352</v>
      </c>
      <c r="O36" s="2">
        <v>4.4860252283499749E-5</v>
      </c>
      <c r="P36" s="2">
        <v>1.1299999999999999</v>
      </c>
      <c r="Q36" s="2"/>
      <c r="R36" s="2"/>
      <c r="S36" s="2"/>
    </row>
    <row r="37" spans="1:19" x14ac:dyDescent="0.25">
      <c r="A37" s="2" t="s">
        <v>228</v>
      </c>
      <c r="B37" s="2"/>
      <c r="C37" s="2"/>
      <c r="D37" s="2"/>
      <c r="E37" s="2"/>
      <c r="F37" s="2">
        <v>0.57593749999999999</v>
      </c>
      <c r="G37" s="2" t="s">
        <v>255</v>
      </c>
      <c r="H37" s="2">
        <v>0</v>
      </c>
      <c r="I37" s="2">
        <v>0.89</v>
      </c>
      <c r="J37" s="2" t="s">
        <v>256</v>
      </c>
      <c r="K37" s="2" t="s">
        <v>269</v>
      </c>
      <c r="L37" s="2">
        <v>3.0529999999999999</v>
      </c>
      <c r="M37" s="2">
        <v>1</v>
      </c>
      <c r="N37" s="2">
        <v>139708.46900000001</v>
      </c>
      <c r="O37" s="2">
        <v>2.185264803095079E-5</v>
      </c>
      <c r="P37" s="2">
        <v>1.1000000000000001</v>
      </c>
      <c r="Q37" s="2"/>
      <c r="R37" s="2"/>
      <c r="S37" s="2"/>
    </row>
    <row r="38" spans="1:19" x14ac:dyDescent="0.25">
      <c r="A38" s="2" t="s">
        <v>257</v>
      </c>
      <c r="B38" s="2"/>
      <c r="C38" s="2"/>
      <c r="D38" s="2"/>
      <c r="E38" s="2"/>
      <c r="F38" s="2">
        <v>0.58567129629629633</v>
      </c>
      <c r="G38" s="2" t="s">
        <v>255</v>
      </c>
      <c r="H38" s="2">
        <v>0</v>
      </c>
      <c r="I38" s="2">
        <v>0.89</v>
      </c>
      <c r="J38" s="2" t="s">
        <v>256</v>
      </c>
      <c r="K38" s="2" t="s">
        <v>270</v>
      </c>
      <c r="L38" s="2">
        <v>10690.722</v>
      </c>
      <c r="M38" s="2">
        <v>1</v>
      </c>
      <c r="N38" s="2">
        <v>139534.875</v>
      </c>
      <c r="O38" s="2">
        <v>7.6616845788552865E-2</v>
      </c>
      <c r="P38" s="2">
        <v>1.1299999999999999</v>
      </c>
      <c r="Q38" s="2"/>
      <c r="R38" s="2"/>
      <c r="S38" s="2"/>
    </row>
    <row r="39" spans="1:19" x14ac:dyDescent="0.25">
      <c r="A39" s="2" t="s">
        <v>258</v>
      </c>
      <c r="B39" s="2"/>
      <c r="C39" s="2"/>
      <c r="D39" s="2"/>
      <c r="E39" s="2"/>
      <c r="F39" s="2">
        <v>0.58762731481481478</v>
      </c>
      <c r="G39" s="2" t="s">
        <v>255</v>
      </c>
      <c r="H39" s="2">
        <v>0</v>
      </c>
      <c r="I39" s="2">
        <v>0.89</v>
      </c>
      <c r="J39" s="2" t="s">
        <v>256</v>
      </c>
      <c r="K39" s="2" t="s">
        <v>270</v>
      </c>
      <c r="L39" s="2">
        <v>9465.9089999999997</v>
      </c>
      <c r="M39" s="2">
        <v>1</v>
      </c>
      <c r="N39" s="2">
        <v>137118.266</v>
      </c>
      <c r="O39" s="2">
        <v>6.9034631753584166E-2</v>
      </c>
      <c r="P39" s="2">
        <v>1.1299999999999999</v>
      </c>
      <c r="Q39" s="2"/>
      <c r="R39" s="2"/>
      <c r="S39" s="2"/>
    </row>
    <row r="40" spans="1:19" x14ac:dyDescent="0.25">
      <c r="A40" s="2" t="s">
        <v>261</v>
      </c>
      <c r="B40" s="2"/>
      <c r="C40" s="2"/>
      <c r="D40" s="2"/>
      <c r="E40" s="2"/>
      <c r="F40" s="2">
        <v>0.61682870370370368</v>
      </c>
      <c r="G40" s="2" t="s">
        <v>255</v>
      </c>
      <c r="H40" s="2">
        <v>0</v>
      </c>
      <c r="I40" s="2">
        <v>0.89</v>
      </c>
      <c r="J40" s="2" t="s">
        <v>256</v>
      </c>
      <c r="K40" s="2" t="s">
        <v>270</v>
      </c>
      <c r="L40" s="2">
        <v>40888.449000000001</v>
      </c>
      <c r="M40" s="2">
        <v>1</v>
      </c>
      <c r="N40" s="2">
        <v>124328.148</v>
      </c>
      <c r="O40" s="2">
        <v>0.3288752358798106</v>
      </c>
      <c r="P40" s="2">
        <v>1.1299999999999999</v>
      </c>
      <c r="Q40" s="2"/>
      <c r="R40" s="2"/>
      <c r="S40" s="2"/>
    </row>
    <row r="41" spans="1:19" x14ac:dyDescent="0.25">
      <c r="A41" s="2" t="s">
        <v>262</v>
      </c>
      <c r="B41" s="2"/>
      <c r="C41" s="2"/>
      <c r="D41" s="2"/>
      <c r="E41" s="2"/>
      <c r="F41" s="2">
        <v>0.61878472222222225</v>
      </c>
      <c r="G41" s="2" t="s">
        <v>255</v>
      </c>
      <c r="H41" s="2">
        <v>0</v>
      </c>
      <c r="I41" s="2">
        <v>0.89</v>
      </c>
      <c r="J41" s="2" t="s">
        <v>256</v>
      </c>
      <c r="K41" s="2" t="s">
        <v>270</v>
      </c>
      <c r="L41" s="2">
        <v>39959.57</v>
      </c>
      <c r="M41" s="2">
        <v>1</v>
      </c>
      <c r="N41" s="2">
        <v>100574.031</v>
      </c>
      <c r="O41" s="2">
        <v>0.39731498879666061</v>
      </c>
      <c r="P41" s="2">
        <v>1.1299999999999999</v>
      </c>
      <c r="Q41" s="2"/>
      <c r="R41" s="2"/>
      <c r="S41" s="2"/>
    </row>
    <row r="42" spans="1:19" x14ac:dyDescent="0.25">
      <c r="A42" s="2" t="s">
        <v>259</v>
      </c>
      <c r="B42" s="2"/>
      <c r="C42" s="2"/>
      <c r="D42" s="2"/>
      <c r="E42" s="2"/>
      <c r="F42" s="2">
        <v>0.64807870370370368</v>
      </c>
      <c r="G42" s="2" t="s">
        <v>255</v>
      </c>
      <c r="H42" s="2">
        <v>0</v>
      </c>
      <c r="I42" s="2">
        <v>0.89</v>
      </c>
      <c r="J42" s="2" t="s">
        <v>256</v>
      </c>
      <c r="K42" s="2" t="s">
        <v>270</v>
      </c>
      <c r="L42" s="2">
        <v>82257.054999999993</v>
      </c>
      <c r="M42" s="2">
        <v>1</v>
      </c>
      <c r="N42" s="2">
        <v>123666.54700000001</v>
      </c>
      <c r="O42" s="2">
        <v>0.66515203177784199</v>
      </c>
      <c r="P42" s="2">
        <v>1.1299999999999999</v>
      </c>
      <c r="Q42" s="2"/>
      <c r="R42" s="2"/>
      <c r="S42" s="2"/>
    </row>
    <row r="43" spans="1:19" x14ac:dyDescent="0.25">
      <c r="A43" s="2" t="s">
        <v>260</v>
      </c>
      <c r="B43" s="2"/>
      <c r="C43" s="2"/>
      <c r="D43" s="2"/>
      <c r="E43" s="2"/>
      <c r="F43" s="2">
        <v>0.64994212962962961</v>
      </c>
      <c r="G43" s="2" t="s">
        <v>255</v>
      </c>
      <c r="H43" s="2">
        <v>0</v>
      </c>
      <c r="I43" s="2">
        <v>0.89</v>
      </c>
      <c r="J43" s="2" t="s">
        <v>256</v>
      </c>
      <c r="K43" s="2" t="s">
        <v>270</v>
      </c>
      <c r="L43" s="2">
        <v>81304.516000000003</v>
      </c>
      <c r="M43" s="2">
        <v>1</v>
      </c>
      <c r="N43" s="2">
        <v>124278.79700000001</v>
      </c>
      <c r="O43" s="2">
        <v>0.65421067762669116</v>
      </c>
      <c r="P43" s="2">
        <v>1.1299999999999999</v>
      </c>
      <c r="Q43" s="2"/>
      <c r="R43" s="2"/>
      <c r="S43" s="2"/>
    </row>
    <row r="44" spans="1:19" x14ac:dyDescent="0.25">
      <c r="A44" s="2" t="s">
        <v>263</v>
      </c>
      <c r="B44" s="2"/>
      <c r="C44" s="2"/>
      <c r="D44" s="2"/>
      <c r="E44" s="2"/>
      <c r="F44" s="2">
        <v>0.60137731481481482</v>
      </c>
      <c r="G44" s="2" t="s">
        <v>255</v>
      </c>
      <c r="H44" s="2">
        <v>0</v>
      </c>
      <c r="I44" s="2">
        <v>0.9</v>
      </c>
      <c r="J44" s="2" t="s">
        <v>256</v>
      </c>
      <c r="K44" s="2" t="s">
        <v>270</v>
      </c>
      <c r="L44" s="2">
        <v>16184.394</v>
      </c>
      <c r="M44" s="2">
        <v>1</v>
      </c>
      <c r="N44" s="2">
        <v>122306.234</v>
      </c>
      <c r="O44" s="2">
        <v>0.13232681173062691</v>
      </c>
      <c r="P44" s="2">
        <v>1.1399999999999999</v>
      </c>
      <c r="Q44" s="2"/>
      <c r="R44" s="2"/>
      <c r="S44" s="2"/>
    </row>
    <row r="45" spans="1:19" x14ac:dyDescent="0.25">
      <c r="A45" s="2" t="s">
        <v>264</v>
      </c>
      <c r="B45" s="2"/>
      <c r="C45" s="2"/>
      <c r="D45" s="2"/>
      <c r="E45" s="2"/>
      <c r="F45" s="2">
        <v>0.60335648148148147</v>
      </c>
      <c r="G45" s="2" t="s">
        <v>255</v>
      </c>
      <c r="H45" s="2">
        <v>0</v>
      </c>
      <c r="I45" s="2">
        <v>0.89</v>
      </c>
      <c r="J45" s="2" t="s">
        <v>256</v>
      </c>
      <c r="K45" s="2" t="s">
        <v>270</v>
      </c>
      <c r="L45" s="2">
        <v>19841.375</v>
      </c>
      <c r="M45" s="2">
        <v>1</v>
      </c>
      <c r="N45" s="2">
        <v>132744.375</v>
      </c>
      <c r="O45" s="2">
        <v>0.14947055195370801</v>
      </c>
      <c r="P45" s="2">
        <v>1.1299999999999999</v>
      </c>
      <c r="Q45" s="2"/>
      <c r="R45" s="2"/>
      <c r="S45" s="2"/>
    </row>
    <row r="46" spans="1:19" x14ac:dyDescent="0.25">
      <c r="A46" s="2" t="s">
        <v>267</v>
      </c>
      <c r="B46" s="2"/>
      <c r="C46" s="2"/>
      <c r="D46" s="2"/>
      <c r="E46" s="2"/>
      <c r="F46" s="2">
        <v>0.63236111111111104</v>
      </c>
      <c r="G46" s="2" t="s">
        <v>255</v>
      </c>
      <c r="H46" s="2">
        <v>0</v>
      </c>
      <c r="I46" s="2">
        <v>0.89</v>
      </c>
      <c r="J46" s="2" t="s">
        <v>256</v>
      </c>
      <c r="K46" s="2" t="s">
        <v>270</v>
      </c>
      <c r="L46" s="2">
        <v>60181.237999999998</v>
      </c>
      <c r="M46" s="2">
        <v>1</v>
      </c>
      <c r="N46" s="2">
        <v>102321.875</v>
      </c>
      <c r="O46" s="2">
        <v>0.58815612985981736</v>
      </c>
      <c r="P46" s="2">
        <v>1.1299999999999999</v>
      </c>
      <c r="Q46" s="2"/>
      <c r="R46" s="2"/>
      <c r="S46" s="2"/>
    </row>
    <row r="47" spans="1:19" x14ac:dyDescent="0.25">
      <c r="A47" s="2" t="s">
        <v>268</v>
      </c>
      <c r="B47" s="2"/>
      <c r="C47" s="2"/>
      <c r="D47" s="2"/>
      <c r="E47" s="2"/>
      <c r="F47" s="2">
        <v>0.63432870370370364</v>
      </c>
      <c r="G47" s="2" t="s">
        <v>255</v>
      </c>
      <c r="H47" s="2">
        <v>0</v>
      </c>
      <c r="I47" s="2">
        <v>0.89</v>
      </c>
      <c r="J47" s="2" t="s">
        <v>256</v>
      </c>
      <c r="K47" s="2" t="s">
        <v>270</v>
      </c>
      <c r="L47" s="2">
        <v>57863.773000000001</v>
      </c>
      <c r="M47" s="2">
        <v>1</v>
      </c>
      <c r="N47" s="2">
        <v>114895.117</v>
      </c>
      <c r="O47" s="2">
        <v>0.50362256039131759</v>
      </c>
      <c r="P47" s="2">
        <v>1.1399999999999999</v>
      </c>
      <c r="Q47" s="2"/>
      <c r="R47" s="2"/>
      <c r="S47" s="2"/>
    </row>
    <row r="48" spans="1:19" x14ac:dyDescent="0.25">
      <c r="A48" s="2" t="s">
        <v>265</v>
      </c>
      <c r="B48" s="2"/>
      <c r="C48" s="2"/>
      <c r="D48" s="2"/>
      <c r="E48" s="2"/>
      <c r="F48" s="2">
        <v>0.66351851851851851</v>
      </c>
      <c r="G48" s="2" t="s">
        <v>255</v>
      </c>
      <c r="H48" s="2">
        <v>0</v>
      </c>
      <c r="I48" s="2">
        <v>0.89</v>
      </c>
      <c r="J48" s="2" t="s">
        <v>256</v>
      </c>
      <c r="K48" s="2" t="s">
        <v>270</v>
      </c>
      <c r="L48" s="2">
        <v>79118.952999999994</v>
      </c>
      <c r="M48" s="2">
        <v>1</v>
      </c>
      <c r="N48" s="2">
        <v>111303.67999999999</v>
      </c>
      <c r="O48" s="2">
        <v>0.71083860839102531</v>
      </c>
      <c r="P48" s="2">
        <v>1.1299999999999999</v>
      </c>
      <c r="Q48" s="2"/>
      <c r="R48" s="2"/>
      <c r="S48" s="2"/>
    </row>
    <row r="49" spans="1:19" x14ac:dyDescent="0.25">
      <c r="A49" s="2" t="s">
        <v>266</v>
      </c>
      <c r="B49" s="2"/>
      <c r="C49" s="2"/>
      <c r="D49" s="2"/>
      <c r="E49" s="2"/>
      <c r="F49" s="2">
        <v>0.66548611111111111</v>
      </c>
      <c r="G49" s="2" t="s">
        <v>255</v>
      </c>
      <c r="H49" s="2">
        <v>0</v>
      </c>
      <c r="I49" s="2">
        <v>0.89</v>
      </c>
      <c r="J49" s="2" t="s">
        <v>256</v>
      </c>
      <c r="K49" s="2" t="s">
        <v>270</v>
      </c>
      <c r="L49" s="2">
        <v>82186.577999999994</v>
      </c>
      <c r="M49" s="2">
        <v>1</v>
      </c>
      <c r="N49" s="2">
        <v>120824.758</v>
      </c>
      <c r="O49" s="2">
        <v>0.68021305699614965</v>
      </c>
      <c r="P49" s="2">
        <v>1.1299999999999999</v>
      </c>
      <c r="Q49" s="2"/>
      <c r="R49" s="2"/>
      <c r="S49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Summary</vt:lpstr>
      <vt:lpstr>Control Summary</vt:lpstr>
      <vt:lpstr>Data</vt:lpstr>
      <vt:lpstr>Control Data</vt:lpstr>
      <vt:lpstr>GCMS Data</vt:lpstr>
      <vt:lpstr>EPA_control_Raw Data</vt:lpstr>
      <vt:lpstr>'Control Summary'!Individual1</vt:lpstr>
      <vt:lpstr>Individual1</vt:lpstr>
      <vt:lpstr>'Control Summary'!Summary1</vt:lpstr>
      <vt:lpstr>Summary1</vt:lpstr>
      <vt:lpstr>'Control Summary'!Summary2G1</vt:lpstr>
      <vt:lpstr>Summary2G1</vt:lpstr>
      <vt:lpstr>'Control Summary'!Summary3</vt:lpstr>
      <vt:lpstr>Summary3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Lau, Janice</dc:creator>
  <cp:lastModifiedBy>Lau, Janice</cp:lastModifiedBy>
  <dcterms:created xsi:type="dcterms:W3CDTF">2021-04-29T20:09:34Z</dcterms:created>
  <dcterms:modified xsi:type="dcterms:W3CDTF">2021-04-30T18:01:18Z</dcterms:modified>
</cp:coreProperties>
</file>