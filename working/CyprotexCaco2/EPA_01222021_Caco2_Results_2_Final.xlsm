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March 2021\"/>
    </mc:Choice>
  </mc:AlternateContent>
  <bookViews>
    <workbookView xWindow="0" yWindow="0" windowWidth="19200" windowHeight="7485"/>
  </bookViews>
  <sheets>
    <sheet name="Summary" sheetId="1" r:id="rId1"/>
    <sheet name="Data" sheetId="2" r:id="rId2"/>
  </sheets>
  <definedNames>
    <definedName name="Individual1">Summary!$J$2:$Q$37</definedName>
    <definedName name="Summary1">Summary!$A$6:$G$13</definedName>
    <definedName name="Summary2G1">Summary!$A$16:$H$34</definedName>
    <definedName name="Summary3">Summary!$A$37:$H$43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2" l="1"/>
</calcChain>
</file>

<file path=xl/sharedStrings.xml><?xml version="1.0" encoding="utf-8"?>
<sst xmlns="http://schemas.openxmlformats.org/spreadsheetml/2006/main" count="723" uniqueCount="156">
  <si>
    <t>SampleName</t>
  </si>
  <si>
    <t>CompoundName</t>
  </si>
  <si>
    <t>Transition</t>
  </si>
  <si>
    <t>Area</t>
  </si>
  <si>
    <t>Dilution</t>
  </si>
  <si>
    <t>ISTD Area</t>
  </si>
  <si>
    <t>ISTDResponseRatio</t>
  </si>
  <si>
    <t>DTXSID0026125</t>
  </si>
  <si>
    <t>136.865 &gt; 97.843</t>
  </si>
  <si>
    <t>Blank 1_A_B__1______Inj EPA_Caco2_2021Jan14_Inj003</t>
  </si>
  <si>
    <t>Blank 1_A_B__2______Inj EPA_Caco2_2021Jan14_Inj004</t>
  </si>
  <si>
    <t>Blank 1_B_A__3______Inj EPA_Caco2_2021Jan14_Inj005</t>
  </si>
  <si>
    <t>Blank 1_B_A__4______Inj EPA_Caco2_2021Jan14_Inj006</t>
  </si>
  <si>
    <t>DTXSID0026125_A_B_rec_1______Inj EPA_Caco2_2021Jan14_Inj007</t>
  </si>
  <si>
    <t>DTXSID0026125_A_B_rec_2______Inj EPA_Caco2_2021Jan14_Inj008</t>
  </si>
  <si>
    <t>DTXSID0029133_A_B_rec_1______Inj EPA_Caco2_2021Jan14_Inj017</t>
  </si>
  <si>
    <t>DTXSID0029133_A_B_rec_2______Inj EPA_Caco2_2021Jan14_Inj018</t>
  </si>
  <si>
    <t>DTXSID6025692_A_B_rec_1______Inj EPA_Caco2_2021Jan14_Inj025</t>
  </si>
  <si>
    <t>DTXSID6025692_A_B_rec_2______Inj EPA_Caco2_2021Jan14_Inj026</t>
  </si>
  <si>
    <t>DTXSID0026125_B_A_rec_1______Inj EPA_Caco2_2021Jan14_Inj037</t>
  </si>
  <si>
    <t>DTXSID0026125_B_A_rec_2______Inj EPA_Caco2_2021Jan14_Inj038</t>
  </si>
  <si>
    <t>DTXSID0029133_B_A_rec_1______Inj EPA_Caco2_2021Jan14_Inj047</t>
  </si>
  <si>
    <t>DTXSID0029133_B_A_rec_2______Inj EPA_Caco2_2021Jan14_Inj048</t>
  </si>
  <si>
    <t>DTXSID6025692_B_A_rec_1______Inj EPA_Caco2_2021Jan14_Inj055</t>
  </si>
  <si>
    <t>DTXSID6025692_B_A_rec_2______Inj EPA_Caco2_2021Jan14_Inj056</t>
  </si>
  <si>
    <t>DTXSID0026125_A_B_don_1______Inj EPA_Caco2_2021Jan14_Inj067</t>
  </si>
  <si>
    <t>DTXSID0026125_A_B_don_2______Inj EPA_Caco2_2021Jan14_Inj068</t>
  </si>
  <si>
    <t>DTXSID0029133_A_B_don_1______Inj EPA_Caco2_2021Jan14_Inj077</t>
  </si>
  <si>
    <t>DTXSID0029133_A_B_don_2______Inj EPA_Caco2_2021Jan14_Inj078</t>
  </si>
  <si>
    <t>DTXSID6025692_A_B_don_1______Inj EPA_Caco2_2021Jan14_Inj085</t>
  </si>
  <si>
    <t>DTXSID6025692_A_B_don_2______Inj EPA_Caco2_2021Jan14_Inj086</t>
  </si>
  <si>
    <t>DTXSID0026125_B_A_don_1______Inj EPA_Caco2_2021Jan14_Inj097</t>
  </si>
  <si>
    <t>DTXSID0026125_B_A_don_2______Inj EPA_Caco2_2021Jan14_Inj098</t>
  </si>
  <si>
    <t>DTXSID0029133_B_A_don_1______Inj EPA_Caco2_2021Jan14_Inj107</t>
  </si>
  <si>
    <t>DTXSID0029133_B_A_don_2______Inj EPA_Caco2_2021Jan14_Inj108</t>
  </si>
  <si>
    <t>DTXSID6025692_B_A_don_1______Inj EPA_Caco2_2021Jan14_Inj115</t>
  </si>
  <si>
    <t>DTXSID6025692_B_A_don_2______Inj EPA_Caco2_2021Jan14_Inj116</t>
  </si>
  <si>
    <t>DTXSID0026125_A_B_dos_1______Inj EPA_Caco2_2021Jan14_Inj127</t>
  </si>
  <si>
    <t>DTXSID0026125_A_B_dos_2______Inj EPA_Caco2_2021Jan14_Inj128</t>
  </si>
  <si>
    <t>DTXSID0029133_A_B_dos_1______Inj EPA_Caco2_2021Jan14_Inj137</t>
  </si>
  <si>
    <t>DTXSID0029133_A_B_dos_2______Inj EPA_Caco2_2021Jan14_Inj138</t>
  </si>
  <si>
    <t>DTXSID6025692_A_B_dos_1______Inj EPA_Caco2_2021Jan14_Inj145</t>
  </si>
  <si>
    <t>DTXSID6025692_A_B_dos_2______Inj EPA_Caco2_2021Jan14_Inj146</t>
  </si>
  <si>
    <t>DTXSID0026125_B_A_dos_1______Inj EPA_Caco2_2021Jan14_Inj157</t>
  </si>
  <si>
    <t>DTXSID0026125_B_A_dos_2______Inj EPA_Caco2_2021Jan14_Inj158</t>
  </si>
  <si>
    <t>DTXSID0029133_B_A_dos_1______Inj EPA_Caco2_2021Jan14_Inj167</t>
  </si>
  <si>
    <t>DTXSID0029133_B_A_dos_2______Inj EPA_Caco2_2021Jan14_Inj168</t>
  </si>
  <si>
    <t>DTXSID6025692_B_A_dos_1______Inj EPA_Caco2_2021Jan14_Inj175</t>
  </si>
  <si>
    <t>DTXSID6025692_B_A_dos_2______Inj EPA_Caco2_2021Jan14_Inj176</t>
  </si>
  <si>
    <t>DTXSID0029133</t>
  </si>
  <si>
    <t>136.888 &gt; 97.851</t>
  </si>
  <si>
    <t>DTXSID6025692</t>
  </si>
  <si>
    <t>136.857 &gt; 97.83</t>
  </si>
  <si>
    <t>Blank 1_A_B__1______Inj CYP2085-R10_Caco2_2020Jan14_Inj003</t>
  </si>
  <si>
    <t>Blank 1_A_B__2______Inj CYP2085-R10_Caco2_2020Jan14_Inj004</t>
  </si>
  <si>
    <t>Blank 1_B_A__3______Inj CYP2085-R10_Caco2_2020Jan14_Inj005</t>
  </si>
  <si>
    <t>Blank 1_B_A__4______Inj CYP2085-R10_Caco2_2020Jan14_Inj006</t>
  </si>
  <si>
    <t>Ranitidine_A_B_rec_1______Inj CYP2085-R10_Caco2_2020Jan14_Inj007</t>
  </si>
  <si>
    <t>Ranitidine_A_B_rec_2______Inj CYP2085-R10_Caco2_2020Jan14_Inj008</t>
  </si>
  <si>
    <t>Talinolol_A_B_rec_1______Inj CYP2085-R10_Caco2_2020Jan14_Inj011</t>
  </si>
  <si>
    <t>Talinolol_A_B_rec_2______Inj CYP2085-R10_Caco2_2020Jan14_Inj012</t>
  </si>
  <si>
    <t>Warfarin_A_B_rec_1______Inj CYP2085-R10_Caco2_2020Jan14_Inj015</t>
  </si>
  <si>
    <t>Warfarin_A_B_rec_2______Inj CYP2085-R10_Caco2_2020Jan14_Inj016</t>
  </si>
  <si>
    <t>Ranitidine_B_A_rec_1______Inj CYP2085-R10_Caco2_2020Jan14_Inj035</t>
  </si>
  <si>
    <t>Ranitidine_B_A_rec_2______Inj CYP2085-R10_Caco2_2020Jan14_Inj036</t>
  </si>
  <si>
    <t>Talinolol_B_A_rec_1______Inj CYP2085-R10_Caco2_2020Jan14_Inj039</t>
  </si>
  <si>
    <t>Talinolol_B_A_rec_2______Inj CYP2085-R10_Caco2_2020Jan14_Inj040</t>
  </si>
  <si>
    <t>Warfarin_B_A_rec_1______Inj CYP2085-R10_Caco2_2020Jan14_Inj043</t>
  </si>
  <si>
    <t>Warfarin_B_A_rec_2______Inj CYP2085-R10_Caco2_2020Jan14_Inj044</t>
  </si>
  <si>
    <t>Ranitidine_A_B_don_1______Inj CYP2085-R10_Caco2_2020Jan14_Inj063</t>
  </si>
  <si>
    <t>Ranitidine_A_B_don_2______Inj CYP2085-R10_Caco2_2020Jan14_Inj064</t>
  </si>
  <si>
    <t>Talinolol_A_B_don_1______Inj CYP2085-R10_Caco2_2020Jan14_Inj067</t>
  </si>
  <si>
    <t>Talinolol_A_B_don_2______Inj CYP2085-R10_Caco2_2020Jan14_Inj068</t>
  </si>
  <si>
    <t>Warfarin_A_B_don_1______Inj CYP2085-R10_Caco2_2020Jan14_Inj071</t>
  </si>
  <si>
    <t>Warfarin_A_B_don_2______Inj CYP2085-R10_Caco2_2020Jan14_Inj072</t>
  </si>
  <si>
    <t>Ranitidine_B_A_don_1______Inj CYP2085-R10_Caco2_2020Jan14_Inj091</t>
  </si>
  <si>
    <t>Ranitidine_B_A_don_2______Inj CYP2085-R10_Caco2_2020Jan14_Inj092</t>
  </si>
  <si>
    <t>Talinolol_B_A_don_1______Inj CYP2085-R10_Caco2_2020Jan14_Inj095</t>
  </si>
  <si>
    <t>Talinolol_B_A_don_2______Inj CYP2085-R10_Caco2_2020Jan14_Inj096</t>
  </si>
  <si>
    <t>Warfarin_B_A_don_1______Inj CYP2085-R10_Caco2_2020Jan14_Inj099</t>
  </si>
  <si>
    <t>Warfarin_B_A_don_2______Inj CYP2085-R10_Caco2_2020Jan14_Inj100</t>
  </si>
  <si>
    <t>Ranitidine_A_B_dos_1______Inj CYP2085-R10_Caco2_2020Jan14_Inj119</t>
  </si>
  <si>
    <t>Ranitidine_A_B_dos_2______Inj CYP2085-R10_Caco2_2020Jan14_Inj120</t>
  </si>
  <si>
    <t>Talinolol_A_B_dos_1______Inj CYP2085-R10_Caco2_2020Jan14_Inj123</t>
  </si>
  <si>
    <t>Talinolol_A_B_dos_2______Inj CYP2085-R10_Caco2_2020Jan14_Inj124</t>
  </si>
  <si>
    <t>Warfarin_A_B_dos_1______Inj CYP2085-R10_Caco2_2020Jan14_Inj127</t>
  </si>
  <si>
    <t>Warfarin_A_B_dos_2______Inj CYP2085-R10_Caco2_2020Jan14_Inj128</t>
  </si>
  <si>
    <t>Ranitidine_B_A_dos_1______Inj CYP2085-R10_Caco2_2020Jan14_Inj147</t>
  </si>
  <si>
    <t>Ranitidine_B_A_dos_2______Inj CYP2085-R10_Caco2_2020Jan14_Inj148</t>
  </si>
  <si>
    <t>Talinolol_B_A_dos_1______Inj CYP2085-R10_Caco2_2020Jan14_Inj151</t>
  </si>
  <si>
    <t>Talinolol_B_A_dos_2______Inj CYP2085-R10_Caco2_2020Jan14_Inj152</t>
  </si>
  <si>
    <t>Warfarin_B_A_dos_1______Inj CYP2085-R10_Caco2_2020Jan14_Inj155</t>
  </si>
  <si>
    <t>Warfarin_B_A_dos_2______Inj CYP2085-R10_Caco2_2020Jan14_Inj156</t>
  </si>
  <si>
    <t>Warfarin</t>
  </si>
  <si>
    <t>309.225 &gt; 251.114</t>
  </si>
  <si>
    <t>Talinolol</t>
  </si>
  <si>
    <t>364.365 &gt; 209.165</t>
  </si>
  <si>
    <t>Ranitidine</t>
  </si>
  <si>
    <t>315.216 &gt; 175.737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</si>
  <si>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</si>
  <si>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</si>
  <si>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</si>
  <si>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</si>
  <si>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</si>
  <si>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</si>
  <si>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</si>
  <si>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</si>
  <si>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</si>
  <si>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</si>
  <si>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</si>
  <si>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</si>
  <si>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</si>
  <si>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</si>
  <si>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</si>
  <si>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</si>
  <si>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</si>
  <si>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</si>
  <si>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</si>
  <si>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</si>
  <si>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</si>
  <si>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</si>
  <si>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</si>
  <si>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</si>
  <si>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</si>
  <si>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</si>
  <si>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</si>
  <si>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</si>
  <si>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</si>
  <si>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</si>
  <si>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</si>
  <si>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</si>
  <si>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</si>
  <si>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</si>
  <si>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</si>
  <si>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</si>
  <si>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</si>
  <si>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</si>
  <si>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</si>
  <si>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</si>
  <si>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</si>
  <si>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</si>
  <si>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</si>
  <si>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</si>
  <si>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</si>
  <si>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</si>
  <si>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</si>
  <si>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</si>
  <si>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CYP2178</t>
  </si>
  <si>
    <t>EPA</t>
  </si>
  <si>
    <t>Caco-2 Permeability Data Summary:</t>
  </si>
  <si>
    <t>ND</t>
  </si>
  <si>
    <t>ND: compound not detected</t>
  </si>
  <si>
    <t>NA</t>
  </si>
  <si>
    <t>NA: not applicable</t>
  </si>
  <si>
    <t>High background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</si>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</sst>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\ mmm\ yyyy"/>
    <numFmt numFmtId="165" formatCode="0.000"/>
    <numFmt numFmtId="166" formatCode="0.0"/>
    <numFmt numFmtId="167" formatCode="0.0000"/>
    <numFmt numFmtId="168" formatCode="0.0%"/>
    <numFmt numFmtId="169" formatCode="0.000000"/>
    <numFmt numFmtId="170" formatCode="0.00000"/>
    <numFmt numFmtId="171" formatCode="0.000%"/>
  </numFmts>
  <fonts count="9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</borders>
  <cellStyleXfs count="2">
    <xf numFmtId="0" fontId="0" fillId="0" borderId="0"/>
    <xf numFmtId="0" fontId="1" fillId="0" borderId="0"/>
  </cellStyleXfs>
  <cellXfs count="302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2" fontId="1" fillId="0" borderId="0" xfId="1" applyNumberFormat="1"/>
    <xf numFmtId="165" fontId="1" fillId="0" borderId="0" xfId="1" applyNumberFormat="1"/>
    <xf numFmtId="166" fontId="1" fillId="0" borderId="0" xfId="1" applyNumberFormat="1"/>
    <xf numFmtId="167" fontId="1" fillId="0" borderId="0" xfId="1" applyNumberFormat="1"/>
    <xf numFmtId="0" fontId="2" fillId="0" borderId="3" xfId="1" applyFont="1" applyBorder="1"/>
    <xf numFmtId="2" fontId="1" fillId="0" borderId="4" xfId="1" applyNumberFormat="1" applyBorder="1"/>
    <xf numFmtId="0" fontId="2" fillId="0" borderId="5" xfId="1" applyFont="1" applyBorder="1"/>
    <xf numFmtId="165" fontId="1" fillId="0" borderId="6" xfId="1" applyNumberFormat="1" applyBorder="1"/>
    <xf numFmtId="2" fontId="1" fillId="0" borderId="6" xfId="1" applyNumberFormat="1" applyBorder="1"/>
    <xf numFmtId="0" fontId="2" fillId="0" borderId="7" xfId="1" applyFont="1" applyBorder="1"/>
    <xf numFmtId="166" fontId="1" fillId="0" borderId="8" xfId="1" applyNumberFormat="1" applyBorder="1"/>
    <xf numFmtId="0" fontId="1" fillId="0" borderId="9" xfId="1" applyBorder="1"/>
    <xf numFmtId="0" fontId="1" fillId="0" borderId="0" xfId="1" applyBorder="1"/>
    <xf numFmtId="0" fontId="1" fillId="0" borderId="10" xfId="1" applyBorder="1"/>
    <xf numFmtId="165" fontId="1" fillId="0" borderId="0" xfId="1" applyNumberFormat="1" applyBorder="1"/>
    <xf numFmtId="165" fontId="2" fillId="0" borderId="0" xfId="1" applyNumberFormat="1" applyFont="1" applyBorder="1"/>
    <xf numFmtId="167" fontId="1" fillId="0" borderId="0" xfId="1" applyNumberFormat="1" applyBorder="1"/>
    <xf numFmtId="2" fontId="2" fillId="0" borderId="0" xfId="1" applyNumberFormat="1" applyFont="1" applyBorder="1"/>
    <xf numFmtId="167" fontId="1" fillId="0" borderId="12" xfId="1" applyNumberFormat="1" applyBorder="1"/>
    <xf numFmtId="2" fontId="2" fillId="0" borderId="12" xfId="1" applyNumberFormat="1" applyFont="1" applyBorder="1"/>
    <xf numFmtId="0" fontId="1" fillId="0" borderId="12" xfId="1" applyBorder="1"/>
    <xf numFmtId="0" fontId="1" fillId="0" borderId="15" xfId="1" applyBorder="1"/>
    <xf numFmtId="0" fontId="1" fillId="0" borderId="21" xfId="1" applyBorder="1"/>
    <xf numFmtId="11" fontId="1" fillId="0" borderId="9" xfId="1" applyNumberFormat="1" applyBorder="1"/>
    <xf numFmtId="2" fontId="1" fillId="0" borderId="0" xfId="1" applyNumberFormat="1" applyBorder="1"/>
    <xf numFmtId="9" fontId="1" fillId="0" borderId="0" xfId="1" applyNumberFormat="1" applyBorder="1"/>
    <xf numFmtId="166" fontId="1" fillId="0" borderId="21" xfId="1" applyNumberFormat="1" applyBorder="1"/>
    <xf numFmtId="168" fontId="1" fillId="0" borderId="0" xfId="1" applyNumberFormat="1" applyBorder="1"/>
    <xf numFmtId="2" fontId="1" fillId="0" borderId="12" xfId="1" applyNumberFormat="1" applyBorder="1"/>
    <xf numFmtId="167" fontId="1" fillId="0" borderId="13" xfId="1" applyNumberFormat="1" applyBorder="1"/>
    <xf numFmtId="167" fontId="1" fillId="0" borderId="15" xfId="1" applyNumberFormat="1" applyBorder="1"/>
    <xf numFmtId="165" fontId="1" fillId="0" borderId="15" xfId="1" applyNumberFormat="1" applyBorder="1"/>
    <xf numFmtId="11" fontId="1" fillId="0" borderId="19" xfId="1" applyNumberFormat="1" applyBorder="1"/>
    <xf numFmtId="10" fontId="1" fillId="0" borderId="15" xfId="1" applyNumberFormat="1" applyBorder="1"/>
    <xf numFmtId="11" fontId="1" fillId="0" borderId="9" xfId="1" applyNumberFormat="1" applyBorder="1" applyAlignment="1">
      <alignment horizontal="left"/>
    </xf>
    <xf numFmtId="2" fontId="1" fillId="0" borderId="0" xfId="1" applyNumberFormat="1" applyBorder="1" applyAlignment="1">
      <alignment horizontal="left"/>
    </xf>
    <xf numFmtId="9" fontId="1" fillId="0" borderId="0" xfId="1" applyNumberFormat="1" applyBorder="1" applyAlignment="1">
      <alignment horizontal="left"/>
    </xf>
    <xf numFmtId="166" fontId="1" fillId="0" borderId="21" xfId="1" applyNumberFormat="1" applyBorder="1" applyAlignment="1">
      <alignment horizontal="left"/>
    </xf>
    <xf numFmtId="0" fontId="1" fillId="0" borderId="23" xfId="1" applyBorder="1"/>
    <xf numFmtId="0" fontId="1" fillId="0" borderId="24" xfId="1" applyBorder="1"/>
    <xf numFmtId="166" fontId="1" fillId="0" borderId="24" xfId="1" applyNumberFormat="1" applyBorder="1"/>
    <xf numFmtId="165" fontId="1" fillId="0" borderId="26" xfId="1" applyNumberFormat="1" applyBorder="1"/>
    <xf numFmtId="2" fontId="2" fillId="0" borderId="26" xfId="1" applyNumberFormat="1" applyFont="1" applyBorder="1"/>
    <xf numFmtId="0" fontId="1" fillId="0" borderId="26" xfId="1" applyBorder="1"/>
    <xf numFmtId="0" fontId="1" fillId="0" borderId="29" xfId="1" applyBorder="1"/>
    <xf numFmtId="0" fontId="2" fillId="0" borderId="34" xfId="1" applyFont="1" applyBorder="1"/>
    <xf numFmtId="0" fontId="1" fillId="0" borderId="35" xfId="1" applyBorder="1"/>
    <xf numFmtId="11" fontId="1" fillId="0" borderId="23" xfId="1" applyNumberFormat="1" applyBorder="1"/>
    <xf numFmtId="2" fontId="1" fillId="0" borderId="35" xfId="1" applyNumberFormat="1" applyBorder="1"/>
    <xf numFmtId="166" fontId="1" fillId="0" borderId="35" xfId="1" applyNumberFormat="1" applyBorder="1"/>
    <xf numFmtId="2" fontId="1" fillId="0" borderId="26" xfId="1" applyNumberFormat="1" applyBorder="1"/>
    <xf numFmtId="165" fontId="1" fillId="0" borderId="27" xfId="1" applyNumberFormat="1" applyBorder="1"/>
    <xf numFmtId="165" fontId="1" fillId="0" borderId="29" xfId="1" applyNumberFormat="1" applyBorder="1"/>
    <xf numFmtId="166" fontId="1" fillId="0" borderId="31" xfId="1" applyNumberFormat="1" applyBorder="1"/>
    <xf numFmtId="169" fontId="1" fillId="0" borderId="23" xfId="1" applyNumberFormat="1" applyBorder="1"/>
    <xf numFmtId="11" fontId="1" fillId="0" borderId="33" xfId="1" applyNumberFormat="1" applyBorder="1"/>
    <xf numFmtId="166" fontId="1" fillId="0" borderId="0" xfId="1" applyNumberFormat="1" applyBorder="1"/>
    <xf numFmtId="10" fontId="1" fillId="0" borderId="29" xfId="1" applyNumberFormat="1" applyBorder="1"/>
    <xf numFmtId="2" fontId="1" fillId="0" borderId="31" xfId="1" applyNumberFormat="1" applyBorder="1"/>
    <xf numFmtId="11" fontId="1" fillId="0" borderId="23" xfId="1" applyNumberFormat="1" applyBorder="1" applyAlignment="1">
      <alignment horizontal="left"/>
    </xf>
    <xf numFmtId="168" fontId="1" fillId="0" borderId="0" xfId="1" applyNumberFormat="1" applyBorder="1" applyAlignment="1">
      <alignment horizontal="left"/>
    </xf>
    <xf numFmtId="166" fontId="1" fillId="0" borderId="24" xfId="1" applyNumberFormat="1" applyBorder="1" applyAlignment="1">
      <alignment horizontal="left"/>
    </xf>
    <xf numFmtId="0" fontId="1" fillId="0" borderId="0" xfId="1" applyAlignment="1">
      <alignment horizontal="right"/>
    </xf>
    <xf numFmtId="0" fontId="2" fillId="0" borderId="0" xfId="1" applyFont="1" applyAlignment="1">
      <alignment horizontal="right"/>
    </xf>
    <xf numFmtId="0" fontId="2" fillId="0" borderId="11" xfId="1" applyFont="1" applyBorder="1" applyAlignment="1">
      <alignment horizontal="right"/>
    </xf>
    <xf numFmtId="0" fontId="2" fillId="0" borderId="14" xfId="1" applyFont="1" applyBorder="1" applyAlignment="1">
      <alignment horizontal="right"/>
    </xf>
    <xf numFmtId="0" fontId="2" fillId="0" borderId="16" xfId="1" applyFont="1" applyBorder="1" applyAlignment="1">
      <alignment horizontal="right"/>
    </xf>
    <xf numFmtId="0" fontId="2" fillId="0" borderId="18" xfId="1" applyFont="1" applyBorder="1" applyAlignment="1">
      <alignment horizontal="right"/>
    </xf>
    <xf numFmtId="0" fontId="2" fillId="0" borderId="20" xfId="1" applyFont="1" applyBorder="1" applyAlignment="1">
      <alignment horizontal="right"/>
    </xf>
    <xf numFmtId="0" fontId="2" fillId="0" borderId="25" xfId="1" applyFont="1" applyBorder="1" applyAlignment="1">
      <alignment horizontal="right"/>
    </xf>
    <xf numFmtId="0" fontId="2" fillId="0" borderId="28" xfId="1" applyFont="1" applyBorder="1" applyAlignment="1">
      <alignment horizontal="right"/>
    </xf>
    <xf numFmtId="0" fontId="2" fillId="0" borderId="30" xfId="1" applyFont="1" applyBorder="1" applyAlignment="1">
      <alignment horizontal="right"/>
    </xf>
    <xf numFmtId="0" fontId="2" fillId="0" borderId="32" xfId="1" applyFont="1" applyBorder="1" applyAlignment="1">
      <alignment horizontal="right"/>
    </xf>
    <xf numFmtId="0" fontId="2" fillId="0" borderId="2" xfId="1" applyFont="1" applyBorder="1"/>
    <xf numFmtId="0" fontId="2" fillId="0" borderId="2" xfId="1" applyFont="1" applyBorder="1" applyAlignment="1">
      <alignment horizontal="center"/>
    </xf>
    <xf numFmtId="0" fontId="2" fillId="0" borderId="2" xfId="1" applyFont="1" applyBorder="1" applyAlignment="1">
      <alignment horizontal="center" wrapText="1"/>
    </xf>
    <xf numFmtId="0" fontId="1" fillId="0" borderId="0" xfId="1" applyAlignment="1">
      <alignment horizontal="center"/>
    </xf>
    <xf numFmtId="0" fontId="1" fillId="0" borderId="0" xfId="1" applyAlignment="1">
      <alignment vertical="center" wrapText="1"/>
    </xf>
    <xf numFmtId="0" fontId="1" fillId="0" borderId="1" xfId="1" applyBorder="1" applyAlignment="1">
      <alignment vertical="center"/>
    </xf>
    <xf numFmtId="0" fontId="1" fillId="0" borderId="0" xfId="1" applyAlignment="1">
      <alignment vertical="center"/>
    </xf>
    <xf numFmtId="166" fontId="1" fillId="0" borderId="0" xfId="1" applyNumberFormat="1" applyAlignment="1">
      <alignment horizontal="center"/>
    </xf>
    <xf numFmtId="168" fontId="1" fillId="0" borderId="0" xfId="1" applyNumberFormat="1" applyAlignment="1">
      <alignment horizontal="center"/>
    </xf>
    <xf numFmtId="166" fontId="1" fillId="0" borderId="0" xfId="1" applyNumberFormat="1" applyAlignment="1">
      <alignment horizontal="center" vertical="center"/>
    </xf>
    <xf numFmtId="9" fontId="1" fillId="0" borderId="0" xfId="1" applyNumberFormat="1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1" xfId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166" fontId="1" fillId="0" borderId="1" xfId="1" applyNumberFormat="1" applyBorder="1" applyAlignment="1">
      <alignment horizontal="center"/>
    </xf>
    <xf numFmtId="0" fontId="1" fillId="0" borderId="0" xfId="1" applyAlignment="1">
      <alignment horizontal="center" vertical="center"/>
    </xf>
    <xf numFmtId="165" fontId="1" fillId="0" borderId="13" xfId="1" applyNumberFormat="1" applyBorder="1"/>
    <xf numFmtId="168" fontId="1" fillId="0" borderId="15" xfId="1" applyNumberFormat="1" applyBorder="1"/>
    <xf numFmtId="170" fontId="2" fillId="0" borderId="0" xfId="1" applyNumberFormat="1" applyFont="1" applyBorder="1"/>
    <xf numFmtId="169" fontId="2" fillId="0" borderId="0" xfId="1" applyNumberFormat="1" applyFont="1" applyBorder="1"/>
    <xf numFmtId="166" fontId="1" fillId="0" borderId="10" xfId="1" applyNumberFormat="1" applyBorder="1"/>
    <xf numFmtId="11" fontId="1" fillId="0" borderId="10" xfId="1" applyNumberFormat="1" applyBorder="1"/>
    <xf numFmtId="169" fontId="1" fillId="0" borderId="0" xfId="1" applyNumberFormat="1" applyBorder="1"/>
    <xf numFmtId="169" fontId="1" fillId="0" borderId="15" xfId="1" applyNumberFormat="1" applyBorder="1"/>
    <xf numFmtId="170" fontId="1" fillId="0" borderId="15" xfId="1" applyNumberFormat="1" applyBorder="1"/>
    <xf numFmtId="11" fontId="1" fillId="0" borderId="17" xfId="1" applyNumberFormat="1" applyBorder="1"/>
    <xf numFmtId="166" fontId="2" fillId="0" borderId="0" xfId="1" applyNumberFormat="1" applyFont="1" applyBorder="1"/>
    <xf numFmtId="170" fontId="1" fillId="0" borderId="29" xfId="1" applyNumberFormat="1" applyBorder="1"/>
    <xf numFmtId="2" fontId="1" fillId="0" borderId="0" xfId="1" applyNumberFormat="1" applyAlignment="1">
      <alignment horizontal="center"/>
    </xf>
    <xf numFmtId="166" fontId="1" fillId="0" borderId="9" xfId="1" applyNumberFormat="1" applyBorder="1"/>
    <xf numFmtId="166" fontId="1" fillId="0" borderId="17" xfId="1" applyNumberFormat="1" applyBorder="1"/>
    <xf numFmtId="166" fontId="1" fillId="0" borderId="22" xfId="1" applyNumberFormat="1" applyBorder="1"/>
    <xf numFmtId="2" fontId="1" fillId="0" borderId="24" xfId="1" applyNumberFormat="1" applyBorder="1"/>
    <xf numFmtId="167" fontId="1" fillId="0" borderId="27" xfId="1" applyNumberFormat="1" applyBorder="1"/>
    <xf numFmtId="170" fontId="1" fillId="0" borderId="0" xfId="1" applyNumberFormat="1" applyBorder="1"/>
    <xf numFmtId="2" fontId="1" fillId="0" borderId="24" xfId="1" applyNumberFormat="1" applyBorder="1" applyAlignment="1">
      <alignment horizontal="left"/>
    </xf>
    <xf numFmtId="167" fontId="1" fillId="0" borderId="21" xfId="1" applyNumberFormat="1" applyBorder="1"/>
    <xf numFmtId="11" fontId="1" fillId="0" borderId="24" xfId="1" applyNumberFormat="1" applyBorder="1"/>
    <xf numFmtId="165" fontId="1" fillId="0" borderId="35" xfId="1" applyNumberFormat="1" applyBorder="1"/>
    <xf numFmtId="11" fontId="1" fillId="0" borderId="31" xfId="1" applyNumberFormat="1" applyBorder="1"/>
    <xf numFmtId="167" fontId="1" fillId="0" borderId="0" xfId="1" applyNumberFormat="1" applyAlignment="1">
      <alignment horizontal="center"/>
    </xf>
    <xf numFmtId="165" fontId="1" fillId="0" borderId="1" xfId="1" applyNumberFormat="1" applyBorder="1" applyAlignment="1">
      <alignment horizontal="center"/>
    </xf>
    <xf numFmtId="167" fontId="1" fillId="0" borderId="29" xfId="1" applyNumberFormat="1" applyBorder="1"/>
    <xf numFmtId="165" fontId="1" fillId="0" borderId="22" xfId="1" applyNumberFormat="1" applyBorder="1"/>
    <xf numFmtId="165" fontId="1" fillId="0" borderId="21" xfId="1" applyNumberFormat="1" applyBorder="1"/>
    <xf numFmtId="165" fontId="1" fillId="0" borderId="21" xfId="1" applyNumberFormat="1" applyBorder="1" applyAlignment="1">
      <alignment horizontal="left"/>
    </xf>
    <xf numFmtId="1" fontId="1" fillId="0" borderId="35" xfId="1" applyNumberFormat="1" applyBorder="1"/>
    <xf numFmtId="1" fontId="1" fillId="0" borderId="36" xfId="1" applyNumberFormat="1" applyBorder="1"/>
    <xf numFmtId="165" fontId="1" fillId="0" borderId="0" xfId="1" applyNumberFormat="1" applyAlignment="1">
      <alignment horizontal="center"/>
    </xf>
    <xf numFmtId="1" fontId="1" fillId="0" borderId="1" xfId="1" applyNumberFormat="1" applyBorder="1" applyAlignment="1">
      <alignment horizontal="center"/>
    </xf>
    <xf numFmtId="165" fontId="1" fillId="0" borderId="31" xfId="1" applyNumberFormat="1" applyBorder="1"/>
    <xf numFmtId="167" fontId="1" fillId="0" borderId="36" xfId="1" applyNumberFormat="1" applyBorder="1"/>
    <xf numFmtId="2" fontId="1" fillId="0" borderId="36" xfId="1" applyNumberFormat="1" applyBorder="1"/>
    <xf numFmtId="171" fontId="1" fillId="0" borderId="29" xfId="1" applyNumberFormat="1" applyBorder="1"/>
    <xf numFmtId="167" fontId="1" fillId="0" borderId="22" xfId="1" applyNumberFormat="1" applyBorder="1"/>
    <xf numFmtId="167" fontId="1" fillId="0" borderId="21" xfId="1" applyNumberFormat="1" applyBorder="1" applyAlignment="1">
      <alignment horizontal="left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5" fillId="0" borderId="38" xfId="0" applyFont="1" applyBorder="1"/>
    <xf numFmtId="9" fontId="0" fillId="0" borderId="38" xfId="0" applyNumberFormat="1" applyBorder="1"/>
    <xf numFmtId="168" fontId="0" fillId="0" borderId="38" xfId="0" applyNumberFormat="1" applyBorder="1"/>
    <xf numFmtId="0" fontId="0" fillId="0" borderId="39" xfId="0" applyBorder="1"/>
    <xf numFmtId="0" fontId="5" fillId="0" borderId="39" xfId="0" applyFont="1" applyBorder="1"/>
    <xf numFmtId="2" fontId="0" fillId="0" borderId="39" xfId="0" applyNumberFormat="1" applyBorder="1"/>
    <xf numFmtId="1" fontId="0" fillId="0" borderId="39" xfId="0" applyNumberFormat="1" applyBorder="1"/>
    <xf numFmtId="166" fontId="0" fillId="0" borderId="39" xfId="0" applyNumberFormat="1" applyBorder="1"/>
    <xf numFmtId="0" fontId="0" fillId="0" borderId="0" xfId="0" applyBorder="1"/>
    <xf numFmtId="0" fontId="5" fillId="0" borderId="0" xfId="0" applyFont="1" applyBorder="1"/>
    <xf numFmtId="166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37" xfId="0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167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" fillId="0" borderId="0" xfId="1" applyFill="1"/>
    <xf numFmtId="0" fontId="2" fillId="0" borderId="11" xfId="1" applyFont="1" applyFill="1" applyBorder="1" applyAlignment="1">
      <alignment horizontal="right"/>
    </xf>
    <xf numFmtId="167" fontId="1" fillId="0" borderId="12" xfId="1" applyNumberFormat="1" applyFill="1" applyBorder="1"/>
    <xf numFmtId="2" fontId="2" fillId="0" borderId="12" xfId="1" applyNumberFormat="1" applyFont="1" applyFill="1" applyBorder="1"/>
    <xf numFmtId="0" fontId="1" fillId="0" borderId="12" xfId="1" applyFill="1" applyBorder="1"/>
    <xf numFmtId="2" fontId="1" fillId="0" borderId="12" xfId="1" applyNumberFormat="1" applyFill="1" applyBorder="1"/>
    <xf numFmtId="167" fontId="1" fillId="0" borderId="13" xfId="1" applyNumberFormat="1" applyFill="1" applyBorder="1"/>
    <xf numFmtId="2" fontId="1" fillId="0" borderId="0" xfId="1" applyNumberFormat="1" applyFill="1"/>
    <xf numFmtId="0" fontId="2" fillId="0" borderId="14" xfId="1" applyFont="1" applyFill="1" applyBorder="1" applyAlignment="1">
      <alignment horizontal="right"/>
    </xf>
    <xf numFmtId="165" fontId="1" fillId="0" borderId="0" xfId="1" applyNumberFormat="1" applyFill="1" applyBorder="1"/>
    <xf numFmtId="165" fontId="2" fillId="0" borderId="0" xfId="1" applyNumberFormat="1" applyFont="1" applyFill="1" applyBorder="1"/>
    <xf numFmtId="0" fontId="1" fillId="0" borderId="0" xfId="1" applyFill="1" applyBorder="1"/>
    <xf numFmtId="167" fontId="1" fillId="0" borderId="15" xfId="1" applyNumberFormat="1" applyFill="1" applyBorder="1"/>
    <xf numFmtId="1" fontId="1" fillId="0" borderId="0" xfId="1" applyNumberFormat="1" applyFill="1"/>
    <xf numFmtId="167" fontId="1" fillId="0" borderId="0" xfId="1" applyNumberFormat="1" applyFill="1" applyBorder="1"/>
    <xf numFmtId="2" fontId="2" fillId="0" borderId="0" xfId="1" applyNumberFormat="1" applyFont="1" applyFill="1" applyBorder="1"/>
    <xf numFmtId="2" fontId="1" fillId="0" borderId="0" xfId="1" applyNumberFormat="1" applyFill="1" applyBorder="1"/>
    <xf numFmtId="165" fontId="1" fillId="0" borderId="15" xfId="1" applyNumberFormat="1" applyFill="1" applyBorder="1"/>
    <xf numFmtId="0" fontId="1" fillId="0" borderId="15" xfId="1" applyFill="1" applyBorder="1"/>
    <xf numFmtId="0" fontId="2" fillId="0" borderId="16" xfId="1" applyFont="1" applyFill="1" applyBorder="1" applyAlignment="1">
      <alignment horizontal="right"/>
    </xf>
    <xf numFmtId="0" fontId="1" fillId="0" borderId="10" xfId="1" applyFill="1" applyBorder="1"/>
    <xf numFmtId="167" fontId="1" fillId="0" borderId="10" xfId="1" applyNumberFormat="1" applyFill="1" applyBorder="1"/>
    <xf numFmtId="167" fontId="1" fillId="0" borderId="17" xfId="1" applyNumberFormat="1" applyFill="1" applyBorder="1"/>
    <xf numFmtId="0" fontId="2" fillId="0" borderId="18" xfId="1" applyFont="1" applyFill="1" applyBorder="1" applyAlignment="1">
      <alignment horizontal="right"/>
    </xf>
    <xf numFmtId="0" fontId="1" fillId="0" borderId="9" xfId="1" applyFill="1" applyBorder="1"/>
    <xf numFmtId="11" fontId="1" fillId="0" borderId="9" xfId="1" applyNumberFormat="1" applyFill="1" applyBorder="1" applyAlignment="1">
      <alignment horizontal="left"/>
    </xf>
    <xf numFmtId="11" fontId="1" fillId="0" borderId="9" xfId="1" applyNumberFormat="1" applyFill="1" applyBorder="1"/>
    <xf numFmtId="11" fontId="1" fillId="0" borderId="19" xfId="1" applyNumberFormat="1" applyFill="1" applyBorder="1"/>
    <xf numFmtId="2" fontId="1" fillId="0" borderId="0" xfId="1" applyNumberFormat="1" applyFill="1" applyBorder="1" applyAlignment="1">
      <alignment horizontal="left"/>
    </xf>
    <xf numFmtId="9" fontId="1" fillId="0" borderId="0" xfId="1" applyNumberFormat="1" applyFill="1" applyBorder="1" applyAlignment="1">
      <alignment horizontal="left"/>
    </xf>
    <xf numFmtId="168" fontId="1" fillId="0" borderId="0" xfId="1" applyNumberFormat="1" applyFill="1" applyBorder="1"/>
    <xf numFmtId="10" fontId="1" fillId="0" borderId="15" xfId="1" applyNumberFormat="1" applyFill="1" applyBorder="1"/>
    <xf numFmtId="0" fontId="2" fillId="0" borderId="20" xfId="1" applyFont="1" applyFill="1" applyBorder="1" applyAlignment="1">
      <alignment horizontal="right"/>
    </xf>
    <xf numFmtId="0" fontId="1" fillId="0" borderId="21" xfId="1" applyFill="1" applyBorder="1"/>
    <xf numFmtId="166" fontId="1" fillId="0" borderId="21" xfId="1" applyNumberFormat="1" applyFill="1" applyBorder="1" applyAlignment="1">
      <alignment horizontal="left"/>
    </xf>
    <xf numFmtId="166" fontId="1" fillId="0" borderId="21" xfId="1" applyNumberFormat="1" applyFill="1" applyBorder="1"/>
    <xf numFmtId="2" fontId="1" fillId="0" borderId="21" xfId="1" applyNumberFormat="1" applyFill="1" applyBorder="1"/>
    <xf numFmtId="2" fontId="1" fillId="0" borderId="22" xfId="1" applyNumberFormat="1" applyFill="1" applyBorder="1"/>
    <xf numFmtId="0" fontId="1" fillId="0" borderId="0" xfId="1" applyFill="1" applyAlignment="1">
      <alignment horizontal="right"/>
    </xf>
    <xf numFmtId="0" fontId="2" fillId="0" borderId="0" xfId="1" applyFont="1" applyFill="1" applyAlignment="1">
      <alignment horizontal="right"/>
    </xf>
    <xf numFmtId="0" fontId="2" fillId="0" borderId="25" xfId="1" applyFont="1" applyFill="1" applyBorder="1" applyAlignment="1">
      <alignment horizontal="right"/>
    </xf>
    <xf numFmtId="165" fontId="1" fillId="0" borderId="26" xfId="1" applyNumberFormat="1" applyFill="1" applyBorder="1"/>
    <xf numFmtId="2" fontId="2" fillId="0" borderId="26" xfId="1" applyNumberFormat="1" applyFont="1" applyFill="1" applyBorder="1"/>
    <xf numFmtId="0" fontId="1" fillId="0" borderId="26" xfId="1" applyFill="1" applyBorder="1"/>
    <xf numFmtId="2" fontId="1" fillId="0" borderId="26" xfId="1" applyNumberFormat="1" applyFill="1" applyBorder="1"/>
    <xf numFmtId="165" fontId="1" fillId="0" borderId="27" xfId="1" applyNumberFormat="1" applyFill="1" applyBorder="1"/>
    <xf numFmtId="0" fontId="2" fillId="0" borderId="28" xfId="1" applyFont="1" applyFill="1" applyBorder="1" applyAlignment="1">
      <alignment horizontal="right"/>
    </xf>
    <xf numFmtId="165" fontId="1" fillId="0" borderId="29" xfId="1" applyNumberFormat="1" applyFill="1" applyBorder="1"/>
    <xf numFmtId="2" fontId="1" fillId="0" borderId="29" xfId="1" applyNumberFormat="1" applyFill="1" applyBorder="1"/>
    <xf numFmtId="0" fontId="1" fillId="0" borderId="29" xfId="1" applyFill="1" applyBorder="1"/>
    <xf numFmtId="0" fontId="2" fillId="0" borderId="30" xfId="1" applyFont="1" applyFill="1" applyBorder="1" applyAlignment="1">
      <alignment horizontal="right"/>
    </xf>
    <xf numFmtId="0" fontId="1" fillId="0" borderId="24" xfId="1" applyFill="1" applyBorder="1"/>
    <xf numFmtId="167" fontId="1" fillId="0" borderId="24" xfId="1" applyNumberFormat="1" applyFill="1" applyBorder="1"/>
    <xf numFmtId="166" fontId="1" fillId="0" borderId="24" xfId="1" applyNumberFormat="1" applyFill="1" applyBorder="1"/>
    <xf numFmtId="166" fontId="1" fillId="0" borderId="31" xfId="1" applyNumberFormat="1" applyFill="1" applyBorder="1"/>
    <xf numFmtId="0" fontId="2" fillId="0" borderId="3" xfId="1" applyFont="1" applyFill="1" applyBorder="1"/>
    <xf numFmtId="2" fontId="1" fillId="0" borderId="4" xfId="1" applyNumberFormat="1" applyFill="1" applyBorder="1"/>
    <xf numFmtId="0" fontId="2" fillId="0" borderId="32" xfId="1" applyFont="1" applyFill="1" applyBorder="1" applyAlignment="1">
      <alignment horizontal="right"/>
    </xf>
    <xf numFmtId="0" fontId="1" fillId="0" borderId="23" xfId="1" applyFill="1" applyBorder="1"/>
    <xf numFmtId="11" fontId="1" fillId="0" borderId="23" xfId="1" applyNumberFormat="1" applyFill="1" applyBorder="1" applyAlignment="1">
      <alignment horizontal="left"/>
    </xf>
    <xf numFmtId="11" fontId="1" fillId="0" borderId="23" xfId="1" applyNumberFormat="1" applyFill="1" applyBorder="1"/>
    <xf numFmtId="169" fontId="1" fillId="0" borderId="23" xfId="1" applyNumberFormat="1" applyFill="1" applyBorder="1"/>
    <xf numFmtId="11" fontId="1" fillId="0" borderId="33" xfId="1" applyNumberFormat="1" applyFill="1" applyBorder="1"/>
    <xf numFmtId="0" fontId="2" fillId="0" borderId="2" xfId="1" applyFont="1" applyFill="1" applyBorder="1"/>
    <xf numFmtId="0" fontId="2" fillId="0" borderId="2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 wrapText="1"/>
    </xf>
    <xf numFmtId="0" fontId="2" fillId="0" borderId="5" xfId="1" applyFont="1" applyFill="1" applyBorder="1"/>
    <xf numFmtId="165" fontId="1" fillId="0" borderId="6" xfId="1" applyNumberFormat="1" applyFill="1" applyBorder="1"/>
    <xf numFmtId="166" fontId="1" fillId="0" borderId="0" xfId="1" applyNumberFormat="1" applyFill="1" applyBorder="1"/>
    <xf numFmtId="0" fontId="1" fillId="0" borderId="0" xfId="1" applyFill="1" applyAlignment="1">
      <alignment horizontal="center"/>
    </xf>
    <xf numFmtId="166" fontId="1" fillId="0" borderId="0" xfId="1" applyNumberFormat="1" applyFill="1" applyAlignment="1">
      <alignment horizontal="center"/>
    </xf>
    <xf numFmtId="168" fontId="1" fillId="0" borderId="0" xfId="1" applyNumberFormat="1" applyFill="1" applyAlignment="1">
      <alignment horizontal="center"/>
    </xf>
    <xf numFmtId="2" fontId="1" fillId="0" borderId="6" xfId="1" applyNumberFormat="1" applyFill="1" applyBorder="1"/>
    <xf numFmtId="168" fontId="1" fillId="0" borderId="0" xfId="1" applyNumberFormat="1" applyFill="1" applyBorder="1" applyAlignment="1">
      <alignment horizontal="left"/>
    </xf>
    <xf numFmtId="9" fontId="1" fillId="0" borderId="0" xfId="1" applyNumberFormat="1" applyFill="1" applyBorder="1"/>
    <xf numFmtId="10" fontId="1" fillId="0" borderId="29" xfId="1" applyNumberFormat="1" applyFill="1" applyBorder="1"/>
    <xf numFmtId="0" fontId="1" fillId="0" borderId="0" xfId="1" applyFill="1" applyAlignment="1">
      <alignment vertical="center" wrapText="1"/>
    </xf>
    <xf numFmtId="166" fontId="1" fillId="0" borderId="0" xfId="1" applyNumberFormat="1" applyFill="1" applyAlignment="1">
      <alignment horizontal="center" vertical="center"/>
    </xf>
    <xf numFmtId="9" fontId="1" fillId="0" borderId="0" xfId="1" applyNumberFormat="1" applyFill="1" applyAlignment="1">
      <alignment horizontal="center"/>
    </xf>
    <xf numFmtId="0" fontId="2" fillId="0" borderId="7" xfId="1" applyFont="1" applyFill="1" applyBorder="1"/>
    <xf numFmtId="166" fontId="1" fillId="0" borderId="8" xfId="1" applyNumberFormat="1" applyFill="1" applyBorder="1"/>
    <xf numFmtId="166" fontId="1" fillId="0" borderId="24" xfId="1" applyNumberFormat="1" applyFill="1" applyBorder="1" applyAlignment="1">
      <alignment horizontal="left"/>
    </xf>
    <xf numFmtId="1" fontId="1" fillId="0" borderId="24" xfId="1" applyNumberFormat="1" applyFill="1" applyBorder="1"/>
    <xf numFmtId="2" fontId="1" fillId="0" borderId="31" xfId="1" applyNumberFormat="1" applyFill="1" applyBorder="1"/>
    <xf numFmtId="0" fontId="1" fillId="0" borderId="1" xfId="1" applyFill="1" applyBorder="1" applyAlignment="1">
      <alignment vertical="center"/>
    </xf>
    <xf numFmtId="0" fontId="1" fillId="0" borderId="1" xfId="1" applyFill="1" applyBorder="1" applyAlignment="1">
      <alignment horizontal="center" vertical="center"/>
    </xf>
    <xf numFmtId="0" fontId="1" fillId="0" borderId="1" xfId="1" applyFill="1" applyBorder="1" applyAlignment="1">
      <alignment horizontal="center"/>
    </xf>
    <xf numFmtId="2" fontId="1" fillId="0" borderId="1" xfId="1" applyNumberFormat="1" applyFill="1" applyBorder="1" applyAlignment="1">
      <alignment horizontal="center"/>
    </xf>
    <xf numFmtId="166" fontId="1" fillId="0" borderId="1" xfId="1" applyNumberFormat="1" applyFill="1" applyBorder="1" applyAlignment="1">
      <alignment horizontal="center"/>
    </xf>
    <xf numFmtId="0" fontId="2" fillId="0" borderId="34" xfId="1" applyFont="1" applyFill="1" applyBorder="1"/>
    <xf numFmtId="0" fontId="1" fillId="0" borderId="35" xfId="1" applyFill="1" applyBorder="1"/>
    <xf numFmtId="2" fontId="1" fillId="0" borderId="35" xfId="1" applyNumberFormat="1" applyFill="1" applyBorder="1"/>
    <xf numFmtId="166" fontId="1" fillId="0" borderId="35" xfId="1" applyNumberFormat="1" applyFill="1" applyBorder="1"/>
    <xf numFmtId="166" fontId="1" fillId="0" borderId="36" xfId="1" applyNumberFormat="1" applyFill="1" applyBorder="1"/>
    <xf numFmtId="0" fontId="1" fillId="0" borderId="0" xfId="1" applyFill="1" applyAlignment="1">
      <alignment vertical="center"/>
    </xf>
    <xf numFmtId="0" fontId="1" fillId="0" borderId="0" xfId="1" applyFill="1" applyAlignment="1">
      <alignment horizontal="center" vertical="center"/>
    </xf>
    <xf numFmtId="165" fontId="1" fillId="0" borderId="13" xfId="1" applyNumberFormat="1" applyFill="1" applyBorder="1"/>
    <xf numFmtId="168" fontId="1" fillId="0" borderId="15" xfId="1" applyNumberFormat="1" applyFill="1" applyBorder="1"/>
    <xf numFmtId="166" fontId="1" fillId="0" borderId="0" xfId="1" applyNumberFormat="1" applyFill="1"/>
    <xf numFmtId="170" fontId="1" fillId="0" borderId="17" xfId="1" applyNumberFormat="1" applyFill="1" applyBorder="1"/>
    <xf numFmtId="166" fontId="1" fillId="0" borderId="22" xfId="1" applyNumberFormat="1" applyFill="1" applyBorder="1"/>
    <xf numFmtId="167" fontId="1" fillId="0" borderId="27" xfId="1" applyNumberFormat="1" applyFill="1" applyBorder="1"/>
    <xf numFmtId="169" fontId="1" fillId="0" borderId="29" xfId="1" applyNumberFormat="1" applyFill="1" applyBorder="1"/>
    <xf numFmtId="2" fontId="1" fillId="0" borderId="24" xfId="1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37" xfId="0" applyBorder="1" applyAlignment="1">
      <alignment horizontal="left" wrapText="1"/>
    </xf>
    <xf numFmtId="2" fontId="1" fillId="0" borderId="36" xfId="1" applyNumberFormat="1" applyFill="1" applyBorder="1"/>
    <xf numFmtId="165" fontId="1" fillId="0" borderId="36" xfId="1" applyNumberFormat="1" applyBorder="1"/>
  </cellXfs>
  <cellStyles count="2">
    <cellStyle name="Normal" xfId="0" builtinId="0" customBuiltin="1"/>
    <cellStyle name="Normal 2" xfId="1"/>
  </cellStyles>
  <dxfs count="96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85725</xdr:rowOff>
    </xdr:from>
    <xdr:to>
      <xdr:col>0</xdr:col>
      <xdr:colOff>1438274</xdr:colOff>
      <xdr:row>2</xdr:row>
      <xdr:rowOff>142875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85725"/>
          <a:ext cx="141922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8</xdr:col>
      <xdr:colOff>5619</xdr:colOff>
      <xdr:row>35</xdr:row>
      <xdr:rowOff>13671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857625"/>
          <a:ext cx="12083319" cy="38712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9161</xdr:colOff>
      <xdr:row>17</xdr:row>
      <xdr:rowOff>9802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00025"/>
          <a:ext cx="459068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9161</xdr:colOff>
      <xdr:row>43</xdr:row>
      <xdr:rowOff>3706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97100" y="6267450"/>
          <a:ext cx="459068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51</xdr:row>
      <xdr:rowOff>0</xdr:rowOff>
    </xdr:from>
    <xdr:to>
      <xdr:col>22</xdr:col>
      <xdr:colOff>9161</xdr:colOff>
      <xdr:row>67</xdr:row>
      <xdr:rowOff>9802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97100" y="11953875"/>
          <a:ext cx="459068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78</xdr:row>
      <xdr:rowOff>0</xdr:rowOff>
    </xdr:from>
    <xdr:to>
      <xdr:col>22</xdr:col>
      <xdr:colOff>9161</xdr:colOff>
      <xdr:row>94</xdr:row>
      <xdr:rowOff>3706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7100" y="18211800"/>
          <a:ext cx="459068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104</xdr:row>
      <xdr:rowOff>0</xdr:rowOff>
    </xdr:from>
    <xdr:to>
      <xdr:col>22</xdr:col>
      <xdr:colOff>9161</xdr:colOff>
      <xdr:row>120</xdr:row>
      <xdr:rowOff>3706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97100" y="24088725"/>
          <a:ext cx="459068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9161</xdr:colOff>
      <xdr:row>146</xdr:row>
      <xdr:rowOff>9802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97100" y="29965650"/>
          <a:ext cx="4590686" cy="32006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4"/>
  <sheetViews>
    <sheetView tabSelected="1" workbookViewId="0">
      <selection activeCell="N18" sqref="N18"/>
    </sheetView>
  </sheetViews>
  <sheetFormatPr defaultRowHeight="15" x14ac:dyDescent="0.25"/>
  <cols>
    <col min="1" max="1" width="22.28515625" style="5" customWidth="1"/>
    <col min="2" max="2" width="9.42578125" style="5" bestFit="1" customWidth="1"/>
    <col min="3" max="3" width="9.140625" style="5"/>
    <col min="4" max="4" width="14.28515625" style="5" customWidth="1"/>
    <col min="5" max="5" width="13.140625" style="5" customWidth="1"/>
    <col min="6" max="6" width="11.42578125" style="5" customWidth="1"/>
    <col min="7" max="8" width="50.7109375" customWidth="1"/>
    <col min="10" max="10" width="17.28515625" bestFit="1" customWidth="1"/>
    <col min="11" max="11" width="14.85546875" style="5" customWidth="1"/>
    <col min="12" max="12" width="17" bestFit="1" customWidth="1"/>
    <col min="13" max="13" width="12" bestFit="1" customWidth="1"/>
    <col min="14" max="14" width="10.140625" bestFit="1" customWidth="1"/>
    <col min="15" max="15" width="9.42578125" bestFit="1" customWidth="1"/>
    <col min="16" max="16" width="6.140625" bestFit="1" customWidth="1"/>
    <col min="17" max="17" width="10.140625" bestFit="1" customWidth="1"/>
  </cols>
  <sheetData>
    <row r="1" spans="1:17" ht="15.75" x14ac:dyDescent="0.25">
      <c r="A1" s="298"/>
      <c r="B1" s="3"/>
      <c r="D1" s="3" t="s">
        <v>147</v>
      </c>
      <c r="J1" s="164"/>
      <c r="K1" s="171"/>
      <c r="L1" s="164"/>
      <c r="M1" s="164"/>
      <c r="N1" s="164"/>
      <c r="O1" s="164"/>
      <c r="P1" s="164"/>
      <c r="Q1" s="164"/>
    </row>
    <row r="2" spans="1:17" x14ac:dyDescent="0.25">
      <c r="A2" s="298"/>
      <c r="D2" s="4">
        <v>44218.619502314818</v>
      </c>
      <c r="J2" s="164"/>
      <c r="K2" s="171"/>
      <c r="L2" s="164"/>
      <c r="M2" s="164"/>
      <c r="N2" s="164"/>
      <c r="O2" s="164"/>
      <c r="P2" s="164"/>
      <c r="Q2" s="164"/>
    </row>
    <row r="3" spans="1:17" x14ac:dyDescent="0.25">
      <c r="B3" s="4"/>
      <c r="D3" s="4" t="s">
        <v>148</v>
      </c>
      <c r="J3" s="164"/>
      <c r="K3" s="171"/>
      <c r="L3" s="164"/>
      <c r="M3" s="164"/>
      <c r="N3" s="164"/>
      <c r="O3" s="164"/>
      <c r="P3" s="164"/>
      <c r="Q3" s="164"/>
    </row>
    <row r="4" spans="1:17" x14ac:dyDescent="0.25">
      <c r="B4" s="4"/>
      <c r="J4" s="164"/>
      <c r="K4" s="171"/>
      <c r="L4" s="164"/>
      <c r="M4" s="164"/>
      <c r="N4" s="164"/>
      <c r="O4" s="164"/>
      <c r="P4" s="164"/>
      <c r="Q4" s="164"/>
    </row>
    <row r="5" spans="1:17" ht="15.75" thickBot="1" x14ac:dyDescent="0.3">
      <c r="A5" s="192" t="s">
        <v>149</v>
      </c>
      <c r="J5" s="164"/>
      <c r="K5" s="171"/>
      <c r="L5" s="164"/>
      <c r="M5" s="164"/>
      <c r="N5" s="164"/>
      <c r="O5" s="164"/>
      <c r="P5" s="164"/>
      <c r="Q5" s="164"/>
    </row>
    <row r="6" spans="1:17" s="8" customFormat="1" ht="73.5" thickTop="1" thickBot="1" x14ac:dyDescent="0.3">
      <c r="A6" s="12" t="s">
        <v>99</v>
      </c>
      <c r="B6" s="12" t="s">
        <v>100</v>
      </c>
      <c r="C6" s="12" t="s">
        <v>101</v>
      </c>
      <c r="D6" s="12" t="s">
        <v>102</v>
      </c>
      <c r="E6" s="12" t="s">
        <v>103</v>
      </c>
      <c r="F6" s="12" t="s">
        <v>104</v>
      </c>
      <c r="G6" s="12" t="s">
        <v>105</v>
      </c>
      <c r="H6" s="7"/>
      <c r="I6" s="7"/>
      <c r="J6" s="12" t="s">
        <v>99</v>
      </c>
      <c r="K6" s="12" t="s">
        <v>106</v>
      </c>
      <c r="L6" s="12" t="s">
        <v>107</v>
      </c>
      <c r="M6" s="12" t="s">
        <v>108</v>
      </c>
      <c r="N6" s="12" t="s">
        <v>109</v>
      </c>
      <c r="O6" s="12" t="s">
        <v>110</v>
      </c>
      <c r="P6" s="12" t="s">
        <v>111</v>
      </c>
      <c r="Q6" s="12" t="s">
        <v>112</v>
      </c>
    </row>
    <row r="7" spans="1:17" ht="15.75" thickTop="1" x14ac:dyDescent="0.25">
      <c r="A7" s="6" t="s">
        <v>7</v>
      </c>
      <c r="B7" s="142">
        <v>10</v>
      </c>
      <c r="C7" s="149">
        <v>2</v>
      </c>
      <c r="D7" s="149" t="s">
        <v>150</v>
      </c>
      <c r="E7" s="150">
        <v>11.368511332590414</v>
      </c>
      <c r="F7" s="142" t="s">
        <v>152</v>
      </c>
      <c r="G7" t="s">
        <v>154</v>
      </c>
      <c r="J7" s="165" t="s">
        <v>7</v>
      </c>
      <c r="K7" s="172">
        <v>10</v>
      </c>
      <c r="L7" s="164" t="s">
        <v>122</v>
      </c>
      <c r="M7" s="165" t="s">
        <v>131</v>
      </c>
      <c r="N7" s="166">
        <v>-13.001226865797847</v>
      </c>
      <c r="O7" s="167">
        <v>-0.88259016355950082</v>
      </c>
      <c r="P7" s="164" t="s">
        <v>155</v>
      </c>
      <c r="Q7" s="168">
        <v>-6.9419085146786736</v>
      </c>
    </row>
    <row r="8" spans="1:17" x14ac:dyDescent="0.25">
      <c r="A8" s="6" t="s">
        <v>49</v>
      </c>
      <c r="B8" s="142">
        <v>10</v>
      </c>
      <c r="C8" s="149">
        <v>2</v>
      </c>
      <c r="D8" s="149">
        <v>6.4042360769634801</v>
      </c>
      <c r="E8" s="150">
        <v>14.975050579883451</v>
      </c>
      <c r="F8" s="142">
        <v>4.0336181124393962</v>
      </c>
      <c r="G8" t="s">
        <v>154</v>
      </c>
      <c r="J8" s="164"/>
      <c r="K8" s="171"/>
      <c r="L8" s="155" t="s">
        <v>122</v>
      </c>
      <c r="M8" s="156" t="s">
        <v>130</v>
      </c>
      <c r="N8" s="158">
        <v>0.43078895564291786</v>
      </c>
      <c r="O8" s="158">
        <v>0.47514295185292155</v>
      </c>
      <c r="P8" s="155" t="s">
        <v>155</v>
      </c>
      <c r="Q8" s="158">
        <v>0.4529659537479197</v>
      </c>
    </row>
    <row r="9" spans="1:17" x14ac:dyDescent="0.25">
      <c r="A9" s="6" t="s">
        <v>51</v>
      </c>
      <c r="B9" s="142">
        <v>10</v>
      </c>
      <c r="C9" s="149">
        <v>2</v>
      </c>
      <c r="D9" s="142">
        <v>29.161518298346209</v>
      </c>
      <c r="E9" s="142">
        <v>26.886152648657376</v>
      </c>
      <c r="F9" s="149">
        <v>0.97105892217998835</v>
      </c>
      <c r="G9" t="s">
        <v>154</v>
      </c>
      <c r="J9" s="164"/>
      <c r="K9" s="171"/>
      <c r="L9" s="164" t="s">
        <v>133</v>
      </c>
      <c r="M9" s="165" t="s">
        <v>131</v>
      </c>
      <c r="N9" s="169">
        <v>16.005500737963263</v>
      </c>
      <c r="O9" s="169">
        <v>6.7315219272175648</v>
      </c>
      <c r="P9" s="164" t="s">
        <v>155</v>
      </c>
      <c r="Q9" s="169">
        <v>11.368511332590414</v>
      </c>
    </row>
    <row r="10" spans="1:17" x14ac:dyDescent="0.25">
      <c r="A10" s="6" t="s">
        <v>97</v>
      </c>
      <c r="B10" s="142">
        <v>10</v>
      </c>
      <c r="C10" s="149">
        <v>2</v>
      </c>
      <c r="D10" s="152">
        <v>0.39982937896283566</v>
      </c>
      <c r="E10" s="149">
        <v>2.6305418342352151</v>
      </c>
      <c r="F10" s="142">
        <v>7.467564716680215</v>
      </c>
      <c r="G10" t="s">
        <v>139</v>
      </c>
      <c r="J10" s="164"/>
      <c r="K10" s="171"/>
      <c r="L10" s="155" t="s">
        <v>133</v>
      </c>
      <c r="M10" s="156" t="s">
        <v>130</v>
      </c>
      <c r="N10" s="157">
        <v>0.6936018132396905</v>
      </c>
      <c r="O10" s="157">
        <v>0.49909521704211746</v>
      </c>
      <c r="P10" s="155" t="s">
        <v>155</v>
      </c>
      <c r="Q10" s="157">
        <v>0.59634851514090403</v>
      </c>
    </row>
    <row r="11" spans="1:17" ht="15.75" thickBot="1" x14ac:dyDescent="0.3">
      <c r="A11" s="6" t="s">
        <v>95</v>
      </c>
      <c r="B11" s="142">
        <v>10</v>
      </c>
      <c r="C11" s="149">
        <v>2</v>
      </c>
      <c r="D11" s="151">
        <v>5.5370424040330719E-2</v>
      </c>
      <c r="E11" s="149">
        <v>5.3443132177271746</v>
      </c>
      <c r="F11" s="142">
        <v>95.873097834329911</v>
      </c>
      <c r="G11" t="s">
        <v>140</v>
      </c>
      <c r="J11" s="159"/>
      <c r="K11" s="173"/>
      <c r="L11" s="159" t="s">
        <v>143</v>
      </c>
      <c r="M11" s="160" t="s">
        <v>104</v>
      </c>
      <c r="N11" s="161">
        <v>-1.2310761825154148</v>
      </c>
      <c r="O11" s="162">
        <v>-7.6270076476597302</v>
      </c>
      <c r="P11" s="159" t="s">
        <v>155</v>
      </c>
      <c r="Q11" s="163">
        <v>-4.4290419150875726</v>
      </c>
    </row>
    <row r="12" spans="1:17" ht="15.75" thickBot="1" x14ac:dyDescent="0.3">
      <c r="A12" s="9" t="s">
        <v>93</v>
      </c>
      <c r="B12" s="146">
        <v>10</v>
      </c>
      <c r="C12" s="153">
        <v>2</v>
      </c>
      <c r="D12" s="146">
        <v>51.478101553216661</v>
      </c>
      <c r="E12" s="146">
        <v>26.327493272834605</v>
      </c>
      <c r="F12" s="154">
        <v>0.52134336130624126</v>
      </c>
      <c r="G12" s="148" t="s">
        <v>141</v>
      </c>
      <c r="J12" s="165" t="s">
        <v>49</v>
      </c>
      <c r="K12" s="172">
        <v>10</v>
      </c>
      <c r="L12" s="164" t="s">
        <v>122</v>
      </c>
      <c r="M12" s="165" t="s">
        <v>131</v>
      </c>
      <c r="N12" s="168">
        <v>2.7028710312799618</v>
      </c>
      <c r="O12" s="166">
        <v>10.105601122646998</v>
      </c>
      <c r="P12" s="164" t="s">
        <v>155</v>
      </c>
      <c r="Q12" s="168">
        <v>6.4042360769634801</v>
      </c>
    </row>
    <row r="13" spans="1:17" ht="15.75" thickTop="1" x14ac:dyDescent="0.25">
      <c r="A13" s="299" t="s">
        <v>142</v>
      </c>
      <c r="B13" s="299"/>
      <c r="C13" s="299"/>
      <c r="D13" s="299"/>
      <c r="E13" s="299"/>
      <c r="F13" s="299"/>
      <c r="G13" s="299"/>
      <c r="J13" s="164"/>
      <c r="K13" s="171"/>
      <c r="L13" s="155" t="s">
        <v>122</v>
      </c>
      <c r="M13" s="156" t="s">
        <v>130</v>
      </c>
      <c r="N13" s="158">
        <v>0.39842024725560743</v>
      </c>
      <c r="O13" s="158">
        <v>0.87005670877723473</v>
      </c>
      <c r="P13" s="155" t="s">
        <v>155</v>
      </c>
      <c r="Q13" s="158">
        <v>0.63423847801642108</v>
      </c>
    </row>
    <row r="14" spans="1:17" x14ac:dyDescent="0.25">
      <c r="A14" s="297" t="s">
        <v>151</v>
      </c>
      <c r="J14" s="164"/>
      <c r="K14" s="171"/>
      <c r="L14" s="164" t="s">
        <v>133</v>
      </c>
      <c r="M14" s="165" t="s">
        <v>131</v>
      </c>
      <c r="N14" s="169">
        <v>18.830665054839738</v>
      </c>
      <c r="O14" s="169">
        <v>11.119436104927166</v>
      </c>
      <c r="P14" s="164" t="s">
        <v>155</v>
      </c>
      <c r="Q14" s="169">
        <v>14.975050579883451</v>
      </c>
    </row>
    <row r="15" spans="1:17" x14ac:dyDescent="0.25">
      <c r="A15" s="297" t="s">
        <v>153</v>
      </c>
      <c r="J15" s="164"/>
      <c r="K15" s="171"/>
      <c r="L15" s="155" t="s">
        <v>133</v>
      </c>
      <c r="M15" s="156" t="s">
        <v>130</v>
      </c>
      <c r="N15" s="157">
        <v>0.67203804474157824</v>
      </c>
      <c r="O15" s="157">
        <v>0.60713662306790739</v>
      </c>
      <c r="P15" s="155" t="s">
        <v>155</v>
      </c>
      <c r="Q15" s="157">
        <v>0.63958733390474287</v>
      </c>
    </row>
    <row r="16" spans="1:17" ht="15.75" thickBot="1" x14ac:dyDescent="0.3">
      <c r="J16" s="159"/>
      <c r="K16" s="173"/>
      <c r="L16" s="159" t="s">
        <v>143</v>
      </c>
      <c r="M16" s="160" t="s">
        <v>104</v>
      </c>
      <c r="N16" s="163">
        <v>6.9669121600383415</v>
      </c>
      <c r="O16" s="163">
        <v>1.1003240648404506</v>
      </c>
      <c r="P16" s="159" t="s">
        <v>155</v>
      </c>
      <c r="Q16" s="163">
        <v>4.0336181124393962</v>
      </c>
    </row>
    <row r="17" spans="10:17" x14ac:dyDescent="0.25">
      <c r="J17" s="165" t="s">
        <v>51</v>
      </c>
      <c r="K17" s="172">
        <v>10</v>
      </c>
      <c r="L17" s="164" t="s">
        <v>122</v>
      </c>
      <c r="M17" s="165" t="s">
        <v>131</v>
      </c>
      <c r="N17" s="166">
        <v>37.494911463236839</v>
      </c>
      <c r="O17" s="166">
        <v>20.828125133455583</v>
      </c>
      <c r="P17" s="164" t="s">
        <v>155</v>
      </c>
      <c r="Q17" s="166">
        <v>29.161518298346209</v>
      </c>
    </row>
    <row r="18" spans="10:17" x14ac:dyDescent="0.25">
      <c r="J18" s="164"/>
      <c r="K18" s="171"/>
      <c r="L18" s="155" t="s">
        <v>122</v>
      </c>
      <c r="M18" s="156" t="s">
        <v>130</v>
      </c>
      <c r="N18" s="157">
        <v>1.506913836874052</v>
      </c>
      <c r="O18" s="158">
        <v>0.84473715652216053</v>
      </c>
      <c r="P18" s="155" t="s">
        <v>155</v>
      </c>
      <c r="Q18" s="157">
        <v>1.1758254966981063</v>
      </c>
    </row>
    <row r="19" spans="10:17" x14ac:dyDescent="0.25">
      <c r="J19" s="164"/>
      <c r="K19" s="171"/>
      <c r="L19" s="164" t="s">
        <v>133</v>
      </c>
      <c r="M19" s="165" t="s">
        <v>131</v>
      </c>
      <c r="N19" s="166">
        <v>29.969389144283522</v>
      </c>
      <c r="O19" s="169">
        <v>23.80291615303123</v>
      </c>
      <c r="P19" s="164" t="s">
        <v>155</v>
      </c>
      <c r="Q19" s="166">
        <v>26.886152648657376</v>
      </c>
    </row>
    <row r="20" spans="10:17" x14ac:dyDescent="0.25">
      <c r="J20" s="164"/>
      <c r="K20" s="171"/>
      <c r="L20" s="155" t="s">
        <v>133</v>
      </c>
      <c r="M20" s="156" t="s">
        <v>130</v>
      </c>
      <c r="N20" s="157">
        <v>0.98537960274605707</v>
      </c>
      <c r="O20" s="157">
        <v>0.72829584667544556</v>
      </c>
      <c r="P20" s="155" t="s">
        <v>155</v>
      </c>
      <c r="Q20" s="157">
        <v>0.85683772471075126</v>
      </c>
    </row>
    <row r="21" spans="10:17" ht="15.75" thickBot="1" x14ac:dyDescent="0.3">
      <c r="J21" s="159"/>
      <c r="K21" s="173"/>
      <c r="L21" s="159" t="s">
        <v>143</v>
      </c>
      <c r="M21" s="160" t="s">
        <v>104</v>
      </c>
      <c r="N21" s="161">
        <v>0.7992921699166573</v>
      </c>
      <c r="O21" s="161">
        <v>1.1428256744433194</v>
      </c>
      <c r="P21" s="159" t="s">
        <v>155</v>
      </c>
      <c r="Q21" s="161">
        <v>0.97105892217998835</v>
      </c>
    </row>
    <row r="22" spans="10:17" x14ac:dyDescent="0.25">
      <c r="J22" s="165" t="s">
        <v>97</v>
      </c>
      <c r="K22" s="172">
        <v>10</v>
      </c>
      <c r="L22" s="164" t="s">
        <v>122</v>
      </c>
      <c r="M22" s="165" t="s">
        <v>131</v>
      </c>
      <c r="N22" s="167">
        <v>0.27169640584568605</v>
      </c>
      <c r="O22" s="167">
        <v>0.52796235207998521</v>
      </c>
      <c r="P22" s="164" t="s">
        <v>155</v>
      </c>
      <c r="Q22" s="167">
        <v>0.39982937896283566</v>
      </c>
    </row>
    <row r="23" spans="10:17" x14ac:dyDescent="0.25">
      <c r="J23" s="164"/>
      <c r="K23" s="171"/>
      <c r="L23" s="155" t="s">
        <v>122</v>
      </c>
      <c r="M23" s="156" t="s">
        <v>130</v>
      </c>
      <c r="N23" s="158">
        <v>0.96884778357416435</v>
      </c>
      <c r="O23" s="157">
        <v>1.0336128801843509</v>
      </c>
      <c r="P23" s="155" t="s">
        <v>155</v>
      </c>
      <c r="Q23" s="157">
        <v>1.0012303318792577</v>
      </c>
    </row>
    <row r="24" spans="10:17" x14ac:dyDescent="0.25">
      <c r="J24" s="164"/>
      <c r="K24" s="171"/>
      <c r="L24" s="164" t="s">
        <v>133</v>
      </c>
      <c r="M24" s="165" t="s">
        <v>131</v>
      </c>
      <c r="N24" s="168">
        <v>2.7821066356360329</v>
      </c>
      <c r="O24" s="168">
        <v>2.4789770328343974</v>
      </c>
      <c r="P24" s="164" t="s">
        <v>155</v>
      </c>
      <c r="Q24" s="168">
        <v>2.6305418342352151</v>
      </c>
    </row>
    <row r="25" spans="10:17" ht="31.5" customHeight="1" x14ac:dyDescent="0.25">
      <c r="J25" s="164"/>
      <c r="K25" s="171"/>
      <c r="L25" s="155" t="s">
        <v>133</v>
      </c>
      <c r="M25" s="156" t="s">
        <v>130</v>
      </c>
      <c r="N25" s="158">
        <v>0.97592960137710816</v>
      </c>
      <c r="O25" s="157">
        <v>1.0090416736368235</v>
      </c>
      <c r="P25" s="155" t="s">
        <v>155</v>
      </c>
      <c r="Q25" s="158">
        <v>0.99248563750696583</v>
      </c>
    </row>
    <row r="26" spans="10:17" ht="15.75" thickBot="1" x14ac:dyDescent="0.3">
      <c r="J26" s="159"/>
      <c r="K26" s="173"/>
      <c r="L26" s="159" t="s">
        <v>143</v>
      </c>
      <c r="M26" s="160" t="s">
        <v>104</v>
      </c>
      <c r="N26" s="163">
        <v>10.239762381016446</v>
      </c>
      <c r="O26" s="161">
        <v>4.6953670523439852</v>
      </c>
      <c r="P26" s="159" t="s">
        <v>155</v>
      </c>
      <c r="Q26" s="163">
        <v>7.467564716680215</v>
      </c>
    </row>
    <row r="27" spans="10:17" x14ac:dyDescent="0.25">
      <c r="J27" s="165" t="s">
        <v>95</v>
      </c>
      <c r="K27" s="172">
        <v>10</v>
      </c>
      <c r="L27" s="164" t="s">
        <v>122</v>
      </c>
      <c r="M27" s="165" t="s">
        <v>131</v>
      </c>
      <c r="N27" s="170">
        <v>5.7624547329066668E-2</v>
      </c>
      <c r="O27" s="170">
        <v>5.3116300751594771E-2</v>
      </c>
      <c r="P27" s="164" t="s">
        <v>155</v>
      </c>
      <c r="Q27" s="170">
        <v>5.5370424040330719E-2</v>
      </c>
    </row>
    <row r="28" spans="10:17" x14ac:dyDescent="0.25">
      <c r="J28" s="164"/>
      <c r="K28" s="171"/>
      <c r="L28" s="155" t="s">
        <v>122</v>
      </c>
      <c r="M28" s="156" t="s">
        <v>130</v>
      </c>
      <c r="N28" s="158">
        <v>0.94854337491318164</v>
      </c>
      <c r="O28" s="158">
        <v>0.82636676697607758</v>
      </c>
      <c r="P28" s="155" t="s">
        <v>155</v>
      </c>
      <c r="Q28" s="158">
        <v>0.88745507094462961</v>
      </c>
    </row>
    <row r="29" spans="10:17" x14ac:dyDescent="0.25">
      <c r="J29" s="164"/>
      <c r="K29" s="171"/>
      <c r="L29" s="164" t="s">
        <v>133</v>
      </c>
      <c r="M29" s="165" t="s">
        <v>131</v>
      </c>
      <c r="N29" s="168">
        <v>6.4393039267273702</v>
      </c>
      <c r="O29" s="168">
        <v>4.249322508726979</v>
      </c>
      <c r="P29" s="164" t="s">
        <v>155</v>
      </c>
      <c r="Q29" s="168">
        <v>5.3443132177271746</v>
      </c>
    </row>
    <row r="30" spans="10:17" x14ac:dyDescent="0.25">
      <c r="J30" s="164"/>
      <c r="K30" s="171"/>
      <c r="L30" s="155" t="s">
        <v>133</v>
      </c>
      <c r="M30" s="156" t="s">
        <v>130</v>
      </c>
      <c r="N30" s="158">
        <v>0.91650039188302812</v>
      </c>
      <c r="O30" s="158">
        <v>0.90579698900608463</v>
      </c>
      <c r="P30" s="155" t="s">
        <v>155</v>
      </c>
      <c r="Q30" s="158">
        <v>0.91114869044455638</v>
      </c>
    </row>
    <row r="31" spans="10:17" ht="15.75" thickBot="1" x14ac:dyDescent="0.3">
      <c r="J31" s="159"/>
      <c r="K31" s="173"/>
      <c r="L31" s="159" t="s">
        <v>143</v>
      </c>
      <c r="M31" s="160" t="s">
        <v>104</v>
      </c>
      <c r="N31" s="162">
        <v>111.74584834403186</v>
      </c>
      <c r="O31" s="162">
        <v>80.000347324627967</v>
      </c>
      <c r="P31" s="159" t="s">
        <v>155</v>
      </c>
      <c r="Q31" s="163">
        <v>95.873097834329911</v>
      </c>
    </row>
    <row r="32" spans="10:17" x14ac:dyDescent="0.25">
      <c r="J32" s="165" t="s">
        <v>93</v>
      </c>
      <c r="K32" s="172">
        <v>10</v>
      </c>
      <c r="L32" s="164" t="s">
        <v>122</v>
      </c>
      <c r="M32" s="165" t="s">
        <v>131</v>
      </c>
      <c r="N32" s="166">
        <v>59.001913416458962</v>
      </c>
      <c r="O32" s="166">
        <v>43.954289689974367</v>
      </c>
      <c r="P32" s="164" t="s">
        <v>155</v>
      </c>
      <c r="Q32" s="166">
        <v>51.478101553216661</v>
      </c>
    </row>
    <row r="33" spans="1:17" x14ac:dyDescent="0.25">
      <c r="J33" s="164"/>
      <c r="K33" s="171"/>
      <c r="L33" s="155" t="s">
        <v>122</v>
      </c>
      <c r="M33" s="156" t="s">
        <v>130</v>
      </c>
      <c r="N33" s="157">
        <v>1.1890635642665424</v>
      </c>
      <c r="O33" s="157">
        <v>1.0286551615141</v>
      </c>
      <c r="P33" s="155" t="s">
        <v>155</v>
      </c>
      <c r="Q33" s="157">
        <v>1.1088593628903212</v>
      </c>
    </row>
    <row r="34" spans="1:17" x14ac:dyDescent="0.25">
      <c r="J34" s="164"/>
      <c r="K34" s="171"/>
      <c r="L34" s="164" t="s">
        <v>133</v>
      </c>
      <c r="M34" s="165" t="s">
        <v>131</v>
      </c>
      <c r="N34" s="166">
        <v>26.7586809758211</v>
      </c>
      <c r="O34" s="166">
        <v>25.89630556984811</v>
      </c>
      <c r="P34" s="164" t="s">
        <v>155</v>
      </c>
      <c r="Q34" s="166">
        <v>26.327493272834605</v>
      </c>
    </row>
    <row r="35" spans="1:17" x14ac:dyDescent="0.25">
      <c r="J35" s="164"/>
      <c r="K35" s="171"/>
      <c r="L35" s="155" t="s">
        <v>133</v>
      </c>
      <c r="M35" s="156" t="s">
        <v>130</v>
      </c>
      <c r="N35" s="157">
        <v>1.003796207910459</v>
      </c>
      <c r="O35" s="158">
        <v>0.93610552532115066</v>
      </c>
      <c r="P35" s="155" t="s">
        <v>155</v>
      </c>
      <c r="Q35" s="158">
        <v>0.96995086661580476</v>
      </c>
    </row>
    <row r="36" spans="1:17" ht="15.75" thickBot="1" x14ac:dyDescent="0.3">
      <c r="J36" s="148"/>
      <c r="K36" s="174"/>
      <c r="L36" s="148" t="s">
        <v>143</v>
      </c>
      <c r="M36" s="10" t="s">
        <v>104</v>
      </c>
      <c r="N36" s="147">
        <v>0.45352225760794723</v>
      </c>
      <c r="O36" s="147">
        <v>0.58916446500453534</v>
      </c>
      <c r="P36" s="148" t="s">
        <v>155</v>
      </c>
      <c r="Q36" s="147">
        <v>0.52134336130624126</v>
      </c>
    </row>
    <row r="37" spans="1:17" ht="16.5" thickTop="1" thickBot="1" x14ac:dyDescent="0.3">
      <c r="A37" s="11" t="s">
        <v>144</v>
      </c>
      <c r="B37" s="175" t="s">
        <v>122</v>
      </c>
      <c r="C37" s="11" t="s">
        <v>145</v>
      </c>
      <c r="D37" s="175" t="s">
        <v>133</v>
      </c>
      <c r="E37" s="11" t="s">
        <v>145</v>
      </c>
      <c r="F37" s="175" t="s">
        <v>146</v>
      </c>
      <c r="G37" s="11" t="s">
        <v>145</v>
      </c>
      <c r="H37" s="175" t="s">
        <v>105</v>
      </c>
    </row>
    <row r="38" spans="1:17" ht="15.75" thickTop="1" x14ac:dyDescent="0.25">
      <c r="A38" s="6" t="s">
        <v>7</v>
      </c>
      <c r="B38" s="176" t="s">
        <v>150</v>
      </c>
      <c r="C38" s="149" t="s">
        <v>152</v>
      </c>
      <c r="D38" s="182">
        <v>11.368511332590414</v>
      </c>
      <c r="E38" s="149">
        <v>6.5576933056586419</v>
      </c>
      <c r="F38" s="187"/>
      <c r="G38" s="145"/>
      <c r="H38" s="189"/>
    </row>
    <row r="39" spans="1:17" x14ac:dyDescent="0.25">
      <c r="A39" s="6" t="s">
        <v>49</v>
      </c>
      <c r="B39" s="177">
        <v>6.4042360769634801</v>
      </c>
      <c r="C39" s="149">
        <v>5.234520646899341</v>
      </c>
      <c r="D39" s="183">
        <v>14.975050579883451</v>
      </c>
      <c r="E39" s="149">
        <v>5.4526622817652015</v>
      </c>
      <c r="F39" s="184">
        <v>2.3383039600538518</v>
      </c>
      <c r="G39" s="145">
        <v>2.0922875212155279</v>
      </c>
      <c r="H39" s="190"/>
    </row>
    <row r="40" spans="1:17" x14ac:dyDescent="0.25">
      <c r="A40" s="6" t="s">
        <v>51</v>
      </c>
      <c r="B40" s="178">
        <v>29.161518298346209</v>
      </c>
      <c r="C40" s="142">
        <v>11.785197634375589</v>
      </c>
      <c r="D40" s="184">
        <v>26.886152648657376</v>
      </c>
      <c r="E40" s="149">
        <v>4.3603548681181721</v>
      </c>
      <c r="F40" s="185">
        <v>0.92197369058737</v>
      </c>
      <c r="G40" s="143">
        <v>0.40148451173277611</v>
      </c>
      <c r="H40" s="190"/>
    </row>
    <row r="41" spans="1:17" x14ac:dyDescent="0.25">
      <c r="A41" s="6" t="s">
        <v>97</v>
      </c>
      <c r="B41" s="180">
        <v>0.39982937896283566</v>
      </c>
      <c r="C41" s="152">
        <v>0.18120738836945999</v>
      </c>
      <c r="D41" s="185">
        <v>2.6305418342352151</v>
      </c>
      <c r="E41" s="152">
        <v>0.21434499771942112</v>
      </c>
      <c r="F41" s="185">
        <v>6.5791609437477714</v>
      </c>
      <c r="G41" s="143">
        <v>3.0295620989289551</v>
      </c>
      <c r="H41" s="190"/>
    </row>
    <row r="42" spans="1:17" x14ac:dyDescent="0.25">
      <c r="A42" s="6" t="s">
        <v>95</v>
      </c>
      <c r="B42" s="179">
        <v>5.5370424040330719E-2</v>
      </c>
      <c r="C42" s="151">
        <v>3.1878117261914226E-3</v>
      </c>
      <c r="D42" s="185">
        <v>5.3443132177271746</v>
      </c>
      <c r="E42" s="149">
        <v>1.5485507113406061</v>
      </c>
      <c r="F42" s="184">
        <v>96.519275594394628</v>
      </c>
      <c r="G42" s="144">
        <v>28.513818097257801</v>
      </c>
      <c r="H42" s="190"/>
    </row>
    <row r="43" spans="1:17" ht="15.75" thickBot="1" x14ac:dyDescent="0.3">
      <c r="A43" s="9" t="s">
        <v>93</v>
      </c>
      <c r="B43" s="181">
        <v>51.478101553216661</v>
      </c>
      <c r="C43" s="146">
        <v>10.640276777740883</v>
      </c>
      <c r="D43" s="186">
        <v>26.327493272834605</v>
      </c>
      <c r="E43" s="154">
        <v>0.60979149749200345</v>
      </c>
      <c r="F43" s="188">
        <v>0.51143092846223082</v>
      </c>
      <c r="G43" s="147">
        <v>0.10637194800047696</v>
      </c>
      <c r="H43" s="191"/>
    </row>
    <row r="44" spans="1:17" ht="15.75" thickTop="1" x14ac:dyDescent="0.25"/>
  </sheetData>
  <mergeCells count="2">
    <mergeCell ref="A1:A2"/>
    <mergeCell ref="A13:G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52"/>
  <sheetViews>
    <sheetView topLeftCell="C1" workbookViewId="0">
      <pane ySplit="1" topLeftCell="A119" activePane="bottomLeft" state="frozenSplit"/>
      <selection pane="bottomLeft" activeCell="G139" sqref="G139"/>
    </sheetView>
  </sheetViews>
  <sheetFormatPr defaultRowHeight="15" x14ac:dyDescent="0.25"/>
  <cols>
    <col min="1" max="1" width="69.28515625" style="1" bestFit="1" customWidth="1"/>
    <col min="2" max="3" width="16.140625" style="1" bestFit="1" customWidth="1"/>
    <col min="4" max="4" width="11" style="1" bestFit="1" customWidth="1"/>
    <col min="5" max="5" width="23" style="1" bestFit="1" customWidth="1"/>
    <col min="6" max="7" width="8.7109375" style="1" customWidth="1"/>
    <col min="8" max="8" width="11.140625" style="1" bestFit="1" customWidth="1"/>
    <col min="9" max="9" width="8" style="1" bestFit="1" customWidth="1"/>
    <col min="10" max="10" width="9.140625" style="1" bestFit="1" customWidth="1"/>
    <col min="11" max="11" width="10.140625" style="1" customWidth="1"/>
    <col min="12" max="12" width="4.28515625" style="1" bestFit="1" customWidth="1"/>
    <col min="13" max="13" width="9.85546875" style="1" bestFit="1" customWidth="1"/>
    <col min="14" max="14" width="9.14062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19" width="8.5703125" style="1" bestFit="1" customWidth="1"/>
    <col min="20" max="20" width="7.5703125" style="1" bestFit="1" customWidth="1"/>
    <col min="21" max="21" width="6.140625" style="1" bestFit="1" customWidth="1"/>
    <col min="22" max="22" width="9.85546875" style="1" bestFit="1" customWidth="1"/>
    <col min="23" max="40" width="8.7109375" style="1" customWidth="1"/>
    <col min="41" max="16384" width="9.140625" style="1"/>
  </cols>
  <sheetData>
    <row r="1" spans="1:18" s="2" customFormat="1" ht="15.7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6</v>
      </c>
      <c r="H1" s="76" t="s">
        <v>122</v>
      </c>
      <c r="I1" s="2" t="s">
        <v>113</v>
      </c>
      <c r="J1" s="2" t="s">
        <v>114</v>
      </c>
      <c r="K1" s="2" t="s">
        <v>115</v>
      </c>
      <c r="L1" s="2" t="s">
        <v>116</v>
      </c>
      <c r="M1" s="2" t="s">
        <v>117</v>
      </c>
      <c r="N1" s="2" t="s">
        <v>118</v>
      </c>
    </row>
    <row r="2" spans="1:18" s="193" customFormat="1" ht="15.75" thickTop="1" x14ac:dyDescent="0.25">
      <c r="A2" s="193" t="s">
        <v>9</v>
      </c>
      <c r="B2" s="193" t="s">
        <v>7</v>
      </c>
      <c r="C2" s="193" t="s">
        <v>8</v>
      </c>
      <c r="D2" s="193">
        <v>7409.7209999999995</v>
      </c>
      <c r="E2" s="193">
        <v>86915.672000000006</v>
      </c>
      <c r="F2" s="193">
        <v>8.5251840400000001E-2</v>
      </c>
      <c r="H2" s="194" t="s">
        <v>123</v>
      </c>
      <c r="I2" s="195">
        <v>7.4999999999999997E-2</v>
      </c>
      <c r="J2" s="196">
        <v>0.91447566020000004</v>
      </c>
      <c r="K2" s="196">
        <v>0.88907165659999998</v>
      </c>
      <c r="L2" s="197"/>
      <c r="M2" s="198">
        <v>0.90177365840000001</v>
      </c>
      <c r="N2" s="199">
        <v>1.7963343214847508E-2</v>
      </c>
      <c r="P2" s="193" t="s">
        <v>122</v>
      </c>
      <c r="Q2" s="200">
        <v>-6.9419085146786736</v>
      </c>
      <c r="R2" s="200">
        <v>8.5691701908889151</v>
      </c>
    </row>
    <row r="3" spans="1:18" s="193" customFormat="1" x14ac:dyDescent="0.25">
      <c r="A3" s="193" t="s">
        <v>10</v>
      </c>
      <c r="B3" s="193" t="s">
        <v>7</v>
      </c>
      <c r="C3" s="193" t="s">
        <v>8</v>
      </c>
      <c r="D3" s="193">
        <v>4725.49</v>
      </c>
      <c r="E3" s="193">
        <v>85491.43</v>
      </c>
      <c r="F3" s="193">
        <v>5.5274429299999997E-2</v>
      </c>
      <c r="H3" s="201" t="s">
        <v>124</v>
      </c>
      <c r="I3" s="202">
        <v>0.25</v>
      </c>
      <c r="J3" s="203">
        <v>-6.6302621399999956E-2</v>
      </c>
      <c r="K3" s="203">
        <v>-5.131216199999955E-3</v>
      </c>
      <c r="L3" s="204"/>
      <c r="M3" s="202">
        <v>-3.5716918799999955E-2</v>
      </c>
      <c r="N3" s="205">
        <v>4.3254715431630029E-2</v>
      </c>
      <c r="P3" s="193" t="s">
        <v>133</v>
      </c>
      <c r="Q3" s="206">
        <v>11.368511332590414</v>
      </c>
      <c r="R3" s="200">
        <v>6.5576933056586419</v>
      </c>
    </row>
    <row r="4" spans="1:18" s="193" customFormat="1" x14ac:dyDescent="0.25">
      <c r="A4" s="193" t="s">
        <v>11</v>
      </c>
      <c r="B4" s="193" t="s">
        <v>7</v>
      </c>
      <c r="C4" s="193" t="s">
        <v>8</v>
      </c>
      <c r="D4" s="193">
        <v>6868.4340000000002</v>
      </c>
      <c r="E4" s="193">
        <v>88626.414000000004</v>
      </c>
      <c r="F4" s="193">
        <v>7.7498724000000005E-2</v>
      </c>
      <c r="H4" s="201" t="s">
        <v>125</v>
      </c>
      <c r="I4" s="207">
        <v>7.4999999999999997E-2</v>
      </c>
      <c r="J4" s="208">
        <v>1.6097602158000002</v>
      </c>
      <c r="K4" s="208">
        <v>1.8351689722</v>
      </c>
      <c r="L4" s="204"/>
      <c r="M4" s="209">
        <v>1.7224645940000001</v>
      </c>
      <c r="N4" s="210">
        <v>0.15938806018926646</v>
      </c>
    </row>
    <row r="5" spans="1:18" s="193" customFormat="1" x14ac:dyDescent="0.25">
      <c r="A5" s="193" t="s">
        <v>12</v>
      </c>
      <c r="B5" s="193" t="s">
        <v>7</v>
      </c>
      <c r="C5" s="193" t="s">
        <v>8</v>
      </c>
      <c r="D5" s="193">
        <v>6868.4340000000002</v>
      </c>
      <c r="E5" s="193">
        <v>88626.414000000004</v>
      </c>
      <c r="F5" s="193">
        <v>7.7498724000000005E-2</v>
      </c>
      <c r="H5" s="201" t="s">
        <v>126</v>
      </c>
      <c r="I5" s="204"/>
      <c r="J5" s="204"/>
      <c r="K5" s="204"/>
      <c r="L5" s="204"/>
      <c r="M5" s="204"/>
      <c r="N5" s="211"/>
    </row>
    <row r="6" spans="1:18" s="193" customFormat="1" ht="15.75" thickBot="1" x14ac:dyDescent="0.3">
      <c r="A6" s="193" t="s">
        <v>13</v>
      </c>
      <c r="B6" s="193" t="s">
        <v>7</v>
      </c>
      <c r="C6" s="193" t="s">
        <v>8</v>
      </c>
      <c r="D6" s="193">
        <v>4690.652</v>
      </c>
      <c r="E6" s="193">
        <v>87369.57</v>
      </c>
      <c r="F6" s="193">
        <v>5.3687479500000003E-2</v>
      </c>
      <c r="H6" s="212" t="s">
        <v>127</v>
      </c>
      <c r="I6" s="213"/>
      <c r="J6" s="214">
        <v>8.5251840400000001E-2</v>
      </c>
      <c r="K6" s="214">
        <v>5.5274429299999997E-2</v>
      </c>
      <c r="L6" s="213"/>
      <c r="M6" s="214">
        <v>7.0263134849999992E-2</v>
      </c>
      <c r="N6" s="215">
        <v>2.1197230671226967E-2</v>
      </c>
    </row>
    <row r="7" spans="1:18" s="193" customFormat="1" x14ac:dyDescent="0.25">
      <c r="A7" s="193" t="s">
        <v>14</v>
      </c>
      <c r="B7" s="193" t="s">
        <v>7</v>
      </c>
      <c r="C7" s="193" t="s">
        <v>8</v>
      </c>
      <c r="D7" s="193">
        <v>5864.2269999999999</v>
      </c>
      <c r="E7" s="193">
        <v>85013.031000000003</v>
      </c>
      <c r="F7" s="193">
        <v>6.8980330800000003E-2</v>
      </c>
      <c r="H7" s="216" t="s">
        <v>128</v>
      </c>
      <c r="I7" s="217"/>
      <c r="J7" s="218">
        <v>-2.3021743541666653E-6</v>
      </c>
      <c r="K7" s="219">
        <v>-1.7816722916666511E-7</v>
      </c>
      <c r="L7" s="217"/>
      <c r="M7" s="219">
        <v>-1.2401707916666651E-6</v>
      </c>
      <c r="N7" s="220">
        <v>1.5018998413760432E-6</v>
      </c>
    </row>
    <row r="8" spans="1:18" s="193" customFormat="1" ht="18" x14ac:dyDescent="0.35">
      <c r="A8" s="193" t="s">
        <v>37</v>
      </c>
      <c r="B8" s="193" t="s">
        <v>7</v>
      </c>
      <c r="C8" s="193" t="s">
        <v>8</v>
      </c>
      <c r="D8" s="193">
        <v>46937.152000000002</v>
      </c>
      <c r="E8" s="193">
        <v>99295.187999999995</v>
      </c>
      <c r="F8" s="193">
        <v>0.47270318880000001</v>
      </c>
      <c r="H8" s="201" t="s">
        <v>129</v>
      </c>
      <c r="I8" s="204"/>
      <c r="J8" s="221">
        <v>1.6097602158000002</v>
      </c>
      <c r="K8" s="209">
        <v>1.8351689722</v>
      </c>
      <c r="L8" s="204"/>
      <c r="M8" s="209">
        <v>1.7224645940000001</v>
      </c>
      <c r="N8" s="210">
        <v>0.15938806018926646</v>
      </c>
    </row>
    <row r="9" spans="1:18" s="193" customFormat="1" x14ac:dyDescent="0.25">
      <c r="A9" s="193" t="s">
        <v>38</v>
      </c>
      <c r="B9" s="193" t="s">
        <v>7</v>
      </c>
      <c r="C9" s="193" t="s">
        <v>8</v>
      </c>
      <c r="D9" s="193">
        <v>45433.23</v>
      </c>
      <c r="E9" s="193">
        <v>85876.133000000002</v>
      </c>
      <c r="F9" s="193">
        <v>0.52905537790000001</v>
      </c>
      <c r="H9" s="201" t="s">
        <v>130</v>
      </c>
      <c r="I9" s="204"/>
      <c r="J9" s="222">
        <v>0.43078895564291786</v>
      </c>
      <c r="K9" s="223">
        <v>0.47514295185292155</v>
      </c>
      <c r="L9" s="204" t="s">
        <v>155</v>
      </c>
      <c r="M9" s="223">
        <v>0.4529659537479197</v>
      </c>
      <c r="N9" s="224">
        <v>3.1363011492816034E-2</v>
      </c>
    </row>
    <row r="10" spans="1:18" s="193" customFormat="1" ht="18.75" thickBot="1" x14ac:dyDescent="0.4">
      <c r="A10" s="193" t="s">
        <v>25</v>
      </c>
      <c r="B10" s="193" t="s">
        <v>7</v>
      </c>
      <c r="C10" s="193" t="s">
        <v>8</v>
      </c>
      <c r="D10" s="193">
        <v>23651.34</v>
      </c>
      <c r="E10" s="193">
        <v>79132.687999999995</v>
      </c>
      <c r="F10" s="193">
        <v>0.2988820499</v>
      </c>
      <c r="H10" s="225" t="s">
        <v>132</v>
      </c>
      <c r="I10" s="226"/>
      <c r="J10" s="227">
        <v>-13.001226865797847</v>
      </c>
      <c r="K10" s="228">
        <v>-0.88259016355950082</v>
      </c>
      <c r="L10" s="226" t="s">
        <v>155</v>
      </c>
      <c r="M10" s="229">
        <v>-6.9419085146786736</v>
      </c>
      <c r="N10" s="230">
        <v>8.5691701908889151</v>
      </c>
    </row>
    <row r="11" spans="1:18" s="193" customFormat="1" ht="15.75" thickTop="1" x14ac:dyDescent="0.25">
      <c r="A11" s="193" t="s">
        <v>26</v>
      </c>
      <c r="B11" s="193" t="s">
        <v>7</v>
      </c>
      <c r="C11" s="193" t="s">
        <v>8</v>
      </c>
      <c r="D11" s="193">
        <v>23519.493999999999</v>
      </c>
      <c r="E11" s="193">
        <v>80399.991999999998</v>
      </c>
      <c r="F11" s="193">
        <v>0.29253104899999999</v>
      </c>
      <c r="H11" s="231"/>
    </row>
    <row r="12" spans="1:18" s="193" customFormat="1" ht="15.75" thickBot="1" x14ac:dyDescent="0.3">
      <c r="A12" s="193" t="s">
        <v>19</v>
      </c>
      <c r="B12" s="193" t="s">
        <v>7</v>
      </c>
      <c r="C12" s="193" t="s">
        <v>8</v>
      </c>
      <c r="D12" s="193">
        <v>17053.315999999999</v>
      </c>
      <c r="E12" s="193">
        <v>87580.516000000003</v>
      </c>
      <c r="F12" s="193">
        <v>0.1947158658</v>
      </c>
      <c r="H12" s="232" t="s">
        <v>133</v>
      </c>
    </row>
    <row r="13" spans="1:18" s="193" customFormat="1" ht="15.75" thickTop="1" x14ac:dyDescent="0.25">
      <c r="A13" s="193" t="s">
        <v>20</v>
      </c>
      <c r="B13" s="193" t="s">
        <v>7</v>
      </c>
      <c r="C13" s="193" t="s">
        <v>8</v>
      </c>
      <c r="D13" s="193">
        <v>12835.709000000001</v>
      </c>
      <c r="E13" s="193">
        <v>83230.241999999998</v>
      </c>
      <c r="F13" s="193">
        <v>0.15421929209999999</v>
      </c>
      <c r="H13" s="233" t="s">
        <v>123</v>
      </c>
      <c r="I13" s="234">
        <v>0.25</v>
      </c>
      <c r="J13" s="235">
        <v>1.7834417116000001</v>
      </c>
      <c r="K13" s="235">
        <v>2.0625917311999999</v>
      </c>
      <c r="L13" s="236"/>
      <c r="M13" s="237">
        <v>1.9230167214</v>
      </c>
      <c r="N13" s="238">
        <v>0.19738887182751755</v>
      </c>
    </row>
    <row r="14" spans="1:18" s="193" customFormat="1" x14ac:dyDescent="0.25">
      <c r="A14" s="193" t="s">
        <v>43</v>
      </c>
      <c r="B14" s="193" t="s">
        <v>7</v>
      </c>
      <c r="C14" s="193" t="s">
        <v>8</v>
      </c>
      <c r="D14" s="193">
        <v>61958.605000000003</v>
      </c>
      <c r="E14" s="193">
        <v>80359.577999999994</v>
      </c>
      <c r="F14" s="193">
        <v>0.7710170529</v>
      </c>
      <c r="H14" s="239" t="s">
        <v>124</v>
      </c>
      <c r="I14" s="207">
        <v>7.4999999999999997E-2</v>
      </c>
      <c r="J14" s="203">
        <v>0.46886856719999997</v>
      </c>
      <c r="K14" s="203">
        <v>0.30688227239999993</v>
      </c>
      <c r="L14" s="204"/>
      <c r="M14" s="202">
        <v>0.38787541979999995</v>
      </c>
      <c r="N14" s="240">
        <v>0.11454160751236314</v>
      </c>
    </row>
    <row r="15" spans="1:18" s="193" customFormat="1" x14ac:dyDescent="0.25">
      <c r="A15" s="193" t="s">
        <v>44</v>
      </c>
      <c r="B15" s="193" t="s">
        <v>7</v>
      </c>
      <c r="C15" s="193" t="s">
        <v>8</v>
      </c>
      <c r="D15" s="193">
        <v>87611.93</v>
      </c>
      <c r="E15" s="193">
        <v>75737.766000000003</v>
      </c>
      <c r="F15" s="193">
        <v>1.156779961</v>
      </c>
      <c r="H15" s="239" t="s">
        <v>125</v>
      </c>
      <c r="I15" s="202">
        <v>0.25</v>
      </c>
      <c r="J15" s="208">
        <f>0.7740733156</f>
        <v>0.77407331560000003</v>
      </c>
      <c r="K15" s="208">
        <v>4.317124948</v>
      </c>
      <c r="L15" s="204"/>
      <c r="M15" s="209">
        <v>3.5455991318</v>
      </c>
      <c r="N15" s="241">
        <v>1.0911022729910109</v>
      </c>
    </row>
    <row r="16" spans="1:18" s="193" customFormat="1" x14ac:dyDescent="0.25">
      <c r="A16" s="193" t="s">
        <v>31</v>
      </c>
      <c r="B16" s="193" t="s">
        <v>7</v>
      </c>
      <c r="C16" s="193" t="s">
        <v>8</v>
      </c>
      <c r="D16" s="193">
        <v>41953.688000000002</v>
      </c>
      <c r="E16" s="193">
        <v>80162.327999999994</v>
      </c>
      <c r="F16" s="193">
        <v>0.52335915190000004</v>
      </c>
      <c r="H16" s="239" t="s">
        <v>126</v>
      </c>
      <c r="I16" s="204"/>
      <c r="J16" s="204"/>
      <c r="K16" s="204"/>
      <c r="L16" s="204"/>
      <c r="M16" s="204"/>
      <c r="N16" s="242"/>
    </row>
    <row r="17" spans="1:22" s="193" customFormat="1" ht="15.75" thickBot="1" x14ac:dyDescent="0.3">
      <c r="A17" s="193" t="s">
        <v>32</v>
      </c>
      <c r="B17" s="193" t="s">
        <v>7</v>
      </c>
      <c r="C17" s="193" t="s">
        <v>8</v>
      </c>
      <c r="D17" s="193">
        <v>48043.512000000002</v>
      </c>
      <c r="E17" s="193">
        <v>80997.695000000007</v>
      </c>
      <c r="F17" s="193">
        <v>0.59314665680000001</v>
      </c>
      <c r="H17" s="243" t="s">
        <v>127</v>
      </c>
      <c r="I17" s="244"/>
      <c r="J17" s="245">
        <v>7.7498724000000005E-2</v>
      </c>
      <c r="K17" s="246">
        <v>7.7498724000000005E-2</v>
      </c>
      <c r="L17" s="244"/>
      <c r="M17" s="246">
        <v>7.7498724000000005E-2</v>
      </c>
      <c r="N17" s="247">
        <v>0</v>
      </c>
    </row>
    <row r="18" spans="1:22" s="193" customFormat="1" ht="66.75" thickTop="1" thickBot="1" x14ac:dyDescent="0.3">
      <c r="C18" s="232"/>
      <c r="E18" s="248" t="s">
        <v>4</v>
      </c>
      <c r="F18" s="249">
        <v>4</v>
      </c>
      <c r="H18" s="250" t="s">
        <v>128</v>
      </c>
      <c r="I18" s="251"/>
      <c r="J18" s="252">
        <v>4.8840475749999996E-6</v>
      </c>
      <c r="K18" s="253">
        <v>3.1966903374999991E-6</v>
      </c>
      <c r="L18" s="251"/>
      <c r="M18" s="254">
        <v>4.0403689562499992E-6</v>
      </c>
      <c r="N18" s="255">
        <v>1.1931417449204502E-6</v>
      </c>
      <c r="P18" s="256" t="s">
        <v>134</v>
      </c>
      <c r="Q18" s="257" t="s">
        <v>135</v>
      </c>
      <c r="R18" s="258" t="s">
        <v>108</v>
      </c>
      <c r="S18" s="258" t="s">
        <v>136</v>
      </c>
      <c r="T18" s="258" t="s">
        <v>137</v>
      </c>
      <c r="U18" s="258" t="s">
        <v>138</v>
      </c>
      <c r="V18" s="258" t="s">
        <v>130</v>
      </c>
    </row>
    <row r="19" spans="1:22" s="193" customFormat="1" ht="18.75" thickTop="1" x14ac:dyDescent="0.35">
      <c r="C19" s="232"/>
      <c r="E19" s="259" t="s">
        <v>119</v>
      </c>
      <c r="F19" s="260">
        <v>0.11</v>
      </c>
      <c r="H19" s="239" t="s">
        <v>129</v>
      </c>
      <c r="I19" s="204"/>
      <c r="J19" s="221">
        <v>2.7740733155999999</v>
      </c>
      <c r="K19" s="209">
        <v>4.317124948</v>
      </c>
      <c r="L19" s="204"/>
      <c r="M19" s="261">
        <v>3.5455991318</v>
      </c>
      <c r="N19" s="241">
        <v>1.0911022729910109</v>
      </c>
      <c r="Q19" s="262"/>
      <c r="R19" s="262" t="s">
        <v>122</v>
      </c>
      <c r="S19" s="263">
        <v>-13.001226865797847</v>
      </c>
      <c r="T19" s="263">
        <v>-0.88259016355950082</v>
      </c>
      <c r="U19" s="262" t="s">
        <v>155</v>
      </c>
      <c r="V19" s="264">
        <v>0.4529659537479197</v>
      </c>
    </row>
    <row r="20" spans="1:22" s="193" customFormat="1" ht="30" x14ac:dyDescent="0.25">
      <c r="C20" s="232"/>
      <c r="E20" s="259" t="s">
        <v>120</v>
      </c>
      <c r="F20" s="265">
        <v>2</v>
      </c>
      <c r="H20" s="239" t="s">
        <v>130</v>
      </c>
      <c r="I20" s="204"/>
      <c r="J20" s="266">
        <v>0.6936018132396905</v>
      </c>
      <c r="K20" s="223">
        <v>0.49909521704211746</v>
      </c>
      <c r="L20" s="204" t="s">
        <v>155</v>
      </c>
      <c r="M20" s="267">
        <v>0.59634851514090403</v>
      </c>
      <c r="N20" s="268">
        <v>0.137536933156817</v>
      </c>
      <c r="P20" s="269" t="s">
        <v>7</v>
      </c>
      <c r="Q20" s="270">
        <v>10</v>
      </c>
      <c r="R20" s="262" t="s">
        <v>133</v>
      </c>
      <c r="S20" s="263">
        <v>16.005500737963263</v>
      </c>
      <c r="T20" s="263">
        <v>6.7315219272175648</v>
      </c>
      <c r="U20" s="262" t="s">
        <v>155</v>
      </c>
      <c r="V20" s="271">
        <v>0.59634851514090403</v>
      </c>
    </row>
    <row r="21" spans="1:22" s="193" customFormat="1" ht="18.75" thickBot="1" x14ac:dyDescent="0.4">
      <c r="C21" s="232"/>
      <c r="E21" s="272" t="s">
        <v>121</v>
      </c>
      <c r="F21" s="273">
        <v>10</v>
      </c>
      <c r="H21" s="243" t="s">
        <v>132</v>
      </c>
      <c r="I21" s="244"/>
      <c r="J21" s="274">
        <v>16.005500737963263</v>
      </c>
      <c r="K21" s="246">
        <v>6.7315219272175648</v>
      </c>
      <c r="L21" s="244" t="s">
        <v>155</v>
      </c>
      <c r="M21" s="275">
        <v>11.368511332590414</v>
      </c>
      <c r="N21" s="276">
        <v>6.5576933056586419</v>
      </c>
      <c r="P21" s="277"/>
      <c r="Q21" s="278"/>
      <c r="R21" s="279" t="s">
        <v>104</v>
      </c>
      <c r="S21" s="280">
        <v>-1.2310761825154148</v>
      </c>
      <c r="T21" s="281">
        <v>-7.6270076476597302</v>
      </c>
      <c r="U21" s="279" t="s">
        <v>155</v>
      </c>
      <c r="V21" s="279"/>
    </row>
    <row r="22" spans="1:22" s="193" customFormat="1" ht="15.75" thickBot="1" x14ac:dyDescent="0.3">
      <c r="H22" s="282" t="s">
        <v>104</v>
      </c>
      <c r="I22" s="283"/>
      <c r="J22" s="284">
        <v>-1.2310761825154148</v>
      </c>
      <c r="K22" s="285">
        <v>-7.6270076476597302</v>
      </c>
      <c r="L22" s="283" t="s">
        <v>155</v>
      </c>
      <c r="M22" s="285">
        <v>-4.4290419150875726</v>
      </c>
      <c r="N22" s="286">
        <v>4.5226065110079556</v>
      </c>
      <c r="P22" s="287"/>
      <c r="Q22" s="288"/>
      <c r="R22" s="262"/>
      <c r="S22" s="262"/>
      <c r="T22" s="262"/>
      <c r="U22" s="262"/>
      <c r="V22" s="262"/>
    </row>
    <row r="23" spans="1:22" s="193" customFormat="1" ht="15.75" thickTop="1" x14ac:dyDescent="0.25"/>
    <row r="24" spans="1:22" s="193" customFormat="1" x14ac:dyDescent="0.25"/>
    <row r="25" spans="1:22" s="193" customFormat="1" x14ac:dyDescent="0.25"/>
    <row r="26" spans="1:22" s="193" customFormat="1" x14ac:dyDescent="0.25"/>
    <row r="27" spans="1:22" s="193" customFormat="1" ht="15.75" thickBot="1" x14ac:dyDescent="0.3">
      <c r="H27" s="232" t="s">
        <v>122</v>
      </c>
    </row>
    <row r="28" spans="1:22" s="193" customFormat="1" ht="15.75" thickTop="1" x14ac:dyDescent="0.25">
      <c r="A28" s="193" t="s">
        <v>9</v>
      </c>
      <c r="B28" s="193" t="s">
        <v>49</v>
      </c>
      <c r="C28" s="193" t="s">
        <v>50</v>
      </c>
      <c r="D28" s="193">
        <v>7347.5870000000004</v>
      </c>
      <c r="E28" s="193">
        <v>86915.672000000006</v>
      </c>
      <c r="F28" s="193">
        <v>8.4536963600000001E-2</v>
      </c>
      <c r="H28" s="194" t="s">
        <v>123</v>
      </c>
      <c r="I28" s="195">
        <v>7.4999999999999997E-2</v>
      </c>
      <c r="J28" s="196">
        <v>0.9531941397999999</v>
      </c>
      <c r="K28" s="196">
        <v>1.5260443589999999</v>
      </c>
      <c r="L28" s="197"/>
      <c r="M28" s="198">
        <v>1.2396192494</v>
      </c>
      <c r="N28" s="289">
        <v>0.40506627460051964</v>
      </c>
      <c r="P28" s="193" t="s">
        <v>122</v>
      </c>
      <c r="Q28" s="200">
        <v>6.4042360769634801</v>
      </c>
      <c r="R28" s="200">
        <v>5.234520646899341</v>
      </c>
    </row>
    <row r="29" spans="1:22" s="193" customFormat="1" x14ac:dyDescent="0.25">
      <c r="A29" s="193" t="s">
        <v>10</v>
      </c>
      <c r="B29" s="193" t="s">
        <v>49</v>
      </c>
      <c r="C29" s="193" t="s">
        <v>50</v>
      </c>
      <c r="D29" s="193">
        <v>5616.0320000000002</v>
      </c>
      <c r="E29" s="193">
        <v>85491.43</v>
      </c>
      <c r="F29" s="193">
        <v>6.5691169300000005E-2</v>
      </c>
      <c r="H29" s="201" t="s">
        <v>124</v>
      </c>
      <c r="I29" s="202">
        <v>0.25</v>
      </c>
      <c r="J29" s="203">
        <v>2.2066499399999995E-2</v>
      </c>
      <c r="K29" s="203">
        <v>6.4002298999999985E-2</v>
      </c>
      <c r="L29" s="204"/>
      <c r="M29" s="202">
        <v>4.303439919999999E-2</v>
      </c>
      <c r="N29" s="205">
        <v>2.9653088271640107E-2</v>
      </c>
      <c r="P29" s="193" t="s">
        <v>133</v>
      </c>
      <c r="Q29" s="206">
        <v>14.975050579883451</v>
      </c>
      <c r="R29" s="200">
        <v>5.4526622817652015</v>
      </c>
    </row>
    <row r="30" spans="1:22" s="193" customFormat="1" x14ac:dyDescent="0.25">
      <c r="A30" s="193" t="s">
        <v>11</v>
      </c>
      <c r="B30" s="193" t="s">
        <v>49</v>
      </c>
      <c r="C30" s="193" t="s">
        <v>50</v>
      </c>
      <c r="D30" s="193">
        <v>7419.93</v>
      </c>
      <c r="E30" s="193">
        <v>88626.414000000004</v>
      </c>
      <c r="F30" s="193">
        <v>8.3721428700000003E-2</v>
      </c>
      <c r="H30" s="201" t="s">
        <v>125</v>
      </c>
      <c r="I30" s="207">
        <v>7.4999999999999997E-2</v>
      </c>
      <c r="J30" s="208">
        <v>2.5770506014000003</v>
      </c>
      <c r="K30" s="208">
        <v>1.9991632017999998</v>
      </c>
      <c r="L30" s="204"/>
      <c r="M30" s="209">
        <v>2.2881069016</v>
      </c>
      <c r="N30" s="210">
        <v>0.40862809901942171</v>
      </c>
    </row>
    <row r="31" spans="1:22" s="193" customFormat="1" x14ac:dyDescent="0.25">
      <c r="A31" s="193" t="s">
        <v>12</v>
      </c>
      <c r="B31" s="193" t="s">
        <v>49</v>
      </c>
      <c r="C31" s="193" t="s">
        <v>50</v>
      </c>
      <c r="D31" s="193">
        <v>7419.93</v>
      </c>
      <c r="E31" s="193">
        <v>88626.414000000004</v>
      </c>
      <c r="F31" s="193">
        <v>8.3721428700000003E-2</v>
      </c>
      <c r="H31" s="201" t="s">
        <v>126</v>
      </c>
      <c r="I31" s="204"/>
      <c r="J31" s="204"/>
      <c r="K31" s="204"/>
      <c r="L31" s="204"/>
      <c r="M31" s="204"/>
      <c r="N31" s="211"/>
    </row>
    <row r="32" spans="1:22" s="193" customFormat="1" ht="15.75" thickBot="1" x14ac:dyDescent="0.3">
      <c r="A32" s="193" t="s">
        <v>15</v>
      </c>
      <c r="B32" s="193" t="s">
        <v>49</v>
      </c>
      <c r="C32" s="193" t="s">
        <v>50</v>
      </c>
      <c r="D32" s="193">
        <v>6623.0219999999999</v>
      </c>
      <c r="E32" s="193">
        <v>82140.210999999996</v>
      </c>
      <c r="F32" s="193">
        <v>8.0630691300000001E-2</v>
      </c>
      <c r="H32" s="212" t="s">
        <v>127</v>
      </c>
      <c r="I32" s="213"/>
      <c r="J32" s="214">
        <v>8.4536963600000001E-2</v>
      </c>
      <c r="K32" s="214">
        <v>6.5691169300000005E-2</v>
      </c>
      <c r="L32" s="213"/>
      <c r="M32" s="214">
        <v>7.5114066450000003E-2</v>
      </c>
      <c r="N32" s="215">
        <v>1.3325988946376793E-2</v>
      </c>
    </row>
    <row r="33" spans="1:22" s="193" customFormat="1" x14ac:dyDescent="0.25">
      <c r="A33" s="193" t="s">
        <v>16</v>
      </c>
      <c r="B33" s="193" t="s">
        <v>49</v>
      </c>
      <c r="C33" s="193" t="s">
        <v>50</v>
      </c>
      <c r="D33" s="193">
        <v>7578.335</v>
      </c>
      <c r="E33" s="193">
        <v>83173.625</v>
      </c>
      <c r="F33" s="193">
        <v>9.1114641199999999E-2</v>
      </c>
      <c r="H33" s="216" t="s">
        <v>128</v>
      </c>
      <c r="I33" s="217"/>
      <c r="J33" s="218">
        <v>7.661978958333332E-7</v>
      </c>
      <c r="K33" s="219">
        <v>2.2223020486111107E-6</v>
      </c>
      <c r="L33" s="217"/>
      <c r="M33" s="219">
        <v>1.4942499722222219E-6</v>
      </c>
      <c r="N33" s="220">
        <v>1.0296211205430591E-6</v>
      </c>
    </row>
    <row r="34" spans="1:22" s="193" customFormat="1" ht="18" x14ac:dyDescent="0.35">
      <c r="A34" s="193" t="s">
        <v>39</v>
      </c>
      <c r="B34" s="193" t="s">
        <v>49</v>
      </c>
      <c r="C34" s="193" t="s">
        <v>50</v>
      </c>
      <c r="D34" s="193">
        <v>61668.805</v>
      </c>
      <c r="E34" s="193">
        <v>85725.327999999994</v>
      </c>
      <c r="F34" s="193">
        <v>0.71937671680000004</v>
      </c>
      <c r="H34" s="201" t="s">
        <v>129</v>
      </c>
      <c r="I34" s="204"/>
      <c r="J34" s="221">
        <v>2.5770506014000003</v>
      </c>
      <c r="K34" s="209">
        <v>1.9991632017999998</v>
      </c>
      <c r="L34" s="204"/>
      <c r="M34" s="209">
        <v>2.2881069016</v>
      </c>
      <c r="N34" s="210">
        <v>0.40862809901942171</v>
      </c>
    </row>
    <row r="35" spans="1:22" s="193" customFormat="1" x14ac:dyDescent="0.25">
      <c r="A35" s="193" t="s">
        <v>40</v>
      </c>
      <c r="B35" s="193" t="s">
        <v>49</v>
      </c>
      <c r="C35" s="193" t="s">
        <v>50</v>
      </c>
      <c r="D35" s="193">
        <v>48897.796999999999</v>
      </c>
      <c r="E35" s="193">
        <v>85053.718999999997</v>
      </c>
      <c r="F35" s="193">
        <v>0.57490486689999998</v>
      </c>
      <c r="H35" s="201" t="s">
        <v>130</v>
      </c>
      <c r="I35" s="204"/>
      <c r="J35" s="266">
        <v>0.39842024725560743</v>
      </c>
      <c r="K35" s="267">
        <v>0.87005670877723473</v>
      </c>
      <c r="L35" s="204" t="s">
        <v>155</v>
      </c>
      <c r="M35" s="223">
        <v>0.63423847801642108</v>
      </c>
      <c r="N35" s="290">
        <v>0.33349734019677091</v>
      </c>
    </row>
    <row r="36" spans="1:22" s="193" customFormat="1" ht="18.75" thickBot="1" x14ac:dyDescent="0.4">
      <c r="A36" s="193" t="s">
        <v>27</v>
      </c>
      <c r="B36" s="193" t="s">
        <v>49</v>
      </c>
      <c r="C36" s="193" t="s">
        <v>50</v>
      </c>
      <c r="D36" s="193">
        <v>25184.991999999998</v>
      </c>
      <c r="E36" s="193">
        <v>80357.304999999993</v>
      </c>
      <c r="F36" s="193">
        <v>0.31341260139999999</v>
      </c>
      <c r="H36" s="225" t="s">
        <v>132</v>
      </c>
      <c r="I36" s="226"/>
      <c r="J36" s="227">
        <v>2.7028710312799618</v>
      </c>
      <c r="K36" s="228">
        <v>10.105601122646998</v>
      </c>
      <c r="L36" s="226" t="s">
        <v>155</v>
      </c>
      <c r="M36" s="229">
        <v>6.4042360769634801</v>
      </c>
      <c r="N36" s="230">
        <v>5.234520646899341</v>
      </c>
    </row>
    <row r="37" spans="1:22" s="193" customFormat="1" ht="15.75" thickTop="1" x14ac:dyDescent="0.25">
      <c r="A37" s="193" t="s">
        <v>28</v>
      </c>
      <c r="B37" s="193" t="s">
        <v>49</v>
      </c>
      <c r="C37" s="193" t="s">
        <v>50</v>
      </c>
      <c r="D37" s="193">
        <v>34540.504000000001</v>
      </c>
      <c r="E37" s="193">
        <v>75643.016000000003</v>
      </c>
      <c r="F37" s="193">
        <v>0.45662515619999999</v>
      </c>
      <c r="H37" s="231"/>
    </row>
    <row r="38" spans="1:22" s="193" customFormat="1" ht="15.75" thickBot="1" x14ac:dyDescent="0.3">
      <c r="A38" s="193" t="s">
        <v>21</v>
      </c>
      <c r="B38" s="193" t="s">
        <v>49</v>
      </c>
      <c r="C38" s="193" t="s">
        <v>50</v>
      </c>
      <c r="D38" s="193">
        <v>17104.669999999998</v>
      </c>
      <c r="E38" s="193">
        <v>76788.414000000004</v>
      </c>
      <c r="F38" s="193">
        <v>0.22275066130000001</v>
      </c>
      <c r="H38" s="232" t="s">
        <v>133</v>
      </c>
    </row>
    <row r="39" spans="1:22" s="193" customFormat="1" ht="15.75" thickTop="1" x14ac:dyDescent="0.25">
      <c r="A39" s="193" t="s">
        <v>22</v>
      </c>
      <c r="B39" s="193" t="s">
        <v>49</v>
      </c>
      <c r="C39" s="193" t="s">
        <v>50</v>
      </c>
      <c r="D39" s="193">
        <v>13418.771000000001</v>
      </c>
      <c r="E39" s="193">
        <v>74600.108999999997</v>
      </c>
      <c r="F39" s="193">
        <v>0.179876024</v>
      </c>
      <c r="H39" s="233" t="s">
        <v>123</v>
      </c>
      <c r="I39" s="234">
        <v>0.25</v>
      </c>
      <c r="J39" s="235">
        <v>1.7126132908000002</v>
      </c>
      <c r="K39" s="235">
        <v>1.8733168247999998</v>
      </c>
      <c r="L39" s="236"/>
      <c r="M39" s="237">
        <v>1.7929650578</v>
      </c>
      <c r="N39" s="238">
        <v>0.11363455865204261</v>
      </c>
    </row>
    <row r="40" spans="1:22" s="193" customFormat="1" x14ac:dyDescent="0.25">
      <c r="A40" s="193" t="s">
        <v>45</v>
      </c>
      <c r="B40" s="193" t="s">
        <v>49</v>
      </c>
      <c r="C40" s="193" t="s">
        <v>50</v>
      </c>
      <c r="D40" s="193">
        <v>63987.434000000001</v>
      </c>
      <c r="E40" s="193">
        <v>81733.241999999998</v>
      </c>
      <c r="F40" s="193">
        <v>0.78288138870000001</v>
      </c>
      <c r="H40" s="239" t="s">
        <v>124</v>
      </c>
      <c r="I40" s="207">
        <v>7.4999999999999997E-2</v>
      </c>
      <c r="J40" s="203">
        <v>0.55611693039999999</v>
      </c>
      <c r="K40" s="203">
        <v>0.38461838119999997</v>
      </c>
      <c r="L40" s="204"/>
      <c r="M40" s="202">
        <v>0.47036765579999995</v>
      </c>
      <c r="N40" s="240">
        <v>0.12126778710297488</v>
      </c>
    </row>
    <row r="41" spans="1:22" s="193" customFormat="1" x14ac:dyDescent="0.25">
      <c r="A41" s="193" t="s">
        <v>46</v>
      </c>
      <c r="B41" s="193" t="s">
        <v>49</v>
      </c>
      <c r="C41" s="193" t="s">
        <v>50</v>
      </c>
      <c r="D41" s="193">
        <v>69684.398000000001</v>
      </c>
      <c r="E41" s="193">
        <v>77203.452999999994</v>
      </c>
      <c r="F41" s="193">
        <v>0.90260727070000002</v>
      </c>
      <c r="H41" s="239" t="s">
        <v>125</v>
      </c>
      <c r="I41" s="202">
        <v>0.25</v>
      </c>
      <c r="J41" s="208">
        <v>2.7966398400000001</v>
      </c>
      <c r="K41" s="208">
        <v>3.2755433680000001</v>
      </c>
      <c r="L41" s="204"/>
      <c r="M41" s="209">
        <v>3.0360916040000001</v>
      </c>
      <c r="N41" s="240">
        <v>0.33863593218296162</v>
      </c>
    </row>
    <row r="42" spans="1:22" s="193" customFormat="1" x14ac:dyDescent="0.25">
      <c r="A42" s="193" t="s">
        <v>33</v>
      </c>
      <c r="B42" s="193" t="s">
        <v>49</v>
      </c>
      <c r="C42" s="193" t="s">
        <v>50</v>
      </c>
      <c r="D42" s="193">
        <v>41290.449000000001</v>
      </c>
      <c r="E42" s="193">
        <v>80665.141000000003</v>
      </c>
      <c r="F42" s="193">
        <v>0.51187475140000005</v>
      </c>
      <c r="H42" s="239" t="s">
        <v>126</v>
      </c>
      <c r="I42" s="204"/>
      <c r="J42" s="204"/>
      <c r="K42" s="204"/>
      <c r="L42" s="204"/>
      <c r="M42" s="204"/>
      <c r="N42" s="242"/>
    </row>
    <row r="43" spans="1:22" s="193" customFormat="1" ht="15.75" thickBot="1" x14ac:dyDescent="0.3">
      <c r="A43" s="193" t="s">
        <v>34</v>
      </c>
      <c r="B43" s="193" t="s">
        <v>49</v>
      </c>
      <c r="C43" s="193" t="s">
        <v>50</v>
      </c>
      <c r="D43" s="193">
        <v>45121.241999999998</v>
      </c>
      <c r="E43" s="193">
        <v>81733.883000000002</v>
      </c>
      <c r="F43" s="193">
        <v>0.55205063489999995</v>
      </c>
      <c r="H43" s="243" t="s">
        <v>127</v>
      </c>
      <c r="I43" s="244"/>
      <c r="J43" s="245">
        <v>8.3721428700000003E-2</v>
      </c>
      <c r="K43" s="246">
        <v>8.3721428700000003E-2</v>
      </c>
      <c r="L43" s="244"/>
      <c r="M43" s="246">
        <v>8.3721428700000003E-2</v>
      </c>
      <c r="N43" s="247">
        <v>0</v>
      </c>
    </row>
    <row r="44" spans="1:22" s="193" customFormat="1" ht="66.75" thickTop="1" thickBot="1" x14ac:dyDescent="0.3">
      <c r="C44" s="232"/>
      <c r="E44" s="248" t="s">
        <v>4</v>
      </c>
      <c r="F44" s="249">
        <v>4</v>
      </c>
      <c r="H44" s="250" t="s">
        <v>128</v>
      </c>
      <c r="I44" s="251"/>
      <c r="J44" s="252">
        <v>5.7928846916666663E-6</v>
      </c>
      <c r="K44" s="253">
        <v>4.0064414708333324E-6</v>
      </c>
      <c r="L44" s="251"/>
      <c r="M44" s="254">
        <v>4.8996630812499993E-6</v>
      </c>
      <c r="N44" s="255">
        <v>1.2632061156559875E-6</v>
      </c>
      <c r="P44" s="256" t="s">
        <v>134</v>
      </c>
      <c r="Q44" s="257" t="s">
        <v>135</v>
      </c>
      <c r="R44" s="258" t="s">
        <v>108</v>
      </c>
      <c r="S44" s="258" t="s">
        <v>136</v>
      </c>
      <c r="T44" s="258" t="s">
        <v>137</v>
      </c>
      <c r="U44" s="258" t="s">
        <v>138</v>
      </c>
      <c r="V44" s="258" t="s">
        <v>130</v>
      </c>
    </row>
    <row r="45" spans="1:22" s="193" customFormat="1" ht="18.75" thickTop="1" x14ac:dyDescent="0.35">
      <c r="C45" s="232"/>
      <c r="E45" s="259" t="s">
        <v>119</v>
      </c>
      <c r="F45" s="260">
        <v>0.11</v>
      </c>
      <c r="H45" s="239" t="s">
        <v>129</v>
      </c>
      <c r="I45" s="204"/>
      <c r="J45" s="221">
        <v>2.7966398400000001</v>
      </c>
      <c r="K45" s="209">
        <v>3.2755433680000001</v>
      </c>
      <c r="L45" s="204"/>
      <c r="M45" s="261">
        <v>3.0360916040000001</v>
      </c>
      <c r="N45" s="240">
        <v>0.33863593218296162</v>
      </c>
      <c r="Q45" s="262"/>
      <c r="R45" s="262" t="s">
        <v>122</v>
      </c>
      <c r="S45" s="263">
        <v>2.7028710312799618</v>
      </c>
      <c r="T45" s="263">
        <v>10.105601122646998</v>
      </c>
      <c r="U45" s="262" t="s">
        <v>155</v>
      </c>
      <c r="V45" s="264">
        <v>0.63423847801642108</v>
      </c>
    </row>
    <row r="46" spans="1:22" s="193" customFormat="1" ht="30" x14ac:dyDescent="0.25">
      <c r="C46" s="232"/>
      <c r="E46" s="259" t="s">
        <v>120</v>
      </c>
      <c r="F46" s="265">
        <v>2</v>
      </c>
      <c r="H46" s="239" t="s">
        <v>130</v>
      </c>
      <c r="I46" s="204"/>
      <c r="J46" s="266">
        <v>0.67203804474157824</v>
      </c>
      <c r="K46" s="223">
        <v>0.60713662306790739</v>
      </c>
      <c r="L46" s="204" t="s">
        <v>155</v>
      </c>
      <c r="M46" s="267">
        <v>0.63958733390474287</v>
      </c>
      <c r="N46" s="268">
        <v>4.5892235374100226E-2</v>
      </c>
      <c r="P46" s="269" t="s">
        <v>49</v>
      </c>
      <c r="Q46" s="270">
        <v>10</v>
      </c>
      <c r="R46" s="262" t="s">
        <v>133</v>
      </c>
      <c r="S46" s="263">
        <v>18.830665054839738</v>
      </c>
      <c r="T46" s="263">
        <v>11.119436104927166</v>
      </c>
      <c r="U46" s="262" t="s">
        <v>155</v>
      </c>
      <c r="V46" s="271">
        <v>0.63958733390474287</v>
      </c>
    </row>
    <row r="47" spans="1:22" s="193" customFormat="1" ht="18.75" thickBot="1" x14ac:dyDescent="0.4">
      <c r="C47" s="232"/>
      <c r="E47" s="272" t="s">
        <v>121</v>
      </c>
      <c r="F47" s="273">
        <v>10</v>
      </c>
      <c r="H47" s="243" t="s">
        <v>132</v>
      </c>
      <c r="I47" s="244"/>
      <c r="J47" s="274">
        <v>18.830665054839738</v>
      </c>
      <c r="K47" s="246">
        <v>11.119436104927166</v>
      </c>
      <c r="L47" s="244" t="s">
        <v>155</v>
      </c>
      <c r="M47" s="275">
        <v>14.975050579883451</v>
      </c>
      <c r="N47" s="276">
        <v>5.4526622817652015</v>
      </c>
      <c r="P47" s="277"/>
      <c r="Q47" s="278"/>
      <c r="R47" s="279" t="s">
        <v>104</v>
      </c>
      <c r="S47" s="280">
        <v>6.9669121600383415</v>
      </c>
      <c r="T47" s="280">
        <v>1.1003240648404506</v>
      </c>
      <c r="U47" s="279" t="s">
        <v>155</v>
      </c>
      <c r="V47" s="279"/>
    </row>
    <row r="48" spans="1:22" s="193" customFormat="1" ht="15.75" thickBot="1" x14ac:dyDescent="0.3">
      <c r="H48" s="282" t="s">
        <v>104</v>
      </c>
      <c r="I48" s="283"/>
      <c r="J48" s="284">
        <v>6.9669121600383415</v>
      </c>
      <c r="K48" s="284">
        <v>1.1003240648404506</v>
      </c>
      <c r="L48" s="283" t="s">
        <v>155</v>
      </c>
      <c r="M48" s="284">
        <v>4.0336181124393962</v>
      </c>
      <c r="N48" s="300">
        <v>4.1483042245427004</v>
      </c>
      <c r="P48" s="287"/>
      <c r="Q48" s="288"/>
      <c r="R48" s="262"/>
      <c r="S48" s="262"/>
      <c r="T48" s="262"/>
      <c r="U48" s="262"/>
      <c r="V48" s="262"/>
    </row>
    <row r="49" spans="1:18" s="193" customFormat="1" ht="15.75" thickTop="1" x14ac:dyDescent="0.25"/>
    <row r="50" spans="1:18" s="193" customFormat="1" x14ac:dyDescent="0.25"/>
    <row r="51" spans="1:18" s="193" customFormat="1" ht="15.75" thickBot="1" x14ac:dyDescent="0.3">
      <c r="H51" s="232" t="s">
        <v>122</v>
      </c>
    </row>
    <row r="52" spans="1:18" s="193" customFormat="1" ht="15.75" thickTop="1" x14ac:dyDescent="0.25">
      <c r="A52" s="193" t="s">
        <v>9</v>
      </c>
      <c r="B52" s="193" t="s">
        <v>51</v>
      </c>
      <c r="C52" s="193" t="s">
        <v>52</v>
      </c>
      <c r="D52" s="193">
        <v>5826.7820000000002</v>
      </c>
      <c r="E52" s="193">
        <v>86915.672000000006</v>
      </c>
      <c r="F52" s="193">
        <v>6.7039486300000006E-2</v>
      </c>
      <c r="H52" s="194" t="s">
        <v>123</v>
      </c>
      <c r="I52" s="195">
        <v>7.4999999999999997E-2</v>
      </c>
      <c r="J52" s="196">
        <v>1.5576531198000001</v>
      </c>
      <c r="K52" s="196">
        <v>1.2806940758000001</v>
      </c>
      <c r="L52" s="197"/>
      <c r="M52" s="198">
        <v>1.4191735978</v>
      </c>
      <c r="N52" s="289">
        <v>0.19583961812334341</v>
      </c>
      <c r="P52" s="193" t="s">
        <v>122</v>
      </c>
      <c r="Q52" s="291">
        <v>29.161518298346209</v>
      </c>
      <c r="R52" s="291">
        <v>11.785197634375589</v>
      </c>
    </row>
    <row r="53" spans="1:18" s="193" customFormat="1" x14ac:dyDescent="0.25">
      <c r="A53" s="193" t="s">
        <v>10</v>
      </c>
      <c r="B53" s="193" t="s">
        <v>51</v>
      </c>
      <c r="C53" s="193" t="s">
        <v>52</v>
      </c>
      <c r="D53" s="193">
        <v>5125.1499999999996</v>
      </c>
      <c r="E53" s="193">
        <v>85491.43</v>
      </c>
      <c r="F53" s="193">
        <v>5.9949283800000003E-2</v>
      </c>
      <c r="H53" s="201" t="s">
        <v>124</v>
      </c>
      <c r="I53" s="202">
        <v>0.25</v>
      </c>
      <c r="J53" s="203">
        <v>0.16654318739999996</v>
      </c>
      <c r="K53" s="203">
        <v>0.13525246339999997</v>
      </c>
      <c r="L53" s="204"/>
      <c r="M53" s="202">
        <v>0.15089782539999996</v>
      </c>
      <c r="N53" s="205">
        <v>2.2125883128636618E-2</v>
      </c>
      <c r="P53" s="193" t="s">
        <v>133</v>
      </c>
      <c r="Q53" s="291">
        <v>26.886152648657376</v>
      </c>
      <c r="R53" s="200">
        <v>4.3603548681181721</v>
      </c>
    </row>
    <row r="54" spans="1:18" s="193" customFormat="1" x14ac:dyDescent="0.25">
      <c r="A54" s="193" t="s">
        <v>11</v>
      </c>
      <c r="B54" s="193" t="s">
        <v>51</v>
      </c>
      <c r="C54" s="193" t="s">
        <v>52</v>
      </c>
      <c r="D54" s="193">
        <v>6011.6750000000002</v>
      </c>
      <c r="E54" s="193">
        <v>88626.414000000004</v>
      </c>
      <c r="F54" s="193">
        <v>6.7831639900000004E-2</v>
      </c>
      <c r="H54" s="201" t="s">
        <v>125</v>
      </c>
      <c r="I54" s="207">
        <v>7.4999999999999997E-2</v>
      </c>
      <c r="J54" s="208">
        <v>1.4020689345999999</v>
      </c>
      <c r="K54" s="208">
        <v>2.0497921833999997</v>
      </c>
      <c r="L54" s="204"/>
      <c r="M54" s="209">
        <v>1.7259305589999998</v>
      </c>
      <c r="N54" s="210">
        <v>0.45800950155866166</v>
      </c>
    </row>
    <row r="55" spans="1:18" s="193" customFormat="1" x14ac:dyDescent="0.25">
      <c r="A55" s="193" t="s">
        <v>12</v>
      </c>
      <c r="B55" s="193" t="s">
        <v>51</v>
      </c>
      <c r="C55" s="193" t="s">
        <v>52</v>
      </c>
      <c r="D55" s="193">
        <v>6011.6750000000002</v>
      </c>
      <c r="E55" s="193">
        <v>88626.414000000004</v>
      </c>
      <c r="F55" s="193">
        <v>6.7831639900000004E-2</v>
      </c>
      <c r="H55" s="201" t="s">
        <v>126</v>
      </c>
      <c r="I55" s="204"/>
      <c r="J55" s="204"/>
      <c r="K55" s="204"/>
      <c r="L55" s="204"/>
      <c r="M55" s="204"/>
      <c r="N55" s="211"/>
    </row>
    <row r="56" spans="1:18" s="193" customFormat="1" ht="15.75" thickBot="1" x14ac:dyDescent="0.3">
      <c r="A56" s="193" t="s">
        <v>17</v>
      </c>
      <c r="B56" s="193" t="s">
        <v>51</v>
      </c>
      <c r="C56" s="193" t="s">
        <v>52</v>
      </c>
      <c r="D56" s="193">
        <v>8883.1710000000003</v>
      </c>
      <c r="E56" s="193">
        <v>84496.866999999998</v>
      </c>
      <c r="F56" s="193">
        <v>0.10513018189999999</v>
      </c>
      <c r="H56" s="212" t="s">
        <v>127</v>
      </c>
      <c r="I56" s="213"/>
      <c r="J56" s="214">
        <v>6.7039486300000006E-2</v>
      </c>
      <c r="K56" s="214">
        <v>5.9949283800000003E-2</v>
      </c>
      <c r="L56" s="213"/>
      <c r="M56" s="214">
        <v>6.3494385050000005E-2</v>
      </c>
      <c r="N56" s="292">
        <v>5.0135302677358148E-3</v>
      </c>
    </row>
    <row r="57" spans="1:18" s="193" customFormat="1" x14ac:dyDescent="0.25">
      <c r="A57" s="193" t="s">
        <v>18</v>
      </c>
      <c r="B57" s="193" t="s">
        <v>51</v>
      </c>
      <c r="C57" s="193" t="s">
        <v>52</v>
      </c>
      <c r="D57" s="193">
        <v>8005.8530000000001</v>
      </c>
      <c r="E57" s="193">
        <v>82273.75</v>
      </c>
      <c r="F57" s="193">
        <v>9.7307500899999996E-2</v>
      </c>
      <c r="H57" s="216" t="s">
        <v>128</v>
      </c>
      <c r="I57" s="217"/>
      <c r="J57" s="218">
        <v>5.7827495624999982E-6</v>
      </c>
      <c r="K57" s="219">
        <v>4.6962660902777767E-6</v>
      </c>
      <c r="L57" s="217"/>
      <c r="M57" s="219">
        <v>5.2395078263888879E-6</v>
      </c>
      <c r="N57" s="220">
        <v>7.6825983085543879E-7</v>
      </c>
    </row>
    <row r="58" spans="1:18" s="193" customFormat="1" ht="18" x14ac:dyDescent="0.35">
      <c r="A58" s="193" t="s">
        <v>41</v>
      </c>
      <c r="B58" s="193" t="s">
        <v>51</v>
      </c>
      <c r="C58" s="193" t="s">
        <v>52</v>
      </c>
      <c r="D58" s="193">
        <v>37460.266000000003</v>
      </c>
      <c r="E58" s="193">
        <v>90481.195000000007</v>
      </c>
      <c r="F58" s="193">
        <v>0.41401161869999997</v>
      </c>
      <c r="H58" s="201" t="s">
        <v>129</v>
      </c>
      <c r="I58" s="204"/>
      <c r="J58" s="221">
        <v>1.4020689345999999</v>
      </c>
      <c r="K58" s="209">
        <v>2.0497921833999997</v>
      </c>
      <c r="L58" s="204"/>
      <c r="M58" s="209">
        <v>1.7259305589999998</v>
      </c>
      <c r="N58" s="210">
        <v>0.45800950155866166</v>
      </c>
    </row>
    <row r="59" spans="1:18" s="193" customFormat="1" x14ac:dyDescent="0.25">
      <c r="A59" s="193" t="s">
        <v>42</v>
      </c>
      <c r="B59" s="193" t="s">
        <v>51</v>
      </c>
      <c r="C59" s="193" t="s">
        <v>52</v>
      </c>
      <c r="D59" s="193">
        <v>49697.788999999997</v>
      </c>
      <c r="E59" s="193">
        <v>86289.508000000002</v>
      </c>
      <c r="F59" s="193">
        <v>0.57594243089999997</v>
      </c>
      <c r="H59" s="201" t="s">
        <v>130</v>
      </c>
      <c r="I59" s="204"/>
      <c r="J59" s="222">
        <v>1.506913836874052</v>
      </c>
      <c r="K59" s="267">
        <v>0.84473715652216053</v>
      </c>
      <c r="L59" s="204" t="s">
        <v>155</v>
      </c>
      <c r="M59" s="267">
        <v>1.1758254966981063</v>
      </c>
      <c r="N59" s="290">
        <v>0.46822962102041876</v>
      </c>
    </row>
    <row r="60" spans="1:18" s="193" customFormat="1" ht="18.75" thickBot="1" x14ac:dyDescent="0.4">
      <c r="A60" s="193" t="s">
        <v>29</v>
      </c>
      <c r="B60" s="193" t="s">
        <v>51</v>
      </c>
      <c r="C60" s="193" t="s">
        <v>52</v>
      </c>
      <c r="D60" s="193">
        <v>34707.120999999999</v>
      </c>
      <c r="E60" s="193">
        <v>76631.781000000003</v>
      </c>
      <c r="F60" s="193">
        <v>0.45290766500000001</v>
      </c>
      <c r="H60" s="225" t="s">
        <v>132</v>
      </c>
      <c r="I60" s="226"/>
      <c r="J60" s="227">
        <v>37.494911463236839</v>
      </c>
      <c r="K60" s="228">
        <v>20.828125133455583</v>
      </c>
      <c r="L60" s="226" t="s">
        <v>155</v>
      </c>
      <c r="M60" s="228">
        <v>29.161518298346209</v>
      </c>
      <c r="N60" s="293">
        <v>11.785197634375589</v>
      </c>
    </row>
    <row r="61" spans="1:18" s="193" customFormat="1" ht="15.75" thickTop="1" x14ac:dyDescent="0.25">
      <c r="A61" s="193" t="s">
        <v>30</v>
      </c>
      <c r="B61" s="193" t="s">
        <v>51</v>
      </c>
      <c r="C61" s="193" t="s">
        <v>52</v>
      </c>
      <c r="D61" s="193">
        <v>28945.956999999999</v>
      </c>
      <c r="E61" s="193">
        <v>75445.343999999997</v>
      </c>
      <c r="F61" s="193">
        <v>0.383667904</v>
      </c>
      <c r="H61" s="231"/>
    </row>
    <row r="62" spans="1:18" s="193" customFormat="1" ht="15.75" thickBot="1" x14ac:dyDescent="0.3">
      <c r="A62" s="193" t="s">
        <v>23</v>
      </c>
      <c r="B62" s="193" t="s">
        <v>51</v>
      </c>
      <c r="C62" s="193" t="s">
        <v>52</v>
      </c>
      <c r="D62" s="193">
        <v>15816.36</v>
      </c>
      <c r="E62" s="193">
        <v>76122.476999999999</v>
      </c>
      <c r="F62" s="193">
        <v>0.20777516209999999</v>
      </c>
      <c r="H62" s="232" t="s">
        <v>133</v>
      </c>
    </row>
    <row r="63" spans="1:18" s="193" customFormat="1" ht="15.75" thickTop="1" x14ac:dyDescent="0.25">
      <c r="A63" s="193" t="s">
        <v>24</v>
      </c>
      <c r="B63" s="193" t="s">
        <v>51</v>
      </c>
      <c r="C63" s="193" t="s">
        <v>52</v>
      </c>
      <c r="D63" s="193">
        <v>15227.677</v>
      </c>
      <c r="E63" s="193">
        <v>73365.008000000002</v>
      </c>
      <c r="F63" s="193">
        <v>0.20756048990000001</v>
      </c>
      <c r="H63" s="233" t="s">
        <v>123</v>
      </c>
      <c r="I63" s="234">
        <v>0.25</v>
      </c>
      <c r="J63" s="235">
        <v>1.574976124</v>
      </c>
      <c r="K63" s="235">
        <v>1.4517465947999999</v>
      </c>
      <c r="L63" s="236"/>
      <c r="M63" s="237">
        <v>1.5133613593999999</v>
      </c>
      <c r="N63" s="294">
        <v>8.7136435739745721E-2</v>
      </c>
    </row>
    <row r="64" spans="1:18" s="193" customFormat="1" x14ac:dyDescent="0.25">
      <c r="A64" s="193" t="s">
        <v>47</v>
      </c>
      <c r="B64" s="193" t="s">
        <v>51</v>
      </c>
      <c r="C64" s="193" t="s">
        <v>52</v>
      </c>
      <c r="D64" s="193">
        <v>42422.468999999997</v>
      </c>
      <c r="E64" s="193">
        <v>83177.437999999995</v>
      </c>
      <c r="F64" s="193">
        <v>0.51002375190000004</v>
      </c>
      <c r="H64" s="239" t="s">
        <v>124</v>
      </c>
      <c r="I64" s="207">
        <v>7.4999999999999997E-2</v>
      </c>
      <c r="J64" s="203">
        <v>0.55977408880000001</v>
      </c>
      <c r="K64" s="203">
        <v>0.55891540000000006</v>
      </c>
      <c r="L64" s="204"/>
      <c r="M64" s="202">
        <v>0.55934474440000004</v>
      </c>
      <c r="N64" s="295">
        <v>6.0718467340890479E-4</v>
      </c>
    </row>
    <row r="65" spans="1:22" s="193" customFormat="1" x14ac:dyDescent="0.25">
      <c r="A65" s="193" t="s">
        <v>48</v>
      </c>
      <c r="B65" s="193" t="s">
        <v>51</v>
      </c>
      <c r="C65" s="193" t="s">
        <v>52</v>
      </c>
      <c r="D65" s="193">
        <v>48125.902000000002</v>
      </c>
      <c r="E65" s="193">
        <v>77158.766000000003</v>
      </c>
      <c r="F65" s="193">
        <v>0.62372565680000003</v>
      </c>
      <c r="H65" s="239" t="s">
        <v>125</v>
      </c>
      <c r="I65" s="202">
        <v>0.25</v>
      </c>
      <c r="J65" s="208">
        <v>1.7687684480000001</v>
      </c>
      <c r="K65" s="208">
        <v>2.2235760676000003</v>
      </c>
      <c r="L65" s="204"/>
      <c r="M65" s="209">
        <v>1.9961722578000001</v>
      </c>
      <c r="N65" s="240">
        <v>0.32159755195447126</v>
      </c>
    </row>
    <row r="66" spans="1:22" s="193" customFormat="1" x14ac:dyDescent="0.25">
      <c r="A66" s="193" t="s">
        <v>35</v>
      </c>
      <c r="B66" s="193" t="s">
        <v>51</v>
      </c>
      <c r="C66" s="193" t="s">
        <v>52</v>
      </c>
      <c r="D66" s="193">
        <v>37044.667999999998</v>
      </c>
      <c r="E66" s="193">
        <v>80256.976999999999</v>
      </c>
      <c r="F66" s="193">
        <v>0.46157567090000001</v>
      </c>
      <c r="H66" s="239" t="s">
        <v>126</v>
      </c>
      <c r="I66" s="204"/>
      <c r="J66" s="204"/>
      <c r="K66" s="204"/>
      <c r="L66" s="204"/>
      <c r="M66" s="204"/>
      <c r="N66" s="242"/>
    </row>
    <row r="67" spans="1:22" s="193" customFormat="1" ht="15.75" thickBot="1" x14ac:dyDescent="0.3">
      <c r="A67" s="193" t="s">
        <v>36</v>
      </c>
      <c r="B67" s="193" t="s">
        <v>51</v>
      </c>
      <c r="C67" s="193" t="s">
        <v>52</v>
      </c>
      <c r="D67" s="193">
        <v>34971.347999999998</v>
      </c>
      <c r="E67" s="193">
        <v>81183.664000000004</v>
      </c>
      <c r="F67" s="193">
        <v>0.43076828859999999</v>
      </c>
      <c r="H67" s="243" t="s">
        <v>127</v>
      </c>
      <c r="I67" s="244"/>
      <c r="J67" s="245">
        <v>6.7831639900000004E-2</v>
      </c>
      <c r="K67" s="246">
        <v>6.7831639900000004E-2</v>
      </c>
      <c r="L67" s="244"/>
      <c r="M67" s="296">
        <v>6.7831639900000004E-2</v>
      </c>
      <c r="N67" s="247">
        <v>0</v>
      </c>
    </row>
    <row r="68" spans="1:22" ht="66.75" thickTop="1" thickBot="1" x14ac:dyDescent="0.3">
      <c r="C68" s="76"/>
      <c r="E68" s="17" t="s">
        <v>4</v>
      </c>
      <c r="F68" s="18">
        <v>4</v>
      </c>
      <c r="H68" s="85" t="s">
        <v>128</v>
      </c>
      <c r="I68" s="51"/>
      <c r="J68" s="72">
        <v>5.8309800916666662E-6</v>
      </c>
      <c r="K68" s="60">
        <v>5.8220354166666675E-6</v>
      </c>
      <c r="L68" s="51"/>
      <c r="M68" s="67">
        <v>5.8265077541666673E-6</v>
      </c>
      <c r="N68" s="68">
        <v>6.3248403480088778E-9</v>
      </c>
      <c r="P68" s="86" t="s">
        <v>134</v>
      </c>
      <c r="Q68" s="87" t="s">
        <v>135</v>
      </c>
      <c r="R68" s="88" t="s">
        <v>108</v>
      </c>
      <c r="S68" s="88" t="s">
        <v>136</v>
      </c>
      <c r="T68" s="88" t="s">
        <v>137</v>
      </c>
      <c r="U68" s="88" t="s">
        <v>138</v>
      </c>
      <c r="V68" s="88" t="s">
        <v>130</v>
      </c>
    </row>
    <row r="69" spans="1:22" ht="18.75" thickTop="1" x14ac:dyDescent="0.35">
      <c r="C69" s="76"/>
      <c r="E69" s="19" t="s">
        <v>119</v>
      </c>
      <c r="F69" s="20">
        <v>0.11</v>
      </c>
      <c r="H69" s="83" t="s">
        <v>129</v>
      </c>
      <c r="I69" s="25"/>
      <c r="J69" s="48">
        <v>1.7687684480000001</v>
      </c>
      <c r="K69" s="37">
        <v>2.2235760676000003</v>
      </c>
      <c r="L69" s="25"/>
      <c r="M69" s="69">
        <v>1.9961722578000001</v>
      </c>
      <c r="N69" s="65">
        <v>0.32159755195447126</v>
      </c>
      <c r="Q69" s="89"/>
      <c r="R69" s="89" t="s">
        <v>122</v>
      </c>
      <c r="S69" s="93">
        <v>37.494911463236839</v>
      </c>
      <c r="T69" s="93">
        <v>20.828125133455583</v>
      </c>
      <c r="U69" s="89" t="s">
        <v>155</v>
      </c>
      <c r="V69" s="96">
        <v>1.1758254966981063</v>
      </c>
    </row>
    <row r="70" spans="1:22" ht="30" x14ac:dyDescent="0.25">
      <c r="C70" s="76"/>
      <c r="E70" s="19" t="s">
        <v>120</v>
      </c>
      <c r="F70" s="21">
        <v>2</v>
      </c>
      <c r="H70" s="83" t="s">
        <v>130</v>
      </c>
      <c r="I70" s="25"/>
      <c r="J70" s="49">
        <v>0.98537960274605707</v>
      </c>
      <c r="K70" s="40">
        <v>0.72829584667544556</v>
      </c>
      <c r="L70" s="25" t="s">
        <v>155</v>
      </c>
      <c r="M70" s="38">
        <v>0.85683772471075126</v>
      </c>
      <c r="N70" s="70">
        <v>0.18178566725043818</v>
      </c>
      <c r="P70" s="90" t="s">
        <v>51</v>
      </c>
      <c r="Q70" s="95">
        <v>10</v>
      </c>
      <c r="R70" s="89" t="s">
        <v>133</v>
      </c>
      <c r="S70" s="93">
        <v>29.969389144283522</v>
      </c>
      <c r="T70" s="93">
        <v>23.80291615303123</v>
      </c>
      <c r="U70" s="89" t="s">
        <v>155</v>
      </c>
      <c r="V70" s="96">
        <v>0.85683772471075126</v>
      </c>
    </row>
    <row r="71" spans="1:22" ht="18.75" thickBot="1" x14ac:dyDescent="0.4">
      <c r="C71" s="76"/>
      <c r="E71" s="22" t="s">
        <v>121</v>
      </c>
      <c r="F71" s="23">
        <v>10</v>
      </c>
      <c r="H71" s="84" t="s">
        <v>132</v>
      </c>
      <c r="I71" s="52"/>
      <c r="J71" s="74">
        <v>29.969389144283522</v>
      </c>
      <c r="K71" s="53">
        <v>23.80291615303123</v>
      </c>
      <c r="L71" s="52" t="s">
        <v>155</v>
      </c>
      <c r="M71" s="53">
        <v>26.886152648657376</v>
      </c>
      <c r="N71" s="71">
        <v>4.3603548681181721</v>
      </c>
      <c r="P71" s="91"/>
      <c r="Q71" s="97"/>
      <c r="R71" s="98" t="s">
        <v>104</v>
      </c>
      <c r="S71" s="99">
        <v>0.7992921699166573</v>
      </c>
      <c r="T71" s="99">
        <v>1.1428256744433194</v>
      </c>
      <c r="U71" s="98" t="s">
        <v>155</v>
      </c>
      <c r="V71" s="98"/>
    </row>
    <row r="72" spans="1:22" ht="15.75" thickBot="1" x14ac:dyDescent="0.3">
      <c r="H72" s="58" t="s">
        <v>104</v>
      </c>
      <c r="I72" s="59"/>
      <c r="J72" s="61">
        <v>0.7992921699166573</v>
      </c>
      <c r="K72" s="61">
        <v>1.1428256744433194</v>
      </c>
      <c r="L72" s="59" t="s">
        <v>155</v>
      </c>
      <c r="M72" s="124">
        <v>0.97105892217998835</v>
      </c>
      <c r="N72" s="301">
        <v>0.24291487061558245</v>
      </c>
      <c r="P72" s="92"/>
      <c r="Q72" s="101"/>
      <c r="R72" s="89"/>
      <c r="S72" s="89"/>
      <c r="T72" s="89"/>
      <c r="U72" s="89"/>
      <c r="V72" s="89"/>
    </row>
    <row r="73" spans="1:22" ht="15.75" thickTop="1" x14ac:dyDescent="0.25"/>
    <row r="78" spans="1:22" ht="15.75" thickBot="1" x14ac:dyDescent="0.3">
      <c r="H78" s="76" t="s">
        <v>122</v>
      </c>
    </row>
    <row r="79" spans="1:22" ht="15.75" thickTop="1" x14ac:dyDescent="0.25">
      <c r="A79" s="1" t="s">
        <v>53</v>
      </c>
      <c r="B79" s="1" t="s">
        <v>97</v>
      </c>
      <c r="C79" s="1" t="s">
        <v>98</v>
      </c>
      <c r="D79" s="1">
        <v>0.156</v>
      </c>
      <c r="E79" s="1">
        <v>89375.258000000002</v>
      </c>
      <c r="F79" s="1">
        <v>1.7454000000000001E-6</v>
      </c>
      <c r="H79" s="77" t="s">
        <v>123</v>
      </c>
      <c r="I79" s="31">
        <v>7.4999999999999997E-2</v>
      </c>
      <c r="J79" s="32">
        <v>3.8165454055999999</v>
      </c>
      <c r="K79" s="32">
        <v>4.1207183964</v>
      </c>
      <c r="L79" s="33"/>
      <c r="M79" s="41">
        <v>3.9686319010000002</v>
      </c>
      <c r="N79" s="102">
        <v>0.21508278444847342</v>
      </c>
      <c r="P79" s="1" t="s">
        <v>122</v>
      </c>
      <c r="Q79" s="14">
        <v>0.39982937896283566</v>
      </c>
      <c r="R79" s="14">
        <v>0.18120738836945999</v>
      </c>
    </row>
    <row r="80" spans="1:22" x14ac:dyDescent="0.25">
      <c r="A80" s="1" t="s">
        <v>54</v>
      </c>
      <c r="B80" s="1" t="s">
        <v>97</v>
      </c>
      <c r="C80" s="1" t="s">
        <v>98</v>
      </c>
      <c r="E80" s="1">
        <v>91457.202999999994</v>
      </c>
      <c r="H80" s="78" t="s">
        <v>124</v>
      </c>
      <c r="I80" s="27">
        <v>0.25</v>
      </c>
      <c r="J80" s="104">
        <v>3.4007285175522099E-3</v>
      </c>
      <c r="K80" s="104">
        <v>6.7042787999999996E-3</v>
      </c>
      <c r="L80" s="25"/>
      <c r="M80" s="120">
        <v>5.0525036587761047E-3</v>
      </c>
      <c r="N80" s="110">
        <v>2.3359628067095668E-3</v>
      </c>
      <c r="P80" s="1" t="s">
        <v>133</v>
      </c>
      <c r="Q80" s="13">
        <v>2.6305418342352151</v>
      </c>
      <c r="R80" s="14">
        <v>0.21434499771942112</v>
      </c>
    </row>
    <row r="81" spans="1:22" x14ac:dyDescent="0.25">
      <c r="A81" s="1" t="s">
        <v>55</v>
      </c>
      <c r="B81" s="1" t="s">
        <v>97</v>
      </c>
      <c r="C81" s="1" t="s">
        <v>98</v>
      </c>
      <c r="E81" s="1">
        <v>86899.218999999997</v>
      </c>
      <c r="H81" s="78" t="s">
        <v>125</v>
      </c>
      <c r="I81" s="29">
        <v>7.4999999999999997E-2</v>
      </c>
      <c r="J81" s="30">
        <v>3.9509624031999997</v>
      </c>
      <c r="K81" s="30">
        <v>4.0083343307999995</v>
      </c>
      <c r="L81" s="25"/>
      <c r="M81" s="37">
        <v>3.9796483669999994</v>
      </c>
      <c r="N81" s="43">
        <v>4.0568079055703476E-2</v>
      </c>
    </row>
    <row r="82" spans="1:22" x14ac:dyDescent="0.25">
      <c r="A82" s="1" t="s">
        <v>56</v>
      </c>
      <c r="B82" s="1" t="s">
        <v>97</v>
      </c>
      <c r="C82" s="1" t="s">
        <v>98</v>
      </c>
      <c r="E82" s="1">
        <v>91003.108999999997</v>
      </c>
      <c r="H82" s="78" t="s">
        <v>126</v>
      </c>
      <c r="I82" s="25"/>
      <c r="J82" s="25"/>
      <c r="K82" s="25"/>
      <c r="L82" s="25"/>
      <c r="M82" s="25"/>
      <c r="N82" s="34"/>
    </row>
    <row r="83" spans="1:22" ht="15.75" thickBot="1" x14ac:dyDescent="0.3">
      <c r="A83" s="1" t="s">
        <v>57</v>
      </c>
      <c r="B83" s="1" t="s">
        <v>97</v>
      </c>
      <c r="C83" s="1" t="s">
        <v>98</v>
      </c>
      <c r="D83" s="1">
        <v>73.956000000000003</v>
      </c>
      <c r="E83" s="1">
        <v>86899.218999999997</v>
      </c>
      <c r="F83" s="1">
        <v>8.5105482938805245E-4</v>
      </c>
      <c r="H83" s="79" t="s">
        <v>127</v>
      </c>
      <c r="I83" s="26"/>
      <c r="J83" s="107">
        <v>1.7454000000000001E-6</v>
      </c>
      <c r="K83" s="106">
        <v>0</v>
      </c>
      <c r="L83" s="26"/>
      <c r="M83" s="107">
        <v>8.7270000000000003E-7</v>
      </c>
      <c r="N83" s="111">
        <v>1.2341841758830001E-6</v>
      </c>
    </row>
    <row r="84" spans="1:22" x14ac:dyDescent="0.25">
      <c r="A84" s="1" t="s">
        <v>58</v>
      </c>
      <c r="B84" s="1" t="s">
        <v>97</v>
      </c>
      <c r="C84" s="1" t="s">
        <v>98</v>
      </c>
      <c r="D84" s="1">
        <v>146.19200000000001</v>
      </c>
      <c r="E84" s="1">
        <v>87177.710999999996</v>
      </c>
      <c r="F84" s="1">
        <v>1.6769424E-3</v>
      </c>
      <c r="H84" s="80" t="s">
        <v>128</v>
      </c>
      <c r="I84" s="24"/>
      <c r="J84" s="47">
        <v>1.1808085130389618E-7</v>
      </c>
      <c r="K84" s="36">
        <v>2.3278745833333332E-7</v>
      </c>
      <c r="L84" s="24"/>
      <c r="M84" s="36">
        <v>1.7543415481861474E-7</v>
      </c>
      <c r="N84" s="45">
        <v>8.1109819677415508E-8</v>
      </c>
    </row>
    <row r="85" spans="1:22" ht="18" x14ac:dyDescent="0.35">
      <c r="A85" s="1" t="s">
        <v>81</v>
      </c>
      <c r="B85" s="1" t="s">
        <v>97</v>
      </c>
      <c r="C85" s="1" t="s">
        <v>98</v>
      </c>
      <c r="D85" s="1">
        <v>80628.085999999996</v>
      </c>
      <c r="E85" s="1">
        <v>81628.733999999997</v>
      </c>
      <c r="F85" s="1">
        <v>0.98774147349999997</v>
      </c>
      <c r="H85" s="78" t="s">
        <v>129</v>
      </c>
      <c r="I85" s="25"/>
      <c r="J85" s="48">
        <v>3.9509624031999997</v>
      </c>
      <c r="K85" s="37">
        <v>4.0083343307999995</v>
      </c>
      <c r="L85" s="25"/>
      <c r="M85" s="37">
        <v>3.9796483669999994</v>
      </c>
      <c r="N85" s="43">
        <v>4.0568079055703476E-2</v>
      </c>
    </row>
    <row r="86" spans="1:22" x14ac:dyDescent="0.25">
      <c r="A86" s="1" t="s">
        <v>82</v>
      </c>
      <c r="B86" s="1" t="s">
        <v>97</v>
      </c>
      <c r="C86" s="1" t="s">
        <v>98</v>
      </c>
      <c r="D86" s="1">
        <v>79867.047000000006</v>
      </c>
      <c r="E86" s="1">
        <v>79700.914000000004</v>
      </c>
      <c r="F86" s="1">
        <v>1.0020844553999999</v>
      </c>
      <c r="H86" s="78" t="s">
        <v>130</v>
      </c>
      <c r="I86" s="25"/>
      <c r="J86" s="73">
        <v>0.96884778357416435</v>
      </c>
      <c r="K86" s="38">
        <v>1.0336128801843509</v>
      </c>
      <c r="L86" s="25" t="s">
        <v>155</v>
      </c>
      <c r="M86" s="38">
        <v>1.0012303318792577</v>
      </c>
      <c r="N86" s="46">
        <v>4.5795838997264818E-2</v>
      </c>
    </row>
    <row r="87" spans="1:22" ht="18.75" thickBot="1" x14ac:dyDescent="0.4">
      <c r="A87" s="1" t="s">
        <v>69</v>
      </c>
      <c r="B87" s="1" t="s">
        <v>97</v>
      </c>
      <c r="C87" s="1" t="s">
        <v>98</v>
      </c>
      <c r="D87" s="1">
        <v>71988.625</v>
      </c>
      <c r="E87" s="1">
        <v>75448.922000000006</v>
      </c>
      <c r="F87" s="1">
        <v>0.95413722410000001</v>
      </c>
      <c r="H87" s="81" t="s">
        <v>132</v>
      </c>
      <c r="I87" s="35"/>
      <c r="J87" s="131">
        <v>0.27169640584568605</v>
      </c>
      <c r="K87" s="130">
        <v>0.52796235207998521</v>
      </c>
      <c r="L87" s="35" t="s">
        <v>155</v>
      </c>
      <c r="M87" s="130">
        <v>0.39982937896283566</v>
      </c>
      <c r="N87" s="129">
        <v>0.18120738836945999</v>
      </c>
    </row>
    <row r="88" spans="1:22" ht="15.75" thickTop="1" x14ac:dyDescent="0.25">
      <c r="A88" s="1" t="s">
        <v>70</v>
      </c>
      <c r="B88" s="1" t="s">
        <v>97</v>
      </c>
      <c r="C88" s="1" t="s">
        <v>98</v>
      </c>
      <c r="D88" s="1">
        <v>76356.445000000007</v>
      </c>
      <c r="E88" s="1">
        <v>74119.483999999997</v>
      </c>
      <c r="F88" s="1">
        <v>1.0301804718000001</v>
      </c>
      <c r="H88" s="75"/>
    </row>
    <row r="89" spans="1:22" ht="15.75" thickBot="1" x14ac:dyDescent="0.3">
      <c r="A89" s="1" t="s">
        <v>63</v>
      </c>
      <c r="B89" s="1" t="s">
        <v>97</v>
      </c>
      <c r="C89" s="1" t="s">
        <v>98</v>
      </c>
      <c r="D89" s="1">
        <v>2547.2849999999999</v>
      </c>
      <c r="E89" s="1">
        <v>77309.304999999993</v>
      </c>
      <c r="F89" s="1">
        <v>3.2949267900000002E-2</v>
      </c>
      <c r="H89" s="76" t="s">
        <v>133</v>
      </c>
    </row>
    <row r="90" spans="1:22" ht="15.75" thickTop="1" x14ac:dyDescent="0.25">
      <c r="A90" s="1" t="s">
        <v>64</v>
      </c>
      <c r="B90" s="1" t="s">
        <v>97</v>
      </c>
      <c r="C90" s="1" t="s">
        <v>98</v>
      </c>
      <c r="D90" s="1">
        <v>2395.174</v>
      </c>
      <c r="E90" s="1">
        <v>78844.702999999994</v>
      </c>
      <c r="F90" s="1">
        <v>3.03783756E-2</v>
      </c>
      <c r="H90" s="82" t="s">
        <v>123</v>
      </c>
      <c r="I90" s="54">
        <v>0.25</v>
      </c>
      <c r="J90" s="55">
        <v>4.3385697943999997</v>
      </c>
      <c r="K90" s="55">
        <v>4.6473338512</v>
      </c>
      <c r="L90" s="56"/>
      <c r="M90" s="63">
        <v>4.4929518228000003</v>
      </c>
      <c r="N90" s="64">
        <v>0.21832915834994854</v>
      </c>
    </row>
    <row r="91" spans="1:22" x14ac:dyDescent="0.25">
      <c r="A91" s="1" t="s">
        <v>87</v>
      </c>
      <c r="B91" s="1" t="s">
        <v>97</v>
      </c>
      <c r="C91" s="1" t="s">
        <v>98</v>
      </c>
      <c r="D91" s="1">
        <v>90046</v>
      </c>
      <c r="E91" s="1">
        <v>80289.054999999993</v>
      </c>
      <c r="F91" s="1">
        <v>1.1215227281</v>
      </c>
      <c r="H91" s="83" t="s">
        <v>124</v>
      </c>
      <c r="I91" s="29">
        <v>7.4999999999999997E-2</v>
      </c>
      <c r="J91" s="28">
        <v>0.13179707160000001</v>
      </c>
      <c r="K91" s="28">
        <v>0.1215135024</v>
      </c>
      <c r="L91" s="25"/>
      <c r="M91" s="27">
        <v>0.12665528700000001</v>
      </c>
      <c r="N91" s="113">
        <v>7.2715815161211259E-3</v>
      </c>
    </row>
    <row r="92" spans="1:22" x14ac:dyDescent="0.25">
      <c r="A92" s="1" t="s">
        <v>88</v>
      </c>
      <c r="B92" s="1" t="s">
        <v>97</v>
      </c>
      <c r="C92" s="1" t="s">
        <v>98</v>
      </c>
      <c r="D92" s="1">
        <v>89763.858999999997</v>
      </c>
      <c r="E92" s="1">
        <v>77352.327999999994</v>
      </c>
      <c r="F92" s="1">
        <v>1.1604545244</v>
      </c>
      <c r="H92" s="83" t="s">
        <v>125</v>
      </c>
      <c r="I92" s="27">
        <v>0.25</v>
      </c>
      <c r="J92" s="30">
        <v>4.4860909123999999</v>
      </c>
      <c r="K92" s="30">
        <v>4.6418180975999999</v>
      </c>
      <c r="L92" s="25"/>
      <c r="M92" s="37">
        <v>4.5639545049999999</v>
      </c>
      <c r="N92" s="65">
        <v>0.11011574867001334</v>
      </c>
    </row>
    <row r="93" spans="1:22" x14ac:dyDescent="0.25">
      <c r="A93" s="1" t="s">
        <v>75</v>
      </c>
      <c r="B93" s="1" t="s">
        <v>97</v>
      </c>
      <c r="C93" s="1" t="s">
        <v>98</v>
      </c>
      <c r="D93" s="1">
        <v>84609.991999999998</v>
      </c>
      <c r="E93" s="1">
        <v>78007.266000000003</v>
      </c>
      <c r="F93" s="1">
        <v>1.0846424485999999</v>
      </c>
      <c r="H93" s="83" t="s">
        <v>126</v>
      </c>
      <c r="I93" s="25"/>
      <c r="J93" s="25"/>
      <c r="K93" s="25"/>
      <c r="L93" s="25"/>
      <c r="M93" s="25"/>
      <c r="N93" s="57"/>
    </row>
    <row r="94" spans="1:22" ht="15.75" thickBot="1" x14ac:dyDescent="0.3">
      <c r="A94" s="1" t="s">
        <v>76</v>
      </c>
      <c r="B94" s="1" t="s">
        <v>97</v>
      </c>
      <c r="C94" s="1" t="s">
        <v>98</v>
      </c>
      <c r="D94" s="1">
        <v>88215.891000000003</v>
      </c>
      <c r="E94" s="1">
        <v>75928.172000000006</v>
      </c>
      <c r="F94" s="1">
        <v>1.1618334628</v>
      </c>
      <c r="H94" s="84" t="s">
        <v>127</v>
      </c>
      <c r="I94" s="52"/>
      <c r="J94" s="53">
        <v>0</v>
      </c>
      <c r="K94" s="53">
        <v>0</v>
      </c>
      <c r="L94" s="52"/>
      <c r="M94" s="53">
        <v>0</v>
      </c>
      <c r="N94" s="66">
        <v>0</v>
      </c>
    </row>
    <row r="95" spans="1:22" ht="66.75" thickTop="1" thickBot="1" x14ac:dyDescent="0.3">
      <c r="C95" s="76"/>
      <c r="E95" s="17" t="s">
        <v>4</v>
      </c>
      <c r="F95" s="18">
        <v>4</v>
      </c>
      <c r="H95" s="85" t="s">
        <v>128</v>
      </c>
      <c r="I95" s="51"/>
      <c r="J95" s="72">
        <v>1.3728861625E-6</v>
      </c>
      <c r="K95" s="60">
        <v>1.2657656499999999E-6</v>
      </c>
      <c r="L95" s="51"/>
      <c r="M95" s="60">
        <v>1.31932590625E-6</v>
      </c>
      <c r="N95" s="68">
        <v>7.5745640792928347E-8</v>
      </c>
      <c r="P95" s="86" t="s">
        <v>134</v>
      </c>
      <c r="Q95" s="87" t="s">
        <v>135</v>
      </c>
      <c r="R95" s="88" t="s">
        <v>108</v>
      </c>
      <c r="S95" s="88" t="s">
        <v>136</v>
      </c>
      <c r="T95" s="88" t="s">
        <v>137</v>
      </c>
      <c r="U95" s="88" t="s">
        <v>138</v>
      </c>
      <c r="V95" s="88" t="s">
        <v>130</v>
      </c>
    </row>
    <row r="96" spans="1:22" ht="18.75" thickTop="1" x14ac:dyDescent="0.35">
      <c r="C96" s="76"/>
      <c r="E96" s="19" t="s">
        <v>119</v>
      </c>
      <c r="F96" s="20">
        <v>0.11</v>
      </c>
      <c r="H96" s="83" t="s">
        <v>129</v>
      </c>
      <c r="I96" s="25"/>
      <c r="J96" s="48">
        <v>4.4860909123999999</v>
      </c>
      <c r="K96" s="37">
        <v>4.6418180975999999</v>
      </c>
      <c r="L96" s="25"/>
      <c r="M96" s="37">
        <v>4.5639545049999999</v>
      </c>
      <c r="N96" s="65">
        <v>0.11011574867001334</v>
      </c>
      <c r="Q96" s="89"/>
      <c r="R96" s="89" t="s">
        <v>122</v>
      </c>
      <c r="S96" s="134">
        <v>0.27169640584568605</v>
      </c>
      <c r="T96" s="134">
        <v>0.52796235207998521</v>
      </c>
      <c r="U96" s="89" t="s">
        <v>155</v>
      </c>
      <c r="V96" s="96">
        <v>1.0012303318792577</v>
      </c>
    </row>
    <row r="97" spans="1:22" x14ac:dyDescent="0.25">
      <c r="C97" s="76"/>
      <c r="E97" s="19" t="s">
        <v>120</v>
      </c>
      <c r="F97" s="21">
        <v>2</v>
      </c>
      <c r="H97" s="83" t="s">
        <v>130</v>
      </c>
      <c r="I97" s="25"/>
      <c r="J97" s="73">
        <v>0.97592960137710816</v>
      </c>
      <c r="K97" s="38">
        <v>1.0090416736368235</v>
      </c>
      <c r="L97" s="25" t="s">
        <v>155</v>
      </c>
      <c r="M97" s="40">
        <v>0.99248563750696583</v>
      </c>
      <c r="N97" s="70">
        <v>2.3413770833983692E-2</v>
      </c>
      <c r="P97" s="90" t="s">
        <v>97</v>
      </c>
      <c r="Q97" s="95">
        <v>10</v>
      </c>
      <c r="R97" s="89" t="s">
        <v>133</v>
      </c>
      <c r="S97" s="114">
        <v>2.7821066356360329</v>
      </c>
      <c r="T97" s="114">
        <v>2.4789770328343974</v>
      </c>
      <c r="U97" s="89" t="s">
        <v>155</v>
      </c>
      <c r="V97" s="94">
        <v>0.99248563750696583</v>
      </c>
    </row>
    <row r="98" spans="1:22" ht="18.75" thickBot="1" x14ac:dyDescent="0.4">
      <c r="C98" s="76"/>
      <c r="E98" s="22" t="s">
        <v>121</v>
      </c>
      <c r="F98" s="23">
        <v>10</v>
      </c>
      <c r="H98" s="84" t="s">
        <v>132</v>
      </c>
      <c r="I98" s="52"/>
      <c r="J98" s="121">
        <v>2.7821066356360329</v>
      </c>
      <c r="K98" s="118">
        <v>2.4789770328343974</v>
      </c>
      <c r="L98" s="52" t="s">
        <v>155</v>
      </c>
      <c r="M98" s="118">
        <v>2.6305418342352151</v>
      </c>
      <c r="N98" s="136">
        <v>0.21434499771942112</v>
      </c>
      <c r="P98" s="91"/>
      <c r="Q98" s="97"/>
      <c r="R98" s="98" t="s">
        <v>104</v>
      </c>
      <c r="S98" s="100">
        <v>10.239762381016446</v>
      </c>
      <c r="T98" s="99">
        <v>4.6953670523439852</v>
      </c>
      <c r="U98" s="98" t="s">
        <v>155</v>
      </c>
      <c r="V98" s="98"/>
    </row>
    <row r="99" spans="1:22" ht="15.75" thickBot="1" x14ac:dyDescent="0.3">
      <c r="H99" s="58" t="s">
        <v>104</v>
      </c>
      <c r="I99" s="59"/>
      <c r="J99" s="62">
        <v>10.239762381016446</v>
      </c>
      <c r="K99" s="61">
        <v>4.6953670523439852</v>
      </c>
      <c r="L99" s="59" t="s">
        <v>155</v>
      </c>
      <c r="M99" s="61">
        <v>7.467564716680215</v>
      </c>
      <c r="N99" s="138">
        <v>3.9204795344833157</v>
      </c>
      <c r="P99" s="92"/>
      <c r="Q99" s="101"/>
      <c r="R99" s="89"/>
      <c r="S99" s="89"/>
      <c r="T99" s="89"/>
      <c r="U99" s="89"/>
      <c r="V99" s="89"/>
    </row>
    <row r="100" spans="1:22" ht="15.75" thickTop="1" x14ac:dyDescent="0.25"/>
    <row r="104" spans="1:22" ht="15.75" thickBot="1" x14ac:dyDescent="0.3">
      <c r="H104" s="76" t="s">
        <v>122</v>
      </c>
    </row>
    <row r="105" spans="1:22" ht="15.75" thickTop="1" x14ac:dyDescent="0.25">
      <c r="A105" s="1" t="s">
        <v>53</v>
      </c>
      <c r="B105" s="1" t="s">
        <v>95</v>
      </c>
      <c r="C105" s="1" t="s">
        <v>96</v>
      </c>
      <c r="D105" s="1">
        <v>2.2029999999999998</v>
      </c>
      <c r="E105" s="1">
        <v>89375.258000000002</v>
      </c>
      <c r="F105" s="1">
        <v>2.46489E-5</v>
      </c>
      <c r="H105" s="77" t="s">
        <v>123</v>
      </c>
      <c r="I105" s="31">
        <v>7.4999999999999997E-2</v>
      </c>
      <c r="J105" s="32">
        <v>1.9839533732000001</v>
      </c>
      <c r="K105" s="32">
        <v>1.8750404104</v>
      </c>
      <c r="L105" s="33"/>
      <c r="M105" s="41">
        <v>1.9294968917999999</v>
      </c>
      <c r="N105" s="42">
        <v>7.7013094554998232E-2</v>
      </c>
      <c r="P105" s="1" t="s">
        <v>122</v>
      </c>
      <c r="Q105" s="16">
        <v>5.5370424040330719E-2</v>
      </c>
      <c r="R105" s="16">
        <v>3.1878117261914226E-3</v>
      </c>
    </row>
    <row r="106" spans="1:22" x14ac:dyDescent="0.25">
      <c r="A106" s="1" t="s">
        <v>54</v>
      </c>
      <c r="B106" s="1" t="s">
        <v>95</v>
      </c>
      <c r="C106" s="1" t="s">
        <v>96</v>
      </c>
      <c r="D106" s="1">
        <v>3.0379999999999998</v>
      </c>
      <c r="E106" s="1">
        <v>91457.202999999994</v>
      </c>
      <c r="F106" s="1">
        <v>3.3217699999999999E-5</v>
      </c>
      <c r="H106" s="78" t="s">
        <v>124</v>
      </c>
      <c r="I106" s="27">
        <v>0.25</v>
      </c>
      <c r="J106" s="105">
        <v>3.8207240000000004E-4</v>
      </c>
      <c r="K106" s="112">
        <v>3.8207240000000004E-4</v>
      </c>
      <c r="L106" s="25"/>
      <c r="M106" s="108">
        <v>3.8207240000000004E-4</v>
      </c>
      <c r="N106" s="109">
        <v>0</v>
      </c>
      <c r="P106" s="1" t="s">
        <v>133</v>
      </c>
      <c r="Q106" s="13">
        <v>5.3443132177271746</v>
      </c>
      <c r="R106" s="13">
        <v>1.5485507113406061</v>
      </c>
    </row>
    <row r="107" spans="1:22" x14ac:dyDescent="0.25">
      <c r="A107" s="1" t="s">
        <v>55</v>
      </c>
      <c r="B107" s="1" t="s">
        <v>95</v>
      </c>
      <c r="C107" s="1" t="s">
        <v>96</v>
      </c>
      <c r="D107" s="1">
        <v>2.3679999999999999</v>
      </c>
      <c r="E107" s="1">
        <v>86899.218999999997</v>
      </c>
      <c r="F107" s="1">
        <v>2.7250000000000002E-5</v>
      </c>
      <c r="H107" s="78" t="s">
        <v>125</v>
      </c>
      <c r="I107" s="29">
        <v>7.4999999999999997E-2</v>
      </c>
      <c r="J107" s="30">
        <v>2.0929216315999999</v>
      </c>
      <c r="K107" s="30">
        <v>2.2705583767999999</v>
      </c>
      <c r="L107" s="25"/>
      <c r="M107" s="37">
        <v>2.1817400041999999</v>
      </c>
      <c r="N107" s="44">
        <v>0.12560814711882695</v>
      </c>
    </row>
    <row r="108" spans="1:22" x14ac:dyDescent="0.25">
      <c r="A108" s="1" t="s">
        <v>56</v>
      </c>
      <c r="B108" s="1" t="s">
        <v>95</v>
      </c>
      <c r="C108" s="1" t="s">
        <v>96</v>
      </c>
      <c r="D108" s="1">
        <v>1.7509999999999999</v>
      </c>
      <c r="E108" s="1">
        <v>91003.108999999997</v>
      </c>
      <c r="F108" s="1">
        <v>1.9241100000000001E-5</v>
      </c>
      <c r="H108" s="78" t="s">
        <v>126</v>
      </c>
      <c r="I108" s="25"/>
      <c r="J108" s="25"/>
      <c r="K108" s="25"/>
      <c r="L108" s="25"/>
      <c r="M108" s="25"/>
      <c r="N108" s="34"/>
    </row>
    <row r="109" spans="1:22" ht="15.75" thickBot="1" x14ac:dyDescent="0.3">
      <c r="A109" s="1" t="s">
        <v>59</v>
      </c>
      <c r="B109" s="1" t="s">
        <v>95</v>
      </c>
      <c r="C109" s="1" t="s">
        <v>96</v>
      </c>
      <c r="D109" s="1">
        <v>9.9130000000000003</v>
      </c>
      <c r="E109" s="1">
        <v>79653.608999999997</v>
      </c>
      <c r="F109" s="1">
        <v>1.2445140000000001E-4</v>
      </c>
      <c r="H109" s="79" t="s">
        <v>127</v>
      </c>
      <c r="I109" s="26"/>
      <c r="J109" s="107">
        <v>2.46489E-5</v>
      </c>
      <c r="K109" s="107">
        <v>3.3217699999999999E-5</v>
      </c>
      <c r="L109" s="26"/>
      <c r="M109" s="107">
        <v>2.89333E-5</v>
      </c>
      <c r="N109" s="111">
        <v>6.0590565866312877E-6</v>
      </c>
    </row>
    <row r="110" spans="1:22" x14ac:dyDescent="0.25">
      <c r="A110" s="1" t="s">
        <v>60</v>
      </c>
      <c r="B110" s="1" t="s">
        <v>95</v>
      </c>
      <c r="C110" s="1" t="s">
        <v>96</v>
      </c>
      <c r="D110" s="1">
        <v>9.9130000000000003</v>
      </c>
      <c r="E110" s="1">
        <v>79653.608999999997</v>
      </c>
      <c r="F110" s="1">
        <v>1.2445140000000001E-4</v>
      </c>
      <c r="H110" s="80" t="s">
        <v>128</v>
      </c>
      <c r="I110" s="24"/>
      <c r="J110" s="47">
        <v>1.3266402777777778E-8</v>
      </c>
      <c r="K110" s="115">
        <v>1.3266402777777778E-8</v>
      </c>
      <c r="L110" s="24"/>
      <c r="M110" s="36">
        <v>1.3266402777777778E-8</v>
      </c>
      <c r="N110" s="45">
        <v>0</v>
      </c>
    </row>
    <row r="111" spans="1:22" ht="18" x14ac:dyDescent="0.35">
      <c r="A111" s="1" t="s">
        <v>83</v>
      </c>
      <c r="B111" s="1" t="s">
        <v>95</v>
      </c>
      <c r="C111" s="1" t="s">
        <v>96</v>
      </c>
      <c r="D111" s="1">
        <v>42071.625</v>
      </c>
      <c r="E111" s="1">
        <v>80403.008000000002</v>
      </c>
      <c r="F111" s="1">
        <v>0.52325934119999995</v>
      </c>
      <c r="H111" s="78" t="s">
        <v>129</v>
      </c>
      <c r="I111" s="25"/>
      <c r="J111" s="48">
        <v>2.0929216315999999</v>
      </c>
      <c r="K111" s="37">
        <v>2.2705583767999999</v>
      </c>
      <c r="L111" s="25"/>
      <c r="M111" s="37">
        <v>2.1817400041999999</v>
      </c>
      <c r="N111" s="44">
        <v>0.12560814711882695</v>
      </c>
    </row>
    <row r="112" spans="1:22" x14ac:dyDescent="0.25">
      <c r="A112" s="1" t="s">
        <v>84</v>
      </c>
      <c r="B112" s="1" t="s">
        <v>95</v>
      </c>
      <c r="C112" s="1" t="s">
        <v>96</v>
      </c>
      <c r="D112" s="1">
        <v>43733.906000000003</v>
      </c>
      <c r="E112" s="1">
        <v>77041.273000000001</v>
      </c>
      <c r="F112" s="1">
        <v>0.56766852749999996</v>
      </c>
      <c r="H112" s="78" t="s">
        <v>130</v>
      </c>
      <c r="I112" s="25"/>
      <c r="J112" s="73">
        <v>0.94854337491318164</v>
      </c>
      <c r="K112" s="40">
        <v>0.82636676697607758</v>
      </c>
      <c r="L112" s="25" t="s">
        <v>155</v>
      </c>
      <c r="M112" s="40">
        <v>0.88745507094462961</v>
      </c>
      <c r="N112" s="46">
        <v>8.6391907974696439E-2</v>
      </c>
    </row>
    <row r="113" spans="1:22" ht="18.75" thickBot="1" x14ac:dyDescent="0.4">
      <c r="A113" s="1" t="s">
        <v>71</v>
      </c>
      <c r="B113" s="1" t="s">
        <v>95</v>
      </c>
      <c r="C113" s="1" t="s">
        <v>96</v>
      </c>
      <c r="D113" s="1">
        <v>36865</v>
      </c>
      <c r="E113" s="1">
        <v>74322.008000000002</v>
      </c>
      <c r="F113" s="1">
        <v>0.4960172766</v>
      </c>
      <c r="H113" s="81" t="s">
        <v>132</v>
      </c>
      <c r="I113" s="35"/>
      <c r="J113" s="141">
        <v>5.7624547329066668E-2</v>
      </c>
      <c r="K113" s="39">
        <v>5.3116300751594771E-2</v>
      </c>
      <c r="L113" s="35" t="s">
        <v>155</v>
      </c>
      <c r="M113" s="122">
        <v>5.5370424040330719E-2</v>
      </c>
      <c r="N113" s="140">
        <v>3.1878117261914226E-3</v>
      </c>
    </row>
    <row r="114" spans="1:22" ht="15.75" thickTop="1" x14ac:dyDescent="0.25">
      <c r="A114" s="1" t="s">
        <v>72</v>
      </c>
      <c r="B114" s="1" t="s">
        <v>95</v>
      </c>
      <c r="C114" s="1" t="s">
        <v>96</v>
      </c>
      <c r="D114" s="1">
        <v>35163.957000000002</v>
      </c>
      <c r="E114" s="1">
        <v>75010.195000000007</v>
      </c>
      <c r="F114" s="1">
        <v>0.46878903589999998</v>
      </c>
      <c r="H114" s="75"/>
    </row>
    <row r="115" spans="1:22" ht="15.75" thickBot="1" x14ac:dyDescent="0.3">
      <c r="A115" s="1" t="s">
        <v>65</v>
      </c>
      <c r="B115" s="1" t="s">
        <v>95</v>
      </c>
      <c r="C115" s="1" t="s">
        <v>96</v>
      </c>
      <c r="D115" s="1">
        <v>3241.627</v>
      </c>
      <c r="E115" s="1">
        <v>75307.452999999994</v>
      </c>
      <c r="F115" s="1">
        <v>4.3045234799999998E-2</v>
      </c>
      <c r="H115" s="76" t="s">
        <v>133</v>
      </c>
    </row>
    <row r="116" spans="1:22" ht="15.75" thickTop="1" x14ac:dyDescent="0.25">
      <c r="A116" s="1" t="s">
        <v>66</v>
      </c>
      <c r="B116" s="1" t="s">
        <v>95</v>
      </c>
      <c r="C116" s="1" t="s">
        <v>96</v>
      </c>
      <c r="D116" s="1">
        <v>2041.8389999999999</v>
      </c>
      <c r="E116" s="1">
        <v>74202.976999999999</v>
      </c>
      <c r="F116" s="1">
        <v>2.75169418E-2</v>
      </c>
      <c r="H116" s="82" t="s">
        <v>123</v>
      </c>
      <c r="I116" s="54">
        <v>0.25</v>
      </c>
      <c r="J116" s="55">
        <v>2.2677983882000001</v>
      </c>
      <c r="K116" s="55">
        <v>2.1869431978000002</v>
      </c>
      <c r="L116" s="56"/>
      <c r="M116" s="63">
        <v>2.2273707930000004</v>
      </c>
      <c r="N116" s="119">
        <v>5.7173253425969357E-2</v>
      </c>
    </row>
    <row r="117" spans="1:22" x14ac:dyDescent="0.25">
      <c r="A117" s="1" t="s">
        <v>89</v>
      </c>
      <c r="B117" s="1" t="s">
        <v>95</v>
      </c>
      <c r="C117" s="1" t="s">
        <v>96</v>
      </c>
      <c r="D117" s="1">
        <v>47924.843999999997</v>
      </c>
      <c r="E117" s="1">
        <v>75745.547000000006</v>
      </c>
      <c r="F117" s="1">
        <v>0.632708402</v>
      </c>
      <c r="H117" s="83" t="s">
        <v>124</v>
      </c>
      <c r="I117" s="29">
        <v>7.4999999999999997E-2</v>
      </c>
      <c r="J117" s="28">
        <v>0.17208795699999999</v>
      </c>
      <c r="K117" s="28">
        <v>0.10997478500000001</v>
      </c>
      <c r="L117" s="25"/>
      <c r="M117" s="27">
        <v>0.14103137099999999</v>
      </c>
      <c r="N117" s="128">
        <v>4.3920645122206399E-2</v>
      </c>
    </row>
    <row r="118" spans="1:22" x14ac:dyDescent="0.25">
      <c r="A118" s="1" t="s">
        <v>90</v>
      </c>
      <c r="B118" s="1" t="s">
        <v>95</v>
      </c>
      <c r="C118" s="1" t="s">
        <v>96</v>
      </c>
      <c r="D118" s="1">
        <v>46176.879000000001</v>
      </c>
      <c r="E118" s="1">
        <v>75363.070000000007</v>
      </c>
      <c r="F118" s="1">
        <v>0.61272555640000004</v>
      </c>
      <c r="H118" s="83" t="s">
        <v>125</v>
      </c>
      <c r="I118" s="27">
        <v>0.25</v>
      </c>
      <c r="J118" s="30">
        <v>2.5307406258</v>
      </c>
      <c r="K118" s="30">
        <v>2.4508092434000002</v>
      </c>
      <c r="L118" s="25"/>
      <c r="M118" s="37">
        <v>2.4907749346000001</v>
      </c>
      <c r="N118" s="128">
        <v>5.6520022524654961E-2</v>
      </c>
    </row>
    <row r="119" spans="1:22" x14ac:dyDescent="0.25">
      <c r="A119" s="1" t="s">
        <v>77</v>
      </c>
      <c r="B119" s="1" t="s">
        <v>95</v>
      </c>
      <c r="C119" s="1" t="s">
        <v>96</v>
      </c>
      <c r="D119" s="1">
        <v>39618.875</v>
      </c>
      <c r="E119" s="1">
        <v>69877.906000000003</v>
      </c>
      <c r="F119" s="1">
        <v>0.56697284260000003</v>
      </c>
      <c r="H119" s="83" t="s">
        <v>126</v>
      </c>
      <c r="I119" s="25"/>
      <c r="J119" s="25"/>
      <c r="K119" s="25"/>
      <c r="L119" s="25"/>
      <c r="M119" s="25"/>
      <c r="N119" s="57"/>
    </row>
    <row r="120" spans="1:22" ht="15.75" thickBot="1" x14ac:dyDescent="0.3">
      <c r="A120" s="1" t="s">
        <v>78</v>
      </c>
      <c r="B120" s="1" t="s">
        <v>95</v>
      </c>
      <c r="C120" s="1" t="s">
        <v>96</v>
      </c>
      <c r="D120" s="1">
        <v>40189.843999999997</v>
      </c>
      <c r="E120" s="1">
        <v>73505.585999999996</v>
      </c>
      <c r="F120" s="1">
        <v>0.54675904500000005</v>
      </c>
      <c r="H120" s="84" t="s">
        <v>127</v>
      </c>
      <c r="I120" s="52"/>
      <c r="J120" s="123">
        <v>2.7250000000000002E-5</v>
      </c>
      <c r="K120" s="123">
        <v>1.9241100000000001E-5</v>
      </c>
      <c r="L120" s="52"/>
      <c r="M120" s="123">
        <v>2.3245550000000003E-5</v>
      </c>
      <c r="N120" s="125">
        <v>5.6631474998449404E-6</v>
      </c>
    </row>
    <row r="121" spans="1:22" ht="66.75" thickTop="1" thickBot="1" x14ac:dyDescent="0.3">
      <c r="C121" s="76"/>
      <c r="E121" s="17" t="s">
        <v>4</v>
      </c>
      <c r="F121" s="18">
        <v>4</v>
      </c>
      <c r="H121" s="85" t="s">
        <v>128</v>
      </c>
      <c r="I121" s="51"/>
      <c r="J121" s="72">
        <v>1.7925828854166666E-6</v>
      </c>
      <c r="K121" s="60">
        <v>1.1455706770833334E-6</v>
      </c>
      <c r="L121" s="51"/>
      <c r="M121" s="60">
        <v>1.4690767812500001E-6</v>
      </c>
      <c r="N121" s="68">
        <v>4.5750672002298317E-7</v>
      </c>
      <c r="P121" s="86" t="s">
        <v>134</v>
      </c>
      <c r="Q121" s="87" t="s">
        <v>135</v>
      </c>
      <c r="R121" s="88" t="s">
        <v>108</v>
      </c>
      <c r="S121" s="88" t="s">
        <v>136</v>
      </c>
      <c r="T121" s="88" t="s">
        <v>137</v>
      </c>
      <c r="U121" s="88" t="s">
        <v>138</v>
      </c>
      <c r="V121" s="88" t="s">
        <v>130</v>
      </c>
    </row>
    <row r="122" spans="1:22" ht="18.75" thickTop="1" x14ac:dyDescent="0.35">
      <c r="C122" s="76"/>
      <c r="E122" s="19" t="s">
        <v>119</v>
      </c>
      <c r="F122" s="20">
        <v>0.11</v>
      </c>
      <c r="H122" s="83" t="s">
        <v>129</v>
      </c>
      <c r="I122" s="25"/>
      <c r="J122" s="48">
        <v>2.5307406258</v>
      </c>
      <c r="K122" s="37">
        <v>2.4508092434000002</v>
      </c>
      <c r="L122" s="25"/>
      <c r="M122" s="37">
        <v>2.4907749346000001</v>
      </c>
      <c r="N122" s="128">
        <v>5.6520022524654961E-2</v>
      </c>
      <c r="Q122" s="89"/>
      <c r="R122" s="89" t="s">
        <v>122</v>
      </c>
      <c r="S122" s="126">
        <v>5.7624547329066668E-2</v>
      </c>
      <c r="T122" s="93">
        <v>5.3116300751594771E-2</v>
      </c>
      <c r="U122" s="89" t="s">
        <v>155</v>
      </c>
      <c r="V122" s="94">
        <v>0.88745507094462961</v>
      </c>
    </row>
    <row r="123" spans="1:22" x14ac:dyDescent="0.25">
      <c r="C123" s="76"/>
      <c r="E123" s="19" t="s">
        <v>120</v>
      </c>
      <c r="F123" s="21">
        <v>2</v>
      </c>
      <c r="H123" s="83" t="s">
        <v>130</v>
      </c>
      <c r="I123" s="25"/>
      <c r="J123" s="73">
        <v>0.91650039188302812</v>
      </c>
      <c r="K123" s="40">
        <v>0.90579698900608463</v>
      </c>
      <c r="L123" s="25" t="s">
        <v>155</v>
      </c>
      <c r="M123" s="40">
        <v>0.91114869044455638</v>
      </c>
      <c r="N123" s="139">
        <v>7.5684487560583446E-3</v>
      </c>
      <c r="P123" s="90" t="s">
        <v>95</v>
      </c>
      <c r="Q123" s="95">
        <v>10</v>
      </c>
      <c r="R123" s="89" t="s">
        <v>133</v>
      </c>
      <c r="S123" s="114">
        <v>6.4393039267273702</v>
      </c>
      <c r="T123" s="114">
        <v>4.249322508726979</v>
      </c>
      <c r="U123" s="89" t="s">
        <v>155</v>
      </c>
      <c r="V123" s="94">
        <v>0.91114869044455638</v>
      </c>
    </row>
    <row r="124" spans="1:22" ht="18.75" thickBot="1" x14ac:dyDescent="0.4">
      <c r="C124" s="76"/>
      <c r="E124" s="22" t="s">
        <v>121</v>
      </c>
      <c r="F124" s="23">
        <v>10</v>
      </c>
      <c r="H124" s="84" t="s">
        <v>132</v>
      </c>
      <c r="I124" s="52"/>
      <c r="J124" s="121">
        <v>6.4393039267273702</v>
      </c>
      <c r="K124" s="118">
        <v>4.249322508726979</v>
      </c>
      <c r="L124" s="52" t="s">
        <v>155</v>
      </c>
      <c r="M124" s="118">
        <v>5.3443132177271746</v>
      </c>
      <c r="N124" s="71">
        <v>1.5485507113406061</v>
      </c>
      <c r="P124" s="91"/>
      <c r="Q124" s="97"/>
      <c r="R124" s="98" t="s">
        <v>104</v>
      </c>
      <c r="S124" s="135">
        <v>111.74584834403186</v>
      </c>
      <c r="T124" s="135">
        <v>80.000347324627967</v>
      </c>
      <c r="U124" s="98" t="s">
        <v>155</v>
      </c>
      <c r="V124" s="98"/>
    </row>
    <row r="125" spans="1:22" ht="15.75" thickBot="1" x14ac:dyDescent="0.3">
      <c r="H125" s="58" t="s">
        <v>104</v>
      </c>
      <c r="I125" s="59"/>
      <c r="J125" s="132">
        <v>111.74584834403186</v>
      </c>
      <c r="K125" s="132">
        <v>80.000347324627967</v>
      </c>
      <c r="L125" s="59" t="s">
        <v>155</v>
      </c>
      <c r="M125" s="62">
        <v>95.873097834329911</v>
      </c>
      <c r="N125" s="133">
        <v>22.447459042984956</v>
      </c>
      <c r="P125" s="92"/>
      <c r="Q125" s="101"/>
      <c r="R125" s="89"/>
      <c r="S125" s="89"/>
      <c r="T125" s="89"/>
      <c r="U125" s="89"/>
      <c r="V125" s="89"/>
    </row>
    <row r="126" spans="1:22" ht="15.75" thickTop="1" x14ac:dyDescent="0.25"/>
    <row r="130" spans="1:18" ht="15.75" thickBot="1" x14ac:dyDescent="0.3">
      <c r="H130" s="76" t="s">
        <v>122</v>
      </c>
    </row>
    <row r="131" spans="1:18" ht="15.75" thickTop="1" x14ac:dyDescent="0.25">
      <c r="A131" s="1" t="s">
        <v>53</v>
      </c>
      <c r="B131" s="1" t="s">
        <v>93</v>
      </c>
      <c r="C131" s="1" t="s">
        <v>94</v>
      </c>
      <c r="E131" s="1">
        <v>89375.258000000002</v>
      </c>
      <c r="H131" s="77" t="s">
        <v>123</v>
      </c>
      <c r="I131" s="31">
        <v>7.4999999999999997E-2</v>
      </c>
      <c r="J131" s="32">
        <v>1.9108136592</v>
      </c>
      <c r="K131" s="32">
        <v>1.9529896792000001</v>
      </c>
      <c r="L131" s="33"/>
      <c r="M131" s="41">
        <v>1.9319016692000002</v>
      </c>
      <c r="N131" s="42">
        <v>2.9822949745459515E-2</v>
      </c>
      <c r="P131" s="1" t="s">
        <v>122</v>
      </c>
      <c r="Q131" s="15">
        <v>51.478101553216661</v>
      </c>
      <c r="R131" s="15">
        <v>10.640276777740883</v>
      </c>
    </row>
    <row r="132" spans="1:18" x14ac:dyDescent="0.25">
      <c r="A132" s="1" t="s">
        <v>54</v>
      </c>
      <c r="B132" s="1" t="s">
        <v>93</v>
      </c>
      <c r="C132" s="1" t="s">
        <v>94</v>
      </c>
      <c r="E132" s="1">
        <v>91457.202999999994</v>
      </c>
      <c r="H132" s="78" t="s">
        <v>124</v>
      </c>
      <c r="I132" s="27">
        <v>0.25</v>
      </c>
      <c r="J132" s="28">
        <v>0.63103085879999998</v>
      </c>
      <c r="K132" s="28">
        <v>0.4817526204</v>
      </c>
      <c r="L132" s="25"/>
      <c r="M132" s="27">
        <v>0.55639173959999999</v>
      </c>
      <c r="N132" s="44">
        <v>0.10555565465622217</v>
      </c>
      <c r="P132" s="1" t="s">
        <v>133</v>
      </c>
      <c r="Q132" s="15">
        <v>26.327493272834605</v>
      </c>
      <c r="R132" s="14">
        <v>0.60979149749200345</v>
      </c>
    </row>
    <row r="133" spans="1:18" x14ac:dyDescent="0.25">
      <c r="A133" s="1" t="s">
        <v>55</v>
      </c>
      <c r="B133" s="1" t="s">
        <v>93</v>
      </c>
      <c r="C133" s="1" t="s">
        <v>94</v>
      </c>
      <c r="E133" s="1">
        <v>86899.218999999997</v>
      </c>
      <c r="H133" s="78" t="s">
        <v>125</v>
      </c>
      <c r="I133" s="29">
        <v>7.4999999999999997E-2</v>
      </c>
      <c r="J133" s="30">
        <v>3.3759758315999999</v>
      </c>
      <c r="K133" s="30">
        <v>3.4596936664000002</v>
      </c>
      <c r="L133" s="25"/>
      <c r="M133" s="37">
        <v>3.4178347489999998</v>
      </c>
      <c r="N133" s="43">
        <v>5.9197448693335333E-2</v>
      </c>
    </row>
    <row r="134" spans="1:18" x14ac:dyDescent="0.25">
      <c r="A134" s="1" t="s">
        <v>56</v>
      </c>
      <c r="B134" s="1" t="s">
        <v>93</v>
      </c>
      <c r="C134" s="1" t="s">
        <v>94</v>
      </c>
      <c r="E134" s="1">
        <v>91003.108999999997</v>
      </c>
      <c r="H134" s="78" t="s">
        <v>126</v>
      </c>
      <c r="I134" s="25"/>
      <c r="J134" s="25"/>
      <c r="K134" s="25"/>
      <c r="L134" s="25"/>
      <c r="M134" s="25"/>
      <c r="N134" s="34"/>
    </row>
    <row r="135" spans="1:18" ht="15.75" thickBot="1" x14ac:dyDescent="0.3">
      <c r="A135" s="1" t="s">
        <v>61</v>
      </c>
      <c r="B135" s="1" t="s">
        <v>93</v>
      </c>
      <c r="C135" s="1" t="s">
        <v>94</v>
      </c>
      <c r="D135" s="1">
        <v>12452.063</v>
      </c>
      <c r="E135" s="1">
        <v>78931.562999999995</v>
      </c>
      <c r="F135" s="1">
        <v>0.1577577147</v>
      </c>
      <c r="H135" s="79" t="s">
        <v>127</v>
      </c>
      <c r="I135" s="26"/>
      <c r="J135" s="106">
        <v>0</v>
      </c>
      <c r="K135" s="106">
        <v>0</v>
      </c>
      <c r="L135" s="26"/>
      <c r="M135" s="106">
        <v>0</v>
      </c>
      <c r="N135" s="116">
        <v>0</v>
      </c>
    </row>
    <row r="136" spans="1:18" x14ac:dyDescent="0.25">
      <c r="A136" s="1" t="s">
        <v>62</v>
      </c>
      <c r="B136" s="1" t="s">
        <v>93</v>
      </c>
      <c r="C136" s="1" t="s">
        <v>94</v>
      </c>
      <c r="D136" s="1">
        <v>9921.8889999999992</v>
      </c>
      <c r="E136" s="1">
        <v>82381.608999999997</v>
      </c>
      <c r="F136" s="1">
        <v>0.1204381551</v>
      </c>
      <c r="H136" s="80" t="s">
        <v>128</v>
      </c>
      <c r="I136" s="24"/>
      <c r="J136" s="47">
        <v>2.1910793708333333E-5</v>
      </c>
      <c r="K136" s="36">
        <v>1.6727521541666666E-5</v>
      </c>
      <c r="L136" s="24"/>
      <c r="M136" s="36">
        <v>1.9319157625E-5</v>
      </c>
      <c r="N136" s="45">
        <v>3.6651268977854887E-6</v>
      </c>
    </row>
    <row r="137" spans="1:18" ht="18" x14ac:dyDescent="0.35">
      <c r="A137" s="1" t="s">
        <v>85</v>
      </c>
      <c r="B137" s="1" t="s">
        <v>93</v>
      </c>
      <c r="C137" s="1" t="s">
        <v>94</v>
      </c>
      <c r="D137" s="1">
        <v>65897.156000000003</v>
      </c>
      <c r="E137" s="1">
        <v>78077.758000000002</v>
      </c>
      <c r="F137" s="1">
        <v>0.84399395789999998</v>
      </c>
      <c r="H137" s="78" t="s">
        <v>129</v>
      </c>
      <c r="I137" s="25"/>
      <c r="J137" s="48">
        <v>3.3759758315999999</v>
      </c>
      <c r="K137" s="37">
        <v>3.4596936664000002</v>
      </c>
      <c r="L137" s="25"/>
      <c r="M137" s="37">
        <v>3.4178347489999998</v>
      </c>
      <c r="N137" s="43">
        <v>5.9197448693335333E-2</v>
      </c>
    </row>
    <row r="138" spans="1:18" x14ac:dyDescent="0.25">
      <c r="A138" s="1" t="s">
        <v>86</v>
      </c>
      <c r="B138" s="1" t="s">
        <v>93</v>
      </c>
      <c r="C138" s="1" t="s">
        <v>94</v>
      </c>
      <c r="D138" s="1">
        <v>66610.718999999997</v>
      </c>
      <c r="E138" s="1">
        <v>77013.429999999993</v>
      </c>
      <c r="F138" s="1">
        <v>0.86492341660000005</v>
      </c>
      <c r="H138" s="78" t="s">
        <v>130</v>
      </c>
      <c r="I138" s="25"/>
      <c r="J138" s="49">
        <v>1.1890635642665424</v>
      </c>
      <c r="K138" s="38">
        <v>1.0286551615141</v>
      </c>
      <c r="L138" s="25" t="s">
        <v>155</v>
      </c>
      <c r="M138" s="38">
        <v>1.1088593628903212</v>
      </c>
      <c r="N138" s="103">
        <v>0.11342586934555487</v>
      </c>
    </row>
    <row r="139" spans="1:18" ht="18.75" thickBot="1" x14ac:dyDescent="0.4">
      <c r="A139" s="1" t="s">
        <v>73</v>
      </c>
      <c r="B139" s="1" t="s">
        <v>93</v>
      </c>
      <c r="C139" s="1" t="s">
        <v>94</v>
      </c>
      <c r="D139" s="1">
        <v>35294.277000000002</v>
      </c>
      <c r="E139" s="1">
        <v>73883.241999999998</v>
      </c>
      <c r="F139" s="1">
        <v>0.4777034148</v>
      </c>
      <c r="H139" s="81" t="s">
        <v>132</v>
      </c>
      <c r="I139" s="35"/>
      <c r="J139" s="50">
        <v>59.001913416458962</v>
      </c>
      <c r="K139" s="39">
        <v>43.954289689974367</v>
      </c>
      <c r="L139" s="35" t="s">
        <v>155</v>
      </c>
      <c r="M139" s="39">
        <v>51.478101553216661</v>
      </c>
      <c r="N139" s="117">
        <v>10.640276777740883</v>
      </c>
    </row>
    <row r="140" spans="1:18" ht="15.75" thickTop="1" x14ac:dyDescent="0.25">
      <c r="A140" s="1" t="s">
        <v>74</v>
      </c>
      <c r="B140" s="1" t="s">
        <v>93</v>
      </c>
      <c r="C140" s="1" t="s">
        <v>94</v>
      </c>
      <c r="D140" s="1">
        <v>35133.945</v>
      </c>
      <c r="E140" s="1">
        <v>71959.304999999993</v>
      </c>
      <c r="F140" s="1">
        <v>0.48824741980000003</v>
      </c>
      <c r="H140" s="75"/>
    </row>
    <row r="141" spans="1:18" ht="15.75" thickBot="1" x14ac:dyDescent="0.3">
      <c r="A141" s="1" t="s">
        <v>67</v>
      </c>
      <c r="B141" s="1" t="s">
        <v>93</v>
      </c>
      <c r="C141" s="1" t="s">
        <v>94</v>
      </c>
      <c r="D141" s="1">
        <v>16861.567999999999</v>
      </c>
      <c r="E141" s="1">
        <v>71435.812999999995</v>
      </c>
      <c r="F141" s="1">
        <v>0.23603802199999999</v>
      </c>
      <c r="H141" s="76" t="s">
        <v>133</v>
      </c>
    </row>
    <row r="142" spans="1:18" ht="15.75" thickTop="1" x14ac:dyDescent="0.25">
      <c r="A142" s="1" t="s">
        <v>68</v>
      </c>
      <c r="B142" s="1" t="s">
        <v>93</v>
      </c>
      <c r="C142" s="1" t="s">
        <v>94</v>
      </c>
      <c r="D142" s="1">
        <v>16927.43</v>
      </c>
      <c r="E142" s="1">
        <v>70995.968999999997</v>
      </c>
      <c r="F142" s="1">
        <v>0.23842804370000001</v>
      </c>
      <c r="H142" s="82" t="s">
        <v>123</v>
      </c>
      <c r="I142" s="54">
        <v>0.25</v>
      </c>
      <c r="J142" s="55">
        <v>3.070722172</v>
      </c>
      <c r="K142" s="55">
        <v>2.9785647503999999</v>
      </c>
      <c r="L142" s="56"/>
      <c r="M142" s="63">
        <v>3.0246434612000002</v>
      </c>
      <c r="N142" s="119">
        <v>6.5165137750027663E-2</v>
      </c>
    </row>
    <row r="143" spans="1:18" x14ac:dyDescent="0.25">
      <c r="A143" s="1" t="s">
        <v>91</v>
      </c>
      <c r="B143" s="1" t="s">
        <v>93</v>
      </c>
      <c r="C143" s="1" t="s">
        <v>94</v>
      </c>
      <c r="D143" s="1">
        <v>66127.741999999998</v>
      </c>
      <c r="E143" s="1">
        <v>79164.476999999999</v>
      </c>
      <c r="F143" s="1">
        <v>0.83532089779999996</v>
      </c>
      <c r="H143" s="83" t="s">
        <v>124</v>
      </c>
      <c r="I143" s="29">
        <v>7.4999999999999997E-2</v>
      </c>
      <c r="J143" s="28">
        <v>0.94415208799999994</v>
      </c>
      <c r="K143" s="28">
        <v>0.95371217480000003</v>
      </c>
      <c r="L143" s="25"/>
      <c r="M143" s="27">
        <v>0.94893213139999999</v>
      </c>
      <c r="N143" s="113">
        <v>6.7600022050120648E-3</v>
      </c>
    </row>
    <row r="144" spans="1:18" x14ac:dyDescent="0.25">
      <c r="A144" s="1" t="s">
        <v>92</v>
      </c>
      <c r="B144" s="1" t="s">
        <v>93</v>
      </c>
      <c r="C144" s="1" t="s">
        <v>94</v>
      </c>
      <c r="D144" s="1">
        <v>65768.335999999996</v>
      </c>
      <c r="E144" s="1">
        <v>75432.976999999999</v>
      </c>
      <c r="F144" s="1">
        <v>0.87187777300000002</v>
      </c>
      <c r="H144" s="83" t="s">
        <v>125</v>
      </c>
      <c r="I144" s="27">
        <v>0.25</v>
      </c>
      <c r="J144" s="30">
        <v>3.3412835911999998</v>
      </c>
      <c r="K144" s="30">
        <v>3.4875110920000001</v>
      </c>
      <c r="L144" s="25"/>
      <c r="M144" s="37">
        <v>3.4143973416</v>
      </c>
      <c r="N144" s="65">
        <v>0.10339845741164147</v>
      </c>
    </row>
    <row r="145" spans="1:22" x14ac:dyDescent="0.25">
      <c r="A145" s="1" t="s">
        <v>79</v>
      </c>
      <c r="B145" s="1" t="s">
        <v>93</v>
      </c>
      <c r="C145" s="1" t="s">
        <v>94</v>
      </c>
      <c r="D145" s="1">
        <v>55191.300999999999</v>
      </c>
      <c r="E145" s="1">
        <v>71893.577999999994</v>
      </c>
      <c r="F145" s="1">
        <v>0.76768054299999999</v>
      </c>
      <c r="H145" s="83" t="s">
        <v>126</v>
      </c>
      <c r="I145" s="25"/>
      <c r="J145" s="25"/>
      <c r="K145" s="25"/>
      <c r="L145" s="25"/>
      <c r="M145" s="25"/>
      <c r="N145" s="57"/>
    </row>
    <row r="146" spans="1:22" ht="15.75" thickBot="1" x14ac:dyDescent="0.3">
      <c r="A146" s="1" t="s">
        <v>80</v>
      </c>
      <c r="B146" s="1" t="s">
        <v>93</v>
      </c>
      <c r="C146" s="1" t="s">
        <v>94</v>
      </c>
      <c r="D146" s="1">
        <v>56656.233999999997</v>
      </c>
      <c r="E146" s="1">
        <v>76085.281000000003</v>
      </c>
      <c r="F146" s="1">
        <v>0.74464118759999998</v>
      </c>
      <c r="H146" s="84" t="s">
        <v>127</v>
      </c>
      <c r="I146" s="52"/>
      <c r="J146" s="53">
        <v>0</v>
      </c>
      <c r="K146" s="53">
        <v>0</v>
      </c>
      <c r="L146" s="52"/>
      <c r="M146" s="53">
        <v>0</v>
      </c>
      <c r="N146" s="66">
        <v>0</v>
      </c>
    </row>
    <row r="147" spans="1:22" ht="66.75" thickTop="1" thickBot="1" x14ac:dyDescent="0.3">
      <c r="C147" s="76"/>
      <c r="E147" s="17" t="s">
        <v>4</v>
      </c>
      <c r="F147" s="18">
        <v>4</v>
      </c>
      <c r="H147" s="85" t="s">
        <v>128</v>
      </c>
      <c r="I147" s="51"/>
      <c r="J147" s="72">
        <v>9.8349175833333316E-6</v>
      </c>
      <c r="K147" s="60">
        <v>9.9345018208333328E-6</v>
      </c>
      <c r="L147" s="51"/>
      <c r="M147" s="60">
        <v>9.8847097020833313E-6</v>
      </c>
      <c r="N147" s="68">
        <v>7.0416689635542516E-8</v>
      </c>
      <c r="P147" s="86" t="s">
        <v>134</v>
      </c>
      <c r="Q147" s="87" t="s">
        <v>135</v>
      </c>
      <c r="R147" s="88" t="s">
        <v>108</v>
      </c>
      <c r="S147" s="88" t="s">
        <v>136</v>
      </c>
      <c r="T147" s="88" t="s">
        <v>137</v>
      </c>
      <c r="U147" s="88" t="s">
        <v>138</v>
      </c>
      <c r="V147" s="88" t="s">
        <v>130</v>
      </c>
    </row>
    <row r="148" spans="1:22" ht="18.75" thickTop="1" x14ac:dyDescent="0.35">
      <c r="C148" s="76"/>
      <c r="E148" s="19" t="s">
        <v>119</v>
      </c>
      <c r="F148" s="20">
        <v>0.11</v>
      </c>
      <c r="H148" s="83" t="s">
        <v>129</v>
      </c>
      <c r="I148" s="25"/>
      <c r="J148" s="48">
        <v>3.3412835911999998</v>
      </c>
      <c r="K148" s="37">
        <v>3.4875110920000001</v>
      </c>
      <c r="L148" s="25"/>
      <c r="M148" s="37">
        <v>3.4143973416</v>
      </c>
      <c r="N148" s="65">
        <v>0.10339845741164147</v>
      </c>
      <c r="Q148" s="89"/>
      <c r="R148" s="89" t="s">
        <v>122</v>
      </c>
      <c r="S148" s="93">
        <v>59.001913416458962</v>
      </c>
      <c r="T148" s="93">
        <v>43.954289689974367</v>
      </c>
      <c r="U148" s="89" t="s">
        <v>155</v>
      </c>
      <c r="V148" s="96">
        <v>1.1088593628903212</v>
      </c>
    </row>
    <row r="149" spans="1:22" x14ac:dyDescent="0.25">
      <c r="C149" s="76"/>
      <c r="E149" s="19" t="s">
        <v>120</v>
      </c>
      <c r="F149" s="21">
        <v>2</v>
      </c>
      <c r="H149" s="83" t="s">
        <v>130</v>
      </c>
      <c r="I149" s="25"/>
      <c r="J149" s="49">
        <v>1.003796207910459</v>
      </c>
      <c r="K149" s="40">
        <v>0.93610552532115066</v>
      </c>
      <c r="L149" s="25" t="s">
        <v>155</v>
      </c>
      <c r="M149" s="40">
        <v>0.96995086661580476</v>
      </c>
      <c r="N149" s="70">
        <v>4.7864540682046083E-2</v>
      </c>
      <c r="P149" s="90" t="s">
        <v>93</v>
      </c>
      <c r="Q149" s="95">
        <v>10</v>
      </c>
      <c r="R149" s="89" t="s">
        <v>133</v>
      </c>
      <c r="S149" s="93">
        <v>26.7586809758211</v>
      </c>
      <c r="T149" s="93">
        <v>25.89630556984811</v>
      </c>
      <c r="U149" s="89" t="s">
        <v>155</v>
      </c>
      <c r="V149" s="94">
        <v>0.96995086661580476</v>
      </c>
    </row>
    <row r="150" spans="1:22" ht="18.75" thickBot="1" x14ac:dyDescent="0.4">
      <c r="C150" s="76"/>
      <c r="E150" s="22" t="s">
        <v>121</v>
      </c>
      <c r="F150" s="23">
        <v>10</v>
      </c>
      <c r="H150" s="84" t="s">
        <v>132</v>
      </c>
      <c r="I150" s="52"/>
      <c r="J150" s="74">
        <v>26.7586809758211</v>
      </c>
      <c r="K150" s="53">
        <v>25.89630556984811</v>
      </c>
      <c r="L150" s="52" t="s">
        <v>155</v>
      </c>
      <c r="M150" s="53">
        <v>26.327493272834605</v>
      </c>
      <c r="N150" s="136">
        <v>0.60979149749200345</v>
      </c>
      <c r="P150" s="91"/>
      <c r="Q150" s="97"/>
      <c r="R150" s="98" t="s">
        <v>104</v>
      </c>
      <c r="S150" s="127">
        <v>0.45352225760794723</v>
      </c>
      <c r="T150" s="127">
        <v>0.58916446500453534</v>
      </c>
      <c r="U150" s="98" t="s">
        <v>155</v>
      </c>
      <c r="V150" s="98"/>
    </row>
    <row r="151" spans="1:22" ht="15.75" thickBot="1" x14ac:dyDescent="0.3">
      <c r="H151" s="58" t="s">
        <v>104</v>
      </c>
      <c r="I151" s="59"/>
      <c r="J151" s="124">
        <v>0.45352225760794723</v>
      </c>
      <c r="K151" s="124">
        <v>0.58916446500453534</v>
      </c>
      <c r="L151" s="59" t="s">
        <v>155</v>
      </c>
      <c r="M151" s="124">
        <v>0.52134336130624126</v>
      </c>
      <c r="N151" s="137">
        <v>9.5913524665239849E-2</v>
      </c>
      <c r="P151" s="92"/>
      <c r="Q151" s="101"/>
      <c r="R151" s="89"/>
      <c r="S151" s="89"/>
      <c r="T151" s="89"/>
      <c r="U151" s="89"/>
      <c r="V151" s="89"/>
    </row>
    <row r="152" spans="1:22" ht="15.75" thickTop="1" x14ac:dyDescent="0.25"/>
  </sheetData>
  <sortState ref="A2:X289">
    <sortCondition ref="K2:K289"/>
    <sortCondition ref="B2:B289"/>
    <sortCondition ref="G2:G289"/>
    <sortCondition ref="H2:H289"/>
    <sortCondition descending="1" ref="I2:I289"/>
    <sortCondition ref="J2:J289"/>
  </sortState>
  <conditionalFormatting sqref="J6">
    <cfRule type="expression" dxfId="95" priority="288">
      <formula>ISTEXT($J$6)</formula>
    </cfRule>
  </conditionalFormatting>
  <conditionalFormatting sqref="K6">
    <cfRule type="expression" dxfId="94" priority="287">
      <formula>ISTEXT($K$6)</formula>
    </cfRule>
  </conditionalFormatting>
  <conditionalFormatting sqref="J17">
    <cfRule type="expression" dxfId="93" priority="286">
      <formula>ISTEXT($J$17)</formula>
    </cfRule>
  </conditionalFormatting>
  <conditionalFormatting sqref="K17">
    <cfRule type="expression" dxfId="92" priority="285">
      <formula>ISTEXT($K$17)</formula>
    </cfRule>
  </conditionalFormatting>
  <conditionalFormatting sqref="J3">
    <cfRule type="expression" dxfId="91" priority="284">
      <formula>ISTEXT($J$3)</formula>
    </cfRule>
  </conditionalFormatting>
  <conditionalFormatting sqref="K3">
    <cfRule type="expression" dxfId="90" priority="283">
      <formula>ISTEXT($K$3)</formula>
    </cfRule>
  </conditionalFormatting>
  <conditionalFormatting sqref="J4">
    <cfRule type="expression" dxfId="89" priority="282">
      <formula>ISTEXT($J$4)</formula>
    </cfRule>
  </conditionalFormatting>
  <conditionalFormatting sqref="K4">
    <cfRule type="expression" dxfId="88" priority="281">
      <formula>ISTEXT($K$4)</formula>
    </cfRule>
  </conditionalFormatting>
  <conditionalFormatting sqref="J2">
    <cfRule type="expression" dxfId="87" priority="280">
      <formula>ISTEXT($J$2)</formula>
    </cfRule>
  </conditionalFormatting>
  <conditionalFormatting sqref="K2">
    <cfRule type="expression" dxfId="86" priority="279">
      <formula>ISTEXT($K$2)</formula>
    </cfRule>
  </conditionalFormatting>
  <conditionalFormatting sqref="J14">
    <cfRule type="expression" dxfId="85" priority="278">
      <formula>ISTEXT($J$14)</formula>
    </cfRule>
  </conditionalFormatting>
  <conditionalFormatting sqref="K14">
    <cfRule type="expression" dxfId="84" priority="277">
      <formula>ISTEXT($K$14)</formula>
    </cfRule>
  </conditionalFormatting>
  <conditionalFormatting sqref="J15">
    <cfRule type="expression" dxfId="83" priority="276">
      <formula>ISTEXT($J$15)</formula>
    </cfRule>
  </conditionalFormatting>
  <conditionalFormatting sqref="K15">
    <cfRule type="expression" dxfId="82" priority="275">
      <formula>ISTEXT($K$15)</formula>
    </cfRule>
  </conditionalFormatting>
  <conditionalFormatting sqref="J13">
    <cfRule type="expression" dxfId="81" priority="274">
      <formula>ISTEXT($J$13)</formula>
    </cfRule>
  </conditionalFormatting>
  <conditionalFormatting sqref="K13">
    <cfRule type="expression" dxfId="80" priority="273">
      <formula>ISTEXT($K$13)</formula>
    </cfRule>
  </conditionalFormatting>
  <conditionalFormatting sqref="J32">
    <cfRule type="expression" dxfId="79" priority="272">
      <formula>ISTEXT($J$32)</formula>
    </cfRule>
  </conditionalFormatting>
  <conditionalFormatting sqref="K32">
    <cfRule type="expression" dxfId="78" priority="271">
      <formula>ISTEXT($K$32)</formula>
    </cfRule>
  </conditionalFormatting>
  <conditionalFormatting sqref="J43">
    <cfRule type="expression" dxfId="77" priority="270">
      <formula>ISTEXT($J$43)</formula>
    </cfRule>
  </conditionalFormatting>
  <conditionalFormatting sqref="K43">
    <cfRule type="expression" dxfId="76" priority="269">
      <formula>ISTEXT($K$43)</formula>
    </cfRule>
  </conditionalFormatting>
  <conditionalFormatting sqref="J29">
    <cfRule type="expression" dxfId="75" priority="268">
      <formula>ISTEXT($J$29)</formula>
    </cfRule>
  </conditionalFormatting>
  <conditionalFormatting sqref="K29">
    <cfRule type="expression" dxfId="74" priority="267">
      <formula>ISTEXT($K$29)</formula>
    </cfRule>
  </conditionalFormatting>
  <conditionalFormatting sqref="J30">
    <cfRule type="expression" dxfId="73" priority="266">
      <formula>ISTEXT($J$30)</formula>
    </cfRule>
  </conditionalFormatting>
  <conditionalFormatting sqref="K30">
    <cfRule type="expression" dxfId="72" priority="265">
      <formula>ISTEXT($K$30)</formula>
    </cfRule>
  </conditionalFormatting>
  <conditionalFormatting sqref="J28">
    <cfRule type="expression" dxfId="71" priority="264">
      <formula>ISTEXT($J$28)</formula>
    </cfRule>
  </conditionalFormatting>
  <conditionalFormatting sqref="K28">
    <cfRule type="expression" dxfId="70" priority="263">
      <formula>ISTEXT($K$28)</formula>
    </cfRule>
  </conditionalFormatting>
  <conditionalFormatting sqref="J40">
    <cfRule type="expression" dxfId="69" priority="262">
      <formula>ISTEXT($J$40)</formula>
    </cfRule>
  </conditionalFormatting>
  <conditionalFormatting sqref="K40">
    <cfRule type="expression" dxfId="68" priority="261">
      <formula>ISTEXT($K$40)</formula>
    </cfRule>
  </conditionalFormatting>
  <conditionalFormatting sqref="J41">
    <cfRule type="expression" dxfId="67" priority="260">
      <formula>ISTEXT($J$41)</formula>
    </cfRule>
  </conditionalFormatting>
  <conditionalFormatting sqref="K41">
    <cfRule type="expression" dxfId="66" priority="259">
      <formula>ISTEXT($K$41)</formula>
    </cfRule>
  </conditionalFormatting>
  <conditionalFormatting sqref="J39">
    <cfRule type="expression" dxfId="65" priority="258">
      <formula>ISTEXT($J$39)</formula>
    </cfRule>
  </conditionalFormatting>
  <conditionalFormatting sqref="K39">
    <cfRule type="expression" dxfId="64" priority="257">
      <formula>ISTEXT($K$39)</formula>
    </cfRule>
  </conditionalFormatting>
  <conditionalFormatting sqref="J56">
    <cfRule type="expression" dxfId="63" priority="80">
      <formula>ISTEXT($J$56)</formula>
    </cfRule>
  </conditionalFormatting>
  <conditionalFormatting sqref="K56">
    <cfRule type="expression" dxfId="62" priority="79">
      <formula>ISTEXT($K$56)</formula>
    </cfRule>
  </conditionalFormatting>
  <conditionalFormatting sqref="J67">
    <cfRule type="expression" dxfId="61" priority="78">
      <formula>ISTEXT($J$67)</formula>
    </cfRule>
  </conditionalFormatting>
  <conditionalFormatting sqref="K67">
    <cfRule type="expression" dxfId="60" priority="77">
      <formula>ISTEXT($K$67)</formula>
    </cfRule>
  </conditionalFormatting>
  <conditionalFormatting sqref="J53">
    <cfRule type="expression" dxfId="59" priority="76">
      <formula>ISTEXT($J$53)</formula>
    </cfRule>
  </conditionalFormatting>
  <conditionalFormatting sqref="K53">
    <cfRule type="expression" dxfId="58" priority="75">
      <formula>ISTEXT($K$53)</formula>
    </cfRule>
  </conditionalFormatting>
  <conditionalFormatting sqref="J54">
    <cfRule type="expression" dxfId="57" priority="74">
      <formula>ISTEXT($J$54)</formula>
    </cfRule>
  </conditionalFormatting>
  <conditionalFormatting sqref="K54">
    <cfRule type="expression" dxfId="56" priority="73">
      <formula>ISTEXT($K$54)</formula>
    </cfRule>
  </conditionalFormatting>
  <conditionalFormatting sqref="J52">
    <cfRule type="expression" dxfId="55" priority="72">
      <formula>ISTEXT($J$52)</formula>
    </cfRule>
  </conditionalFormatting>
  <conditionalFormatting sqref="K52">
    <cfRule type="expression" dxfId="54" priority="71">
      <formula>ISTEXT($K$52)</formula>
    </cfRule>
  </conditionalFormatting>
  <conditionalFormatting sqref="J64">
    <cfRule type="expression" dxfId="53" priority="70">
      <formula>ISTEXT($J$64)</formula>
    </cfRule>
  </conditionalFormatting>
  <conditionalFormatting sqref="K64">
    <cfRule type="expression" dxfId="52" priority="69">
      <formula>ISTEXT($K$64)</formula>
    </cfRule>
  </conditionalFormatting>
  <conditionalFormatting sqref="J65">
    <cfRule type="expression" dxfId="51" priority="68">
      <formula>ISTEXT($J$65)</formula>
    </cfRule>
  </conditionalFormatting>
  <conditionalFormatting sqref="K65">
    <cfRule type="expression" dxfId="50" priority="67">
      <formula>ISTEXT($K$65)</formula>
    </cfRule>
  </conditionalFormatting>
  <conditionalFormatting sqref="J63">
    <cfRule type="expression" dxfId="49" priority="66">
      <formula>ISTEXT($J$63)</formula>
    </cfRule>
  </conditionalFormatting>
  <conditionalFormatting sqref="K63">
    <cfRule type="expression" dxfId="48" priority="65">
      <formula>ISTEXT($K$63)</formula>
    </cfRule>
  </conditionalFormatting>
  <conditionalFormatting sqref="J83">
    <cfRule type="expression" dxfId="47" priority="48">
      <formula>ISTEXT($J$83)</formula>
    </cfRule>
  </conditionalFormatting>
  <conditionalFormatting sqref="K83">
    <cfRule type="expression" dxfId="46" priority="47">
      <formula>ISTEXT($K$83)</formula>
    </cfRule>
  </conditionalFormatting>
  <conditionalFormatting sqref="J94">
    <cfRule type="expression" dxfId="45" priority="46">
      <formula>ISTEXT($J$94)</formula>
    </cfRule>
  </conditionalFormatting>
  <conditionalFormatting sqref="K94">
    <cfRule type="expression" dxfId="44" priority="45">
      <formula>ISTEXT($K$94)</formula>
    </cfRule>
  </conditionalFormatting>
  <conditionalFormatting sqref="J80">
    <cfRule type="expression" dxfId="43" priority="44">
      <formula>ISTEXT($J$80)</formula>
    </cfRule>
  </conditionalFormatting>
  <conditionalFormatting sqref="K80">
    <cfRule type="expression" dxfId="42" priority="43">
      <formula>ISTEXT($K$80)</formula>
    </cfRule>
  </conditionalFormatting>
  <conditionalFormatting sqref="J81">
    <cfRule type="expression" dxfId="41" priority="42">
      <formula>ISTEXT($J$81)</formula>
    </cfRule>
  </conditionalFormatting>
  <conditionalFormatting sqref="K81">
    <cfRule type="expression" dxfId="40" priority="41">
      <formula>ISTEXT($K$81)</formula>
    </cfRule>
  </conditionalFormatting>
  <conditionalFormatting sqref="J79">
    <cfRule type="expression" dxfId="39" priority="40">
      <formula>ISTEXT($J$79)</formula>
    </cfRule>
  </conditionalFormatting>
  <conditionalFormatting sqref="K79">
    <cfRule type="expression" dxfId="38" priority="39">
      <formula>ISTEXT($K$79)</formula>
    </cfRule>
  </conditionalFormatting>
  <conditionalFormatting sqref="J91">
    <cfRule type="expression" dxfId="37" priority="38">
      <formula>ISTEXT($J$91)</formula>
    </cfRule>
  </conditionalFormatting>
  <conditionalFormatting sqref="K91">
    <cfRule type="expression" dxfId="36" priority="37">
      <formula>ISTEXT($K$91)</formula>
    </cfRule>
  </conditionalFormatting>
  <conditionalFormatting sqref="J92">
    <cfRule type="expression" dxfId="35" priority="36">
      <formula>ISTEXT($J$92)</formula>
    </cfRule>
  </conditionalFormatting>
  <conditionalFormatting sqref="K92">
    <cfRule type="expression" dxfId="34" priority="35">
      <formula>ISTEXT($K$92)</formula>
    </cfRule>
  </conditionalFormatting>
  <conditionalFormatting sqref="J90">
    <cfRule type="expression" dxfId="33" priority="34">
      <formula>ISTEXT($J$90)</formula>
    </cfRule>
  </conditionalFormatting>
  <conditionalFormatting sqref="K90">
    <cfRule type="expression" dxfId="32" priority="33">
      <formula>ISTEXT($K$90)</formula>
    </cfRule>
  </conditionalFormatting>
  <conditionalFormatting sqref="J109">
    <cfRule type="expression" dxfId="31" priority="32">
      <formula>ISTEXT($J$109)</formula>
    </cfRule>
  </conditionalFormatting>
  <conditionalFormatting sqref="K109">
    <cfRule type="expression" dxfId="30" priority="31">
      <formula>ISTEXT($K$109)</formula>
    </cfRule>
  </conditionalFormatting>
  <conditionalFormatting sqref="J120">
    <cfRule type="expression" dxfId="29" priority="30">
      <formula>ISTEXT($J$120)</formula>
    </cfRule>
  </conditionalFormatting>
  <conditionalFormatting sqref="K120">
    <cfRule type="expression" dxfId="28" priority="29">
      <formula>ISTEXT($K$120)</formula>
    </cfRule>
  </conditionalFormatting>
  <conditionalFormatting sqref="J106">
    <cfRule type="expression" dxfId="27" priority="28">
      <formula>ISTEXT($J$106)</formula>
    </cfRule>
  </conditionalFormatting>
  <conditionalFormatting sqref="K106">
    <cfRule type="expression" dxfId="26" priority="27">
      <formula>ISTEXT($K$106)</formula>
    </cfRule>
  </conditionalFormatting>
  <conditionalFormatting sqref="J107">
    <cfRule type="expression" dxfId="25" priority="26">
      <formula>ISTEXT($J$107)</formula>
    </cfRule>
  </conditionalFormatting>
  <conditionalFormatting sqref="K107">
    <cfRule type="expression" dxfId="24" priority="25">
      <formula>ISTEXT($K$107)</formula>
    </cfRule>
  </conditionalFormatting>
  <conditionalFormatting sqref="J105">
    <cfRule type="expression" dxfId="23" priority="24">
      <formula>ISTEXT($J$105)</formula>
    </cfRule>
  </conditionalFormatting>
  <conditionalFormatting sqref="K105">
    <cfRule type="expression" dxfId="22" priority="23">
      <formula>ISTEXT($K$105)</formula>
    </cfRule>
  </conditionalFormatting>
  <conditionalFormatting sqref="J117">
    <cfRule type="expression" dxfId="21" priority="22">
      <formula>ISTEXT($J$117)</formula>
    </cfRule>
  </conditionalFormatting>
  <conditionalFormatting sqref="K117">
    <cfRule type="expression" dxfId="20" priority="21">
      <formula>ISTEXT($K$117)</formula>
    </cfRule>
  </conditionalFormatting>
  <conditionalFormatting sqref="J118">
    <cfRule type="expression" dxfId="19" priority="20">
      <formula>ISTEXT($J$118)</formula>
    </cfRule>
  </conditionalFormatting>
  <conditionalFormatting sqref="K118">
    <cfRule type="expression" dxfId="18" priority="19">
      <formula>ISTEXT($K$118)</formula>
    </cfRule>
  </conditionalFormatting>
  <conditionalFormatting sqref="J116">
    <cfRule type="expression" dxfId="17" priority="18">
      <formula>ISTEXT($J$116)</formula>
    </cfRule>
  </conditionalFormatting>
  <conditionalFormatting sqref="K116">
    <cfRule type="expression" dxfId="16" priority="17">
      <formula>ISTEXT($K$116)</formula>
    </cfRule>
  </conditionalFormatting>
  <conditionalFormatting sqref="J135">
    <cfRule type="expression" dxfId="15" priority="16">
      <formula>ISTEXT($J$135)</formula>
    </cfRule>
  </conditionalFormatting>
  <conditionalFormatting sqref="K135">
    <cfRule type="expression" dxfId="14" priority="15">
      <formula>ISTEXT($K$135)</formula>
    </cfRule>
  </conditionalFormatting>
  <conditionalFormatting sqref="J146">
    <cfRule type="expression" dxfId="13" priority="14">
      <formula>ISTEXT($J$146)</formula>
    </cfRule>
  </conditionalFormatting>
  <conditionalFormatting sqref="K146">
    <cfRule type="expression" dxfId="12" priority="13">
      <formula>ISTEXT($K$146)</formula>
    </cfRule>
  </conditionalFormatting>
  <conditionalFormatting sqref="J132">
    <cfRule type="expression" dxfId="11" priority="12">
      <formula>ISTEXT($J$132)</formula>
    </cfRule>
  </conditionalFormatting>
  <conditionalFormatting sqref="K132">
    <cfRule type="expression" dxfId="10" priority="11">
      <formula>ISTEXT($K$132)</formula>
    </cfRule>
  </conditionalFormatting>
  <conditionalFormatting sqref="J133">
    <cfRule type="expression" dxfId="9" priority="10">
      <formula>ISTEXT($J$133)</formula>
    </cfRule>
  </conditionalFormatting>
  <conditionalFormatting sqref="K133">
    <cfRule type="expression" dxfId="8" priority="9">
      <formula>ISTEXT($K$133)</formula>
    </cfRule>
  </conditionalFormatting>
  <conditionalFormatting sqref="J131">
    <cfRule type="expression" dxfId="7" priority="8">
      <formula>ISTEXT($J$131)</formula>
    </cfRule>
  </conditionalFormatting>
  <conditionalFormatting sqref="K131">
    <cfRule type="expression" dxfId="6" priority="7">
      <formula>ISTEXT($K$131)</formula>
    </cfRule>
  </conditionalFormatting>
  <conditionalFormatting sqref="J143">
    <cfRule type="expression" dxfId="5" priority="6">
      <formula>ISTEXT($J$143)</formula>
    </cfRule>
  </conditionalFormatting>
  <conditionalFormatting sqref="K143">
    <cfRule type="expression" dxfId="4" priority="5">
      <formula>ISTEXT($K$143)</formula>
    </cfRule>
  </conditionalFormatting>
  <conditionalFormatting sqref="J144">
    <cfRule type="expression" dxfId="3" priority="4">
      <formula>ISTEXT($J$144)</formula>
    </cfRule>
  </conditionalFormatting>
  <conditionalFormatting sqref="K144">
    <cfRule type="expression" dxfId="2" priority="3">
      <formula>ISTEXT($K$144)</formula>
    </cfRule>
  </conditionalFormatting>
  <conditionalFormatting sqref="J142">
    <cfRule type="expression" dxfId="1" priority="2">
      <formula>ISTEXT($J$142)</formula>
    </cfRule>
  </conditionalFormatting>
  <conditionalFormatting sqref="K142">
    <cfRule type="expression" dxfId="0" priority="1">
      <formula>ISTEXT($K$142)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Data</vt:lpstr>
      <vt:lpstr>Individual1</vt:lpstr>
      <vt:lpstr>Summary1</vt:lpstr>
      <vt:lpstr>Summary2G1</vt:lpstr>
      <vt:lpstr>Summary3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Anshika Parashar</dc:creator>
  <cp:lastModifiedBy>Lau, Janice</cp:lastModifiedBy>
  <dcterms:created xsi:type="dcterms:W3CDTF">2021-01-22T19:51:21Z</dcterms:created>
  <dcterms:modified xsi:type="dcterms:W3CDTF">2021-03-23T13:08:50Z</dcterms:modified>
</cp:coreProperties>
</file>