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September 2020\"/>
    </mc:Choice>
  </mc:AlternateContent>
  <bookViews>
    <workbookView xWindow="0" yWindow="0" windowWidth="28800" windowHeight="12300"/>
  </bookViews>
  <sheets>
    <sheet name="Summary" sheetId="1" r:id="rId1"/>
    <sheet name="1 uM active" sheetId="6" r:id="rId2"/>
    <sheet name="1 uM control" sheetId="7" r:id="rId3"/>
    <sheet name="10 uM active" sheetId="2" r:id="rId4"/>
    <sheet name="10 uM control" sheetId="8" r:id="rId5"/>
  </sheets>
  <functionGroups builtInGroupCount="18"/>
  <externalReferences>
    <externalReference r:id="rId6"/>
  </externalReferences>
  <definedNames>
    <definedName name="Summary1">Summary!$A$4:$G$17</definedName>
    <definedName name="Table1" localSheetId="1">'1 uM active'!$Z$2:$AD$7</definedName>
    <definedName name="Table1" localSheetId="2">'1 uM control'!$Z$2:$AD$4</definedName>
    <definedName name="Table1" localSheetId="4">'10 uM control'!$Z$2:$AD$4</definedName>
    <definedName name="Table1">'10 uM active'!$Z$2:$AD$7</definedName>
    <definedName name="Table2" localSheetId="1">'1 uM active'!$Z$21:$AD$26</definedName>
    <definedName name="Table2" localSheetId="2">'1 uM control'!$Z$22:$AD$24</definedName>
    <definedName name="Table2" localSheetId="4">'10 uM control'!$Z$22:$AD$24</definedName>
    <definedName name="Table2">'10 uM active'!$Z$21:$AD$26</definedName>
    <definedName name="Table3" localSheetId="1">'1 uM active'!#REF!</definedName>
    <definedName name="Table3" localSheetId="2">'1 uM control'!#REF!</definedName>
    <definedName name="Table3" localSheetId="4">'10 uM control'!#REF!</definedName>
    <definedName name="Table3">'10 uM active'!#REF!</definedName>
    <definedName name="Table4" localSheetId="1">'1 uM active'!#REF!</definedName>
    <definedName name="Table4" localSheetId="2">'1 uM control'!#REF!</definedName>
    <definedName name="Table4" localSheetId="4">'10 uM control'!#REF!</definedName>
    <definedName name="Table4">'10 uM active'!#REF!</definedName>
    <definedName name="Table5" localSheetId="1">'1 uM active'!$Z$40:$AD$45</definedName>
    <definedName name="Table5" localSheetId="2">'1 uM control'!$Z$44:$AD$46</definedName>
    <definedName name="Table5" localSheetId="4">'10 uM control'!$Z$44:$AD$46</definedName>
    <definedName name="Table5">'10 uM active'!$Z$40:$AD$45</definedName>
    <definedName name="Table6" localSheetId="1">'1 uM active'!$Z$59:$AD$64</definedName>
    <definedName name="Table6" localSheetId="2">'1 uM control'!$Z$64:$AD$66</definedName>
    <definedName name="Table6" localSheetId="4">'10 uM control'!$Z$64:$AD$66</definedName>
    <definedName name="Table6">'10 uM active'!$Z$59:$AD$64</definedName>
    <definedName name="Table7" localSheetId="1">'1 uM active'!$Z$78:$AD$83</definedName>
    <definedName name="Table7" localSheetId="2">'1 uM control'!$Z$84:$AD$86</definedName>
    <definedName name="Table7" localSheetId="4">'10 uM control'!$Z$84:$AD$86</definedName>
    <definedName name="Table7">'10 uM active'!$Z$78:$AD$83</definedName>
    <definedName name="Table8" localSheetId="1">'1 uM active'!$Z$97:$AD$102</definedName>
    <definedName name="Table8" localSheetId="2">'1 uM control'!$Z$104:$AD$106</definedName>
    <definedName name="Table8" localSheetId="4">'10 uM control'!$Z$104:$AD$106</definedName>
    <definedName name="Table8">'10 uM active'!$Z$97:$AD$102</definedName>
    <definedName name="Table9" localSheetId="1">'1 uM active'!$Z$116:$AD$121</definedName>
    <definedName name="Table9" localSheetId="2">'1 uM control'!$Z$124:$AD$126</definedName>
    <definedName name="Table9" localSheetId="4">'10 uM control'!#REF!</definedName>
    <definedName name="Table9">'10 uM active'!#REF!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2" i="7" l="1"/>
  <c r="U72" i="7" s="1"/>
  <c r="G72" i="7"/>
  <c r="G71" i="7"/>
  <c r="I71" i="7" s="1"/>
  <c r="G70" i="7"/>
  <c r="I70" i="7" s="1"/>
  <c r="G69" i="7"/>
  <c r="I69" i="7" s="1"/>
  <c r="G68" i="7"/>
  <c r="I68" i="7" s="1"/>
  <c r="AB65" i="7" s="1"/>
  <c r="G67" i="7"/>
  <c r="I67" i="7" s="1"/>
  <c r="AA65" i="7" s="1"/>
  <c r="Z66" i="7"/>
  <c r="Z65" i="7"/>
  <c r="AC66" i="7" l="1"/>
  <c r="AC65" i="7"/>
  <c r="AD65" i="7" s="1"/>
  <c r="U69" i="7"/>
  <c r="AA66" i="7"/>
  <c r="U70" i="7"/>
  <c r="AB66" i="7"/>
  <c r="U71" i="7"/>
  <c r="U67" i="7"/>
  <c r="U68" i="7"/>
  <c r="V72" i="7" l="1"/>
  <c r="V68" i="7"/>
  <c r="V69" i="7"/>
  <c r="W69" i="7"/>
  <c r="W72" i="7"/>
  <c r="W68" i="7"/>
  <c r="W70" i="7"/>
  <c r="V70" i="7"/>
  <c r="W67" i="7"/>
  <c r="W71" i="7"/>
  <c r="V67" i="7"/>
  <c r="V71" i="7"/>
  <c r="AD66" i="7"/>
  <c r="AA69" i="7" l="1"/>
  <c r="AA70" i="7"/>
  <c r="AA68" i="7"/>
  <c r="AA71" i="7" l="1"/>
  <c r="AA72" i="7"/>
</calcChain>
</file>

<file path=xl/sharedStrings.xml><?xml version="1.0" encoding="utf-8"?>
<sst xmlns="http://schemas.openxmlformats.org/spreadsheetml/2006/main" count="2011" uniqueCount="489">
  <si>
    <t>SampleName</t>
  </si>
  <si>
    <t>CompoundName</t>
  </si>
  <si>
    <t>Transition</t>
  </si>
  <si>
    <t>Area</t>
  </si>
  <si>
    <t>ISTD Area</t>
  </si>
  <si>
    <t>ISTDResponseRatio</t>
  </si>
  <si>
    <t>Blank_Human___1_____5P1_Inj 2020Sep4_EPA_003</t>
  </si>
  <si>
    <t>Midazolam</t>
  </si>
  <si>
    <t>326.2 / 291.0</t>
  </si>
  <si>
    <t>Blank_Human___2_____5P1_Inj 2020Sep4_EPA_004</t>
  </si>
  <si>
    <t>Blank_Human___3_____5P1_Inj 2020Sep4_EPA_005</t>
  </si>
  <si>
    <t>DTXSID1032484</t>
  </si>
  <si>
    <t>467.0 / 404.9</t>
  </si>
  <si>
    <t>DTXSID1032484_Human__120_1_____5P1_Inj 2020Sep4_EPA_054</t>
  </si>
  <si>
    <t>DTXSID1032484_Human__120_2_____5P1_Inj 2020Sep4_EPA_055</t>
  </si>
  <si>
    <t>DTXSID1032484_Human__120_3_____5P1_Inj 2020Sep4_EPA_056</t>
  </si>
  <si>
    <t>DTXSID1032484_Human__60_1_____5P2_Inj 2020Sep4_EPA_057</t>
  </si>
  <si>
    <t>DTXSID1032484_Human__60_2_____5P2_Inj 2020Sep4_EPA_058</t>
  </si>
  <si>
    <t>DTXSID1032484_Human__60_3_____5P2_Inj 2020Sep4_EPA_059</t>
  </si>
  <si>
    <t>DTXSID1032484_Human__30_1_____5P3_Inj 2020Sep4_EPA_060</t>
  </si>
  <si>
    <t>DTXSID1032484_Human__30_2_____5P3_Inj 2020Sep4_EPA_061</t>
  </si>
  <si>
    <t>DTXSID1032484_Human__30_3_____5P3_Inj 2020Sep4_EPA_062</t>
  </si>
  <si>
    <t>DTXSID1032484_Human__15_1_____5P4_Inj 2020Sep4_EPA_063</t>
  </si>
  <si>
    <t>DTXSID1032484_Human__15_2_____5P4_Inj 2020Sep4_EPA_064</t>
  </si>
  <si>
    <t>DTXSID1032484_Human__15_3_____5P4_Inj 2020Sep4_EPA_065</t>
  </si>
  <si>
    <t>DTXSID1032484_Human__0_1_____5P5_Inj 2020Sep4_EPA_066</t>
  </si>
  <si>
    <t>DTXSID1032484_Human__0_2_____5P5_Inj 2020Sep4_EPA_067</t>
  </si>
  <si>
    <t>DTXSID1032484_Human__0_3_____5P5_Inj 2020Sep4_EPA_068</t>
  </si>
  <si>
    <t>DTXSID8034324</t>
  </si>
  <si>
    <t>299.1 / 129.0</t>
  </si>
  <si>
    <t>DTXSID8034324_Human__120_1_____5P1_Inj 2020Sep4_EPA_086</t>
  </si>
  <si>
    <t>DTXSID8034324_Human__120_2_____5P1_Inj 2020Sep4_EPA_087</t>
  </si>
  <si>
    <t>DTXSID8034324_Human__120_3_____5P1_Inj 2020Sep4_EPA_088</t>
  </si>
  <si>
    <t>DTXSID8034324_Human__60_1_____5P2_Inj 2020Sep4_EPA_089</t>
  </si>
  <si>
    <t>DTXSID8034324_Human__60_2_____5P2_Inj 2020Sep4_EPA_090</t>
  </si>
  <si>
    <t>DTXSID8034324_Human__60_3_____5P2_Inj 2020Sep4_EPA_091</t>
  </si>
  <si>
    <t>DTXSID8034324_Human__30_1_____5P3_Inj 2020Sep4_EPA_092</t>
  </si>
  <si>
    <t>DTXSID8034324_Human__30_2_____5P3_Inj 2020Sep4_EPA_093</t>
  </si>
  <si>
    <t>DTXSID8034324_Human__30_3_____5P3_Inj 2020Sep4_EPA_094</t>
  </si>
  <si>
    <t>DTXSID8034324_Human__15_1_____5P4_Inj 2020Sep4_EPA_095</t>
  </si>
  <si>
    <t>DTXSID8034324_Human__15_2_____5P4_Inj 2020Sep4_EPA_096</t>
  </si>
  <si>
    <t>DTXSID8034324_Human__15_3_____5P4_Inj 2020Sep4_EPA_097</t>
  </si>
  <si>
    <t>DTXSID8034324_Human__0_1_____5P5_Inj 2020Sep4_EPA_098</t>
  </si>
  <si>
    <t>DTXSID8034324_Human__0_2_____5P5_Inj 2020Sep4_EPA_099</t>
  </si>
  <si>
    <t>DTXSID8034324_Human__0_3_____5P5_Inj 2020Sep4_EPA_100</t>
  </si>
  <si>
    <t>DTXSID2032554</t>
  </si>
  <si>
    <t>424.1 / 308.0</t>
  </si>
  <si>
    <t>DTXSID2032554_Human__120_1_____5P1_Inj 2020Sep4_EPA_150</t>
  </si>
  <si>
    <t>DTXSID2032554_Human__120_2_____5P1_Inj 2020Sep4_EPA_151</t>
  </si>
  <si>
    <t>DTXSID2032554_Human__120_3_____5P1_Inj 2020Sep4_EPA_152</t>
  </si>
  <si>
    <t>DTXSID2032554_Human__60_1_____5P2_Inj 2020Sep4_EPA_153</t>
  </si>
  <si>
    <t>DTXSID2032554_Human__60_2_____5P2_Inj 2020Sep4_EPA_154</t>
  </si>
  <si>
    <t>DTXSID2032554_Human__60_3_____5P2_Inj 2020Sep4_EPA_155</t>
  </si>
  <si>
    <t>DTXSID2032554_Human__30_1_____5P3_Inj 2020Sep4_EPA_156</t>
  </si>
  <si>
    <t>DTXSID2032554_Human__30_2_____5P3_Inj 2020Sep4_EPA_157</t>
  </si>
  <si>
    <t>DTXSID2032554_Human__30_3_____5P3_Inj 2020Sep4_EPA_158</t>
  </si>
  <si>
    <t>DTXSID2032554_Human__15_1_____5P4_Inj 2020Sep4_EPA_159</t>
  </si>
  <si>
    <t>DTXSID2032554_Human__15_2_____5P4_Inj 2020Sep4_EPA_160</t>
  </si>
  <si>
    <t>DTXSID2032554_Human__15_3_____5P4_Inj 2020Sep4_EPA_161</t>
  </si>
  <si>
    <t>DTXSID2032554_Human__0_1_____5P5_Inj 2020Sep4_EPA_162</t>
  </si>
  <si>
    <t>DTXSID2032554_Human__0_2_____5P5_Inj 2020Sep4_EPA_163</t>
  </si>
  <si>
    <t>DTXSID2032554_Human__0_3_____5P5_Inj 2020Sep4_EPA_164</t>
  </si>
  <si>
    <t>DTXSID0037522</t>
  </si>
  <si>
    <t>393.9 / 208.0</t>
  </si>
  <si>
    <t>DTXSID0037522_Human__120_1_____5P1_Inj 2020Sep4_EPA_182</t>
  </si>
  <si>
    <t>DTXSID0037522_Human__120_2_____5P1_Inj 2020Sep4_EPA_183</t>
  </si>
  <si>
    <t>DTXSID0037522_Human__120_3_____5P1_Inj 2020Sep4_EPA_184</t>
  </si>
  <si>
    <t>DTXSID0037522_Human__60_1_____5P2_Inj 2020Sep4_EPA_185</t>
  </si>
  <si>
    <t>DTXSID0037522_Human__60_2_____5P2_Inj 2020Sep4_EPA_186</t>
  </si>
  <si>
    <t>DTXSID0037522_Human__60_3_____5P2_Inj 2020Sep4_EPA_187</t>
  </si>
  <si>
    <t>DTXSID0037522_Human__30_1_____5P3_Inj 2020Sep4_EPA_188</t>
  </si>
  <si>
    <t>DTXSID0037522_Human__30_2_____5P3_Inj 2020Sep4_EPA_189</t>
  </si>
  <si>
    <t>DTXSID0037522_Human__30_3_____5P3_Inj 2020Sep4_EPA_190</t>
  </si>
  <si>
    <t>DTXSID0037522_Human__15_1_____5P4_Inj 2020Sep4_EPA_191</t>
  </si>
  <si>
    <t>DTXSID0037522_Human__15_2_____5P4_Inj 2020Sep4_EPA_192</t>
  </si>
  <si>
    <t>DTXSID0037522_Human__15_3_____5P4_Inj 2020Sep4_EPA_193</t>
  </si>
  <si>
    <t>DTXSID0037522_Human__0_1_____5P5_Inj 2020Sep4_EPA_194</t>
  </si>
  <si>
    <t>DTXSID0037522_Human__0_2_____5P5_Inj 2020Sep4_EPA_195</t>
  </si>
  <si>
    <t>DTXSID0037522_Human__0_3_____5P5_Inj 2020Sep4_EPA_196</t>
  </si>
  <si>
    <t>DTXSID3028005</t>
  </si>
  <si>
    <t>199.1 / 171.2</t>
  </si>
  <si>
    <t>DTXSID3028005_Human__120_1_____5P1_Inj 2020Sep4_EPA_310</t>
  </si>
  <si>
    <t>DTXSID3028005_Human__120_2_____5P1_Inj 2020Sep4_EPA_311</t>
  </si>
  <si>
    <t>DTXSID3028005_Human__120_3_____5P1_Inj 2020Sep4_EPA_312</t>
  </si>
  <si>
    <t>DTXSID3028005_Human__60_1_____5P2_Inj 2020Sep4_EPA_313</t>
  </si>
  <si>
    <t>DTXSID3028005_Human__60_2_____5P2_Inj 2020Sep4_EPA_314</t>
  </si>
  <si>
    <t>DTXSID3028005_Human__60_3_____5P2_Inj 2020Sep4_EPA_315</t>
  </si>
  <si>
    <t>DTXSID3028005_Human__30_1_____5P3_Inj 2020Sep4_EPA_316</t>
  </si>
  <si>
    <t>DTXSID3028005_Human__30_2_____5P3_Inj 2020Sep4_EPA_317</t>
  </si>
  <si>
    <t>DTXSID3028005_Human__30_3_____5P3_Inj 2020Sep4_EPA_318</t>
  </si>
  <si>
    <t>DTXSID3028005_Human__15_1_____5P4_Inj 2020Sep4_EPA_319</t>
  </si>
  <si>
    <t>DTXSID3028005_Human__15_2_____5P4_Inj 2020Sep4_EPA_320</t>
  </si>
  <si>
    <t>DTXSID3028005_Human__15_3_____5P4_Inj 2020Sep4_EPA_321</t>
  </si>
  <si>
    <t>DTXSID3028005_Human__0_1_____5P5_Inj 2020Sep4_EPA_322</t>
  </si>
  <si>
    <t>DTXSID3028005_Human__0_2_____5P5_Inj 2020Sep4_EPA_323</t>
  </si>
  <si>
    <t>DTXSID3028005_Human__0_3_____5P5_Inj 2020Sep4_EPA_324</t>
  </si>
  <si>
    <t>DTXSID7041544</t>
  </si>
  <si>
    <t>259.1 / 175.2</t>
  </si>
  <si>
    <t>DTXSID7041544_Human__120_1_____5P1_Inj 2020Sep4_EPA_374</t>
  </si>
  <si>
    <t>DTXSID7041544_Human__120_2_____5P1_Inj 2020Sep4_EPA_375</t>
  </si>
  <si>
    <t>DTXSID7041544_Human__120_3_____5P1_Inj 2020Sep4_EPA_376</t>
  </si>
  <si>
    <t>DTXSID7041544_Human__60_1_____5P2_Inj 2020Sep4_EPA_377</t>
  </si>
  <si>
    <t>DTXSID7041544_Human__60_2_____5P2_Inj 2020Sep4_EPA_378</t>
  </si>
  <si>
    <t>DTXSID7041544_Human__60_3_____5P2_Inj 2020Sep4_EPA_379</t>
  </si>
  <si>
    <t>DTXSID7041544_Human__30_1_____5P3_Inj 2020Sep4_EPA_380</t>
  </si>
  <si>
    <t>DTXSID7041544_Human__30_2_____5P3_Inj 2020Sep4_EPA_381</t>
  </si>
  <si>
    <t>DTXSID7041544_Human__30_3_____5P3_Inj 2020Sep4_EPA_382</t>
  </si>
  <si>
    <t>DTXSID7041544_Human__15_1_____5P4_Inj 2020Sep4_EPA_383</t>
  </si>
  <si>
    <t>DTXSID7041544_Human__15_2_____5P4_Inj 2020Sep4_EPA_384</t>
  </si>
  <si>
    <t>DTXSID7041544_Human__15_3_____5P4_Inj 2020Sep4_EPA_385</t>
  </si>
  <si>
    <t>DTXSID7041544_Human__0_1_____5P5_Inj 2020Sep4_EPA_386</t>
  </si>
  <si>
    <t>DTXSID7041544_Human__0_2_____5P5_Inj 2020Sep4_EPA_387</t>
  </si>
  <si>
    <t>DTXSID7041544_Human__0_3_____5P5_Inj 2020Sep4_EPA_388</t>
  </si>
  <si>
    <t>Compound</t>
  </si>
  <si>
    <t>Species</t>
  </si>
  <si>
    <t>Clearance (µl/min/million cells)</t>
  </si>
  <si>
    <t>Half Life (mins)</t>
  </si>
  <si>
    <t>Avg % Remaining at Last Point</t>
  </si>
  <si>
    <t>Comments</t>
  </si>
  <si>
    <t>CYP2178-R5</t>
  </si>
  <si>
    <t>% Remaining</t>
  </si>
  <si>
    <t>Time (mins)</t>
  </si>
  <si>
    <t>ln % Remaining</t>
  </si>
  <si>
    <t>Table</t>
  </si>
  <si>
    <t>Chart</t>
  </si>
  <si>
    <t>DTXSID0037522 - Human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</si>
  <si>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</si>
  <si>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</si>
  <si>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</si>
  <si>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</si>
  <si>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</si>
  <si>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</si>
  <si>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</si>
  <si>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</si>
  <si>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</si>
  <si>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</si>
  <si>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</si>
  <si>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</si>
  <si>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Human</t>
  </si>
  <si>
    <t>DTXSID1032484 - Human</t>
  </si>
  <si>
    <t>DTXSID2032554 - Human</t>
  </si>
  <si>
    <t>DTXSID3028005 - Human</t>
  </si>
  <si>
    <t>DTXSID7041544 - Human</t>
  </si>
  <si>
    <t>DTXSID8034324 - Human</t>
  </si>
  <si>
    <t>Midazolam - Human</t>
  </si>
  <si>
    <t xml:space="preserve">Points Deleted: (120,0.2650) (120,0.2940) (120,0.5000) (30,0.9930) (30,0.7740) </t>
  </si>
  <si>
    <t xml:space="preserve">Points Deleted: (120,3.9010) (60,5.0280) (30,5.3830) (15,5.2150) (0,4.6050) </t>
  </si>
  <si>
    <t xml:space="preserve">Points Deleted: (120,) (120,-5.4940) (120,-4.5510) (60,-3.8090) (60,) (60,-4.5480) (30,-3.5600) (30,) (30,-3.7150) </t>
  </si>
  <si>
    <t xml:space="preserve">Points Deleted: (120,-0.5490) (120,-0.7420) (120,-0.6510) (60,0.4580) (60,0.1390) (60,0.1320) </t>
  </si>
  <si>
    <t xml:space="preserve">Points Deleted: (120,1.5560) (120,2.7580) (120,1.6590) (60,2.4950) (60,3.5720) (60,2.4530) (30,4.1740) (15,4.7730) (0,4.6050) </t>
  </si>
  <si>
    <t xml:space="preserve">Points Deleted: (120,-6.1220) (120,-7.2820) (120,-5.8810) (60,-7.2900) (60,-7.1030) (60,-7.0180) (30,-6.5220) (30,-6.3630) (30,-6.1280) </t>
  </si>
  <si>
    <t>DTXSID0037522_Human__120_1_____5P1_Inj 2020Sep4_EPA_166</t>
  </si>
  <si>
    <t>DTXSID0037522_Human__120_2_____5P1_Inj 2020Sep4_EPA_167</t>
  </si>
  <si>
    <t>DTXSID0037522_Human__120_3_____5P1_Inj 2020Sep4_EPA_168</t>
  </si>
  <si>
    <t>DTXSID0037522_Human__60_1_____5P2_Inj 2020Sep4_EPA_169</t>
  </si>
  <si>
    <t>DTXSID0037522_Human__60_2_____5P2_Inj 2020Sep4_EPA_170</t>
  </si>
  <si>
    <t>DTXSID0037522_Human__60_3_____5P2_Inj 2020Sep4_EPA_171</t>
  </si>
  <si>
    <t>DTXSID0037522_Human__30_1_____5P3_Inj 2020Sep4_EPA_172</t>
  </si>
  <si>
    <t>DTXSID0037522_Human__30_2_____5P3_Inj 2020Sep4_EPA_173</t>
  </si>
  <si>
    <t>DTXSID0037522_Human__30_3_____5P3_Inj 2020Sep4_EPA_174</t>
  </si>
  <si>
    <t>DTXSID0037522_Human__15_1_____5P4_Inj 2020Sep4_EPA_175</t>
  </si>
  <si>
    <t xml:space="preserve">Points Deleted: (120,-2.9120) (120,-1.9710) (120,-2.6510) (60,-1.8900) (60,-1.6760) (60,-2.1060) </t>
  </si>
  <si>
    <t>DTXSID0037522_Human__15_2_____5P4_Inj 2020Sep4_EPA_176</t>
  </si>
  <si>
    <t>DTXSID0037522_Human__15_3_____5P4_Inj 2020Sep4_EPA_177</t>
  </si>
  <si>
    <t>DTXSID0037522_Human__0_1_____5P5_Inj 2020Sep4_EPA_178</t>
  </si>
  <si>
    <t>DTXSID0037522_Human__0_2_____5P5_Inj 2020Sep4_EPA_179</t>
  </si>
  <si>
    <t>DTXSID0037522_Human__0_3_____5P5_Inj 2020Sep4_EPA_180</t>
  </si>
  <si>
    <t>DTXSID1032484_Human__120_1_____5P1_Inj 2020Sep4_EPA_038</t>
  </si>
  <si>
    <t>DTXSID1032484_Human__120_2_____5P1_Inj 2020Sep4_EPA_039</t>
  </si>
  <si>
    <t>DTXSID1032484_Human__120_3_____5P1_Inj 2020Sep4_EPA_040</t>
  </si>
  <si>
    <t>DTXSID1032484_Human__60_1_____5P2_Inj 2020Sep4_EPA_041</t>
  </si>
  <si>
    <t>DTXSID1032484_Human__60_2_____5P2_Inj 2020Sep4_EPA_042</t>
  </si>
  <si>
    <t>DTXSID1032484_Human__60_3_____5P2_Inj 2020Sep4_EPA_043</t>
  </si>
  <si>
    <t>DTXSID1032484_Human__30_1_____5P3_Inj 2020Sep4_EPA_044</t>
  </si>
  <si>
    <t>DTXSID1032484_Human__30_2_____5P3_Inj 2020Sep4_EPA_045</t>
  </si>
  <si>
    <t>DTXSID1032484_Human__30_3_____5P3_Inj 2020Sep4_EPA_046</t>
  </si>
  <si>
    <t>DTXSID1032484_Human__15_1_____5P4_Inj 2020Sep4_EPA_047</t>
  </si>
  <si>
    <t xml:space="preserve">Points Deleted: (30,2.4770) (15,2.9040) </t>
  </si>
  <si>
    <t>DTXSID1032484_Human__15_2_____5P4_Inj 2020Sep4_EPA_048</t>
  </si>
  <si>
    <t>DTXSID1032484_Human__15_3_____5P4_Inj 2020Sep4_EPA_049</t>
  </si>
  <si>
    <t>DTXSID1032484_Human__0_1_____5P5_Inj 2020Sep4_EPA_050</t>
  </si>
  <si>
    <t>DTXSID1032484_Human__0_2_____5P5_Inj 2020Sep4_EPA_051</t>
  </si>
  <si>
    <t>DTXSID1032484_Human__0_3_____5P5_Inj 2020Sep4_EPA_052</t>
  </si>
  <si>
    <t>DTXSID2032554_Human__120_1_____5P1_Inj 2020Sep4_EPA_134</t>
  </si>
  <si>
    <t>DTXSID2032554_Human__120_2_____5P1_Inj 2020Sep4_EPA_135</t>
  </si>
  <si>
    <t>DTXSID2032554_Human__120_3_____5P1_Inj 2020Sep4_EPA_136</t>
  </si>
  <si>
    <t>DTXSID2032554_Human__60_1_____5P2_Inj 2020Sep4_EPA_137</t>
  </si>
  <si>
    <t>DTXSID2032554_Human__60_2_____5P2_Inj 2020Sep4_EPA_138</t>
  </si>
  <si>
    <t>DTXSID2032554_Human__60_3_____5P2_Inj 2020Sep4_EPA_139</t>
  </si>
  <si>
    <t>DTXSID2032554_Human__30_1_____5P3_Inj 2020Sep4_EPA_140</t>
  </si>
  <si>
    <t>DTXSID2032554_Human__30_2_____5P3_Inj 2020Sep4_EPA_141</t>
  </si>
  <si>
    <t>DTXSID2032554_Human__30_3_____5P3_Inj 2020Sep4_EPA_142</t>
  </si>
  <si>
    <t>DTXSID2032554_Human__15_1_____5P4_Inj 2020Sep4_EPA_143</t>
  </si>
  <si>
    <t xml:space="preserve">Points Deleted: (120,) (120,) (120,-2.6770) (60,-6.2470) (60,-5.0420) (60,) (30,) (30,) (30,) (15,) </t>
  </si>
  <si>
    <t>DTXSID2032554_Human__15_2_____5P4_Inj 2020Sep4_EPA_144</t>
  </si>
  <si>
    <t>DTXSID2032554_Human__15_3_____5P4_Inj 2020Sep4_EPA_145</t>
  </si>
  <si>
    <t>DTXSID2032554_Human__0_1_____5P5_Inj 2020Sep4_EPA_146</t>
  </si>
  <si>
    <t>DTXSID2032554_Human__0_2_____5P5_Inj 2020Sep4_EPA_147</t>
  </si>
  <si>
    <t>DTXSID2032554_Human__0_3_____5P5_Inj 2020Sep4_EPA_148</t>
  </si>
  <si>
    <t>DTXSID3028005_Human__120_1_____5P1_Inj 2020Sep4_EPA_294</t>
  </si>
  <si>
    <t>DTXSID3028005_Human__120_2_____5P1_Inj 2020Sep4_EPA_295</t>
  </si>
  <si>
    <t>DTXSID3028005_Human__120_3_____5P1_Inj 2020Sep4_EPA_296</t>
  </si>
  <si>
    <t>DTXSID3028005_Human__60_1_____5P2_Inj 2020Sep4_EPA_297</t>
  </si>
  <si>
    <t>DTXSID3028005_Human__60_2_____5P2_Inj 2020Sep4_EPA_298</t>
  </si>
  <si>
    <t>DTXSID3028005_Human__60_3_____5P2_Inj 2020Sep4_EPA_299</t>
  </si>
  <si>
    <t>DTXSID3028005_Human__30_1_____5P3_Inj 2020Sep4_EPA_300</t>
  </si>
  <si>
    <t>DTXSID3028005_Human__30_2_____5P3_Inj 2020Sep4_EPA_301</t>
  </si>
  <si>
    <t>DTXSID3028005_Human__30_3_____5P3_Inj 2020Sep4_EPA_302</t>
  </si>
  <si>
    <t>DTXSID3028005_Human__15_1_____5P4_Inj 2020Sep4_EPA_303</t>
  </si>
  <si>
    <t xml:space="preserve">Points Deleted: (120,) (120,) (120,) (60,-4.3230) (60,-2.6050) (60,-1.9930) (30,0.2600) (30,) (30,) (15,) (15,) </t>
  </si>
  <si>
    <t>DTXSID3028005_Human__15_2_____5P4_Inj 2020Sep4_EPA_304</t>
  </si>
  <si>
    <t>DTXSID3028005_Human__15_3_____5P4_Inj 2020Sep4_EPA_305</t>
  </si>
  <si>
    <t>DTXSID3028005_Human__0_1_____5P5_Inj 2020Sep4_EPA_306</t>
  </si>
  <si>
    <t>DTXSID3028005_Human__0_2_____5P5_Inj 2020Sep4_EPA_307</t>
  </si>
  <si>
    <t>DTXSID3028005_Human__0_3_____5P5_Inj 2020Sep4_EPA_308</t>
  </si>
  <si>
    <t>DTXSID7041544_Human__120_1_____5P1_Inj 2020Sep4_EPA_358</t>
  </si>
  <si>
    <t>DTXSID7041544_Human__120_2_____5P1_Inj 2020Sep4_EPA_359</t>
  </si>
  <si>
    <t>DTXSID7041544_Human__120_3_____5P1_Inj 2020Sep4_EPA_360</t>
  </si>
  <si>
    <t>DTXSID7041544_Human__60_1_____5P2_Inj 2020Sep4_EPA_361</t>
  </si>
  <si>
    <t>DTXSID7041544_Human__60_2_____5P2_Inj 2020Sep4_EPA_362</t>
  </si>
  <si>
    <t>DTXSID7041544_Human__60_3_____5P2_Inj 2020Sep4_EPA_363</t>
  </si>
  <si>
    <t>DTXSID7041544_Human__30_1_____5P3_Inj 2020Sep4_EPA_364</t>
  </si>
  <si>
    <t>DTXSID7041544_Human__30_2_____5P3_Inj 2020Sep4_EPA_365</t>
  </si>
  <si>
    <t>DTXSID7041544_Human__30_3_____5P3_Inj 2020Sep4_EPA_366</t>
  </si>
  <si>
    <t>DTXSID7041544_Human__15_1_____5P4_Inj 2020Sep4_EPA_367</t>
  </si>
  <si>
    <t xml:space="preserve">Points Deleted: (120,-2.0850) (120,0.8870) (120,-0.5330) (60,1.0890) (60,0.8320) (60,1.0790) (15,1.8680) </t>
  </si>
  <si>
    <t>DTXSID7041544_Human__15_2_____5P4_Inj 2020Sep4_EPA_368</t>
  </si>
  <si>
    <t>DTXSID7041544_Human__15_3_____5P4_Inj 2020Sep4_EPA_369</t>
  </si>
  <si>
    <t>DTXSID7041544_Human__0_1_____5P5_Inj 2020Sep4_EPA_370</t>
  </si>
  <si>
    <t>DTXSID7041544_Human__0_2_____5P5_Inj 2020Sep4_EPA_371</t>
  </si>
  <si>
    <t>DTXSID7041544_Human__0_3_____5P5_Inj 2020Sep4_EPA_372</t>
  </si>
  <si>
    <t>DTXSID8034324_Human__120_1_____5P1_Inj 2020Sep4_EPA_070</t>
  </si>
  <si>
    <t>DTXSID8034324_Human__120_2_____5P1_Inj 2020Sep4_EPA_071</t>
  </si>
  <si>
    <t>DTXSID8034324_Human__120_3_____5P1_Inj 2020Sep4_EPA_072</t>
  </si>
  <si>
    <t>DTXSID8034324_Human__60_1_____5P2_Inj 2020Sep4_EPA_073</t>
  </si>
  <si>
    <t>DTXSID8034324_Human__60_2_____5P2_Inj 2020Sep4_EPA_074</t>
  </si>
  <si>
    <t>DTXSID8034324_Human__60_3_____5P2_Inj 2020Sep4_EPA_075</t>
  </si>
  <si>
    <t>DTXSID8034324_Human__30_1_____5P3_Inj 2020Sep4_EPA_076</t>
  </si>
  <si>
    <t>DTXSID8034324_Human__30_2_____5P3_Inj 2020Sep4_EPA_077</t>
  </si>
  <si>
    <t>DTXSID8034324_Human__30_3_____5P3_Inj 2020Sep4_EPA_078</t>
  </si>
  <si>
    <t>DTXSID8034324_Human__15_1_____5P4_Inj 2020Sep4_EPA_079</t>
  </si>
  <si>
    <t xml:space="preserve">Points Deleted: (120,1.3940) (120,1.2450) (120,1.4620) (60,2.2480) (60,2.0160) (60,2.2230) </t>
  </si>
  <si>
    <t>DTXSID8034324_Human__15_2_____5P4_Inj 2020Sep4_EPA_080</t>
  </si>
  <si>
    <t>DTXSID8034324_Human__15_3_____5P4_Inj 2020Sep4_EPA_081</t>
  </si>
  <si>
    <t>DTXSID8034324_Human__0_1_____5P5_Inj 2020Sep4_EPA_082</t>
  </si>
  <si>
    <t>DTXSID8034324_Human__0_2_____5P5_Inj 2020Sep4_EPA_083</t>
  </si>
  <si>
    <t>DTXSID8034324_Human__0_3_____5P5_Inj 2020Sep4_EPA_084</t>
  </si>
  <si>
    <t>Midazolam_Human__120_1_____5P1_Inj 2020Sep4_EPA_006</t>
  </si>
  <si>
    <t>Midazolam_Human__120_2_____5P1_Inj 2020Sep4_EPA_007</t>
  </si>
  <si>
    <t>Midazolam_Human__120_3_____5P1_Inj 2020Sep4_EPA_008</t>
  </si>
  <si>
    <t>Midazolam_Human__60_1_____5P2_Inj 2020Sep4_EPA_009</t>
  </si>
  <si>
    <t>Midazolam_Human__60_2_____5P2_Inj 2020Sep4_EPA_010</t>
  </si>
  <si>
    <t>Midazolam_Human__60_3_____5P2_Inj 2020Sep4_EPA_011</t>
  </si>
  <si>
    <t>Midazolam_Human__30_1_____5P3_Inj 2020Sep4_EPA_012</t>
  </si>
  <si>
    <t>Midazolam_Human__30_2_____5P3_Inj 2020Sep4_EPA_013</t>
  </si>
  <si>
    <t>Midazolam_Human__30_3_____5P3_Inj 2020Sep4_EPA_014</t>
  </si>
  <si>
    <t>Midazolam_Human__15_1_____5P4_Inj 2020Sep4_EPA_015</t>
  </si>
  <si>
    <t>Midazolam_Human__15_2_____5P4_Inj 2020Sep4_EPA_016</t>
  </si>
  <si>
    <t>Midazolam_Human__15_3_____5P4_Inj 2020Sep4_EPA_017</t>
  </si>
  <si>
    <t>Midazolam_Human__0_1_____5P5_Inj 2020Sep4_EPA_018</t>
  </si>
  <si>
    <t>Midazolam_Human__0_2_____5P5_Inj 2020Sep4_EPA_019</t>
  </si>
  <si>
    <t>Midazolam_Human__0_3_____5P5_Inj 2020Sep4_EPA_020</t>
  </si>
  <si>
    <t>1 µM Concentration</t>
  </si>
  <si>
    <t>10 µM Concentration</t>
  </si>
  <si>
    <t>1 µM Concemtration; Control</t>
  </si>
  <si>
    <t>Avg % Remaining at 120' Control**</t>
  </si>
  <si>
    <t>0.05%</t>
  </si>
  <si>
    <t>0.14%</t>
  </si>
  <si>
    <t>0.07%</t>
  </si>
  <si>
    <t/>
  </si>
  <si>
    <t>0.15%</t>
  </si>
  <si>
    <t>0.19%</t>
  </si>
  <si>
    <t>0.12%</t>
  </si>
  <si>
    <t>-2.912</t>
  </si>
  <si>
    <t>-1.971</t>
  </si>
  <si>
    <t>-2.651</t>
  </si>
  <si>
    <t>-1.890</t>
  </si>
  <si>
    <t>-1.676</t>
  </si>
  <si>
    <t>-2.106</t>
  </si>
  <si>
    <t>11.91%</t>
  </si>
  <si>
    <t>18.24%</t>
  </si>
  <si>
    <t>2.477</t>
  </si>
  <si>
    <t>2.904</t>
  </si>
  <si>
    <t>-0.01%</t>
  </si>
  <si>
    <t>0.00%</t>
  </si>
  <si>
    <t>0.01%</t>
  </si>
  <si>
    <t>-0.02%</t>
  </si>
  <si>
    <t>-2.677</t>
  </si>
  <si>
    <t>-6.247</t>
  </si>
  <si>
    <t>-5.042</t>
  </si>
  <si>
    <t>-0.22%</t>
  </si>
  <si>
    <t>-0.19%</t>
  </si>
  <si>
    <t>1.30%</t>
  </si>
  <si>
    <t>-0.08%</t>
  </si>
  <si>
    <t>-0.09%</t>
  </si>
  <si>
    <t>-0.12%</t>
  </si>
  <si>
    <t>-0.14%</t>
  </si>
  <si>
    <t>-4.323</t>
  </si>
  <si>
    <t>-2.605</t>
  </si>
  <si>
    <t>-1.993</t>
  </si>
  <si>
    <t>0.260</t>
  </si>
  <si>
    <t>2.43%</t>
  </si>
  <si>
    <t>0.59%</t>
  </si>
  <si>
    <t>2.97%</t>
  </si>
  <si>
    <t>2.30%</t>
  </si>
  <si>
    <t>2.94%</t>
  </si>
  <si>
    <t>-2.085</t>
  </si>
  <si>
    <t>0.887</t>
  </si>
  <si>
    <t>6.48%</t>
  </si>
  <si>
    <t>-0.533</t>
  </si>
  <si>
    <t>1.089</t>
  </si>
  <si>
    <t>0.832</t>
  </si>
  <si>
    <t>1.079</t>
  </si>
  <si>
    <t>1.868</t>
  </si>
  <si>
    <t>4.03%</t>
  </si>
  <si>
    <t>3.47%</t>
  </si>
  <si>
    <t>4.32%</t>
  </si>
  <si>
    <t>9.47%</t>
  </si>
  <si>
    <t>7.51%</t>
  </si>
  <si>
    <t>9.23%</t>
  </si>
  <si>
    <t>1.394</t>
  </si>
  <si>
    <t>1.245</t>
  </si>
  <si>
    <t>1.462</t>
  </si>
  <si>
    <t>2.248</t>
  </si>
  <si>
    <t>2.016</t>
  </si>
  <si>
    <t>2.223</t>
  </si>
  <si>
    <t>&lt;15</t>
  </si>
  <si>
    <t>&gt;92</t>
  </si>
  <si>
    <t>1.34%</t>
  </si>
  <si>
    <t>1.65%</t>
  </si>
  <si>
    <t>0.265</t>
  </si>
  <si>
    <t>2.70%</t>
  </si>
  <si>
    <t>2.17%</t>
  </si>
  <si>
    <t>0.294</t>
  </si>
  <si>
    <t>0.500</t>
  </si>
  <si>
    <t>0.993</t>
  </si>
  <si>
    <t>0.774</t>
  </si>
  <si>
    <t>49.44%</t>
  </si>
  <si>
    <t>152.66%</t>
  </si>
  <si>
    <t>217.61%</t>
  </si>
  <si>
    <t>184.03%</t>
  </si>
  <si>
    <t>3.901</t>
  </si>
  <si>
    <t>100.00%</t>
  </si>
  <si>
    <t>5.028</t>
  </si>
  <si>
    <t>5.383</t>
  </si>
  <si>
    <t>5.215</t>
  </si>
  <si>
    <t>4.605</t>
  </si>
  <si>
    <t>-6.122</t>
  </si>
  <si>
    <t>-7.282</t>
  </si>
  <si>
    <t>-5.881</t>
  </si>
  <si>
    <t>-7.290</t>
  </si>
  <si>
    <t>-7.103</t>
  </si>
  <si>
    <t>-7.018</t>
  </si>
  <si>
    <t>-6.522</t>
  </si>
  <si>
    <t>-6.363</t>
  </si>
  <si>
    <t>-6.128</t>
  </si>
  <si>
    <t>0.02%</t>
  </si>
  <si>
    <t>0.03%</t>
  </si>
  <si>
    <t>-5.494</t>
  </si>
  <si>
    <t>-4.551</t>
  </si>
  <si>
    <t>-3.809</t>
  </si>
  <si>
    <t>-4.548</t>
  </si>
  <si>
    <t>-3.560</t>
  </si>
  <si>
    <t>-3.715</t>
  </si>
  <si>
    <t>0.58%</t>
  </si>
  <si>
    <t>0.48%</t>
  </si>
  <si>
    <t>0.52%</t>
  </si>
  <si>
    <t>1.58%</t>
  </si>
  <si>
    <t>1.15%</t>
  </si>
  <si>
    <t>1.14%</t>
  </si>
  <si>
    <t>-0.549</t>
  </si>
  <si>
    <t>-0.742</t>
  </si>
  <si>
    <t>-0.651</t>
  </si>
  <si>
    <t>0.458</t>
  </si>
  <si>
    <t>0.139</t>
  </si>
  <si>
    <t>0.132</t>
  </si>
  <si>
    <t>4.74%</t>
  </si>
  <si>
    <t>15.77%</t>
  </si>
  <si>
    <t>5.25%</t>
  </si>
  <si>
    <t>12.13%</t>
  </si>
  <si>
    <t>35.59%</t>
  </si>
  <si>
    <t>11.62%</t>
  </si>
  <si>
    <t>1.556</t>
  </si>
  <si>
    <t>64.95%</t>
  </si>
  <si>
    <t>2.758</t>
  </si>
  <si>
    <t>118.25%</t>
  </si>
  <si>
    <t>1.659</t>
  </si>
  <si>
    <t>2.495</t>
  </si>
  <si>
    <t>3.572</t>
  </si>
  <si>
    <t>2.453</t>
  </si>
  <si>
    <t>4.174</t>
  </si>
  <si>
    <t>4.773</t>
  </si>
  <si>
    <t>Blank_HumanHI___1_____XP61_Inj 003</t>
  </si>
  <si>
    <t>DTXSID0037522 - HumanHI</t>
  </si>
  <si>
    <t>Blank_HumanHI___2_____XP61_Inj 004</t>
  </si>
  <si>
    <t>Blank_HumanHI___3_____XP61_Inj 005</t>
  </si>
  <si>
    <t>DTXSID0037522_HumanHI__120_1_____XP61_Inj 046</t>
  </si>
  <si>
    <t>DTXSID0037522_HumanHI__120_2_____XP61_Inj 047</t>
  </si>
  <si>
    <t>DTXSID0037522_HumanHI__120_3_____XP61_Inj 048</t>
  </si>
  <si>
    <t>DTXSID0037522_HumanHI__0_1_____XP61_Inj 046</t>
  </si>
  <si>
    <t>DTXSID0037522_HumanHI__0_2_____XP61_Inj 047</t>
  </si>
  <si>
    <t>DTXSID0037522_HumanHI__0_3_____XP61_Inj 048</t>
  </si>
  <si>
    <t>DTXSID1032484 - HumanHI</t>
  </si>
  <si>
    <t>DTXSID1032484_HumanHI__120_1_____XP61_Inj 014</t>
  </si>
  <si>
    <t>DTXSID1032484_HumanHI__120_2_____XP61_Inj 015</t>
  </si>
  <si>
    <t>DTXSID1032484_HumanHI__120_3_____XP61_Inj 016</t>
  </si>
  <si>
    <t>DTXSID1032484_HumanHI__0_1_____XP61_Inj 014</t>
  </si>
  <si>
    <t>DTXSID1032484_HumanHI__0_2_____XP61_Inj 015</t>
  </si>
  <si>
    <t>DTXSID1032484_HumanHI__0_3_____XP61_Inj 016</t>
  </si>
  <si>
    <t>DTXSID2032554 - HumanHI</t>
  </si>
  <si>
    <t>DTXSID2032554_HumanHI__120_1_____XP61_Inj 038</t>
  </si>
  <si>
    <t>DTXSID2032554_HumanHI__120_2_____XP61_Inj 039</t>
  </si>
  <si>
    <t>DTXSID2032554_HumanHI__120_3_____XP61_Inj 040</t>
  </si>
  <si>
    <t>DTXSID2032554_HumanHI__0_1_____XP61_Inj 038</t>
  </si>
  <si>
    <t>DTXSID2032554_HumanHI__0_2_____XP61_Inj 039</t>
  </si>
  <si>
    <t>DTXSID2032554_HumanHI__0_3_____XP61_Inj 040</t>
  </si>
  <si>
    <t>DTXSID3028005 - HumanHI</t>
  </si>
  <si>
    <t>DTXSID3028005_HumanHI__120_1_____XP61_Inj 078</t>
  </si>
  <si>
    <t>DTXSID3028005_HumanHI__120_2_____XP61_Inj 079</t>
  </si>
  <si>
    <t>DTXSID3028005_HumanHI__120_3_____XP61_Inj 080</t>
  </si>
  <si>
    <t>DTXSID3028005_HumanHI__0_1_____XP61_Inj 078</t>
  </si>
  <si>
    <t>DTXSID3028005_HumanHI__0_2_____XP61_Inj 079</t>
  </si>
  <si>
    <t>DTXSID3028005_HumanHI__0_3_____XP61_Inj 080</t>
  </si>
  <si>
    <t>DTXSID7041544 - HumanHI</t>
  </si>
  <si>
    <t>DTXSID7041544_HumanHI__120_1_____XP61_Inj 094</t>
  </si>
  <si>
    <t>DTXSID7041544_HumanHI__120_2_____XP61_Inj 095</t>
  </si>
  <si>
    <t>DTXSID7041544_HumanHI__120_3_____XP61_Inj 096</t>
  </si>
  <si>
    <t>DTXSID7041544_HumanHI__0_1_____XP61_Inj 094</t>
  </si>
  <si>
    <t>DTXSID7041544_HumanHI__0_2_____XP61_Inj 095</t>
  </si>
  <si>
    <t>DTXSID7041544_HumanHI__0_3_____XP61_Inj 096</t>
  </si>
  <si>
    <t>DTXSID8034324 - HumanHI</t>
  </si>
  <si>
    <t>DTXSID8034324_HumanHI__120_1_____XP61_Inj 022</t>
  </si>
  <si>
    <t>DTXSID8034324_HumanHI__120_2_____XP61_Inj 023</t>
  </si>
  <si>
    <t>DTXSID8034324_HumanHI__120_3_____XP61_Inj 024</t>
  </si>
  <si>
    <t>DTXSID8034324_HumanHI__0_1_____XP61_Inj 022</t>
  </si>
  <si>
    <t>DTXSID8034324_HumanHI__0_2_____XP61_Inj 023</t>
  </si>
  <si>
    <t>DTXSID8034324_HumanHI__0_3_____XP61_Inj 024</t>
  </si>
  <si>
    <t>Midazolam - HumanHI</t>
  </si>
  <si>
    <t>Midazolam_HumanHI__120_1_____XP61_Inj 006</t>
  </si>
  <si>
    <t>Midazolam_HumanHI__120_2_____XP61_Inj 007</t>
  </si>
  <si>
    <t>Midazolam_HumanHI__120_3_____XP61_Inj 008</t>
  </si>
  <si>
    <t>Midazolam_HumanHI__0_1_____XP61_Inj 006</t>
  </si>
  <si>
    <t>Midazolam_HumanHI__0_2_____XP61_Inj 007</t>
  </si>
  <si>
    <t>Midazolam_HumanHI__0_3_____XP61_Inj 008</t>
  </si>
  <si>
    <t>Control</t>
  </si>
  <si>
    <t>5.20%</t>
  </si>
  <si>
    <t>7.71%</t>
  </si>
  <si>
    <t>4.49%</t>
  </si>
  <si>
    <t xml:space="preserve"> &gt;0</t>
  </si>
  <si>
    <t>0.02511</t>
  </si>
  <si>
    <t>R2</t>
  </si>
  <si>
    <t>T½ (mins)</t>
  </si>
  <si>
    <t>CLint (µl/min/106 cells)</t>
  </si>
  <si>
    <t>DTXSID0037522_HumanHI__120_1_____XP61_Inj 050</t>
  </si>
  <si>
    <t>DTXSID0037522_HumanHI__120_2_____XP61_Inj 051</t>
  </si>
  <si>
    <t>DTXSID0037522_HumanHI__120_3_____XP61_Inj 052</t>
  </si>
  <si>
    <t>DTXSID0037522_HumanHI__0_1_____XP61_Inj 050</t>
  </si>
  <si>
    <t>DTXSID0037522_HumanHI__0_2_____XP61_Inj 051</t>
  </si>
  <si>
    <t>DTXSID0037522_HumanHI__0_3_____XP61_Inj 052</t>
  </si>
  <si>
    <t>DTXSID1032484_HumanHI__120_1_____XP61_Inj 018</t>
  </si>
  <si>
    <t>DTXSID1032484_HumanHI__120_2_____XP61_Inj 019</t>
  </si>
  <si>
    <t>DTXSID1032484_HumanHI__120_3_____XP61_Inj 020</t>
  </si>
  <si>
    <t>DTXSID1032484_HumanHI__0_1_____XP61_Inj 018</t>
  </si>
  <si>
    <t>DTXSID1032484_HumanHI__0_2_____XP61_Inj 019</t>
  </si>
  <si>
    <t>DTXSID1032484_HumanHI__0_3_____XP61_Inj 020</t>
  </si>
  <si>
    <t>DTXSID2032554_HumanHI__120_1_____XP61_Inj 042</t>
  </si>
  <si>
    <t>DTXSID2032554_HumanHI__120_2_____XP61_Inj 043</t>
  </si>
  <si>
    <t>DTXSID2032554_HumanHI__120_3_____XP61_Inj 044</t>
  </si>
  <si>
    <t>DTXSID2032554_HumanHI__0_1_____XP61_Inj 042</t>
  </si>
  <si>
    <t>DTXSID2032554_HumanHI__0_2_____XP61_Inj 043</t>
  </si>
  <si>
    <t>DTXSID2032554_HumanHI__0_3_____XP61_Inj 044</t>
  </si>
  <si>
    <t>DTXSID3028005_HumanHI__120_1_____XP61_Inj 082</t>
  </si>
  <si>
    <t>DTXSID3028005_HumanHI__120_2_____XP61_Inj 083</t>
  </si>
  <si>
    <t>DTXSID3028005_HumanHI__120_3_____XP61_Inj 084</t>
  </si>
  <si>
    <t>DTXSID3028005_HumanHI__0_1_____XP61_Inj 082</t>
  </si>
  <si>
    <t>DTXSID3028005_HumanHI__0_2_____XP61_Inj 083</t>
  </si>
  <si>
    <t>DTXSID3028005_HumanHI__0_3_____XP61_Inj 084</t>
  </si>
  <si>
    <t>DTXSID7041544_HumanHI__120_1_____XP61_Inj 098</t>
  </si>
  <si>
    <t>DTXSID7041544_HumanHI__120_2_____XP61_Inj 099</t>
  </si>
  <si>
    <t>DTXSID7041544_HumanHI__120_3_____XP61_Inj 100</t>
  </si>
  <si>
    <t>DTXSID7041544_HumanHI__0_1_____XP61_Inj 098</t>
  </si>
  <si>
    <t>DTXSID7041544_HumanHI__0_2_____XP61_Inj 099</t>
  </si>
  <si>
    <t>DTXSID7041544_HumanHI__0_3_____XP61_Inj 100</t>
  </si>
  <si>
    <t>DTXSID8034324_HumanHI__120_1_____XP61_Inj 026</t>
  </si>
  <si>
    <t>DTXSID8034324_HumanHI__120_2_____XP61_Inj 027</t>
  </si>
  <si>
    <t>DTXSID8034324_HumanHI__120_3_____XP61_Inj 028</t>
  </si>
  <si>
    <t>DTXSID8034324_HumanHI__0_1_____XP61_Inj 026</t>
  </si>
  <si>
    <t>DTXSID8034324_HumanHI__0_2_____XP61_Inj 027</t>
  </si>
  <si>
    <t>DTXSID8034324_HumanHI__0_3_____XP61_Inj 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</si>
</sst>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dd\ mmm\ yyyy"/>
    <numFmt numFmtId="165" formatCode="0.0%"/>
    <numFmt numFmtId="166" formatCode="0.0000"/>
    <numFmt numFmtId="167" formatCode="0.000"/>
    <numFmt numFmtId="168" formatCode="0.0"/>
    <numFmt numFmtId="169" formatCode="0.00000"/>
    <numFmt numFmtId="170" formatCode="0.00000%"/>
    <numFmt numFmtId="171" formatCode="0.000000%"/>
    <numFmt numFmtId="172" formatCode="0.0000%"/>
    <numFmt numFmtId="173" formatCode="0.000%"/>
  </numFmts>
  <fonts count="17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Times New Roman"/>
      <family val="1"/>
    </font>
    <font>
      <b/>
      <sz val="11"/>
      <color rgb="FF000000"/>
      <name val="Calibri"/>
      <family val="2"/>
    </font>
    <font>
      <b/>
      <sz val="11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9BC2E6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 style="mediumDashed">
        <color rgb="FF000000"/>
      </top>
      <bottom style="double">
        <color rgb="FF000000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8">
    <xf numFmtId="0" fontId="0" fillId="0" borderId="0" xfId="0"/>
    <xf numFmtId="0" fontId="4" fillId="0" borderId="0" xfId="1"/>
    <xf numFmtId="0" fontId="6" fillId="0" borderId="0" xfId="1" applyFont="1"/>
    <xf numFmtId="0" fontId="8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5" fillId="0" borderId="0" xfId="1" applyFont="1"/>
    <xf numFmtId="0" fontId="10" fillId="0" borderId="0" xfId="1" applyFont="1"/>
    <xf numFmtId="0" fontId="5" fillId="0" borderId="0" xfId="1" applyFont="1" applyAlignment="1">
      <alignment horizontal="center"/>
    </xf>
    <xf numFmtId="0" fontId="4" fillId="0" borderId="0" xfId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0" xfId="1" applyFont="1" applyFill="1" applyAlignment="1">
      <alignment horizontal="center"/>
    </xf>
    <xf numFmtId="10" fontId="4" fillId="2" borderId="0" xfId="1" applyNumberFormat="1" applyFill="1" applyAlignment="1">
      <alignment horizontal="center"/>
    </xf>
    <xf numFmtId="165" fontId="4" fillId="2" borderId="0" xfId="1" applyNumberFormat="1" applyFill="1" applyAlignment="1">
      <alignment horizontal="center"/>
    </xf>
    <xf numFmtId="0" fontId="5" fillId="2" borderId="1" xfId="1" applyFont="1" applyFill="1" applyBorder="1" applyAlignment="1">
      <alignment horizontal="center"/>
    </xf>
    <xf numFmtId="9" fontId="4" fillId="2" borderId="1" xfId="1" applyNumberFormat="1" applyFill="1" applyBorder="1" applyAlignment="1">
      <alignment horizontal="center"/>
    </xf>
    <xf numFmtId="9" fontId="4" fillId="2" borderId="0" xfId="1" applyNumberFormat="1" applyFill="1" applyAlignment="1">
      <alignment horizontal="center"/>
    </xf>
    <xf numFmtId="170" fontId="4" fillId="2" borderId="0" xfId="1" applyNumberFormat="1" applyFill="1" applyAlignment="1">
      <alignment horizontal="center"/>
    </xf>
    <xf numFmtId="171" fontId="4" fillId="2" borderId="0" xfId="1" applyNumberFormat="1" applyFill="1" applyAlignment="1">
      <alignment horizontal="center"/>
    </xf>
    <xf numFmtId="172" fontId="4" fillId="2" borderId="0" xfId="1" applyNumberFormat="1" applyFill="1" applyAlignment="1">
      <alignment horizontal="center"/>
    </xf>
    <xf numFmtId="0" fontId="4" fillId="2" borderId="0" xfId="1" applyFill="1" applyAlignment="1">
      <alignment horizontal="center"/>
    </xf>
    <xf numFmtId="173" fontId="4" fillId="2" borderId="0" xfId="1" applyNumberFormat="1" applyFill="1" applyAlignment="1">
      <alignment horizontal="center"/>
    </xf>
    <xf numFmtId="0" fontId="0" fillId="0" borderId="3" xfId="0" applyBorder="1" applyAlignment="1">
      <alignment horizontal="center"/>
    </xf>
    <xf numFmtId="168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7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8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68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10" fillId="0" borderId="0" xfId="1" applyFont="1" applyAlignment="1">
      <alignment horizontal="center"/>
    </xf>
    <xf numFmtId="0" fontId="5" fillId="0" borderId="8" xfId="1" applyFont="1" applyBorder="1" applyAlignment="1">
      <alignment horizontal="center"/>
    </xf>
    <xf numFmtId="166" fontId="4" fillId="0" borderId="5" xfId="1" applyNumberFormat="1" applyBorder="1" applyAlignment="1">
      <alignment horizontal="center"/>
    </xf>
    <xf numFmtId="0" fontId="5" fillId="0" borderId="9" xfId="1" applyFont="1" applyBorder="1" applyAlignment="1">
      <alignment horizontal="center"/>
    </xf>
    <xf numFmtId="2" fontId="4" fillId="0" borderId="6" xfId="1" applyNumberFormat="1" applyBorder="1" applyAlignment="1">
      <alignment horizontal="center"/>
    </xf>
    <xf numFmtId="167" fontId="4" fillId="0" borderId="6" xfId="1" applyNumberFormat="1" applyBorder="1" applyAlignment="1">
      <alignment horizontal="center"/>
    </xf>
    <xf numFmtId="168" fontId="4" fillId="0" borderId="6" xfId="1" applyNumberFormat="1" applyBorder="1" applyAlignment="1">
      <alignment horizontal="center"/>
    </xf>
    <xf numFmtId="0" fontId="5" fillId="0" borderId="10" xfId="1" applyFont="1" applyBorder="1" applyAlignment="1">
      <alignment horizontal="center"/>
    </xf>
    <xf numFmtId="0" fontId="4" fillId="0" borderId="7" xfId="1" applyBorder="1" applyAlignment="1">
      <alignment horizontal="center"/>
    </xf>
    <xf numFmtId="1" fontId="4" fillId="0" borderId="6" xfId="1" applyNumberFormat="1" applyBorder="1" applyAlignment="1">
      <alignment horizontal="center"/>
    </xf>
    <xf numFmtId="0" fontId="6" fillId="3" borderId="0" xfId="1" applyFont="1" applyFill="1"/>
    <xf numFmtId="0" fontId="6" fillId="4" borderId="0" xfId="1" applyFont="1" applyFill="1"/>
    <xf numFmtId="0" fontId="6" fillId="3" borderId="0" xfId="1" applyFont="1" applyFill="1" applyAlignment="1">
      <alignment horizontal="center"/>
    </xf>
    <xf numFmtId="0" fontId="6" fillId="4" borderId="0" xfId="1" applyFont="1" applyFill="1" applyAlignment="1">
      <alignment horizontal="center"/>
    </xf>
    <xf numFmtId="0" fontId="7" fillId="4" borderId="0" xfId="1" applyFont="1" applyFill="1"/>
    <xf numFmtId="0" fontId="7" fillId="3" borderId="0" xfId="1" applyFont="1" applyFill="1"/>
    <xf numFmtId="0" fontId="0" fillId="0" borderId="0" xfId="0" applyAlignment="1">
      <alignment horizontal="center"/>
    </xf>
    <xf numFmtId="0" fontId="6" fillId="0" borderId="0" xfId="2" applyFont="1"/>
    <xf numFmtId="0" fontId="5" fillId="0" borderId="0" xfId="2" applyFont="1"/>
    <xf numFmtId="0" fontId="5" fillId="0" borderId="0" xfId="2" applyFont="1" applyAlignment="1">
      <alignment horizontal="center"/>
    </xf>
    <xf numFmtId="0" fontId="3" fillId="0" borderId="0" xfId="2"/>
    <xf numFmtId="0" fontId="10" fillId="0" borderId="0" xfId="2" applyFont="1"/>
    <xf numFmtId="0" fontId="10" fillId="0" borderId="0" xfId="2" applyFont="1" applyAlignment="1">
      <alignment horizontal="center"/>
    </xf>
    <xf numFmtId="0" fontId="3" fillId="0" borderId="0" xfId="2" applyAlignment="1">
      <alignment horizontal="center"/>
    </xf>
    <xf numFmtId="0" fontId="6" fillId="3" borderId="0" xfId="2" applyFont="1" applyFill="1"/>
    <xf numFmtId="0" fontId="6" fillId="3" borderId="0" xfId="2" applyFont="1" applyFill="1" applyAlignment="1">
      <alignment horizontal="center"/>
    </xf>
    <xf numFmtId="0" fontId="5" fillId="2" borderId="2" xfId="2" applyFont="1" applyFill="1" applyBorder="1" applyAlignment="1">
      <alignment horizontal="center"/>
    </xf>
    <xf numFmtId="0" fontId="6" fillId="4" borderId="0" xfId="2" applyFont="1" applyFill="1"/>
    <xf numFmtId="0" fontId="6" fillId="4" borderId="0" xfId="2" applyFont="1" applyFill="1" applyAlignment="1">
      <alignment horizontal="center"/>
    </xf>
    <xf numFmtId="0" fontId="5" fillId="2" borderId="0" xfId="2" applyFont="1" applyFill="1" applyAlignment="1">
      <alignment horizontal="center"/>
    </xf>
    <xf numFmtId="172" fontId="3" fillId="2" borderId="0" xfId="2" applyNumberFormat="1" applyFill="1" applyAlignment="1">
      <alignment horizontal="center"/>
    </xf>
    <xf numFmtId="173" fontId="3" fillId="2" borderId="0" xfId="2" applyNumberFormat="1" applyFill="1" applyAlignment="1">
      <alignment horizontal="center"/>
    </xf>
    <xf numFmtId="0" fontId="7" fillId="4" borderId="0" xfId="2" applyFont="1" applyFill="1"/>
    <xf numFmtId="10" fontId="3" fillId="2" borderId="0" xfId="2" applyNumberFormat="1" applyFill="1" applyAlignment="1">
      <alignment horizontal="center"/>
    </xf>
    <xf numFmtId="0" fontId="7" fillId="3" borderId="0" xfId="2" applyFont="1" applyFill="1"/>
    <xf numFmtId="165" fontId="3" fillId="2" borderId="0" xfId="2" applyNumberFormat="1" applyFill="1" applyAlignment="1">
      <alignment horizontal="center"/>
    </xf>
    <xf numFmtId="0" fontId="5" fillId="2" borderId="1" xfId="2" applyFont="1" applyFill="1" applyBorder="1" applyAlignment="1">
      <alignment horizontal="center"/>
    </xf>
    <xf numFmtId="9" fontId="3" fillId="2" borderId="1" xfId="2" applyNumberFormat="1" applyFill="1" applyBorder="1" applyAlignment="1">
      <alignment horizontal="center"/>
    </xf>
    <xf numFmtId="0" fontId="5" fillId="0" borderId="8" xfId="2" applyFont="1" applyBorder="1" applyAlignment="1">
      <alignment horizontal="center"/>
    </xf>
    <xf numFmtId="166" fontId="3" fillId="0" borderId="5" xfId="2" applyNumberFormat="1" applyBorder="1" applyAlignment="1">
      <alignment horizontal="center"/>
    </xf>
    <xf numFmtId="0" fontId="5" fillId="0" borderId="9" xfId="2" applyFont="1" applyBorder="1" applyAlignment="1">
      <alignment horizontal="center"/>
    </xf>
    <xf numFmtId="2" fontId="3" fillId="0" borderId="6" xfId="2" applyNumberFormat="1" applyBorder="1" applyAlignment="1">
      <alignment horizontal="center"/>
    </xf>
    <xf numFmtId="167" fontId="3" fillId="0" borderId="6" xfId="2" applyNumberFormat="1" applyBorder="1" applyAlignment="1">
      <alignment horizontal="center"/>
    </xf>
    <xf numFmtId="168" fontId="3" fillId="0" borderId="6" xfId="2" applyNumberFormat="1" applyBorder="1" applyAlignment="1">
      <alignment horizontal="center"/>
    </xf>
    <xf numFmtId="1" fontId="3" fillId="0" borderId="6" xfId="2" applyNumberFormat="1" applyBorder="1" applyAlignment="1">
      <alignment horizontal="center"/>
    </xf>
    <xf numFmtId="0" fontId="5" fillId="0" borderId="10" xfId="2" applyFont="1" applyBorder="1" applyAlignment="1">
      <alignment horizontal="center"/>
    </xf>
    <xf numFmtId="0" fontId="3" fillId="0" borderId="7" xfId="2" applyBorder="1" applyAlignment="1">
      <alignment horizontal="center"/>
    </xf>
    <xf numFmtId="9" fontId="3" fillId="2" borderId="0" xfId="2" applyNumberFormat="1" applyFill="1" applyAlignment="1">
      <alignment horizontal="center"/>
    </xf>
    <xf numFmtId="0" fontId="3" fillId="2" borderId="0" xfId="2" applyFill="1" applyAlignment="1">
      <alignment horizontal="center"/>
    </xf>
    <xf numFmtId="170" fontId="3" fillId="2" borderId="0" xfId="2" applyNumberFormat="1" applyFill="1" applyAlignment="1">
      <alignment horizontal="center"/>
    </xf>
    <xf numFmtId="167" fontId="3" fillId="0" borderId="5" xfId="2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vertical="center"/>
    </xf>
    <xf numFmtId="168" fontId="0" fillId="0" borderId="0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6" fillId="0" borderId="0" xfId="3" applyFont="1"/>
    <xf numFmtId="0" fontId="5" fillId="0" borderId="0" xfId="3" applyFont="1"/>
    <xf numFmtId="0" fontId="5" fillId="0" borderId="0" xfId="3" applyFont="1" applyAlignment="1">
      <alignment horizontal="center"/>
    </xf>
    <xf numFmtId="0" fontId="2" fillId="0" borderId="0" xfId="3"/>
    <xf numFmtId="0" fontId="10" fillId="0" borderId="0" xfId="3" applyFont="1"/>
    <xf numFmtId="0" fontId="10" fillId="0" borderId="0" xfId="3" applyFont="1" applyAlignment="1">
      <alignment horizontal="center"/>
    </xf>
    <xf numFmtId="0" fontId="2" fillId="0" borderId="0" xfId="3" applyAlignment="1">
      <alignment horizontal="center"/>
    </xf>
    <xf numFmtId="0" fontId="6" fillId="3" borderId="0" xfId="3" applyFont="1" applyFill="1"/>
    <xf numFmtId="0" fontId="6" fillId="3" borderId="0" xfId="3" applyFont="1" applyFill="1" applyAlignment="1">
      <alignment horizontal="center"/>
    </xf>
    <xf numFmtId="0" fontId="5" fillId="2" borderId="2" xfId="3" applyFont="1" applyFill="1" applyBorder="1" applyAlignment="1">
      <alignment horizontal="center"/>
    </xf>
    <xf numFmtId="0" fontId="6" fillId="4" borderId="0" xfId="3" applyFont="1" applyFill="1"/>
    <xf numFmtId="0" fontId="6" fillId="4" borderId="0" xfId="3" applyFont="1" applyFill="1" applyAlignment="1">
      <alignment horizontal="center"/>
    </xf>
    <xf numFmtId="0" fontId="5" fillId="2" borderId="0" xfId="3" applyFont="1" applyFill="1" applyAlignment="1">
      <alignment horizontal="center"/>
    </xf>
    <xf numFmtId="165" fontId="2" fillId="2" borderId="0" xfId="3" applyNumberFormat="1" applyFill="1" applyAlignment="1">
      <alignment horizontal="center"/>
    </xf>
    <xf numFmtId="0" fontId="5" fillId="2" borderId="1" xfId="3" applyFont="1" applyFill="1" applyBorder="1" applyAlignment="1">
      <alignment horizontal="center"/>
    </xf>
    <xf numFmtId="9" fontId="2" fillId="2" borderId="1" xfId="3" applyNumberFormat="1" applyFill="1" applyBorder="1" applyAlignment="1">
      <alignment horizontal="center"/>
    </xf>
    <xf numFmtId="0" fontId="7" fillId="4" borderId="0" xfId="3" applyFont="1" applyFill="1"/>
    <xf numFmtId="0" fontId="7" fillId="3" borderId="0" xfId="3" applyFont="1" applyFill="1"/>
    <xf numFmtId="0" fontId="5" fillId="0" borderId="8" xfId="3" applyFont="1" applyBorder="1" applyAlignment="1">
      <alignment horizontal="center"/>
    </xf>
    <xf numFmtId="169" fontId="2" fillId="0" borderId="5" xfId="3" applyNumberFormat="1" applyBorder="1" applyAlignment="1">
      <alignment horizontal="center"/>
    </xf>
    <xf numFmtId="0" fontId="5" fillId="0" borderId="9" xfId="3" applyFont="1" applyBorder="1" applyAlignment="1">
      <alignment horizontal="center"/>
    </xf>
    <xf numFmtId="2" fontId="2" fillId="0" borderId="6" xfId="3" applyNumberFormat="1" applyBorder="1" applyAlignment="1">
      <alignment horizontal="center"/>
    </xf>
    <xf numFmtId="167" fontId="2" fillId="0" borderId="6" xfId="3" applyNumberFormat="1" applyBorder="1" applyAlignment="1">
      <alignment horizontal="center"/>
    </xf>
    <xf numFmtId="168" fontId="2" fillId="0" borderId="6" xfId="3" applyNumberFormat="1" applyBorder="1" applyAlignment="1">
      <alignment horizontal="center"/>
    </xf>
    <xf numFmtId="0" fontId="5" fillId="0" borderId="10" xfId="3" applyFont="1" applyBorder="1" applyAlignment="1">
      <alignment horizontal="center"/>
    </xf>
    <xf numFmtId="0" fontId="2" fillId="0" borderId="7" xfId="3" applyBorder="1" applyAlignment="1">
      <alignment horizontal="center"/>
    </xf>
    <xf numFmtId="1" fontId="2" fillId="0" borderId="6" xfId="3" applyNumberFormat="1" applyBorder="1" applyAlignment="1">
      <alignment horizontal="center"/>
    </xf>
    <xf numFmtId="9" fontId="2" fillId="2" borderId="0" xfId="3" applyNumberFormat="1" applyFill="1" applyAlignment="1">
      <alignment horizontal="center"/>
    </xf>
    <xf numFmtId="166" fontId="2" fillId="0" borderId="5" xfId="3" applyNumberFormat="1" applyBorder="1" applyAlignment="1">
      <alignment horizontal="center"/>
    </xf>
    <xf numFmtId="0" fontId="0" fillId="4" borderId="0" xfId="3" applyFont="1" applyFill="1"/>
    <xf numFmtId="0" fontId="14" fillId="5" borderId="0" xfId="1" applyFont="1" applyFill="1" applyBorder="1"/>
    <xf numFmtId="0" fontId="0" fillId="5" borderId="0" xfId="1" quotePrefix="1" applyFont="1" applyFill="1" applyBorder="1"/>
    <xf numFmtId="0" fontId="14" fillId="5" borderId="0" xfId="1" applyFont="1" applyFill="1" applyBorder="1" applyAlignment="1">
      <alignment horizontal="center"/>
    </xf>
    <xf numFmtId="0" fontId="15" fillId="6" borderId="2" xfId="1" applyFont="1" applyFill="1" applyBorder="1" applyAlignment="1">
      <alignment horizontal="center"/>
    </xf>
    <xf numFmtId="0" fontId="13" fillId="0" borderId="0" xfId="1" applyFont="1" applyFill="1" applyBorder="1"/>
    <xf numFmtId="0" fontId="14" fillId="7" borderId="0" xfId="1" applyFont="1" applyFill="1" applyBorder="1"/>
    <xf numFmtId="0" fontId="14" fillId="7" borderId="0" xfId="1" applyFont="1" applyFill="1" applyBorder="1" applyAlignment="1">
      <alignment horizontal="center"/>
    </xf>
    <xf numFmtId="0" fontId="15" fillId="6" borderId="0" xfId="1" applyFont="1" applyFill="1" applyBorder="1" applyAlignment="1">
      <alignment horizontal="center"/>
    </xf>
    <xf numFmtId="0" fontId="13" fillId="6" borderId="0" xfId="1" applyFont="1" applyFill="1" applyBorder="1" applyAlignment="1">
      <alignment horizontal="center"/>
    </xf>
    <xf numFmtId="0" fontId="15" fillId="6" borderId="1" xfId="1" applyFont="1" applyFill="1" applyBorder="1" applyAlignment="1">
      <alignment horizontal="center"/>
    </xf>
    <xf numFmtId="9" fontId="13" fillId="6" borderId="1" xfId="1" applyNumberFormat="1" applyFont="1" applyFill="1" applyBorder="1" applyAlignment="1">
      <alignment horizontal="center"/>
    </xf>
    <xf numFmtId="0" fontId="13" fillId="0" borderId="0" xfId="1" applyFont="1" applyFill="1" applyBorder="1" applyAlignment="1">
      <alignment horizontal="center"/>
    </xf>
    <xf numFmtId="0" fontId="15" fillId="0" borderId="8" xfId="1" applyFont="1" applyFill="1" applyBorder="1" applyAlignment="1">
      <alignment horizontal="center"/>
    </xf>
    <xf numFmtId="0" fontId="13" fillId="0" borderId="5" xfId="1" applyFont="1" applyFill="1" applyBorder="1" applyAlignment="1">
      <alignment horizontal="center"/>
    </xf>
    <xf numFmtId="0" fontId="15" fillId="0" borderId="9" xfId="1" applyFont="1" applyFill="1" applyBorder="1" applyAlignment="1">
      <alignment horizontal="center"/>
    </xf>
    <xf numFmtId="0" fontId="13" fillId="0" borderId="6" xfId="1" applyFont="1" applyFill="1" applyBorder="1" applyAlignment="1">
      <alignment horizontal="center"/>
    </xf>
    <xf numFmtId="0" fontId="16" fillId="5" borderId="0" xfId="1" applyFont="1" applyFill="1" applyBorder="1"/>
    <xf numFmtId="0" fontId="16" fillId="7" borderId="0" xfId="1" applyFont="1" applyFill="1" applyBorder="1"/>
    <xf numFmtId="168" fontId="13" fillId="0" borderId="6" xfId="1" applyNumberFormat="1" applyFont="1" applyFill="1" applyBorder="1" applyAlignment="1">
      <alignment horizontal="center"/>
    </xf>
    <xf numFmtId="0" fontId="15" fillId="0" borderId="10" xfId="1" applyFont="1" applyFill="1" applyBorder="1" applyAlignment="1">
      <alignment horizontal="center"/>
    </xf>
    <xf numFmtId="0" fontId="13" fillId="0" borderId="7" xfId="1" applyFont="1" applyFill="1" applyBorder="1" applyAlignment="1">
      <alignment horizontal="center"/>
    </xf>
    <xf numFmtId="0" fontId="6" fillId="0" borderId="0" xfId="4" applyFont="1"/>
    <xf numFmtId="0" fontId="5" fillId="0" borderId="0" xfId="4" applyFont="1"/>
    <xf numFmtId="0" fontId="5" fillId="0" borderId="0" xfId="4" applyFont="1" applyAlignment="1">
      <alignment horizontal="center"/>
    </xf>
    <xf numFmtId="0" fontId="1" fillId="0" borderId="0" xfId="4"/>
    <xf numFmtId="0" fontId="10" fillId="0" borderId="0" xfId="4" applyFont="1"/>
    <xf numFmtId="0" fontId="10" fillId="0" borderId="0" xfId="4" applyFont="1" applyAlignment="1">
      <alignment horizontal="center"/>
    </xf>
    <xf numFmtId="0" fontId="1" fillId="0" borderId="0" xfId="4" applyAlignment="1">
      <alignment horizontal="center"/>
    </xf>
    <xf numFmtId="0" fontId="6" fillId="3" borderId="0" xfId="4" applyFont="1" applyFill="1"/>
    <xf numFmtId="0" fontId="6" fillId="3" borderId="0" xfId="4" applyFont="1" applyFill="1" applyAlignment="1">
      <alignment horizontal="center"/>
    </xf>
    <xf numFmtId="0" fontId="5" fillId="2" borderId="2" xfId="4" applyFont="1" applyFill="1" applyBorder="1" applyAlignment="1">
      <alignment horizontal="center"/>
    </xf>
    <xf numFmtId="0" fontId="6" fillId="4" borderId="0" xfId="4" applyFont="1" applyFill="1"/>
    <xf numFmtId="0" fontId="6" fillId="4" borderId="0" xfId="4" applyFont="1" applyFill="1" applyAlignment="1">
      <alignment horizontal="center"/>
    </xf>
    <xf numFmtId="0" fontId="5" fillId="2" borderId="0" xfId="4" applyFont="1" applyFill="1" applyAlignment="1">
      <alignment horizontal="center"/>
    </xf>
    <xf numFmtId="165" fontId="1" fillId="2" borderId="0" xfId="4" applyNumberFormat="1" applyFill="1" applyAlignment="1">
      <alignment horizontal="center"/>
    </xf>
    <xf numFmtId="0" fontId="5" fillId="2" borderId="1" xfId="4" applyFont="1" applyFill="1" applyBorder="1" applyAlignment="1">
      <alignment horizontal="center"/>
    </xf>
    <xf numFmtId="9" fontId="1" fillId="2" borderId="1" xfId="4" applyNumberFormat="1" applyFill="1" applyBorder="1" applyAlignment="1">
      <alignment horizontal="center"/>
    </xf>
    <xf numFmtId="0" fontId="7" fillId="4" borderId="0" xfId="4" applyFont="1" applyFill="1"/>
    <xf numFmtId="0" fontId="7" fillId="3" borderId="0" xfId="4" applyFont="1" applyFill="1"/>
    <xf numFmtId="0" fontId="5" fillId="0" borderId="8" xfId="4" applyFont="1" applyBorder="1" applyAlignment="1">
      <alignment horizontal="center"/>
    </xf>
    <xf numFmtId="169" fontId="1" fillId="0" borderId="5" xfId="4" applyNumberFormat="1" applyBorder="1" applyAlignment="1">
      <alignment horizontal="center"/>
    </xf>
    <xf numFmtId="0" fontId="5" fillId="0" borderId="9" xfId="4" applyFont="1" applyBorder="1" applyAlignment="1">
      <alignment horizontal="center"/>
    </xf>
    <xf numFmtId="2" fontId="1" fillId="0" borderId="6" xfId="4" applyNumberFormat="1" applyBorder="1" applyAlignment="1">
      <alignment horizontal="center"/>
    </xf>
    <xf numFmtId="167" fontId="1" fillId="0" borderId="6" xfId="4" applyNumberFormat="1" applyBorder="1" applyAlignment="1">
      <alignment horizontal="center"/>
    </xf>
    <xf numFmtId="168" fontId="1" fillId="0" borderId="6" xfId="4" applyNumberFormat="1" applyBorder="1" applyAlignment="1">
      <alignment horizontal="center"/>
    </xf>
    <xf numFmtId="0" fontId="5" fillId="0" borderId="10" xfId="4" applyFont="1" applyBorder="1" applyAlignment="1">
      <alignment horizontal="center"/>
    </xf>
    <xf numFmtId="0" fontId="1" fillId="0" borderId="7" xfId="4" applyBorder="1" applyAlignment="1">
      <alignment horizontal="center"/>
    </xf>
    <xf numFmtId="9" fontId="1" fillId="2" borderId="0" xfId="4" applyNumberFormat="1" applyFill="1" applyAlignment="1">
      <alignment horizontal="center"/>
    </xf>
    <xf numFmtId="166" fontId="1" fillId="0" borderId="6" xfId="4" applyNumberFormat="1" applyBorder="1" applyAlignment="1">
      <alignment horizontal="center"/>
    </xf>
    <xf numFmtId="1" fontId="1" fillId="0" borderId="6" xfId="4" applyNumberFormat="1" applyBorder="1" applyAlignment="1">
      <alignment horizontal="center"/>
    </xf>
    <xf numFmtId="166" fontId="1" fillId="0" borderId="5" xfId="4" applyNumberFormat="1" applyBorder="1" applyAlignment="1">
      <alignment horizontal="center"/>
    </xf>
    <xf numFmtId="10" fontId="1" fillId="2" borderId="0" xfId="4" applyNumberFormat="1" applyFill="1" applyAlignment="1">
      <alignment horizontal="center"/>
    </xf>
  </cellXfs>
  <cellStyles count="5">
    <cellStyle name="Normal" xfId="0" builtinId="0" customBuiltin="1"/>
    <cellStyle name="Normal 2" xfId="1"/>
    <cellStyle name="Normal 2 2" xfId="2"/>
    <cellStyle name="Normal 2 3" xfId="3"/>
    <cellStyle name="Normal 2 4" xfId="4"/>
  </cellStyles>
  <dxfs count="641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 uM active'!$R$116</c:f>
          <c:strCache>
            <c:ptCount val="1"/>
            <c:pt idx="0">
              <c:v>Midazolam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-2.3764654418197726E-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'1 uM active'!$V$119:$V$133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'1 uM active'!$W$119:$W$133</c:f>
              <c:numCache>
                <c:formatCode>General</c:formatCode>
                <c:ptCount val="15"/>
                <c:pt idx="0">
                  <c:v>1.22342978276811</c:v>
                </c:pt>
                <c:pt idx="1">
                  <c:v>1.1699164858816871</c:v>
                </c:pt>
                <c:pt idx="2">
                  <c:v>1.1315806971135491</c:v>
                </c:pt>
                <c:pt idx="3">
                  <c:v>2.382059021251036</c:v>
                </c:pt>
                <c:pt idx="4">
                  <c:v>2.2460247435479821</c:v>
                </c:pt>
                <c:pt idx="5">
                  <c:v>2.3167226971436294</c:v>
                </c:pt>
                <c:pt idx="6">
                  <c:v>3.2755905623874324</c:v>
                </c:pt>
                <c:pt idx="7">
                  <c:v>3.0896242652370325</c:v>
                </c:pt>
                <c:pt idx="8">
                  <c:v>3.1891352630343808</c:v>
                </c:pt>
                <c:pt idx="9">
                  <c:v>4.0788029057076081</c:v>
                </c:pt>
                <c:pt idx="10">
                  <c:v>3.9568943470311448</c:v>
                </c:pt>
                <c:pt idx="11">
                  <c:v>4.0700859185096432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D-4DBE-ABF6-D17127947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207248"/>
        <c:axId val="660214464"/>
      </c:scatterChart>
      <c:valAx>
        <c:axId val="660207248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'1 uM active'!$R$117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0214464"/>
        <c:crosses val="autoZero"/>
        <c:crossBetween val="midCat"/>
      </c:valAx>
      <c:valAx>
        <c:axId val="660214464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'1 uM active'!$R$118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0207248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 uM control'!$R$64</c:f>
          <c:strCache>
            <c:ptCount val="1"/>
            <c:pt idx="0">
              <c:v>DTXSID3028005 - HumanHI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4070583260425780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'1 uM control'!$V$67:$V$72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'1 uM control'!$W$67:$W$72</c:f>
              <c:numCache>
                <c:formatCode>General</c:formatCode>
                <c:ptCount val="6"/>
                <c:pt idx="0">
                  <c:v>3.9167249392859591</c:v>
                </c:pt>
                <c:pt idx="1">
                  <c:v>4.3262371301716742</c:v>
                </c:pt>
                <c:pt idx="2">
                  <c:v>4.220375030871133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6-45D5-8BB6-7A80CD778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704728"/>
        <c:axId val="639708336"/>
      </c:scatterChart>
      <c:valAx>
        <c:axId val="639704728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'1 uM control'!$R$65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9708336"/>
        <c:crosses val="autoZero"/>
        <c:crossBetween val="midCat"/>
      </c:valAx>
      <c:valAx>
        <c:axId val="639708336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'1 uM control'!$R$66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9704728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 uM control'!$R$84</c:f>
          <c:strCache>
            <c:ptCount val="1"/>
            <c:pt idx="0">
              <c:v>DTXSID7041544 - HumanHI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'1 uM control'!$V$87:$V$89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'1 uM control'!$W$87:$W$89</c:f>
              <c:numCache>
                <c:formatCode>General</c:formatCode>
                <c:ptCount val="3"/>
                <c:pt idx="0">
                  <c:v>4.6051701859880918</c:v>
                </c:pt>
                <c:pt idx="1">
                  <c:v>4.6051701859880918</c:v>
                </c:pt>
                <c:pt idx="2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9E-4321-8B90-6488BD23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508888"/>
        <c:axId val="643510856"/>
      </c:scatterChart>
      <c:valAx>
        <c:axId val="643508888"/>
        <c:scaling>
          <c:orientation val="minMax"/>
          <c:max val="120"/>
          <c:min val="0"/>
        </c:scaling>
        <c:delete val="0"/>
        <c:axPos val="b"/>
        <c:title>
          <c:tx>
            <c:strRef>
              <c:f>'1 uM control'!$R$85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3510856"/>
        <c:crosses val="autoZero"/>
        <c:crossBetween val="midCat"/>
      </c:valAx>
      <c:valAx>
        <c:axId val="643510856"/>
        <c:scaling>
          <c:orientation val="minMax"/>
          <c:max val="5"/>
          <c:min val="0"/>
        </c:scaling>
        <c:delete val="0"/>
        <c:axPos val="l"/>
        <c:majorGridlines/>
        <c:title>
          <c:tx>
            <c:strRef>
              <c:f>'1 uM control'!$R$86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3508888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'10 uM control'!$R$84</c:f>
          <c:strCache>
            <c:ptCount val="1"/>
            <c:pt idx="0">
              <c:v>DTXSID7041544 - HumanHI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6.2620005832604256E-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'10 uM control'!$V$87:$V$92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'10 uM control'!$W$87:$W$92</c:f>
              <c:numCache>
                <c:formatCode>General</c:formatCode>
                <c:ptCount val="6"/>
                <c:pt idx="0">
                  <c:v>1.3473208546489785</c:v>
                </c:pt>
                <c:pt idx="1">
                  <c:v>1.809439962540087</c:v>
                </c:pt>
                <c:pt idx="2">
                  <c:v>1.6277769998509664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9-4B43-A853-DB548C153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046800"/>
        <c:axId val="640055000"/>
      </c:scatterChart>
      <c:valAx>
        <c:axId val="64004680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'10 uM control'!$R$85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0055000"/>
        <c:crosses val="autoZero"/>
        <c:crossBetween val="midCat"/>
      </c:valAx>
      <c:valAx>
        <c:axId val="640055000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'10 uM control'!$R$86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0046800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'10 uM control'!$R$64</c:f>
          <c:strCache>
            <c:ptCount val="1"/>
            <c:pt idx="0">
              <c:v>DTXSID3028005 - HumanHI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6040944881889764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'10 uM control'!$V$67:$V$72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'10 uM control'!$W$67:$W$72</c:f>
              <c:numCache>
                <c:formatCode>General</c:formatCode>
                <c:ptCount val="6"/>
                <c:pt idx="0">
                  <c:v>4.0636793558362552</c:v>
                </c:pt>
                <c:pt idx="1">
                  <c:v>3.397836797076669</c:v>
                </c:pt>
                <c:pt idx="2">
                  <c:v>3.9618454413459063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2A-4A67-81B3-8747DF79E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916048"/>
        <c:axId val="639917688"/>
      </c:scatterChart>
      <c:valAx>
        <c:axId val="639916048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'10 uM control'!$R$65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9917688"/>
        <c:crosses val="autoZero"/>
        <c:crossBetween val="midCat"/>
      </c:valAx>
      <c:valAx>
        <c:axId val="63991768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'10 uM control'!$R$66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9916048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'10 uM control'!$R$44</c:f>
          <c:strCache>
            <c:ptCount val="1"/>
            <c:pt idx="0">
              <c:v>DTXSID2032554 - HumanHI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29673111694371535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'10 uM control'!$V$47:$V$52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'10 uM control'!$W$47:$W$52</c:f>
              <c:numCache>
                <c:formatCode>General</c:formatCode>
                <c:ptCount val="6"/>
                <c:pt idx="0">
                  <c:v>3.387236867735719</c:v>
                </c:pt>
                <c:pt idx="1">
                  <c:v>3.2818720951233251</c:v>
                </c:pt>
                <c:pt idx="2">
                  <c:v>3.3346257987971177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44CB-B5E6-B8D9C7B55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214608"/>
        <c:axId val="644217560"/>
      </c:scatterChart>
      <c:valAx>
        <c:axId val="644214608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'10 uM control'!$R$45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217560"/>
        <c:crosses val="autoZero"/>
        <c:crossBetween val="midCat"/>
      </c:valAx>
      <c:valAx>
        <c:axId val="644217560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'10 uM control'!$R$46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214608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'10 uM control'!$R$22</c:f>
          <c:strCache>
            <c:ptCount val="1"/>
            <c:pt idx="0">
              <c:v>DTXSID1032484 - HumanHI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4838436862058908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'10 uM control'!$V$25:$V$30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'10 uM control'!$W$25:$W$30</c:f>
              <c:numCache>
                <c:formatCode>General</c:formatCode>
                <c:ptCount val="6"/>
                <c:pt idx="0">
                  <c:v>4.0912882227596574</c:v>
                </c:pt>
                <c:pt idx="1">
                  <c:v>4.137469631253051</c:v>
                </c:pt>
                <c:pt idx="2">
                  <c:v>5.1575753033408622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9-442C-BE47-2C4DF1345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223464"/>
        <c:axId val="644216904"/>
      </c:scatterChart>
      <c:valAx>
        <c:axId val="644223464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'10 uM control'!$R$23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216904"/>
        <c:crosses val="autoZero"/>
        <c:crossBetween val="midCat"/>
      </c:valAx>
      <c:valAx>
        <c:axId val="644216904"/>
        <c:scaling>
          <c:orientation val="minMax"/>
          <c:max val="6"/>
          <c:min val="0"/>
        </c:scaling>
        <c:delete val="0"/>
        <c:axPos val="l"/>
        <c:majorGridlines/>
        <c:minorGridlines/>
        <c:title>
          <c:tx>
            <c:strRef>
              <c:f>'10 uM control'!$R$24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223464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8.png"/><Relationship Id="rId6" Type="http://schemas.openxmlformats.org/officeDocument/2006/relationships/image" Target="../media/image19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1</xdr:row>
      <xdr:rowOff>19050</xdr:rowOff>
    </xdr:from>
    <xdr:to>
      <xdr:col>17</xdr:col>
      <xdr:colOff>74649</xdr:colOff>
      <xdr:row>19</xdr:row>
      <xdr:rowOff>30413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00" y="21907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76200</xdr:colOff>
      <xdr:row>20</xdr:row>
      <xdr:rowOff>38100</xdr:rowOff>
    </xdr:from>
    <xdr:to>
      <xdr:col>17</xdr:col>
      <xdr:colOff>93699</xdr:colOff>
      <xdr:row>38</xdr:row>
      <xdr:rowOff>49463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96550" y="40481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104775</xdr:colOff>
      <xdr:row>39</xdr:row>
      <xdr:rowOff>114300</xdr:rowOff>
    </xdr:from>
    <xdr:to>
      <xdr:col>17</xdr:col>
      <xdr:colOff>122274</xdr:colOff>
      <xdr:row>57</xdr:row>
      <xdr:rowOff>125663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25125" y="79343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57</xdr:row>
      <xdr:rowOff>180975</xdr:rowOff>
    </xdr:from>
    <xdr:to>
      <xdr:col>17</xdr:col>
      <xdr:colOff>84174</xdr:colOff>
      <xdr:row>75</xdr:row>
      <xdr:rowOff>182813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87025" y="1161097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76</xdr:row>
      <xdr:rowOff>171450</xdr:rowOff>
    </xdr:from>
    <xdr:to>
      <xdr:col>17</xdr:col>
      <xdr:colOff>84174</xdr:colOff>
      <xdr:row>94</xdr:row>
      <xdr:rowOff>173288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87025" y="15411450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85725</xdr:colOff>
      <xdr:row>96</xdr:row>
      <xdr:rowOff>9525</xdr:rowOff>
    </xdr:from>
    <xdr:to>
      <xdr:col>17</xdr:col>
      <xdr:colOff>103224</xdr:colOff>
      <xdr:row>114</xdr:row>
      <xdr:rowOff>20888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06075" y="19259550"/>
          <a:ext cx="4084674" cy="3621338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115</xdr:row>
      <xdr:rowOff>57150</xdr:rowOff>
    </xdr:from>
    <xdr:to>
      <xdr:col>17</xdr:col>
      <xdr:colOff>76200</xdr:colOff>
      <xdr:row>133</xdr:row>
      <xdr:rowOff>57150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63</xdr:row>
      <xdr:rowOff>0</xdr:rowOff>
    </xdr:from>
    <xdr:to>
      <xdr:col>17</xdr:col>
      <xdr:colOff>0</xdr:colOff>
      <xdr:row>81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83</xdr:row>
      <xdr:rowOff>0</xdr:rowOff>
    </xdr:from>
    <xdr:to>
      <xdr:col>17</xdr:col>
      <xdr:colOff>0</xdr:colOff>
      <xdr:row>101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17</xdr:col>
      <xdr:colOff>592427</xdr:colOff>
      <xdr:row>20</xdr:row>
      <xdr:rowOff>30413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58425" y="40957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21</xdr:row>
      <xdr:rowOff>0</xdr:rowOff>
    </xdr:from>
    <xdr:to>
      <xdr:col>17</xdr:col>
      <xdr:colOff>592427</xdr:colOff>
      <xdr:row>39</xdr:row>
      <xdr:rowOff>11363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58425" y="4200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43</xdr:row>
      <xdr:rowOff>0</xdr:rowOff>
    </xdr:from>
    <xdr:to>
      <xdr:col>17</xdr:col>
      <xdr:colOff>592427</xdr:colOff>
      <xdr:row>61</xdr:row>
      <xdr:rowOff>11363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58425" y="8582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103</xdr:row>
      <xdr:rowOff>0</xdr:rowOff>
    </xdr:from>
    <xdr:to>
      <xdr:col>17</xdr:col>
      <xdr:colOff>11402</xdr:colOff>
      <xdr:row>121</xdr:row>
      <xdr:rowOff>11363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77400" y="20583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123</xdr:row>
      <xdr:rowOff>0</xdr:rowOff>
    </xdr:from>
    <xdr:to>
      <xdr:col>17</xdr:col>
      <xdr:colOff>11402</xdr:colOff>
      <xdr:row>141</xdr:row>
      <xdr:rowOff>11363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77400" y="24584025"/>
          <a:ext cx="4078577" cy="36213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0</xdr:row>
      <xdr:rowOff>171450</xdr:rowOff>
    </xdr:from>
    <xdr:to>
      <xdr:col>17</xdr:col>
      <xdr:colOff>36549</xdr:colOff>
      <xdr:row>18</xdr:row>
      <xdr:rowOff>173288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39400" y="171450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</xdr:colOff>
      <xdr:row>20</xdr:row>
      <xdr:rowOff>28575</xdr:rowOff>
    </xdr:from>
    <xdr:to>
      <xdr:col>17</xdr:col>
      <xdr:colOff>55599</xdr:colOff>
      <xdr:row>38</xdr:row>
      <xdr:rowOff>39938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8450" y="4038600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</xdr:colOff>
      <xdr:row>39</xdr:row>
      <xdr:rowOff>9525</xdr:rowOff>
    </xdr:from>
    <xdr:to>
      <xdr:col>17</xdr:col>
      <xdr:colOff>36549</xdr:colOff>
      <xdr:row>57</xdr:row>
      <xdr:rowOff>20888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39400" y="7829550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57150</xdr:colOff>
      <xdr:row>58</xdr:row>
      <xdr:rowOff>0</xdr:rowOff>
    </xdr:from>
    <xdr:to>
      <xdr:col>17</xdr:col>
      <xdr:colOff>74649</xdr:colOff>
      <xdr:row>76</xdr:row>
      <xdr:rowOff>11363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77500" y="116300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</xdr:colOff>
      <xdr:row>76</xdr:row>
      <xdr:rowOff>190500</xdr:rowOff>
    </xdr:from>
    <xdr:to>
      <xdr:col>17</xdr:col>
      <xdr:colOff>55599</xdr:colOff>
      <xdr:row>95</xdr:row>
      <xdr:rowOff>1838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58450" y="15430500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76200</xdr:colOff>
      <xdr:row>96</xdr:row>
      <xdr:rowOff>0</xdr:rowOff>
    </xdr:from>
    <xdr:to>
      <xdr:col>17</xdr:col>
      <xdr:colOff>93699</xdr:colOff>
      <xdr:row>114</xdr:row>
      <xdr:rowOff>11363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96550" y="19250025"/>
          <a:ext cx="4084674" cy="36213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102</xdr:row>
      <xdr:rowOff>142875</xdr:rowOff>
    </xdr:from>
    <xdr:to>
      <xdr:col>17</xdr:col>
      <xdr:colOff>68552</xdr:colOff>
      <xdr:row>120</xdr:row>
      <xdr:rowOff>144713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550" y="28146375"/>
          <a:ext cx="4078577" cy="3621338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83</xdr:row>
      <xdr:rowOff>0</xdr:rowOff>
    </xdr:from>
    <xdr:to>
      <xdr:col>17</xdr:col>
      <xdr:colOff>0</xdr:colOff>
      <xdr:row>101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63</xdr:row>
      <xdr:rowOff>0</xdr:rowOff>
    </xdr:from>
    <xdr:to>
      <xdr:col>17</xdr:col>
      <xdr:colOff>0</xdr:colOff>
      <xdr:row>81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43</xdr:row>
      <xdr:rowOff>0</xdr:rowOff>
    </xdr:from>
    <xdr:to>
      <xdr:col>17</xdr:col>
      <xdr:colOff>0</xdr:colOff>
      <xdr:row>61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17</xdr:col>
      <xdr:colOff>0</xdr:colOff>
      <xdr:row>39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77400" y="200025"/>
          <a:ext cx="4078577" cy="362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w01.int.cyprotex.com\WTN_DATA\CLIENT_DATA\EPA\CYP2178-R5\Hep%20Stab_04Sep\HI\-%20Hepatocyte%20ClearanceR1_HI_10u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ta"/>
      <sheetName val="HI"/>
      <sheetName val="Log"/>
      <sheetName val="Criteria"/>
    </sheetNames>
    <sheetDataSet>
      <sheetData sheetId="0" refreshError="1"/>
      <sheetData sheetId="1">
        <row r="2">
          <cell r="R2" t="str">
            <v>DTXSID0037522 - HumanHI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5">
          <cell r="V5">
            <v>120</v>
          </cell>
          <cell r="W5">
            <v>3.6392017756578796</v>
          </cell>
        </row>
        <row r="6">
          <cell r="V6">
            <v>120</v>
          </cell>
          <cell r="W6">
            <v>3.8083225235306126</v>
          </cell>
        </row>
        <row r="7">
          <cell r="V7">
            <v>120</v>
          </cell>
          <cell r="W7">
            <v>3.5025519498323487</v>
          </cell>
        </row>
        <row r="8">
          <cell r="V8">
            <v>0</v>
          </cell>
          <cell r="W8">
            <v>4.6051701859880918</v>
          </cell>
        </row>
        <row r="9">
          <cell r="V9">
            <v>0</v>
          </cell>
          <cell r="W9">
            <v>4.6051701859880918</v>
          </cell>
        </row>
        <row r="10">
          <cell r="V10">
            <v>0</v>
          </cell>
          <cell r="W10">
            <v>4.6051701859880918</v>
          </cell>
        </row>
        <row r="22">
          <cell r="R22" t="str">
            <v>DTXSID1032484 - HumanHI</v>
          </cell>
        </row>
        <row r="23">
          <cell r="R23" t="str">
            <v>Time (Mins)</v>
          </cell>
        </row>
        <row r="24">
          <cell r="R24" t="str">
            <v>ln Percent Remaining</v>
          </cell>
        </row>
        <row r="25">
          <cell r="V25">
            <v>120</v>
          </cell>
          <cell r="W25">
            <v>4.0912882227596574</v>
          </cell>
        </row>
        <row r="26">
          <cell r="V26">
            <v>120</v>
          </cell>
          <cell r="W26">
            <v>4.137469631253051</v>
          </cell>
        </row>
        <row r="27">
          <cell r="V27">
            <v>120</v>
          </cell>
          <cell r="W27">
            <v>5.1575753033408622</v>
          </cell>
        </row>
        <row r="28">
          <cell r="V28">
            <v>0</v>
          </cell>
          <cell r="W28">
            <v>4.6051701859880918</v>
          </cell>
        </row>
        <row r="29">
          <cell r="V29">
            <v>0</v>
          </cell>
          <cell r="W29">
            <v>4.6051701859880918</v>
          </cell>
        </row>
        <row r="30">
          <cell r="V30">
            <v>0</v>
          </cell>
          <cell r="W30">
            <v>4.6051701859880918</v>
          </cell>
        </row>
        <row r="42">
          <cell r="R42" t="str">
            <v>DTXSID2026232 - HumanHI</v>
          </cell>
        </row>
        <row r="43">
          <cell r="R43" t="str">
            <v>Time (Mins)</v>
          </cell>
        </row>
        <row r="44">
          <cell r="R44" t="str">
            <v>ln Percent Remaining</v>
          </cell>
        </row>
        <row r="45">
          <cell r="V45">
            <v>120</v>
          </cell>
          <cell r="W45">
            <v>9.1834438883185303</v>
          </cell>
        </row>
        <row r="46">
          <cell r="V46">
            <v>120</v>
          </cell>
          <cell r="W46">
            <v>8.1512540683060806</v>
          </cell>
        </row>
        <row r="47">
          <cell r="V47">
            <v>120</v>
          </cell>
          <cell r="W47">
            <v>6.1625396080923354</v>
          </cell>
        </row>
        <row r="48">
          <cell r="V48">
            <v>0</v>
          </cell>
          <cell r="W48">
            <v>4.6051701859880918</v>
          </cell>
        </row>
        <row r="49">
          <cell r="V49">
            <v>0</v>
          </cell>
          <cell r="W49">
            <v>4.6051701859880918</v>
          </cell>
        </row>
        <row r="50">
          <cell r="V50">
            <v>0</v>
          </cell>
          <cell r="W50">
            <v>4.6051701859880918</v>
          </cell>
        </row>
        <row r="62">
          <cell r="R62" t="str">
            <v>DTXSID2027094 - HumanHI</v>
          </cell>
        </row>
        <row r="63">
          <cell r="R63" t="str">
            <v>Time (Mins)</v>
          </cell>
        </row>
        <row r="64">
          <cell r="R64" t="str">
            <v>ln Percent Remaining</v>
          </cell>
        </row>
        <row r="65">
          <cell r="V65">
            <v>120</v>
          </cell>
          <cell r="W65">
            <v>0.59313427122871831</v>
          </cell>
        </row>
        <row r="66">
          <cell r="V66">
            <v>0</v>
          </cell>
          <cell r="W66">
            <v>4.6051701859880918</v>
          </cell>
        </row>
        <row r="67">
          <cell r="V67">
            <v>0</v>
          </cell>
          <cell r="W67">
            <v>4.6051701859880918</v>
          </cell>
        </row>
        <row r="68">
          <cell r="V68">
            <v>0</v>
          </cell>
          <cell r="W68">
            <v>4.6051701859880918</v>
          </cell>
        </row>
        <row r="82">
          <cell r="R82" t="str">
            <v>DTXSID2032554 - HumanHI</v>
          </cell>
        </row>
        <row r="83">
          <cell r="R83" t="str">
            <v>Time (Mins)</v>
          </cell>
        </row>
        <row r="84">
          <cell r="R84" t="str">
            <v>ln Percent Remaining</v>
          </cell>
        </row>
        <row r="85">
          <cell r="V85">
            <v>120</v>
          </cell>
          <cell r="W85">
            <v>3.387236867735719</v>
          </cell>
        </row>
        <row r="86">
          <cell r="V86">
            <v>120</v>
          </cell>
          <cell r="W86">
            <v>3.2818720951233251</v>
          </cell>
        </row>
        <row r="87">
          <cell r="V87">
            <v>120</v>
          </cell>
          <cell r="W87">
            <v>3.3346257987971177</v>
          </cell>
        </row>
        <row r="88">
          <cell r="V88">
            <v>0</v>
          </cell>
          <cell r="W88">
            <v>4.6051701859880918</v>
          </cell>
        </row>
        <row r="89">
          <cell r="V89">
            <v>0</v>
          </cell>
          <cell r="W89">
            <v>4.6051701859880918</v>
          </cell>
        </row>
        <row r="90">
          <cell r="V90">
            <v>0</v>
          </cell>
          <cell r="W90">
            <v>4.6051701859880918</v>
          </cell>
        </row>
        <row r="102">
          <cell r="R102" t="str">
            <v>DTXSID3028005 - HumanHI</v>
          </cell>
        </row>
        <row r="103">
          <cell r="R103" t="str">
            <v>Time (Mins)</v>
          </cell>
        </row>
        <row r="104">
          <cell r="R104" t="str">
            <v>ln Percent Remaining</v>
          </cell>
        </row>
        <row r="105">
          <cell r="V105">
            <v>120</v>
          </cell>
          <cell r="W105">
            <v>4.0636793558362552</v>
          </cell>
        </row>
        <row r="106">
          <cell r="V106">
            <v>120</v>
          </cell>
          <cell r="W106">
            <v>3.397836797076669</v>
          </cell>
        </row>
        <row r="107">
          <cell r="V107">
            <v>120</v>
          </cell>
          <cell r="W107">
            <v>3.9618454413459063</v>
          </cell>
        </row>
        <row r="108">
          <cell r="V108">
            <v>0</v>
          </cell>
          <cell r="W108">
            <v>4.6051701859880918</v>
          </cell>
        </row>
        <row r="109">
          <cell r="V109">
            <v>0</v>
          </cell>
          <cell r="W109">
            <v>4.6051701859880918</v>
          </cell>
        </row>
        <row r="110">
          <cell r="V110">
            <v>0</v>
          </cell>
          <cell r="W110">
            <v>4.6051701859880918</v>
          </cell>
        </row>
        <row r="122">
          <cell r="R122" t="str">
            <v>DTXSID7041544 - HumanHI</v>
          </cell>
        </row>
        <row r="123">
          <cell r="R123" t="str">
            <v>Time (Mins)</v>
          </cell>
        </row>
        <row r="124">
          <cell r="R124" t="str">
            <v>ln Percent Remaining</v>
          </cell>
        </row>
        <row r="125">
          <cell r="V125">
            <v>120</v>
          </cell>
          <cell r="W125">
            <v>1.3473208546489785</v>
          </cell>
        </row>
        <row r="126">
          <cell r="V126">
            <v>120</v>
          </cell>
          <cell r="W126">
            <v>1.809439962540087</v>
          </cell>
        </row>
        <row r="127">
          <cell r="V127">
            <v>120</v>
          </cell>
          <cell r="W127">
            <v>1.6277769998509664</v>
          </cell>
        </row>
        <row r="128">
          <cell r="V128">
            <v>0</v>
          </cell>
          <cell r="W128">
            <v>4.6051701859880918</v>
          </cell>
        </row>
        <row r="129">
          <cell r="V129">
            <v>0</v>
          </cell>
          <cell r="W129">
            <v>4.6051701859880918</v>
          </cell>
        </row>
        <row r="130">
          <cell r="V130">
            <v>0</v>
          </cell>
          <cell r="W130">
            <v>4.6051701859880918</v>
          </cell>
        </row>
        <row r="142">
          <cell r="R142" t="str">
            <v>DTXSID8034324 - HumanHI</v>
          </cell>
        </row>
        <row r="143">
          <cell r="R143" t="str">
            <v>Time (Mins)</v>
          </cell>
        </row>
        <row r="144">
          <cell r="R144" t="str">
            <v>ln Percent Remaining</v>
          </cell>
        </row>
        <row r="145">
          <cell r="V145">
            <v>120</v>
          </cell>
          <cell r="W145">
            <v>3.0580298939475381</v>
          </cell>
        </row>
        <row r="146">
          <cell r="V146">
            <v>120</v>
          </cell>
          <cell r="W146">
            <v>4.0680476001965085</v>
          </cell>
        </row>
        <row r="147">
          <cell r="V147">
            <v>120</v>
          </cell>
          <cell r="W147">
            <v>3.3072199164085307</v>
          </cell>
        </row>
        <row r="148">
          <cell r="V148">
            <v>0</v>
          </cell>
          <cell r="W148">
            <v>4.6051701859880918</v>
          </cell>
        </row>
        <row r="149">
          <cell r="V149">
            <v>0</v>
          </cell>
          <cell r="W149">
            <v>4.6051701859880918</v>
          </cell>
        </row>
        <row r="150">
          <cell r="V150">
            <v>0</v>
          </cell>
          <cell r="W150">
            <v>4.6051701859880918</v>
          </cell>
        </row>
        <row r="162">
          <cell r="R162" t="str">
            <v>Midazolam - HumanHI</v>
          </cell>
        </row>
        <row r="163">
          <cell r="R163" t="str">
            <v>Time (Mins)</v>
          </cell>
        </row>
        <row r="164">
          <cell r="R164" t="str">
            <v>ln Percent Remaining</v>
          </cell>
        </row>
        <row r="165">
          <cell r="V165">
            <v>120</v>
          </cell>
          <cell r="W165">
            <v>4.6035874077306289</v>
          </cell>
        </row>
        <row r="166">
          <cell r="V166">
            <v>120</v>
          </cell>
          <cell r="W166">
            <v>4.481338331753415</v>
          </cell>
        </row>
        <row r="167">
          <cell r="V167">
            <v>120</v>
          </cell>
          <cell r="W167">
            <v>4.605705976335364</v>
          </cell>
        </row>
        <row r="168">
          <cell r="V168">
            <v>0</v>
          </cell>
          <cell r="W168">
            <v>4.6051701859880918</v>
          </cell>
        </row>
        <row r="169">
          <cell r="V169">
            <v>0</v>
          </cell>
          <cell r="W169">
            <v>4.6051701859880918</v>
          </cell>
        </row>
        <row r="170">
          <cell r="V170">
            <v>0</v>
          </cell>
          <cell r="W170">
            <v>4.6051701859880918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tabSelected="1" workbookViewId="0">
      <selection activeCell="F11" sqref="F11"/>
    </sheetView>
  </sheetViews>
  <sheetFormatPr defaultRowHeight="15" x14ac:dyDescent="0.25"/>
  <cols>
    <col min="1" max="1" width="15.85546875" style="50" bestFit="1" customWidth="1"/>
    <col min="2" max="2" width="15" style="50" bestFit="1" customWidth="1"/>
    <col min="3" max="3" width="30.7109375" style="50" bestFit="1" customWidth="1"/>
    <col min="4" max="4" width="15.7109375" style="50" bestFit="1" customWidth="1"/>
    <col min="5" max="6" width="31.28515625" style="50" bestFit="1" customWidth="1"/>
    <col min="7" max="7" width="28.7109375" style="25" customWidth="1"/>
  </cols>
  <sheetData>
    <row r="1" spans="1:9" ht="15.75" x14ac:dyDescent="0.25">
      <c r="B1" s="3" t="s">
        <v>119</v>
      </c>
    </row>
    <row r="2" spans="1:9" x14ac:dyDescent="0.25">
      <c r="B2" s="4">
        <v>44083.675497685188</v>
      </c>
    </row>
    <row r="3" spans="1:9" ht="15.75" thickBot="1" x14ac:dyDescent="0.3"/>
    <row r="4" spans="1:9" ht="16.5" thickTop="1" thickBot="1" x14ac:dyDescent="0.3">
      <c r="A4" s="26" t="s">
        <v>113</v>
      </c>
      <c r="B4" s="26" t="s">
        <v>114</v>
      </c>
      <c r="C4" s="26" t="s">
        <v>115</v>
      </c>
      <c r="D4" s="26" t="s">
        <v>116</v>
      </c>
      <c r="E4" s="26" t="s">
        <v>117</v>
      </c>
      <c r="F4" s="88" t="s">
        <v>265</v>
      </c>
      <c r="G4" s="88" t="s">
        <v>118</v>
      </c>
    </row>
    <row r="5" spans="1:9" ht="15.75" thickTop="1" x14ac:dyDescent="0.25">
      <c r="A5" s="27" t="s">
        <v>62</v>
      </c>
      <c r="B5" s="27" t="s">
        <v>138</v>
      </c>
      <c r="C5" s="85">
        <v>333.35711044889615</v>
      </c>
      <c r="D5" s="28">
        <v>4.1585864457881732</v>
      </c>
      <c r="E5" s="86">
        <v>0</v>
      </c>
      <c r="F5" s="28">
        <v>41.8</v>
      </c>
      <c r="G5" s="87" t="s">
        <v>262</v>
      </c>
    </row>
    <row r="6" spans="1:9" x14ac:dyDescent="0.25">
      <c r="A6" s="50" t="s">
        <v>11</v>
      </c>
      <c r="B6" s="50" t="s">
        <v>138</v>
      </c>
      <c r="C6" s="22">
        <v>37.42588554598683</v>
      </c>
      <c r="D6" s="22">
        <v>37.04105703568429</v>
      </c>
      <c r="E6" s="22">
        <v>11.063189664180278</v>
      </c>
      <c r="F6" s="22">
        <v>50.2</v>
      </c>
      <c r="G6" s="87" t="s">
        <v>262</v>
      </c>
    </row>
    <row r="7" spans="1:9" x14ac:dyDescent="0.25">
      <c r="A7" s="50" t="s">
        <v>45</v>
      </c>
      <c r="B7" s="50" t="s">
        <v>138</v>
      </c>
      <c r="C7" s="24" t="s">
        <v>327</v>
      </c>
      <c r="D7" s="22" t="s">
        <v>326</v>
      </c>
      <c r="E7" s="23">
        <v>0</v>
      </c>
      <c r="F7" s="22">
        <v>86.6</v>
      </c>
      <c r="G7" s="87" t="s">
        <v>262</v>
      </c>
    </row>
    <row r="8" spans="1:9" x14ac:dyDescent="0.25">
      <c r="A8" s="50" t="s">
        <v>79</v>
      </c>
      <c r="B8" s="50" t="s">
        <v>138</v>
      </c>
      <c r="C8" s="24" t="s">
        <v>327</v>
      </c>
      <c r="D8" s="23" t="s">
        <v>326</v>
      </c>
      <c r="E8" s="23">
        <v>0</v>
      </c>
      <c r="F8" s="22">
        <v>68.099999999999994</v>
      </c>
      <c r="G8" s="87" t="s">
        <v>262</v>
      </c>
    </row>
    <row r="9" spans="1:9" x14ac:dyDescent="0.25">
      <c r="A9" s="50" t="s">
        <v>96</v>
      </c>
      <c r="B9" s="50" t="s">
        <v>138</v>
      </c>
      <c r="C9" s="89">
        <v>199.37871190574373</v>
      </c>
      <c r="D9" s="90">
        <v>6.9530711070862026</v>
      </c>
      <c r="E9" s="23">
        <v>0</v>
      </c>
      <c r="F9" s="90">
        <v>5.8</v>
      </c>
      <c r="G9" s="91" t="s">
        <v>262</v>
      </c>
    </row>
    <row r="10" spans="1:9" ht="15.75" thickBot="1" x14ac:dyDescent="0.3">
      <c r="A10" s="93" t="s">
        <v>28</v>
      </c>
      <c r="B10" s="93" t="s">
        <v>138</v>
      </c>
      <c r="C10" s="94">
        <v>123.19655888967259</v>
      </c>
      <c r="D10" s="94">
        <v>11.252703595084764</v>
      </c>
      <c r="E10" s="95">
        <v>0</v>
      </c>
      <c r="F10" s="94">
        <v>19.7</v>
      </c>
      <c r="G10" s="93" t="s">
        <v>262</v>
      </c>
    </row>
    <row r="11" spans="1:9" x14ac:dyDescent="0.25">
      <c r="A11" s="29" t="s">
        <v>62</v>
      </c>
      <c r="B11" s="29" t="s">
        <v>138</v>
      </c>
      <c r="C11" s="92">
        <v>112.00332116248067</v>
      </c>
      <c r="D11" s="92">
        <v>12.377261198432008</v>
      </c>
      <c r="E11" s="90">
        <v>0</v>
      </c>
      <c r="F11" s="92">
        <v>38.799999999999997</v>
      </c>
      <c r="G11" s="29" t="s">
        <v>263</v>
      </c>
    </row>
    <row r="12" spans="1:9" x14ac:dyDescent="0.25">
      <c r="A12" s="50" t="s">
        <v>11</v>
      </c>
      <c r="B12" s="50" t="s">
        <v>138</v>
      </c>
      <c r="C12" s="22">
        <v>29.647981676989364</v>
      </c>
      <c r="D12" s="22">
        <v>46.75847334983456</v>
      </c>
      <c r="E12" s="22">
        <v>18</v>
      </c>
      <c r="F12" s="22">
        <v>98.7</v>
      </c>
      <c r="G12" s="50" t="s">
        <v>263</v>
      </c>
    </row>
    <row r="13" spans="1:9" x14ac:dyDescent="0.25">
      <c r="A13" s="50" t="s">
        <v>45</v>
      </c>
      <c r="B13" s="50" t="s">
        <v>138</v>
      </c>
      <c r="C13" s="24" t="s">
        <v>327</v>
      </c>
      <c r="D13" s="22" t="s">
        <v>326</v>
      </c>
      <c r="E13" s="23">
        <v>0</v>
      </c>
      <c r="F13" s="22">
        <v>28.1</v>
      </c>
      <c r="G13" s="50" t="s">
        <v>263</v>
      </c>
      <c r="I13" t="s">
        <v>137</v>
      </c>
    </row>
    <row r="14" spans="1:9" x14ac:dyDescent="0.25">
      <c r="A14" s="50" t="s">
        <v>79</v>
      </c>
      <c r="B14" s="50" t="s">
        <v>138</v>
      </c>
      <c r="C14" s="24" t="s">
        <v>327</v>
      </c>
      <c r="D14" s="22" t="s">
        <v>326</v>
      </c>
      <c r="E14" s="23">
        <v>0</v>
      </c>
      <c r="F14" s="22">
        <v>46.9</v>
      </c>
      <c r="G14" s="50" t="s">
        <v>263</v>
      </c>
    </row>
    <row r="15" spans="1:9" x14ac:dyDescent="0.25">
      <c r="A15" s="50" t="s">
        <v>96</v>
      </c>
      <c r="B15" s="50" t="s">
        <v>138</v>
      </c>
      <c r="C15" s="24">
        <v>209.56435725837179</v>
      </c>
      <c r="D15" s="22">
        <v>6.6151247247199061</v>
      </c>
      <c r="E15" s="23">
        <v>0</v>
      </c>
      <c r="F15" s="23">
        <v>5.0199999999999996</v>
      </c>
      <c r="G15" s="50" t="s">
        <v>263</v>
      </c>
    </row>
    <row r="16" spans="1:9" ht="15.75" thickBot="1" x14ac:dyDescent="0.3">
      <c r="A16" s="50" t="s">
        <v>28</v>
      </c>
      <c r="B16" s="50" t="s">
        <v>138</v>
      </c>
      <c r="C16" s="22">
        <v>111.34894861166659</v>
      </c>
      <c r="D16" s="22">
        <v>12.449999559085569</v>
      </c>
      <c r="E16" s="23">
        <v>0</v>
      </c>
      <c r="F16" s="22">
        <v>35.700000000000003</v>
      </c>
      <c r="G16" s="50" t="s">
        <v>263</v>
      </c>
    </row>
    <row r="17" spans="1:7" ht="15.75" thickBot="1" x14ac:dyDescent="0.3">
      <c r="A17" s="50" t="s">
        <v>7</v>
      </c>
      <c r="B17" s="50" t="s">
        <v>138</v>
      </c>
      <c r="C17" s="31">
        <v>56.270007573654546</v>
      </c>
      <c r="D17" s="31">
        <v>24.636470135627803</v>
      </c>
      <c r="E17" s="33">
        <v>3.2403674099111845</v>
      </c>
      <c r="F17" s="31">
        <v>78.8</v>
      </c>
      <c r="G17" s="32" t="s">
        <v>264</v>
      </c>
    </row>
    <row r="18" spans="1:7" ht="15.75" thickTop="1" x14ac:dyDescent="0.25">
      <c r="A18" s="21"/>
      <c r="B18" s="21"/>
      <c r="C18" s="29"/>
      <c r="D18" s="29"/>
      <c r="E18" s="29"/>
      <c r="F18" s="29"/>
      <c r="G18" s="3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R133"/>
  <sheetViews>
    <sheetView topLeftCell="B1" workbookViewId="0">
      <pane ySplit="1" topLeftCell="A2" activePane="bottomLeft" state="frozenSplit"/>
      <selection pane="bottomLeft" activeCell="P102" sqref="P102"/>
    </sheetView>
  </sheetViews>
  <sheetFormatPr defaultRowHeight="15" x14ac:dyDescent="0.25"/>
  <cols>
    <col min="1" max="1" width="62.5703125" style="54" bestFit="1" customWidth="1"/>
    <col min="2" max="2" width="15.85546875" style="54" bestFit="1" customWidth="1"/>
    <col min="3" max="3" width="11.85546875" style="54" bestFit="1" customWidth="1"/>
    <col min="4" max="4" width="8" style="54" bestFit="1" customWidth="1"/>
    <col min="5" max="5" width="10.5703125" style="54" bestFit="1" customWidth="1"/>
    <col min="6" max="6" width="8.7109375" style="54" customWidth="1"/>
    <col min="7" max="7" width="12.42578125" style="54" bestFit="1" customWidth="1"/>
    <col min="8" max="8" width="11.5703125" style="54" bestFit="1" customWidth="1"/>
    <col min="9" max="9" width="14.7109375" style="54" bestFit="1" customWidth="1"/>
    <col min="10" max="10" width="8.7109375" style="57" customWidth="1"/>
    <col min="11" max="11" width="8.7109375" style="54" hidden="1" customWidth="1"/>
    <col min="12" max="17" width="8.7109375" style="54" customWidth="1"/>
    <col min="18" max="18" width="22.5703125" style="54" bestFit="1" customWidth="1"/>
    <col min="19" max="19" width="8.7109375" style="54" customWidth="1"/>
    <col min="20" max="25" width="8.7109375" style="54" hidden="1" customWidth="1"/>
    <col min="26" max="26" width="20.5703125" style="57" bestFit="1" customWidth="1"/>
    <col min="27" max="29" width="21" style="57" bestFit="1" customWidth="1"/>
    <col min="30" max="30" width="9.140625" style="54" bestFit="1" customWidth="1"/>
    <col min="31" max="44" width="8.7109375" style="54" customWidth="1"/>
    <col min="45" max="16384" width="9.140625" style="54"/>
  </cols>
  <sheetData>
    <row r="1" spans="1:30" ht="15.75" thickBot="1" x14ac:dyDescent="0.3">
      <c r="A1" s="51" t="s">
        <v>0</v>
      </c>
      <c r="B1" s="51" t="s">
        <v>1</v>
      </c>
      <c r="C1" s="51" t="s">
        <v>2</v>
      </c>
      <c r="D1" s="51" t="s">
        <v>3</v>
      </c>
      <c r="E1" s="51" t="s">
        <v>4</v>
      </c>
      <c r="F1" s="51" t="s">
        <v>5</v>
      </c>
      <c r="G1" s="52" t="s">
        <v>120</v>
      </c>
      <c r="H1" s="52" t="s">
        <v>121</v>
      </c>
      <c r="I1" s="52" t="s">
        <v>122</v>
      </c>
      <c r="J1" s="53"/>
      <c r="K1" s="52"/>
      <c r="R1" s="55" t="s">
        <v>124</v>
      </c>
      <c r="Z1" s="56" t="s">
        <v>123</v>
      </c>
    </row>
    <row r="2" spans="1:30" ht="16.5" thickTop="1" thickBot="1" x14ac:dyDescent="0.3">
      <c r="A2" s="58" t="s">
        <v>6</v>
      </c>
      <c r="B2" s="58" t="s">
        <v>62</v>
      </c>
      <c r="C2" s="58" t="s">
        <v>63</v>
      </c>
      <c r="D2" s="58">
        <v>2.875</v>
      </c>
      <c r="E2" s="58">
        <v>1641000</v>
      </c>
      <c r="F2" s="58">
        <v>1.751E-6</v>
      </c>
      <c r="G2" s="58"/>
      <c r="H2" s="58"/>
      <c r="I2" s="58"/>
      <c r="J2" s="59"/>
      <c r="K2" s="58"/>
      <c r="L2" s="58"/>
      <c r="M2" s="58"/>
      <c r="N2" s="58"/>
      <c r="O2" s="58"/>
      <c r="P2" s="58"/>
      <c r="Q2" s="58"/>
      <c r="R2" s="58" t="s">
        <v>125</v>
      </c>
      <c r="S2" s="58"/>
      <c r="T2" s="58">
        <v>1</v>
      </c>
      <c r="U2" s="58"/>
      <c r="V2" s="58"/>
      <c r="W2" s="58"/>
      <c r="X2" s="58"/>
      <c r="Y2" s="58"/>
      <c r="Z2" s="60" t="s">
        <v>126</v>
      </c>
      <c r="AA2" s="60" t="s">
        <v>128</v>
      </c>
      <c r="AB2" s="60" t="s">
        <v>129</v>
      </c>
      <c r="AC2" s="60" t="s">
        <v>130</v>
      </c>
      <c r="AD2" s="60" t="s">
        <v>131</v>
      </c>
    </row>
    <row r="3" spans="1:30" ht="15.75" thickTop="1" x14ac:dyDescent="0.25">
      <c r="A3" s="61" t="s">
        <v>9</v>
      </c>
      <c r="B3" s="61" t="s">
        <v>62</v>
      </c>
      <c r="C3" s="61" t="s">
        <v>63</v>
      </c>
      <c r="D3" s="61">
        <v>6.835</v>
      </c>
      <c r="E3" s="61">
        <v>1692000</v>
      </c>
      <c r="F3" s="61">
        <v>4.0400000000000003E-6</v>
      </c>
      <c r="G3" s="61"/>
      <c r="H3" s="61"/>
      <c r="I3" s="61"/>
      <c r="J3" s="62"/>
      <c r="K3" s="61"/>
      <c r="L3" s="61"/>
      <c r="M3" s="61"/>
      <c r="N3" s="61"/>
      <c r="O3" s="61"/>
      <c r="P3" s="61"/>
      <c r="Q3" s="61"/>
      <c r="R3" s="61" t="s">
        <v>126</v>
      </c>
      <c r="S3" s="61"/>
      <c r="T3" s="61">
        <v>5</v>
      </c>
      <c r="U3" s="61"/>
      <c r="V3" s="61"/>
      <c r="W3" s="61"/>
      <c r="X3" s="61"/>
      <c r="Y3" s="61"/>
      <c r="Z3" s="63">
        <v>120</v>
      </c>
      <c r="AA3" s="64" t="s">
        <v>266</v>
      </c>
      <c r="AB3" s="65" t="s">
        <v>267</v>
      </c>
      <c r="AC3" s="64" t="s">
        <v>268</v>
      </c>
      <c r="AD3" s="64" t="s">
        <v>269</v>
      </c>
    </row>
    <row r="4" spans="1:30" x14ac:dyDescent="0.25">
      <c r="A4" s="58" t="s">
        <v>10</v>
      </c>
      <c r="B4" s="58" t="s">
        <v>62</v>
      </c>
      <c r="C4" s="58" t="s">
        <v>63</v>
      </c>
      <c r="D4" s="58">
        <v>1.496</v>
      </c>
      <c r="E4" s="58">
        <v>1672000</v>
      </c>
      <c r="F4" s="58">
        <v>8.9469999999999998E-7</v>
      </c>
      <c r="G4" s="58"/>
      <c r="H4" s="58"/>
      <c r="I4" s="58"/>
      <c r="J4" s="59"/>
      <c r="K4" s="58"/>
      <c r="L4" s="58"/>
      <c r="M4" s="58"/>
      <c r="N4" s="58"/>
      <c r="O4" s="58"/>
      <c r="P4" s="58"/>
      <c r="Q4" s="58"/>
      <c r="R4" s="58" t="s">
        <v>127</v>
      </c>
      <c r="S4" s="58"/>
      <c r="T4" s="58">
        <v>19</v>
      </c>
      <c r="U4" s="58"/>
      <c r="V4" s="58"/>
      <c r="W4" s="58"/>
      <c r="X4" s="58"/>
      <c r="Y4" s="58"/>
      <c r="Z4" s="63">
        <v>60</v>
      </c>
      <c r="AA4" s="65" t="s">
        <v>270</v>
      </c>
      <c r="AB4" s="65" t="s">
        <v>271</v>
      </c>
      <c r="AC4" s="65" t="s">
        <v>272</v>
      </c>
      <c r="AD4" s="65" t="s">
        <v>269</v>
      </c>
    </row>
    <row r="5" spans="1:30" x14ac:dyDescent="0.25">
      <c r="A5" s="61" t="s">
        <v>151</v>
      </c>
      <c r="B5" s="61" t="s">
        <v>62</v>
      </c>
      <c r="C5" s="61" t="s">
        <v>63</v>
      </c>
      <c r="D5" s="61">
        <v>91.42</v>
      </c>
      <c r="E5" s="61">
        <v>1253000</v>
      </c>
      <c r="F5" s="61">
        <v>7.2979999999999996E-5</v>
      </c>
      <c r="G5" s="61">
        <v>5.4383278478823793E-2</v>
      </c>
      <c r="H5" s="61">
        <v>120</v>
      </c>
      <c r="I5" s="66" t="s">
        <v>273</v>
      </c>
      <c r="J5" s="62"/>
      <c r="K5" s="61"/>
      <c r="L5" s="61"/>
      <c r="M5" s="61"/>
      <c r="N5" s="61"/>
      <c r="O5" s="61"/>
      <c r="P5" s="61"/>
      <c r="Q5" s="61"/>
      <c r="R5" s="61"/>
      <c r="S5" s="61"/>
      <c r="T5" s="61"/>
      <c r="U5" s="61" t="s">
        <v>269</v>
      </c>
      <c r="V5" s="61">
        <v>30</v>
      </c>
      <c r="W5" s="61">
        <v>-1.1261707414518589</v>
      </c>
      <c r="X5" s="61"/>
      <c r="Y5" s="61"/>
      <c r="Z5" s="63">
        <v>30</v>
      </c>
      <c r="AA5" s="65">
        <v>3.2427260566067046E-3</v>
      </c>
      <c r="AB5" s="65">
        <v>3.8068483692775584E-3</v>
      </c>
      <c r="AC5" s="67">
        <v>2.4753821176031435E-2</v>
      </c>
      <c r="AD5" s="67">
        <v>1.0601131867305233E-2</v>
      </c>
    </row>
    <row r="6" spans="1:30" x14ac:dyDescent="0.25">
      <c r="A6" s="58" t="s">
        <v>152</v>
      </c>
      <c r="B6" s="58" t="s">
        <v>62</v>
      </c>
      <c r="C6" s="58" t="s">
        <v>63</v>
      </c>
      <c r="D6" s="58">
        <v>145.19999999999999</v>
      </c>
      <c r="E6" s="58">
        <v>1168000</v>
      </c>
      <c r="F6" s="58">
        <v>1.2430000000000001E-4</v>
      </c>
      <c r="G6" s="58">
        <v>0.13935449650820894</v>
      </c>
      <c r="H6" s="58">
        <v>120</v>
      </c>
      <c r="I6" s="68" t="s">
        <v>274</v>
      </c>
      <c r="J6" s="59"/>
      <c r="K6" s="58"/>
      <c r="L6" s="58"/>
      <c r="M6" s="58"/>
      <c r="N6" s="58"/>
      <c r="O6" s="58"/>
      <c r="P6" s="58"/>
      <c r="Q6" s="58"/>
      <c r="R6" s="58"/>
      <c r="S6" s="58"/>
      <c r="T6" s="58"/>
      <c r="U6" s="58" t="s">
        <v>269</v>
      </c>
      <c r="V6" s="58">
        <v>30</v>
      </c>
      <c r="W6" s="58">
        <v>-0.96578344583855169</v>
      </c>
      <c r="X6" s="58"/>
      <c r="Y6" s="58"/>
      <c r="Z6" s="63">
        <v>15</v>
      </c>
      <c r="AA6" s="67">
        <v>7.006093442579886E-2</v>
      </c>
      <c r="AB6" s="69">
        <v>0.10249999841795822</v>
      </c>
      <c r="AC6" s="67">
        <v>9.1492544406491738E-2</v>
      </c>
      <c r="AD6" s="67">
        <v>8.8017825750082934E-2</v>
      </c>
    </row>
    <row r="7" spans="1:30" ht="15.75" thickBot="1" x14ac:dyDescent="0.3">
      <c r="A7" s="61" t="s">
        <v>153</v>
      </c>
      <c r="B7" s="61" t="s">
        <v>62</v>
      </c>
      <c r="C7" s="61" t="s">
        <v>63</v>
      </c>
      <c r="D7" s="61">
        <v>88.8</v>
      </c>
      <c r="E7" s="61">
        <v>1229000</v>
      </c>
      <c r="F7" s="61">
        <v>7.2249999999999994E-5</v>
      </c>
      <c r="G7" s="61">
        <v>7.0580592953231533E-2</v>
      </c>
      <c r="H7" s="61">
        <v>120</v>
      </c>
      <c r="I7" s="66" t="s">
        <v>275</v>
      </c>
      <c r="J7" s="62"/>
      <c r="K7" s="61"/>
      <c r="L7" s="61"/>
      <c r="M7" s="61"/>
      <c r="N7" s="61"/>
      <c r="O7" s="61"/>
      <c r="P7" s="61"/>
      <c r="Q7" s="61"/>
      <c r="R7" s="61"/>
      <c r="S7" s="61"/>
      <c r="T7" s="61"/>
      <c r="U7" s="61" t="s">
        <v>269</v>
      </c>
      <c r="V7" s="61">
        <v>30</v>
      </c>
      <c r="W7" s="61">
        <v>0.90639477505436239</v>
      </c>
      <c r="X7" s="61"/>
      <c r="Y7" s="61"/>
      <c r="Z7" s="70">
        <v>0</v>
      </c>
      <c r="AA7" s="71">
        <v>1</v>
      </c>
      <c r="AB7" s="71">
        <v>1</v>
      </c>
      <c r="AC7" s="71">
        <v>1</v>
      </c>
      <c r="AD7" s="71">
        <v>1</v>
      </c>
    </row>
    <row r="8" spans="1:30" ht="16.5" thickTop="1" thickBot="1" x14ac:dyDescent="0.3">
      <c r="A8" s="58" t="s">
        <v>154</v>
      </c>
      <c r="B8" s="58" t="s">
        <v>62</v>
      </c>
      <c r="C8" s="58" t="s">
        <v>63</v>
      </c>
      <c r="D8" s="58">
        <v>264.7</v>
      </c>
      <c r="E8" s="58">
        <v>1331000</v>
      </c>
      <c r="F8" s="58">
        <v>1.9880000000000001E-4</v>
      </c>
      <c r="G8" s="58">
        <v>0.15109515802433515</v>
      </c>
      <c r="H8" s="58">
        <v>60</v>
      </c>
      <c r="I8" s="68" t="s">
        <v>276</v>
      </c>
      <c r="J8" s="59"/>
      <c r="K8" s="58"/>
      <c r="L8" s="58"/>
      <c r="M8" s="58"/>
      <c r="N8" s="58"/>
      <c r="O8" s="58"/>
      <c r="P8" s="58"/>
      <c r="Q8" s="58"/>
      <c r="R8" s="58"/>
      <c r="S8" s="58"/>
      <c r="T8" s="58"/>
      <c r="U8" s="58" t="s">
        <v>269</v>
      </c>
      <c r="V8" s="58">
        <v>15</v>
      </c>
      <c r="W8" s="58">
        <v>1.9467802621941854</v>
      </c>
      <c r="X8" s="58"/>
      <c r="Y8" s="58"/>
    </row>
    <row r="9" spans="1:30" x14ac:dyDescent="0.25">
      <c r="A9" s="61" t="s">
        <v>155</v>
      </c>
      <c r="B9" s="61" t="s">
        <v>62</v>
      </c>
      <c r="C9" s="61" t="s">
        <v>63</v>
      </c>
      <c r="D9" s="61">
        <v>231.2</v>
      </c>
      <c r="E9" s="61">
        <v>1392000</v>
      </c>
      <c r="F9" s="61">
        <v>1.661E-4</v>
      </c>
      <c r="G9" s="61">
        <v>0.18707260544641641</v>
      </c>
      <c r="H9" s="61">
        <v>60</v>
      </c>
      <c r="I9" s="66" t="s">
        <v>277</v>
      </c>
      <c r="J9" s="62"/>
      <c r="K9" s="61"/>
      <c r="L9" s="61"/>
      <c r="M9" s="61"/>
      <c r="N9" s="61"/>
      <c r="O9" s="61"/>
      <c r="P9" s="61"/>
      <c r="Q9" s="61"/>
      <c r="R9" s="61"/>
      <c r="S9" s="61"/>
      <c r="T9" s="61"/>
      <c r="U9" s="61" t="s">
        <v>269</v>
      </c>
      <c r="V9" s="61">
        <v>15</v>
      </c>
      <c r="W9" s="61">
        <v>2.3272776901498631</v>
      </c>
      <c r="X9" s="61"/>
      <c r="Y9" s="61"/>
      <c r="Z9" s="72" t="s">
        <v>132</v>
      </c>
      <c r="AA9" s="73">
        <v>-0.16667855522444808</v>
      </c>
    </row>
    <row r="10" spans="1:30" x14ac:dyDescent="0.25">
      <c r="A10" s="58" t="s">
        <v>156</v>
      </c>
      <c r="B10" s="58" t="s">
        <v>62</v>
      </c>
      <c r="C10" s="58" t="s">
        <v>63</v>
      </c>
      <c r="D10" s="58">
        <v>206.5</v>
      </c>
      <c r="E10" s="58">
        <v>1678000</v>
      </c>
      <c r="F10" s="58">
        <v>1.2300000000000001E-4</v>
      </c>
      <c r="G10" s="58">
        <v>0.12173585958887362</v>
      </c>
      <c r="H10" s="58">
        <v>60</v>
      </c>
      <c r="I10" s="68" t="s">
        <v>278</v>
      </c>
      <c r="J10" s="59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 t="s">
        <v>269</v>
      </c>
      <c r="V10" s="58">
        <v>15</v>
      </c>
      <c r="W10" s="58">
        <v>2.2136723940713345</v>
      </c>
      <c r="X10" s="58"/>
      <c r="Y10" s="58"/>
      <c r="Z10" s="74" t="s">
        <v>133</v>
      </c>
      <c r="AA10" s="75">
        <v>4.6243651608271223</v>
      </c>
    </row>
    <row r="11" spans="1:30" ht="17.25" x14ac:dyDescent="0.25">
      <c r="A11" s="61" t="s">
        <v>157</v>
      </c>
      <c r="B11" s="61" t="s">
        <v>62</v>
      </c>
      <c r="C11" s="61" t="s">
        <v>63</v>
      </c>
      <c r="D11" s="61">
        <v>550.29999999999995</v>
      </c>
      <c r="E11" s="61">
        <v>1297000</v>
      </c>
      <c r="F11" s="61">
        <v>4.2410000000000001E-4</v>
      </c>
      <c r="G11" s="61">
        <v>0.32427260566067045</v>
      </c>
      <c r="H11" s="61">
        <v>30</v>
      </c>
      <c r="I11" s="66">
        <v>-1.1261707414518589</v>
      </c>
      <c r="J11" s="62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>
        <v>7</v>
      </c>
      <c r="V11" s="61">
        <v>0</v>
      </c>
      <c r="W11" s="61">
        <v>4.6051701859880918</v>
      </c>
      <c r="X11" s="61"/>
      <c r="Y11" s="61"/>
      <c r="Z11" s="74" t="s">
        <v>134</v>
      </c>
      <c r="AA11" s="76">
        <v>0.93430947724839963</v>
      </c>
    </row>
    <row r="12" spans="1:30" ht="18" x14ac:dyDescent="0.35">
      <c r="A12" s="58" t="s">
        <v>158</v>
      </c>
      <c r="B12" s="58" t="s">
        <v>62</v>
      </c>
      <c r="C12" s="58" t="s">
        <v>63</v>
      </c>
      <c r="D12" s="58">
        <v>420.8</v>
      </c>
      <c r="E12" s="58">
        <v>1254000</v>
      </c>
      <c r="F12" s="58">
        <v>3.3569999999999997E-4</v>
      </c>
      <c r="G12" s="58">
        <v>0.38068483692775584</v>
      </c>
      <c r="H12" s="58">
        <v>30</v>
      </c>
      <c r="I12" s="68">
        <v>-0.96578344583855169</v>
      </c>
      <c r="J12" s="59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>
        <v>8</v>
      </c>
      <c r="V12" s="58">
        <v>0</v>
      </c>
      <c r="W12" s="58">
        <v>4.6051701859880918</v>
      </c>
      <c r="X12" s="58"/>
      <c r="Y12" s="58"/>
      <c r="Z12" s="74" t="s">
        <v>135</v>
      </c>
      <c r="AA12" s="77">
        <v>4.1585864457881732</v>
      </c>
    </row>
    <row r="13" spans="1:30" ht="18.75" x14ac:dyDescent="0.35">
      <c r="A13" s="61" t="s">
        <v>159</v>
      </c>
      <c r="B13" s="61" t="s">
        <v>62</v>
      </c>
      <c r="C13" s="61" t="s">
        <v>63</v>
      </c>
      <c r="D13" s="61">
        <v>3231</v>
      </c>
      <c r="E13" s="61">
        <v>1314000</v>
      </c>
      <c r="F13" s="61">
        <v>2.4580000000000001E-3</v>
      </c>
      <c r="G13" s="61">
        <v>2.4753821176031434</v>
      </c>
      <c r="H13" s="61">
        <v>30</v>
      </c>
      <c r="I13" s="66">
        <v>0.90639477505436239</v>
      </c>
      <c r="J13" s="62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>
        <v>9</v>
      </c>
      <c r="V13" s="61">
        <v>0</v>
      </c>
      <c r="W13" s="61">
        <v>4.6051701859880918</v>
      </c>
      <c r="X13" s="61"/>
      <c r="Y13" s="61"/>
      <c r="Z13" s="74" t="s">
        <v>136</v>
      </c>
      <c r="AA13" s="78">
        <v>333.35711044889615</v>
      </c>
    </row>
    <row r="14" spans="1:30" ht="15.75" thickBot="1" x14ac:dyDescent="0.3">
      <c r="A14" s="58" t="s">
        <v>160</v>
      </c>
      <c r="B14" s="58" t="s">
        <v>62</v>
      </c>
      <c r="C14" s="58" t="s">
        <v>63</v>
      </c>
      <c r="D14" s="58">
        <v>11610</v>
      </c>
      <c r="E14" s="58">
        <v>1273000</v>
      </c>
      <c r="F14" s="58">
        <v>9.1170000000000001E-3</v>
      </c>
      <c r="G14" s="58">
        <v>7.0060934425798855</v>
      </c>
      <c r="H14" s="58">
        <v>15</v>
      </c>
      <c r="I14" s="68">
        <v>1.9467802621941854</v>
      </c>
      <c r="J14" s="59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>
        <v>10</v>
      </c>
      <c r="V14" s="58" t="s">
        <v>269</v>
      </c>
      <c r="W14" s="58" t="s">
        <v>269</v>
      </c>
      <c r="X14" s="58"/>
      <c r="Y14" s="58"/>
      <c r="Z14" s="79" t="s">
        <v>118</v>
      </c>
      <c r="AA14" s="80" t="s">
        <v>161</v>
      </c>
    </row>
    <row r="15" spans="1:30" x14ac:dyDescent="0.25">
      <c r="A15" s="61" t="s">
        <v>162</v>
      </c>
      <c r="B15" s="61" t="s">
        <v>62</v>
      </c>
      <c r="C15" s="61" t="s">
        <v>63</v>
      </c>
      <c r="D15" s="61">
        <v>12290</v>
      </c>
      <c r="E15" s="61">
        <v>1369000</v>
      </c>
      <c r="F15" s="61">
        <v>8.9809999999999994E-3</v>
      </c>
      <c r="G15" s="61">
        <v>10.249999841795821</v>
      </c>
      <c r="H15" s="61">
        <v>15</v>
      </c>
      <c r="I15" s="66">
        <v>2.3272776901498631</v>
      </c>
      <c r="J15" s="62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>
        <v>11</v>
      </c>
      <c r="V15" s="61" t="s">
        <v>269</v>
      </c>
      <c r="W15" s="61" t="s">
        <v>269</v>
      </c>
      <c r="X15" s="61"/>
      <c r="Y15" s="61"/>
    </row>
    <row r="16" spans="1:30" x14ac:dyDescent="0.25">
      <c r="A16" s="58" t="s">
        <v>163</v>
      </c>
      <c r="B16" s="58" t="s">
        <v>62</v>
      </c>
      <c r="C16" s="58" t="s">
        <v>63</v>
      </c>
      <c r="D16" s="58">
        <v>12450</v>
      </c>
      <c r="E16" s="58">
        <v>1371000</v>
      </c>
      <c r="F16" s="58">
        <v>9.0790000000000003E-3</v>
      </c>
      <c r="G16" s="58">
        <v>9.1492544406491731</v>
      </c>
      <c r="H16" s="58">
        <v>15</v>
      </c>
      <c r="I16" s="68">
        <v>2.2136723940713345</v>
      </c>
      <c r="J16" s="59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>
        <v>12</v>
      </c>
      <c r="V16" s="58" t="s">
        <v>269</v>
      </c>
      <c r="W16" s="58" t="s">
        <v>269</v>
      </c>
      <c r="X16" s="58"/>
      <c r="Y16" s="58"/>
    </row>
    <row r="17" spans="1:30" x14ac:dyDescent="0.25">
      <c r="A17" s="61" t="s">
        <v>164</v>
      </c>
      <c r="B17" s="61" t="s">
        <v>62</v>
      </c>
      <c r="C17" s="61" t="s">
        <v>63</v>
      </c>
      <c r="D17" s="61">
        <v>147100</v>
      </c>
      <c r="E17" s="61">
        <v>1131000</v>
      </c>
      <c r="F17" s="61">
        <v>0.13009999999999999</v>
      </c>
      <c r="G17" s="61">
        <v>100</v>
      </c>
      <c r="H17" s="61">
        <v>0</v>
      </c>
      <c r="I17" s="66">
        <v>4.6051701859880918</v>
      </c>
      <c r="J17" s="62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>
        <v>13</v>
      </c>
      <c r="V17" s="61" t="s">
        <v>269</v>
      </c>
      <c r="W17" s="61" t="s">
        <v>269</v>
      </c>
      <c r="X17" s="61"/>
      <c r="Y17" s="61"/>
    </row>
    <row r="18" spans="1:30" x14ac:dyDescent="0.25">
      <c r="A18" s="58" t="s">
        <v>165</v>
      </c>
      <c r="B18" s="58" t="s">
        <v>62</v>
      </c>
      <c r="C18" s="58" t="s">
        <v>63</v>
      </c>
      <c r="D18" s="58">
        <v>99580</v>
      </c>
      <c r="E18" s="58">
        <v>1137000</v>
      </c>
      <c r="F18" s="58">
        <v>8.7599999999999997E-2</v>
      </c>
      <c r="G18" s="58">
        <v>100</v>
      </c>
      <c r="H18" s="58">
        <v>0</v>
      </c>
      <c r="I18" s="68">
        <v>4.6051701859880918</v>
      </c>
      <c r="J18" s="59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>
        <v>14</v>
      </c>
      <c r="V18" s="58" t="s">
        <v>269</v>
      </c>
      <c r="W18" s="58" t="s">
        <v>269</v>
      </c>
      <c r="X18" s="58"/>
      <c r="Y18" s="58"/>
    </row>
    <row r="19" spans="1:30" x14ac:dyDescent="0.25">
      <c r="A19" s="61" t="s">
        <v>166</v>
      </c>
      <c r="B19" s="61" t="s">
        <v>62</v>
      </c>
      <c r="C19" s="61" t="s">
        <v>63</v>
      </c>
      <c r="D19" s="61">
        <v>116800</v>
      </c>
      <c r="E19" s="61">
        <v>1178000</v>
      </c>
      <c r="F19" s="61">
        <v>9.9210000000000007E-2</v>
      </c>
      <c r="G19" s="61">
        <v>100</v>
      </c>
      <c r="H19" s="61">
        <v>0</v>
      </c>
      <c r="I19" s="66">
        <v>4.6051701859880918</v>
      </c>
      <c r="J19" s="62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>
        <v>15</v>
      </c>
      <c r="V19" s="61" t="s">
        <v>269</v>
      </c>
      <c r="W19" s="61" t="s">
        <v>269</v>
      </c>
      <c r="X19" s="61"/>
      <c r="Y19" s="61"/>
    </row>
    <row r="20" spans="1:30" ht="15.75" thickBot="1" x14ac:dyDescent="0.3">
      <c r="A20" s="58"/>
      <c r="B20" s="58"/>
      <c r="C20" s="58"/>
      <c r="D20" s="58"/>
      <c r="E20" s="58"/>
      <c r="F20" s="58"/>
      <c r="G20" s="58"/>
      <c r="H20" s="58"/>
      <c r="I20" s="58"/>
      <c r="J20" s="59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</row>
    <row r="21" spans="1:30" ht="16.5" thickTop="1" thickBot="1" x14ac:dyDescent="0.3">
      <c r="A21" s="61" t="s">
        <v>6</v>
      </c>
      <c r="B21" s="61" t="s">
        <v>11</v>
      </c>
      <c r="C21" s="61" t="s">
        <v>12</v>
      </c>
      <c r="D21" s="61">
        <v>90.06</v>
      </c>
      <c r="E21" s="61">
        <v>1641000</v>
      </c>
      <c r="F21" s="61">
        <v>5.486E-5</v>
      </c>
      <c r="G21" s="61"/>
      <c r="H21" s="61"/>
      <c r="I21" s="61"/>
      <c r="J21" s="62"/>
      <c r="K21" s="61"/>
      <c r="L21" s="61"/>
      <c r="M21" s="61"/>
      <c r="N21" s="61"/>
      <c r="O21" s="61"/>
      <c r="P21" s="61"/>
      <c r="Q21" s="61"/>
      <c r="R21" s="61" t="s">
        <v>139</v>
      </c>
      <c r="S21" s="61"/>
      <c r="T21" s="61">
        <v>2</v>
      </c>
      <c r="U21" s="61"/>
      <c r="V21" s="61"/>
      <c r="W21" s="61"/>
      <c r="X21" s="61"/>
      <c r="Y21" s="61"/>
      <c r="Z21" s="60" t="s">
        <v>126</v>
      </c>
      <c r="AA21" s="60" t="s">
        <v>128</v>
      </c>
      <c r="AB21" s="60" t="s">
        <v>129</v>
      </c>
      <c r="AC21" s="60" t="s">
        <v>130</v>
      </c>
      <c r="AD21" s="60" t="s">
        <v>131</v>
      </c>
    </row>
    <row r="22" spans="1:30" ht="15.75" thickTop="1" x14ac:dyDescent="0.25">
      <c r="A22" s="58" t="s">
        <v>9</v>
      </c>
      <c r="B22" s="58" t="s">
        <v>11</v>
      </c>
      <c r="C22" s="58" t="s">
        <v>12</v>
      </c>
      <c r="D22" s="58">
        <v>116.2</v>
      </c>
      <c r="E22" s="58">
        <v>1692000</v>
      </c>
      <c r="F22" s="58">
        <v>6.8670000000000005E-5</v>
      </c>
      <c r="G22" s="58"/>
      <c r="H22" s="58"/>
      <c r="I22" s="58"/>
      <c r="J22" s="59"/>
      <c r="K22" s="58"/>
      <c r="L22" s="58"/>
      <c r="M22" s="58"/>
      <c r="N22" s="58"/>
      <c r="O22" s="58"/>
      <c r="P22" s="58"/>
      <c r="Q22" s="58"/>
      <c r="R22" s="58" t="s">
        <v>126</v>
      </c>
      <c r="S22" s="58"/>
      <c r="T22" s="58">
        <v>24</v>
      </c>
      <c r="U22" s="58"/>
      <c r="V22" s="58"/>
      <c r="W22" s="58"/>
      <c r="X22" s="58"/>
      <c r="Y22" s="58"/>
      <c r="Z22" s="63">
        <v>120</v>
      </c>
      <c r="AA22" s="67">
        <v>8.2785153581594648E-2</v>
      </c>
      <c r="AB22" s="69">
        <v>0.16973172116435895</v>
      </c>
      <c r="AC22" s="67">
        <v>7.937881517945479E-2</v>
      </c>
      <c r="AD22" s="69">
        <v>0.11063189664180278</v>
      </c>
    </row>
    <row r="23" spans="1:30" x14ac:dyDescent="0.25">
      <c r="A23" s="61" t="s">
        <v>10</v>
      </c>
      <c r="B23" s="61" t="s">
        <v>11</v>
      </c>
      <c r="C23" s="61" t="s">
        <v>12</v>
      </c>
      <c r="D23" s="61">
        <v>8.8249999999999993</v>
      </c>
      <c r="E23" s="61">
        <v>1672000</v>
      </c>
      <c r="F23" s="61">
        <v>5.2780000000000001E-6</v>
      </c>
      <c r="G23" s="61"/>
      <c r="H23" s="61"/>
      <c r="I23" s="61"/>
      <c r="J23" s="62"/>
      <c r="K23" s="61"/>
      <c r="L23" s="61"/>
      <c r="M23" s="61"/>
      <c r="N23" s="61"/>
      <c r="O23" s="61"/>
      <c r="P23" s="61"/>
      <c r="Q23" s="61"/>
      <c r="R23" s="61" t="s">
        <v>127</v>
      </c>
      <c r="S23" s="61"/>
      <c r="T23" s="61">
        <v>38</v>
      </c>
      <c r="U23" s="61"/>
      <c r="V23" s="61"/>
      <c r="W23" s="61"/>
      <c r="X23" s="61"/>
      <c r="Y23" s="61"/>
      <c r="Z23" s="63">
        <v>60</v>
      </c>
      <c r="AA23" s="69">
        <v>0.24237249001806954</v>
      </c>
      <c r="AB23" s="69">
        <v>0.47298660850772156</v>
      </c>
      <c r="AC23" s="69">
        <v>0.22621590475260206</v>
      </c>
      <c r="AD23" s="69">
        <v>0.31385833442613104</v>
      </c>
    </row>
    <row r="24" spans="1:30" x14ac:dyDescent="0.25">
      <c r="A24" s="58" t="s">
        <v>167</v>
      </c>
      <c r="B24" s="58" t="s">
        <v>11</v>
      </c>
      <c r="C24" s="58" t="s">
        <v>12</v>
      </c>
      <c r="D24" s="58">
        <v>33080</v>
      </c>
      <c r="E24" s="58">
        <v>997100</v>
      </c>
      <c r="F24" s="58">
        <v>3.3169999999999998E-2</v>
      </c>
      <c r="G24" s="58">
        <v>8.2785153581594653</v>
      </c>
      <c r="H24" s="58">
        <v>120</v>
      </c>
      <c r="I24" s="68">
        <v>2.113663647750069</v>
      </c>
      <c r="J24" s="59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>
        <v>1</v>
      </c>
      <c r="V24" s="58">
        <v>120</v>
      </c>
      <c r="W24" s="58">
        <v>2.113663647750069</v>
      </c>
      <c r="X24" s="58"/>
      <c r="Y24" s="58"/>
      <c r="Z24" s="63">
        <v>30</v>
      </c>
      <c r="AA24" s="69" t="s">
        <v>279</v>
      </c>
      <c r="AB24" s="69">
        <v>0.44946667796408968</v>
      </c>
      <c r="AC24" s="69">
        <v>0.2125742654632258</v>
      </c>
      <c r="AD24" s="69">
        <v>0.33102047171365773</v>
      </c>
    </row>
    <row r="25" spans="1:30" x14ac:dyDescent="0.25">
      <c r="A25" s="61" t="s">
        <v>168</v>
      </c>
      <c r="B25" s="61" t="s">
        <v>11</v>
      </c>
      <c r="C25" s="61" t="s">
        <v>12</v>
      </c>
      <c r="D25" s="61">
        <v>33250</v>
      </c>
      <c r="E25" s="61">
        <v>960900</v>
      </c>
      <c r="F25" s="61">
        <v>3.4610000000000002E-2</v>
      </c>
      <c r="G25" s="61">
        <v>16.973172116435894</v>
      </c>
      <c r="H25" s="61">
        <v>120</v>
      </c>
      <c r="I25" s="66">
        <v>2.8316339867298694</v>
      </c>
      <c r="J25" s="62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>
        <v>2</v>
      </c>
      <c r="V25" s="61">
        <v>120</v>
      </c>
      <c r="W25" s="61">
        <v>2.8316339867298694</v>
      </c>
      <c r="X25" s="61"/>
      <c r="Y25" s="61"/>
      <c r="Z25" s="63">
        <v>15</v>
      </c>
      <c r="AA25" s="69">
        <v>0.65038727893105486</v>
      </c>
      <c r="AB25" s="81">
        <v>1.3697392004040676</v>
      </c>
      <c r="AC25" s="69" t="s">
        <v>280</v>
      </c>
      <c r="AD25" s="69">
        <v>1.0100632396675613</v>
      </c>
    </row>
    <row r="26" spans="1:30" ht="15.75" thickBot="1" x14ac:dyDescent="0.3">
      <c r="A26" s="58" t="s">
        <v>169</v>
      </c>
      <c r="B26" s="58" t="s">
        <v>11</v>
      </c>
      <c r="C26" s="58" t="s">
        <v>12</v>
      </c>
      <c r="D26" s="58">
        <v>33570</v>
      </c>
      <c r="E26" s="58">
        <v>1143000</v>
      </c>
      <c r="F26" s="58">
        <v>2.937E-2</v>
      </c>
      <c r="G26" s="58">
        <v>7.9378815179454794</v>
      </c>
      <c r="H26" s="58">
        <v>120</v>
      </c>
      <c r="I26" s="68">
        <v>2.0716464283166864</v>
      </c>
      <c r="J26" s="59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>
        <v>3</v>
      </c>
      <c r="V26" s="58">
        <v>120</v>
      </c>
      <c r="W26" s="58">
        <v>2.0716464283166864</v>
      </c>
      <c r="X26" s="58"/>
      <c r="Y26" s="58"/>
      <c r="Z26" s="70">
        <v>0</v>
      </c>
      <c r="AA26" s="71">
        <v>1</v>
      </c>
      <c r="AB26" s="71">
        <v>1</v>
      </c>
      <c r="AC26" s="71">
        <v>1</v>
      </c>
      <c r="AD26" s="71">
        <v>1</v>
      </c>
    </row>
    <row r="27" spans="1:30" ht="16.5" thickTop="1" thickBot="1" x14ac:dyDescent="0.3">
      <c r="A27" s="61" t="s">
        <v>170</v>
      </c>
      <c r="B27" s="61" t="s">
        <v>11</v>
      </c>
      <c r="C27" s="61" t="s">
        <v>12</v>
      </c>
      <c r="D27" s="61">
        <v>110200</v>
      </c>
      <c r="E27" s="61">
        <v>1136000</v>
      </c>
      <c r="F27" s="61">
        <v>9.7030000000000005E-2</v>
      </c>
      <c r="G27" s="61">
        <v>24.237249001806955</v>
      </c>
      <c r="H27" s="61">
        <v>60</v>
      </c>
      <c r="I27" s="66">
        <v>3.1878906647361682</v>
      </c>
      <c r="J27" s="62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>
        <v>4</v>
      </c>
      <c r="V27" s="61">
        <v>60</v>
      </c>
      <c r="W27" s="61">
        <v>3.1878906647361682</v>
      </c>
      <c r="X27" s="61"/>
      <c r="Y27" s="61"/>
    </row>
    <row r="28" spans="1:30" x14ac:dyDescent="0.25">
      <c r="A28" s="58" t="s">
        <v>171</v>
      </c>
      <c r="B28" s="58" t="s">
        <v>11</v>
      </c>
      <c r="C28" s="58" t="s">
        <v>12</v>
      </c>
      <c r="D28" s="58">
        <v>110300</v>
      </c>
      <c r="E28" s="58">
        <v>1145000</v>
      </c>
      <c r="F28" s="58">
        <v>9.6369999999999997E-2</v>
      </c>
      <c r="G28" s="58">
        <v>47.298660850772158</v>
      </c>
      <c r="H28" s="58">
        <v>60</v>
      </c>
      <c r="I28" s="68">
        <v>3.8564819832741013</v>
      </c>
      <c r="J28" s="59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>
        <v>5</v>
      </c>
      <c r="V28" s="58">
        <v>60</v>
      </c>
      <c r="W28" s="58">
        <v>3.8564819832741013</v>
      </c>
      <c r="X28" s="58"/>
      <c r="Y28" s="58"/>
      <c r="Z28" s="72" t="s">
        <v>132</v>
      </c>
      <c r="AA28" s="73">
        <v>-1.8712942772993416E-2</v>
      </c>
    </row>
    <row r="29" spans="1:30" x14ac:dyDescent="0.25">
      <c r="A29" s="61" t="s">
        <v>172</v>
      </c>
      <c r="B29" s="61" t="s">
        <v>11</v>
      </c>
      <c r="C29" s="61" t="s">
        <v>12</v>
      </c>
      <c r="D29" s="61">
        <v>86910</v>
      </c>
      <c r="E29" s="61">
        <v>1039000</v>
      </c>
      <c r="F29" s="61">
        <v>8.362E-2</v>
      </c>
      <c r="G29" s="61">
        <v>22.621590475260206</v>
      </c>
      <c r="H29" s="61">
        <v>60</v>
      </c>
      <c r="I29" s="66">
        <v>3.1189047810039536</v>
      </c>
      <c r="J29" s="62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>
        <v>6</v>
      </c>
      <c r="V29" s="61">
        <v>60</v>
      </c>
      <c r="W29" s="61">
        <v>3.1189047810039536</v>
      </c>
      <c r="X29" s="61"/>
      <c r="Y29" s="61"/>
      <c r="Z29" s="74" t="s">
        <v>133</v>
      </c>
      <c r="AA29" s="75">
        <v>4.5186032608991358</v>
      </c>
    </row>
    <row r="30" spans="1:30" ht="17.25" x14ac:dyDescent="0.25">
      <c r="A30" s="58" t="s">
        <v>173</v>
      </c>
      <c r="B30" s="58" t="s">
        <v>11</v>
      </c>
      <c r="C30" s="58" t="s">
        <v>12</v>
      </c>
      <c r="D30" s="58">
        <v>73590</v>
      </c>
      <c r="E30" s="58">
        <v>1543000</v>
      </c>
      <c r="F30" s="58">
        <v>4.7699999999999999E-2</v>
      </c>
      <c r="G30" s="58">
        <v>11.909589580555298</v>
      </c>
      <c r="H30" s="58">
        <v>30</v>
      </c>
      <c r="I30" s="68" t="s">
        <v>281</v>
      </c>
      <c r="J30" s="59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 t="s">
        <v>269</v>
      </c>
      <c r="V30" s="58">
        <v>30</v>
      </c>
      <c r="W30" s="58">
        <v>3.8054766268329243</v>
      </c>
      <c r="X30" s="58"/>
      <c r="Y30" s="58"/>
      <c r="Z30" s="74" t="s">
        <v>134</v>
      </c>
      <c r="AA30" s="76">
        <v>0.81565700213832759</v>
      </c>
    </row>
    <row r="31" spans="1:30" ht="18" x14ac:dyDescent="0.35">
      <c r="A31" s="61" t="s">
        <v>174</v>
      </c>
      <c r="B31" s="61" t="s">
        <v>11</v>
      </c>
      <c r="C31" s="61" t="s">
        <v>12</v>
      </c>
      <c r="D31" s="61">
        <v>99190</v>
      </c>
      <c r="E31" s="61">
        <v>1083000</v>
      </c>
      <c r="F31" s="61">
        <v>9.1579999999999995E-2</v>
      </c>
      <c r="G31" s="61">
        <v>44.946667796408967</v>
      </c>
      <c r="H31" s="61">
        <v>30</v>
      </c>
      <c r="I31" s="66">
        <v>3.8054766268329243</v>
      </c>
      <c r="J31" s="62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>
        <v>8</v>
      </c>
      <c r="V31" s="61">
        <v>30</v>
      </c>
      <c r="W31" s="61">
        <v>3.0567063188477586</v>
      </c>
      <c r="X31" s="61"/>
      <c r="Y31" s="61"/>
      <c r="Z31" s="74" t="s">
        <v>135</v>
      </c>
      <c r="AA31" s="77">
        <v>37.04105703568429</v>
      </c>
    </row>
    <row r="32" spans="1:30" ht="18.75" x14ac:dyDescent="0.35">
      <c r="A32" s="58" t="s">
        <v>175</v>
      </c>
      <c r="B32" s="58" t="s">
        <v>11</v>
      </c>
      <c r="C32" s="58" t="s">
        <v>12</v>
      </c>
      <c r="D32" s="58">
        <v>90530</v>
      </c>
      <c r="E32" s="58">
        <v>1152000</v>
      </c>
      <c r="F32" s="58">
        <v>7.8579999999999997E-2</v>
      </c>
      <c r="G32" s="58">
        <v>21.257426546322581</v>
      </c>
      <c r="H32" s="58">
        <v>30</v>
      </c>
      <c r="I32" s="68">
        <v>3.0567063188477586</v>
      </c>
      <c r="J32" s="59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>
        <v>9</v>
      </c>
      <c r="V32" s="58">
        <v>15</v>
      </c>
      <c r="W32" s="58">
        <v>4.1749829062091868</v>
      </c>
      <c r="X32" s="58"/>
      <c r="Y32" s="58"/>
      <c r="Z32" s="74" t="s">
        <v>136</v>
      </c>
      <c r="AA32" s="77">
        <v>37.42588554598683</v>
      </c>
    </row>
    <row r="33" spans="1:30" ht="15.75" thickBot="1" x14ac:dyDescent="0.3">
      <c r="A33" s="61" t="s">
        <v>176</v>
      </c>
      <c r="B33" s="61" t="s">
        <v>11</v>
      </c>
      <c r="C33" s="61" t="s">
        <v>12</v>
      </c>
      <c r="D33" s="61">
        <v>304000</v>
      </c>
      <c r="E33" s="61">
        <v>1168000</v>
      </c>
      <c r="F33" s="61">
        <v>0.26029999999999998</v>
      </c>
      <c r="G33" s="61">
        <v>65.038727893105488</v>
      </c>
      <c r="H33" s="61">
        <v>15</v>
      </c>
      <c r="I33" s="66">
        <v>4.1749829062091868</v>
      </c>
      <c r="J33" s="62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>
        <v>10</v>
      </c>
      <c r="V33" s="61">
        <v>15</v>
      </c>
      <c r="W33" s="61">
        <v>4.9197905430379079</v>
      </c>
      <c r="X33" s="61"/>
      <c r="Y33" s="61"/>
      <c r="Z33" s="79" t="s">
        <v>118</v>
      </c>
      <c r="AA33" s="80" t="s">
        <v>177</v>
      </c>
    </row>
    <row r="34" spans="1:30" x14ac:dyDescent="0.25">
      <c r="A34" s="58" t="s">
        <v>178</v>
      </c>
      <c r="B34" s="58" t="s">
        <v>11</v>
      </c>
      <c r="C34" s="58" t="s">
        <v>12</v>
      </c>
      <c r="D34" s="58">
        <v>319000</v>
      </c>
      <c r="E34" s="58">
        <v>1143000</v>
      </c>
      <c r="F34" s="58">
        <v>0.27900000000000003</v>
      </c>
      <c r="G34" s="58">
        <v>136.97392004040677</v>
      </c>
      <c r="H34" s="58">
        <v>15</v>
      </c>
      <c r="I34" s="68">
        <v>4.9197905430379079</v>
      </c>
      <c r="J34" s="59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>
        <v>11</v>
      </c>
      <c r="V34" s="58">
        <v>0</v>
      </c>
      <c r="W34" s="58">
        <v>4.6051701859880918</v>
      </c>
      <c r="X34" s="58"/>
      <c r="Y34" s="58"/>
    </row>
    <row r="35" spans="1:30" x14ac:dyDescent="0.25">
      <c r="A35" s="61" t="s">
        <v>179</v>
      </c>
      <c r="B35" s="61" t="s">
        <v>11</v>
      </c>
      <c r="C35" s="61" t="s">
        <v>12</v>
      </c>
      <c r="D35" s="61">
        <v>92160</v>
      </c>
      <c r="E35" s="61">
        <v>1367000</v>
      </c>
      <c r="F35" s="61">
        <v>6.7430000000000004E-2</v>
      </c>
      <c r="G35" s="61">
        <v>18.239484520994299</v>
      </c>
      <c r="H35" s="61">
        <v>15</v>
      </c>
      <c r="I35" s="66" t="s">
        <v>282</v>
      </c>
      <c r="J35" s="62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 t="s">
        <v>269</v>
      </c>
      <c r="V35" s="61">
        <v>0</v>
      </c>
      <c r="W35" s="61">
        <v>4.6051701859880918</v>
      </c>
      <c r="X35" s="61"/>
      <c r="Y35" s="61"/>
    </row>
    <row r="36" spans="1:30" x14ac:dyDescent="0.25">
      <c r="A36" s="58" t="s">
        <v>180</v>
      </c>
      <c r="B36" s="58" t="s">
        <v>11</v>
      </c>
      <c r="C36" s="58" t="s">
        <v>12</v>
      </c>
      <c r="D36" s="58">
        <v>370000</v>
      </c>
      <c r="E36" s="58">
        <v>924600</v>
      </c>
      <c r="F36" s="58">
        <v>0.4002</v>
      </c>
      <c r="G36" s="58">
        <v>100</v>
      </c>
      <c r="H36" s="58">
        <v>0</v>
      </c>
      <c r="I36" s="68">
        <v>4.6051701859880918</v>
      </c>
      <c r="J36" s="59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>
        <v>13</v>
      </c>
      <c r="V36" s="58">
        <v>0</v>
      </c>
      <c r="W36" s="58">
        <v>4.6051701859880918</v>
      </c>
      <c r="X36" s="58"/>
      <c r="Y36" s="58"/>
    </row>
    <row r="37" spans="1:30" x14ac:dyDescent="0.25">
      <c r="A37" s="61" t="s">
        <v>181</v>
      </c>
      <c r="B37" s="61" t="s">
        <v>11</v>
      </c>
      <c r="C37" s="61" t="s">
        <v>12</v>
      </c>
      <c r="D37" s="61">
        <v>241400</v>
      </c>
      <c r="E37" s="61">
        <v>1185000</v>
      </c>
      <c r="F37" s="61">
        <v>0.20369999999999999</v>
      </c>
      <c r="G37" s="61">
        <v>100</v>
      </c>
      <c r="H37" s="61">
        <v>0</v>
      </c>
      <c r="I37" s="66">
        <v>4.6051701859880918</v>
      </c>
      <c r="J37" s="62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>
        <v>14</v>
      </c>
      <c r="V37" s="61" t="s">
        <v>269</v>
      </c>
      <c r="W37" s="61" t="s">
        <v>269</v>
      </c>
      <c r="X37" s="61"/>
      <c r="Y37" s="61"/>
    </row>
    <row r="38" spans="1:30" x14ac:dyDescent="0.25">
      <c r="A38" s="58" t="s">
        <v>182</v>
      </c>
      <c r="B38" s="58" t="s">
        <v>11</v>
      </c>
      <c r="C38" s="58" t="s">
        <v>12</v>
      </c>
      <c r="D38" s="58">
        <v>292500</v>
      </c>
      <c r="E38" s="58">
        <v>791600</v>
      </c>
      <c r="F38" s="58">
        <v>0.3695</v>
      </c>
      <c r="G38" s="58">
        <v>100</v>
      </c>
      <c r="H38" s="58">
        <v>0</v>
      </c>
      <c r="I38" s="68">
        <v>4.6051701859880918</v>
      </c>
      <c r="J38" s="59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>
        <v>15</v>
      </c>
      <c r="V38" s="58" t="s">
        <v>269</v>
      </c>
      <c r="W38" s="58" t="s">
        <v>269</v>
      </c>
      <c r="X38" s="58"/>
      <c r="Y38" s="58"/>
    </row>
    <row r="39" spans="1:30" ht="15.75" thickBot="1" x14ac:dyDescent="0.3">
      <c r="A39" s="61"/>
      <c r="B39" s="61"/>
      <c r="C39" s="61"/>
      <c r="D39" s="61"/>
      <c r="E39" s="61"/>
      <c r="F39" s="61"/>
      <c r="G39" s="61"/>
      <c r="H39" s="61"/>
      <c r="I39" s="61"/>
      <c r="J39" s="62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</row>
    <row r="40" spans="1:30" ht="16.5" thickTop="1" thickBot="1" x14ac:dyDescent="0.3">
      <c r="A40" s="58" t="s">
        <v>6</v>
      </c>
      <c r="B40" s="58" t="s">
        <v>45</v>
      </c>
      <c r="C40" s="58" t="s">
        <v>46</v>
      </c>
      <c r="D40" s="58">
        <v>8.625</v>
      </c>
      <c r="E40" s="58">
        <v>1641000</v>
      </c>
      <c r="F40" s="58">
        <v>5.2549999999999997E-6</v>
      </c>
      <c r="G40" s="58"/>
      <c r="H40" s="58"/>
      <c r="I40" s="58"/>
      <c r="J40" s="59"/>
      <c r="K40" s="58"/>
      <c r="L40" s="58"/>
      <c r="M40" s="58"/>
      <c r="N40" s="58"/>
      <c r="O40" s="58"/>
      <c r="P40" s="58"/>
      <c r="Q40" s="58"/>
      <c r="R40" s="58" t="s">
        <v>140</v>
      </c>
      <c r="S40" s="58"/>
      <c r="T40" s="58">
        <v>5</v>
      </c>
      <c r="U40" s="58"/>
      <c r="V40" s="58"/>
      <c r="W40" s="58"/>
      <c r="X40" s="58"/>
      <c r="Y40" s="58"/>
      <c r="Z40" s="60" t="s">
        <v>126</v>
      </c>
      <c r="AA40" s="60" t="s">
        <v>128</v>
      </c>
      <c r="AB40" s="60" t="s">
        <v>129</v>
      </c>
      <c r="AC40" s="60" t="s">
        <v>130</v>
      </c>
      <c r="AD40" s="60" t="s">
        <v>131</v>
      </c>
    </row>
    <row r="41" spans="1:30" ht="15.75" thickTop="1" x14ac:dyDescent="0.25">
      <c r="A41" s="61" t="s">
        <v>9</v>
      </c>
      <c r="B41" s="61" t="s">
        <v>45</v>
      </c>
      <c r="C41" s="61" t="s">
        <v>46</v>
      </c>
      <c r="D41" s="61">
        <v>17.7</v>
      </c>
      <c r="E41" s="61">
        <v>1692000</v>
      </c>
      <c r="F41" s="61">
        <v>1.046E-5</v>
      </c>
      <c r="G41" s="61"/>
      <c r="H41" s="61"/>
      <c r="I41" s="61"/>
      <c r="J41" s="62"/>
      <c r="K41" s="61"/>
      <c r="L41" s="61"/>
      <c r="M41" s="61"/>
      <c r="N41" s="61"/>
      <c r="O41" s="61"/>
      <c r="P41" s="61"/>
      <c r="Q41" s="61"/>
      <c r="R41" s="61" t="s">
        <v>126</v>
      </c>
      <c r="S41" s="61"/>
      <c r="T41" s="61">
        <v>81</v>
      </c>
      <c r="U41" s="61"/>
      <c r="V41" s="61"/>
      <c r="W41" s="61"/>
      <c r="X41" s="61"/>
      <c r="Y41" s="61"/>
      <c r="Z41" s="63">
        <v>120</v>
      </c>
      <c r="AA41" s="82" t="s">
        <v>283</v>
      </c>
      <c r="AB41" s="82" t="s">
        <v>283</v>
      </c>
      <c r="AC41" s="64" t="s">
        <v>268</v>
      </c>
      <c r="AD41" s="64" t="s">
        <v>269</v>
      </c>
    </row>
    <row r="42" spans="1:30" x14ac:dyDescent="0.25">
      <c r="A42" s="58" t="s">
        <v>10</v>
      </c>
      <c r="B42" s="58" t="s">
        <v>45</v>
      </c>
      <c r="C42" s="58" t="s">
        <v>46</v>
      </c>
      <c r="D42" s="58">
        <v>9.6720000000000006</v>
      </c>
      <c r="E42" s="58">
        <v>1672000</v>
      </c>
      <c r="F42" s="58">
        <v>5.7849999999999997E-6</v>
      </c>
      <c r="G42" s="58"/>
      <c r="H42" s="58"/>
      <c r="I42" s="58"/>
      <c r="J42" s="59"/>
      <c r="K42" s="58"/>
      <c r="L42" s="58"/>
      <c r="M42" s="58"/>
      <c r="N42" s="58"/>
      <c r="O42" s="58"/>
      <c r="P42" s="58"/>
      <c r="Q42" s="58"/>
      <c r="R42" s="58" t="s">
        <v>127</v>
      </c>
      <c r="S42" s="58"/>
      <c r="T42" s="58">
        <v>95</v>
      </c>
      <c r="U42" s="58"/>
      <c r="V42" s="58"/>
      <c r="W42" s="58"/>
      <c r="X42" s="58"/>
      <c r="Y42" s="58"/>
      <c r="Z42" s="63">
        <v>60</v>
      </c>
      <c r="AA42" s="83" t="s">
        <v>284</v>
      </c>
      <c r="AB42" s="83" t="s">
        <v>285</v>
      </c>
      <c r="AC42" s="82" t="s">
        <v>283</v>
      </c>
      <c r="AD42" s="83" t="s">
        <v>269</v>
      </c>
    </row>
    <row r="43" spans="1:30" x14ac:dyDescent="0.25">
      <c r="A43" s="61" t="s">
        <v>183</v>
      </c>
      <c r="B43" s="61" t="s">
        <v>45</v>
      </c>
      <c r="C43" s="61" t="s">
        <v>46</v>
      </c>
      <c r="D43" s="61">
        <v>1.8620000000000001</v>
      </c>
      <c r="E43" s="61">
        <v>1179000</v>
      </c>
      <c r="F43" s="61">
        <v>1.579E-6</v>
      </c>
      <c r="G43" s="61">
        <v>-1.181503892414989E-2</v>
      </c>
      <c r="H43" s="61">
        <v>120</v>
      </c>
      <c r="I43" s="61" t="s">
        <v>269</v>
      </c>
      <c r="J43" s="62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 t="s">
        <v>269</v>
      </c>
      <c r="V43" s="61">
        <v>15</v>
      </c>
      <c r="W43" s="61">
        <v>-3.2323830471681454</v>
      </c>
      <c r="X43" s="61"/>
      <c r="Y43" s="61"/>
      <c r="Z43" s="63">
        <v>30</v>
      </c>
      <c r="AA43" s="82" t="s">
        <v>283</v>
      </c>
      <c r="AB43" s="82" t="s">
        <v>283</v>
      </c>
      <c r="AC43" s="82" t="s">
        <v>286</v>
      </c>
      <c r="AD43" s="82" t="s">
        <v>269</v>
      </c>
    </row>
    <row r="44" spans="1:30" x14ac:dyDescent="0.25">
      <c r="A44" s="58" t="s">
        <v>184</v>
      </c>
      <c r="B44" s="58" t="s">
        <v>45</v>
      </c>
      <c r="C44" s="58" t="s">
        <v>46</v>
      </c>
      <c r="D44" s="58">
        <v>0.41959999999999997</v>
      </c>
      <c r="E44" s="58">
        <v>1179000</v>
      </c>
      <c r="F44" s="58">
        <v>3.5600000000000001E-7</v>
      </c>
      <c r="G44" s="58">
        <v>-1.1542948502473047E-2</v>
      </c>
      <c r="H44" s="58">
        <v>120</v>
      </c>
      <c r="I44" s="58" t="s">
        <v>269</v>
      </c>
      <c r="J44" s="59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 t="s">
        <v>269</v>
      </c>
      <c r="V44" s="58">
        <v>15</v>
      </c>
      <c r="W44" s="58">
        <v>-2.4819760608539752</v>
      </c>
      <c r="X44" s="58"/>
      <c r="Y44" s="58"/>
      <c r="Z44" s="63">
        <v>15</v>
      </c>
      <c r="AA44" s="64">
        <v>3.9463343635575505E-4</v>
      </c>
      <c r="AB44" s="64">
        <v>8.3577907275639307E-4</v>
      </c>
      <c r="AC44" s="82" t="s">
        <v>283</v>
      </c>
      <c r="AD44" s="64">
        <v>6.1520625455607401E-4</v>
      </c>
    </row>
    <row r="45" spans="1:30" ht="15.75" thickBot="1" x14ac:dyDescent="0.3">
      <c r="A45" s="61" t="s">
        <v>185</v>
      </c>
      <c r="B45" s="61" t="s">
        <v>45</v>
      </c>
      <c r="C45" s="61" t="s">
        <v>46</v>
      </c>
      <c r="D45" s="61">
        <v>57.82</v>
      </c>
      <c r="E45" s="61">
        <v>1470000</v>
      </c>
      <c r="F45" s="61">
        <v>3.9339999999999999E-5</v>
      </c>
      <c r="G45" s="61">
        <v>6.8756967769280905E-2</v>
      </c>
      <c r="H45" s="61">
        <v>120</v>
      </c>
      <c r="I45" s="66" t="s">
        <v>287</v>
      </c>
      <c r="J45" s="62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 t="s">
        <v>269</v>
      </c>
      <c r="V45" s="61">
        <v>0</v>
      </c>
      <c r="W45" s="61">
        <v>4.6051701859880918</v>
      </c>
      <c r="X45" s="61"/>
      <c r="Y45" s="61"/>
      <c r="Z45" s="70">
        <v>0</v>
      </c>
      <c r="AA45" s="71">
        <v>1</v>
      </c>
      <c r="AB45" s="71">
        <v>1</v>
      </c>
      <c r="AC45" s="71">
        <v>1</v>
      </c>
      <c r="AD45" s="71">
        <v>1</v>
      </c>
    </row>
    <row r="46" spans="1:30" ht="16.5" thickTop="1" thickBot="1" x14ac:dyDescent="0.3">
      <c r="A46" s="58" t="s">
        <v>186</v>
      </c>
      <c r="B46" s="58" t="s">
        <v>45</v>
      </c>
      <c r="C46" s="58" t="s">
        <v>46</v>
      </c>
      <c r="D46" s="58">
        <v>10.59</v>
      </c>
      <c r="E46" s="58">
        <v>1311000</v>
      </c>
      <c r="F46" s="58">
        <v>8.0819999999999999E-6</v>
      </c>
      <c r="G46" s="58">
        <v>1.9354588609267779E-3</v>
      </c>
      <c r="H46" s="58">
        <v>60</v>
      </c>
      <c r="I46" s="68" t="s">
        <v>288</v>
      </c>
      <c r="J46" s="59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 t="s">
        <v>269</v>
      </c>
      <c r="V46" s="58">
        <v>0</v>
      </c>
      <c r="W46" s="58">
        <v>4.6051701859880918</v>
      </c>
      <c r="X46" s="58"/>
      <c r="Y46" s="58"/>
    </row>
    <row r="47" spans="1:30" x14ac:dyDescent="0.25">
      <c r="A47" s="61" t="s">
        <v>187</v>
      </c>
      <c r="B47" s="61" t="s">
        <v>45</v>
      </c>
      <c r="C47" s="61" t="s">
        <v>46</v>
      </c>
      <c r="D47" s="61">
        <v>15.91</v>
      </c>
      <c r="E47" s="61">
        <v>1449000</v>
      </c>
      <c r="F47" s="61">
        <v>1.098E-5</v>
      </c>
      <c r="G47" s="61">
        <v>6.4629664677120016E-3</v>
      </c>
      <c r="H47" s="61">
        <v>60</v>
      </c>
      <c r="I47" s="66" t="s">
        <v>289</v>
      </c>
      <c r="J47" s="62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 t="s">
        <v>269</v>
      </c>
      <c r="V47" s="61">
        <v>0</v>
      </c>
      <c r="W47" s="61">
        <v>4.6051701859880918</v>
      </c>
      <c r="X47" s="61"/>
      <c r="Y47" s="61"/>
      <c r="Z47" s="72" t="s">
        <v>132</v>
      </c>
      <c r="AA47" s="73">
        <v>-0.4974899826666101</v>
      </c>
    </row>
    <row r="48" spans="1:30" x14ac:dyDescent="0.25">
      <c r="A48" s="58" t="s">
        <v>188</v>
      </c>
      <c r="B48" s="58" t="s">
        <v>45</v>
      </c>
      <c r="C48" s="58" t="s">
        <v>46</v>
      </c>
      <c r="D48" s="58">
        <v>0.50029999999999997</v>
      </c>
      <c r="E48" s="58">
        <v>1255000</v>
      </c>
      <c r="F48" s="58">
        <v>3.988E-7</v>
      </c>
      <c r="G48" s="58">
        <v>-1.4463468408623828E-2</v>
      </c>
      <c r="H48" s="58">
        <v>60</v>
      </c>
      <c r="I48" s="58" t="s">
        <v>269</v>
      </c>
      <c r="J48" s="59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 t="s">
        <v>269</v>
      </c>
      <c r="V48" s="58" t="s">
        <v>269</v>
      </c>
      <c r="W48" s="58" t="s">
        <v>269</v>
      </c>
      <c r="X48" s="58"/>
      <c r="Y48" s="58"/>
      <c r="Z48" s="74" t="s">
        <v>133</v>
      </c>
      <c r="AA48" s="75">
        <v>4.6051701859880918</v>
      </c>
    </row>
    <row r="49" spans="1:30" ht="17.25" x14ac:dyDescent="0.25">
      <c r="A49" s="61" t="s">
        <v>189</v>
      </c>
      <c r="B49" s="61" t="s">
        <v>45</v>
      </c>
      <c r="C49" s="61" t="s">
        <v>46</v>
      </c>
      <c r="D49" s="61">
        <v>0.254</v>
      </c>
      <c r="E49" s="61">
        <v>1251000</v>
      </c>
      <c r="F49" s="61">
        <v>2.03E-7</v>
      </c>
      <c r="G49" s="61">
        <v>-1.4724570671384321E-2</v>
      </c>
      <c r="H49" s="61">
        <v>30</v>
      </c>
      <c r="I49" s="61" t="s">
        <v>269</v>
      </c>
      <c r="J49" s="62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 t="s">
        <v>269</v>
      </c>
      <c r="V49" s="61" t="s">
        <v>269</v>
      </c>
      <c r="W49" s="61" t="s">
        <v>269</v>
      </c>
      <c r="X49" s="61"/>
      <c r="Y49" s="61"/>
      <c r="Z49" s="74" t="s">
        <v>134</v>
      </c>
      <c r="AA49" s="76">
        <v>0.99580429166512885</v>
      </c>
    </row>
    <row r="50" spans="1:30" ht="18" x14ac:dyDescent="0.35">
      <c r="A50" s="58" t="s">
        <v>190</v>
      </c>
      <c r="B50" s="58" t="s">
        <v>45</v>
      </c>
      <c r="C50" s="58" t="s">
        <v>46</v>
      </c>
      <c r="D50" s="58">
        <v>0.83760000000000001</v>
      </c>
      <c r="E50" s="58">
        <v>1270000</v>
      </c>
      <c r="F50" s="58">
        <v>6.595E-7</v>
      </c>
      <c r="G50" s="58">
        <v>-1.1028566424776213E-2</v>
      </c>
      <c r="H50" s="58">
        <v>30</v>
      </c>
      <c r="I50" s="58" t="s">
        <v>269</v>
      </c>
      <c r="J50" s="59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 t="s">
        <v>269</v>
      </c>
      <c r="V50" s="58" t="s">
        <v>269</v>
      </c>
      <c r="W50" s="58" t="s">
        <v>269</v>
      </c>
      <c r="X50" s="58"/>
      <c r="Y50" s="58"/>
      <c r="Z50" s="74" t="s">
        <v>135</v>
      </c>
      <c r="AA50" s="77">
        <v>1.3932887187890448</v>
      </c>
    </row>
    <row r="51" spans="1:30" ht="18.75" x14ac:dyDescent="0.35">
      <c r="A51" s="61" t="s">
        <v>191</v>
      </c>
      <c r="B51" s="61" t="s">
        <v>45</v>
      </c>
      <c r="C51" s="61" t="s">
        <v>46</v>
      </c>
      <c r="D51" s="61">
        <v>2.4809999999999999E-2</v>
      </c>
      <c r="E51" s="61">
        <v>1186000</v>
      </c>
      <c r="F51" s="61">
        <v>2.0929999999999999E-8</v>
      </c>
      <c r="G51" s="61">
        <v>-1.5271006600013536E-2</v>
      </c>
      <c r="H51" s="61">
        <v>30</v>
      </c>
      <c r="I51" s="61" t="s">
        <v>269</v>
      </c>
      <c r="J51" s="62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 t="s">
        <v>269</v>
      </c>
      <c r="V51" s="61" t="s">
        <v>269</v>
      </c>
      <c r="W51" s="61" t="s">
        <v>269</v>
      </c>
      <c r="X51" s="61"/>
      <c r="Y51" s="61"/>
      <c r="Z51" s="74" t="s">
        <v>136</v>
      </c>
      <c r="AA51" s="78">
        <v>994.97996533322021</v>
      </c>
    </row>
    <row r="52" spans="1:30" ht="15.75" thickBot="1" x14ac:dyDescent="0.3">
      <c r="A52" s="58" t="s">
        <v>192</v>
      </c>
      <c r="B52" s="58" t="s">
        <v>45</v>
      </c>
      <c r="C52" s="58" t="s">
        <v>46</v>
      </c>
      <c r="D52" s="58">
        <v>34.299999999999997</v>
      </c>
      <c r="E52" s="58">
        <v>1328000</v>
      </c>
      <c r="F52" s="58">
        <v>2.5829999999999998E-5</v>
      </c>
      <c r="G52" s="58">
        <v>3.9463343635575507E-2</v>
      </c>
      <c r="H52" s="58">
        <v>15</v>
      </c>
      <c r="I52" s="68">
        <v>-3.2323830471681454</v>
      </c>
      <c r="J52" s="59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>
        <v>10</v>
      </c>
      <c r="V52" s="58" t="s">
        <v>269</v>
      </c>
      <c r="W52" s="58" t="s">
        <v>269</v>
      </c>
      <c r="X52" s="58"/>
      <c r="Y52" s="58"/>
      <c r="Z52" s="79" t="s">
        <v>118</v>
      </c>
      <c r="AA52" s="80" t="s">
        <v>193</v>
      </c>
    </row>
    <row r="53" spans="1:30" x14ac:dyDescent="0.25">
      <c r="A53" s="61" t="s">
        <v>194</v>
      </c>
      <c r="B53" s="61" t="s">
        <v>45</v>
      </c>
      <c r="C53" s="61" t="s">
        <v>46</v>
      </c>
      <c r="D53" s="61">
        <v>66.28</v>
      </c>
      <c r="E53" s="61">
        <v>1174000</v>
      </c>
      <c r="F53" s="61">
        <v>5.6480000000000001E-5</v>
      </c>
      <c r="G53" s="61">
        <v>8.357790727563931E-2</v>
      </c>
      <c r="H53" s="61">
        <v>15</v>
      </c>
      <c r="I53" s="66">
        <v>-2.4819760608539752</v>
      </c>
      <c r="J53" s="62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>
        <v>11</v>
      </c>
      <c r="V53" s="61" t="s">
        <v>269</v>
      </c>
      <c r="W53" s="61" t="s">
        <v>269</v>
      </c>
      <c r="X53" s="61"/>
      <c r="Y53" s="61"/>
    </row>
    <row r="54" spans="1:30" x14ac:dyDescent="0.25">
      <c r="A54" s="58" t="s">
        <v>195</v>
      </c>
      <c r="B54" s="58" t="s">
        <v>45</v>
      </c>
      <c r="C54" s="58" t="s">
        <v>46</v>
      </c>
      <c r="D54" s="58">
        <v>4.5789999999999997</v>
      </c>
      <c r="E54" s="58">
        <v>1303000</v>
      </c>
      <c r="F54" s="58">
        <v>3.5130000000000001E-6</v>
      </c>
      <c r="G54" s="58">
        <v>-7.8081757534095323E-3</v>
      </c>
      <c r="H54" s="58">
        <v>15</v>
      </c>
      <c r="I54" s="58" t="s">
        <v>269</v>
      </c>
      <c r="J54" s="59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 t="s">
        <v>269</v>
      </c>
      <c r="V54" s="58" t="s">
        <v>269</v>
      </c>
      <c r="W54" s="58" t="s">
        <v>269</v>
      </c>
      <c r="X54" s="58"/>
      <c r="Y54" s="58"/>
    </row>
    <row r="55" spans="1:30" x14ac:dyDescent="0.25">
      <c r="A55" s="61" t="s">
        <v>196</v>
      </c>
      <c r="B55" s="61" t="s">
        <v>45</v>
      </c>
      <c r="C55" s="61" t="s">
        <v>46</v>
      </c>
      <c r="D55" s="61">
        <v>46740</v>
      </c>
      <c r="E55" s="61">
        <v>988000</v>
      </c>
      <c r="F55" s="61">
        <v>4.7300000000000002E-2</v>
      </c>
      <c r="G55" s="61">
        <v>100</v>
      </c>
      <c r="H55" s="61">
        <v>0</v>
      </c>
      <c r="I55" s="66">
        <v>4.6051701859880918</v>
      </c>
      <c r="J55" s="62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>
        <v>13</v>
      </c>
      <c r="V55" s="61" t="s">
        <v>269</v>
      </c>
      <c r="W55" s="61" t="s">
        <v>269</v>
      </c>
      <c r="X55" s="61"/>
      <c r="Y55" s="61"/>
    </row>
    <row r="56" spans="1:30" x14ac:dyDescent="0.25">
      <c r="A56" s="58" t="s">
        <v>197</v>
      </c>
      <c r="B56" s="58" t="s">
        <v>45</v>
      </c>
      <c r="C56" s="58" t="s">
        <v>46</v>
      </c>
      <c r="D56" s="58">
        <v>63830</v>
      </c>
      <c r="E56" s="58">
        <v>1082000</v>
      </c>
      <c r="F56" s="58">
        <v>5.901E-2</v>
      </c>
      <c r="G56" s="58">
        <v>100</v>
      </c>
      <c r="H56" s="58">
        <v>0</v>
      </c>
      <c r="I56" s="68">
        <v>4.6051701859880918</v>
      </c>
      <c r="J56" s="59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>
        <v>14</v>
      </c>
      <c r="V56" s="58" t="s">
        <v>269</v>
      </c>
      <c r="W56" s="58" t="s">
        <v>269</v>
      </c>
      <c r="X56" s="58"/>
      <c r="Y56" s="58"/>
    </row>
    <row r="57" spans="1:30" x14ac:dyDescent="0.25">
      <c r="A57" s="61" t="s">
        <v>198</v>
      </c>
      <c r="B57" s="61" t="s">
        <v>45</v>
      </c>
      <c r="C57" s="61" t="s">
        <v>46</v>
      </c>
      <c r="D57" s="61">
        <v>52810</v>
      </c>
      <c r="E57" s="61">
        <v>1128000</v>
      </c>
      <c r="F57" s="61">
        <v>4.6800000000000001E-2</v>
      </c>
      <c r="G57" s="61">
        <v>100</v>
      </c>
      <c r="H57" s="61">
        <v>0</v>
      </c>
      <c r="I57" s="66">
        <v>4.6051701859880918</v>
      </c>
      <c r="J57" s="62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>
        <v>15</v>
      </c>
      <c r="V57" s="61" t="s">
        <v>269</v>
      </c>
      <c r="W57" s="61" t="s">
        <v>269</v>
      </c>
      <c r="X57" s="61"/>
      <c r="Y57" s="61"/>
    </row>
    <row r="58" spans="1:30" ht="15.75" thickBot="1" x14ac:dyDescent="0.3">
      <c r="A58" s="58"/>
      <c r="B58" s="58"/>
      <c r="C58" s="58"/>
      <c r="D58" s="58"/>
      <c r="E58" s="58"/>
      <c r="F58" s="58"/>
      <c r="G58" s="58"/>
      <c r="H58" s="58"/>
      <c r="I58" s="58"/>
      <c r="J58" s="59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</row>
    <row r="59" spans="1:30" ht="16.5" thickTop="1" thickBot="1" x14ac:dyDescent="0.3">
      <c r="A59" s="61" t="s">
        <v>6</v>
      </c>
      <c r="B59" s="61" t="s">
        <v>79</v>
      </c>
      <c r="C59" s="61" t="s">
        <v>80</v>
      </c>
      <c r="D59" s="61">
        <v>83.51</v>
      </c>
      <c r="E59" s="61">
        <v>1641000</v>
      </c>
      <c r="F59" s="61">
        <v>5.0869999999999999E-5</v>
      </c>
      <c r="G59" s="61"/>
      <c r="H59" s="61"/>
      <c r="I59" s="61"/>
      <c r="J59" s="62"/>
      <c r="K59" s="61"/>
      <c r="L59" s="61"/>
      <c r="M59" s="61"/>
      <c r="N59" s="61"/>
      <c r="O59" s="61"/>
      <c r="P59" s="61"/>
      <c r="Q59" s="61"/>
      <c r="R59" s="61" t="s">
        <v>141</v>
      </c>
      <c r="S59" s="61"/>
      <c r="T59" s="61">
        <v>6</v>
      </c>
      <c r="U59" s="61"/>
      <c r="V59" s="61"/>
      <c r="W59" s="61"/>
      <c r="X59" s="61"/>
      <c r="Y59" s="61"/>
      <c r="Z59" s="60" t="s">
        <v>126</v>
      </c>
      <c r="AA59" s="60" t="s">
        <v>128</v>
      </c>
      <c r="AB59" s="60" t="s">
        <v>129</v>
      </c>
      <c r="AC59" s="60" t="s">
        <v>130</v>
      </c>
      <c r="AD59" s="60" t="s">
        <v>131</v>
      </c>
    </row>
    <row r="60" spans="1:30" ht="15.75" thickTop="1" x14ac:dyDescent="0.25">
      <c r="A60" s="58" t="s">
        <v>9</v>
      </c>
      <c r="B60" s="58" t="s">
        <v>79</v>
      </c>
      <c r="C60" s="58" t="s">
        <v>80</v>
      </c>
      <c r="D60" s="58">
        <v>210.2</v>
      </c>
      <c r="E60" s="58">
        <v>1692000</v>
      </c>
      <c r="F60" s="58">
        <v>1.2430000000000001E-4</v>
      </c>
      <c r="G60" s="58"/>
      <c r="H60" s="58"/>
      <c r="I60" s="58"/>
      <c r="J60" s="59"/>
      <c r="K60" s="58"/>
      <c r="L60" s="58"/>
      <c r="M60" s="58"/>
      <c r="N60" s="58"/>
      <c r="O60" s="58"/>
      <c r="P60" s="58"/>
      <c r="Q60" s="58"/>
      <c r="R60" s="58" t="s">
        <v>126</v>
      </c>
      <c r="S60" s="58"/>
      <c r="T60" s="58">
        <v>100</v>
      </c>
      <c r="U60" s="58"/>
      <c r="V60" s="58"/>
      <c r="W60" s="58"/>
      <c r="X60" s="58"/>
      <c r="Y60" s="58"/>
      <c r="Z60" s="63">
        <v>120</v>
      </c>
      <c r="AA60" s="82" t="s">
        <v>284</v>
      </c>
      <c r="AB60" s="82" t="s">
        <v>290</v>
      </c>
      <c r="AC60" s="82" t="s">
        <v>291</v>
      </c>
      <c r="AD60" s="82" t="s">
        <v>269</v>
      </c>
    </row>
    <row r="61" spans="1:30" x14ac:dyDescent="0.25">
      <c r="A61" s="61" t="s">
        <v>10</v>
      </c>
      <c r="B61" s="61" t="s">
        <v>79</v>
      </c>
      <c r="C61" s="61" t="s">
        <v>80</v>
      </c>
      <c r="D61" s="61">
        <v>64.569999999999993</v>
      </c>
      <c r="E61" s="61">
        <v>1672000</v>
      </c>
      <c r="F61" s="61">
        <v>3.862E-5</v>
      </c>
      <c r="G61" s="61"/>
      <c r="H61" s="61"/>
      <c r="I61" s="61"/>
      <c r="J61" s="62"/>
      <c r="K61" s="61"/>
      <c r="L61" s="61"/>
      <c r="M61" s="61"/>
      <c r="N61" s="61"/>
      <c r="O61" s="61"/>
      <c r="P61" s="61"/>
      <c r="Q61" s="61"/>
      <c r="R61" s="61" t="s">
        <v>127</v>
      </c>
      <c r="S61" s="61"/>
      <c r="T61" s="61">
        <v>114</v>
      </c>
      <c r="U61" s="61"/>
      <c r="V61" s="61"/>
      <c r="W61" s="61"/>
      <c r="X61" s="61"/>
      <c r="Y61" s="61"/>
      <c r="Z61" s="63">
        <v>60</v>
      </c>
      <c r="AA61" s="64" t="s">
        <v>285</v>
      </c>
      <c r="AB61" s="64" t="s">
        <v>268</v>
      </c>
      <c r="AC61" s="65" t="s">
        <v>267</v>
      </c>
      <c r="AD61" s="64" t="s">
        <v>269</v>
      </c>
    </row>
    <row r="62" spans="1:30" x14ac:dyDescent="0.25">
      <c r="A62" s="58" t="s">
        <v>199</v>
      </c>
      <c r="B62" s="58" t="s">
        <v>79</v>
      </c>
      <c r="C62" s="58" t="s">
        <v>80</v>
      </c>
      <c r="D62" s="58">
        <v>90.47</v>
      </c>
      <c r="E62" s="58">
        <v>1286000</v>
      </c>
      <c r="F62" s="58">
        <v>7.0359999999999997E-5</v>
      </c>
      <c r="G62" s="58">
        <v>-4.3768828873731883E-3</v>
      </c>
      <c r="H62" s="58">
        <v>120</v>
      </c>
      <c r="I62" s="58" t="s">
        <v>269</v>
      </c>
      <c r="J62" s="59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 t="s">
        <v>269</v>
      </c>
      <c r="V62" s="58">
        <v>15</v>
      </c>
      <c r="W62" s="58">
        <v>-3.6004941809958493</v>
      </c>
      <c r="X62" s="58"/>
      <c r="Y62" s="58"/>
      <c r="Z62" s="63">
        <v>30</v>
      </c>
      <c r="AA62" s="67" t="s">
        <v>292</v>
      </c>
      <c r="AB62" s="82" t="s">
        <v>293</v>
      </c>
      <c r="AC62" s="82" t="s">
        <v>294</v>
      </c>
      <c r="AD62" s="67" t="s">
        <v>269</v>
      </c>
    </row>
    <row r="63" spans="1:30" x14ac:dyDescent="0.25">
      <c r="A63" s="61" t="s">
        <v>200</v>
      </c>
      <c r="B63" s="61" t="s">
        <v>79</v>
      </c>
      <c r="C63" s="61" t="s">
        <v>80</v>
      </c>
      <c r="D63" s="61">
        <v>43.02</v>
      </c>
      <c r="E63" s="61">
        <v>1307000</v>
      </c>
      <c r="F63" s="61">
        <v>3.2920000000000003E-5</v>
      </c>
      <c r="G63" s="61">
        <v>-0.21530630752209451</v>
      </c>
      <c r="H63" s="61">
        <v>120</v>
      </c>
      <c r="I63" s="61" t="s">
        <v>269</v>
      </c>
      <c r="J63" s="62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 t="s">
        <v>269</v>
      </c>
      <c r="V63" s="61">
        <v>0</v>
      </c>
      <c r="W63" s="61">
        <v>4.6051701859880918</v>
      </c>
      <c r="X63" s="61"/>
      <c r="Y63" s="61"/>
      <c r="Z63" s="63">
        <v>15</v>
      </c>
      <c r="AA63" s="82" t="s">
        <v>295</v>
      </c>
      <c r="AB63" s="82" t="s">
        <v>296</v>
      </c>
      <c r="AC63" s="64">
        <v>2.7310222918803194E-4</v>
      </c>
      <c r="AD63" s="64">
        <v>2.7310222918803194E-4</v>
      </c>
    </row>
    <row r="64" spans="1:30" ht="15.75" thickBot="1" x14ac:dyDescent="0.3">
      <c r="A64" s="58" t="s">
        <v>201</v>
      </c>
      <c r="B64" s="58" t="s">
        <v>79</v>
      </c>
      <c r="C64" s="58" t="s">
        <v>80</v>
      </c>
      <c r="D64" s="58">
        <v>46.01</v>
      </c>
      <c r="E64" s="58">
        <v>1264000</v>
      </c>
      <c r="F64" s="58">
        <v>3.6399999999999997E-5</v>
      </c>
      <c r="G64" s="58">
        <v>-0.18644753362125543</v>
      </c>
      <c r="H64" s="58">
        <v>120</v>
      </c>
      <c r="I64" s="58" t="s">
        <v>269</v>
      </c>
      <c r="J64" s="59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 t="s">
        <v>269</v>
      </c>
      <c r="V64" s="58">
        <v>0</v>
      </c>
      <c r="W64" s="58">
        <v>4.6051701859880918</v>
      </c>
      <c r="X64" s="58"/>
      <c r="Y64" s="58"/>
      <c r="Z64" s="70">
        <v>0</v>
      </c>
      <c r="AA64" s="71">
        <v>1</v>
      </c>
      <c r="AB64" s="71">
        <v>1</v>
      </c>
      <c r="AC64" s="71">
        <v>1</v>
      </c>
      <c r="AD64" s="71">
        <v>1</v>
      </c>
    </row>
    <row r="65" spans="1:30" ht="16.5" thickTop="1" thickBot="1" x14ac:dyDescent="0.3">
      <c r="A65" s="61" t="s">
        <v>202</v>
      </c>
      <c r="B65" s="61" t="s">
        <v>79</v>
      </c>
      <c r="C65" s="61" t="s">
        <v>80</v>
      </c>
      <c r="D65" s="61">
        <v>99.56</v>
      </c>
      <c r="E65" s="61">
        <v>1345000</v>
      </c>
      <c r="F65" s="61">
        <v>7.3999999999999996E-5</v>
      </c>
      <c r="G65" s="61">
        <v>1.325985553702326E-2</v>
      </c>
      <c r="H65" s="61">
        <v>60</v>
      </c>
      <c r="I65" s="66" t="s">
        <v>297</v>
      </c>
      <c r="J65" s="62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 t="s">
        <v>269</v>
      </c>
      <c r="V65" s="61">
        <v>0</v>
      </c>
      <c r="W65" s="61">
        <v>4.6051701859880918</v>
      </c>
      <c r="X65" s="61"/>
      <c r="Y65" s="61"/>
    </row>
    <row r="66" spans="1:30" x14ac:dyDescent="0.25">
      <c r="A66" s="58" t="s">
        <v>203</v>
      </c>
      <c r="B66" s="58" t="s">
        <v>79</v>
      </c>
      <c r="C66" s="58" t="s">
        <v>80</v>
      </c>
      <c r="D66" s="58">
        <v>116</v>
      </c>
      <c r="E66" s="58">
        <v>1374000</v>
      </c>
      <c r="F66" s="58">
        <v>8.4430000000000003E-5</v>
      </c>
      <c r="G66" s="58">
        <v>7.3933748996981019E-2</v>
      </c>
      <c r="H66" s="58">
        <v>60</v>
      </c>
      <c r="I66" s="68" t="s">
        <v>298</v>
      </c>
      <c r="J66" s="59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 t="s">
        <v>269</v>
      </c>
      <c r="V66" s="58" t="s">
        <v>269</v>
      </c>
      <c r="W66" s="58" t="s">
        <v>269</v>
      </c>
      <c r="X66" s="58"/>
      <c r="Y66" s="58"/>
      <c r="Z66" s="72" t="s">
        <v>132</v>
      </c>
      <c r="AA66" s="84">
        <v>-0.54704429113226272</v>
      </c>
    </row>
    <row r="67" spans="1:30" x14ac:dyDescent="0.25">
      <c r="A67" s="61" t="s">
        <v>204</v>
      </c>
      <c r="B67" s="61" t="s">
        <v>79</v>
      </c>
      <c r="C67" s="61" t="s">
        <v>80</v>
      </c>
      <c r="D67" s="61">
        <v>129.1</v>
      </c>
      <c r="E67" s="61">
        <v>1334000</v>
      </c>
      <c r="F67" s="61">
        <v>9.6739999999999999E-5</v>
      </c>
      <c r="G67" s="61">
        <v>0.13624806381750204</v>
      </c>
      <c r="H67" s="61">
        <v>60</v>
      </c>
      <c r="I67" s="66" t="s">
        <v>299</v>
      </c>
      <c r="J67" s="62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 t="s">
        <v>269</v>
      </c>
      <c r="V67" s="61" t="s">
        <v>269</v>
      </c>
      <c r="W67" s="61" t="s">
        <v>269</v>
      </c>
      <c r="X67" s="61"/>
      <c r="Y67" s="61"/>
      <c r="Z67" s="74" t="s">
        <v>133</v>
      </c>
      <c r="AA67" s="75">
        <v>4.6051701859880918</v>
      </c>
    </row>
    <row r="68" spans="1:30" ht="17.25" x14ac:dyDescent="0.25">
      <c r="A68" s="58" t="s">
        <v>205</v>
      </c>
      <c r="B68" s="58" t="s">
        <v>79</v>
      </c>
      <c r="C68" s="58" t="s">
        <v>80</v>
      </c>
      <c r="D68" s="58">
        <v>468.3</v>
      </c>
      <c r="E68" s="58">
        <v>1382000</v>
      </c>
      <c r="F68" s="58">
        <v>3.389E-4</v>
      </c>
      <c r="G68" s="58">
        <v>1.2967686491146664</v>
      </c>
      <c r="H68" s="58">
        <v>30</v>
      </c>
      <c r="I68" s="68" t="s">
        <v>300</v>
      </c>
      <c r="J68" s="59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 t="s">
        <v>269</v>
      </c>
      <c r="V68" s="58" t="s">
        <v>269</v>
      </c>
      <c r="W68" s="58" t="s">
        <v>269</v>
      </c>
      <c r="X68" s="58"/>
      <c r="Y68" s="58"/>
      <c r="Z68" s="74" t="s">
        <v>134</v>
      </c>
      <c r="AA68" s="76">
        <v>1</v>
      </c>
    </row>
    <row r="69" spans="1:30" ht="18" x14ac:dyDescent="0.35">
      <c r="A69" s="61" t="s">
        <v>206</v>
      </c>
      <c r="B69" s="61" t="s">
        <v>79</v>
      </c>
      <c r="C69" s="61" t="s">
        <v>80</v>
      </c>
      <c r="D69" s="61">
        <v>72.55</v>
      </c>
      <c r="E69" s="61">
        <v>1276000</v>
      </c>
      <c r="F69" s="61">
        <v>5.6860000000000001E-5</v>
      </c>
      <c r="G69" s="61">
        <v>-8.0877906181254539E-2</v>
      </c>
      <c r="H69" s="61">
        <v>30</v>
      </c>
      <c r="I69" s="61" t="s">
        <v>269</v>
      </c>
      <c r="J69" s="62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 t="s">
        <v>269</v>
      </c>
      <c r="V69" s="61" t="s">
        <v>269</v>
      </c>
      <c r="W69" s="61" t="s">
        <v>269</v>
      </c>
      <c r="X69" s="61"/>
      <c r="Y69" s="61"/>
      <c r="Z69" s="74" t="s">
        <v>135</v>
      </c>
      <c r="AA69" s="75">
        <v>1.2670768926685649</v>
      </c>
    </row>
    <row r="70" spans="1:30" ht="18.75" x14ac:dyDescent="0.35">
      <c r="A70" s="58" t="s">
        <v>207</v>
      </c>
      <c r="B70" s="58" t="s">
        <v>79</v>
      </c>
      <c r="C70" s="58" t="s">
        <v>80</v>
      </c>
      <c r="D70" s="58">
        <v>69.77</v>
      </c>
      <c r="E70" s="58">
        <v>1283000</v>
      </c>
      <c r="F70" s="58">
        <v>5.4360000000000001E-5</v>
      </c>
      <c r="G70" s="58">
        <v>-9.0398263982540056E-2</v>
      </c>
      <c r="H70" s="58">
        <v>30</v>
      </c>
      <c r="I70" s="58" t="s">
        <v>269</v>
      </c>
      <c r="J70" s="59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 t="s">
        <v>269</v>
      </c>
      <c r="V70" s="58" t="s">
        <v>269</v>
      </c>
      <c r="W70" s="58" t="s">
        <v>269</v>
      </c>
      <c r="X70" s="58"/>
      <c r="Y70" s="58"/>
      <c r="Z70" s="74" t="s">
        <v>136</v>
      </c>
      <c r="AA70" s="78">
        <v>1094.0885822645255</v>
      </c>
    </row>
    <row r="71" spans="1:30" ht="15.75" thickBot="1" x14ac:dyDescent="0.3">
      <c r="A71" s="61" t="s">
        <v>208</v>
      </c>
      <c r="B71" s="61" t="s">
        <v>79</v>
      </c>
      <c r="C71" s="61" t="s">
        <v>80</v>
      </c>
      <c r="D71" s="61">
        <v>58.41</v>
      </c>
      <c r="E71" s="61">
        <v>1247000</v>
      </c>
      <c r="F71" s="61">
        <v>4.685E-5</v>
      </c>
      <c r="G71" s="61">
        <v>-0.11828889397461512</v>
      </c>
      <c r="H71" s="61">
        <v>15</v>
      </c>
      <c r="I71" s="61" t="s">
        <v>269</v>
      </c>
      <c r="J71" s="62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 t="s">
        <v>269</v>
      </c>
      <c r="V71" s="61" t="s">
        <v>269</v>
      </c>
      <c r="W71" s="61" t="s">
        <v>269</v>
      </c>
      <c r="X71" s="61"/>
      <c r="Y71" s="61"/>
      <c r="Z71" s="79" t="s">
        <v>118</v>
      </c>
      <c r="AA71" s="80" t="s">
        <v>209</v>
      </c>
    </row>
    <row r="72" spans="1:30" x14ac:dyDescent="0.25">
      <c r="A72" s="58" t="s">
        <v>210</v>
      </c>
      <c r="B72" s="58" t="s">
        <v>79</v>
      </c>
      <c r="C72" s="58" t="s">
        <v>80</v>
      </c>
      <c r="D72" s="58">
        <v>64.97</v>
      </c>
      <c r="E72" s="58">
        <v>1400000</v>
      </c>
      <c r="F72" s="58">
        <v>4.6400000000000003E-5</v>
      </c>
      <c r="G72" s="58">
        <v>-0.1396131224730334</v>
      </c>
      <c r="H72" s="58">
        <v>15</v>
      </c>
      <c r="I72" s="58" t="s">
        <v>269</v>
      </c>
      <c r="J72" s="59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 t="s">
        <v>269</v>
      </c>
      <c r="V72" s="58" t="s">
        <v>269</v>
      </c>
      <c r="W72" s="58" t="s">
        <v>269</v>
      </c>
      <c r="X72" s="58"/>
      <c r="Y72" s="58"/>
    </row>
    <row r="73" spans="1:30" x14ac:dyDescent="0.25">
      <c r="A73" s="61" t="s">
        <v>211</v>
      </c>
      <c r="B73" s="61" t="s">
        <v>79</v>
      </c>
      <c r="C73" s="61" t="s">
        <v>80</v>
      </c>
      <c r="D73" s="61">
        <v>112.7</v>
      </c>
      <c r="E73" s="61">
        <v>1476000</v>
      </c>
      <c r="F73" s="61">
        <v>7.6370000000000002E-5</v>
      </c>
      <c r="G73" s="61">
        <v>2.7310222918803195E-2</v>
      </c>
      <c r="H73" s="61">
        <v>15</v>
      </c>
      <c r="I73" s="66">
        <v>-3.6004941809958493</v>
      </c>
      <c r="J73" s="62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>
        <v>12</v>
      </c>
      <c r="V73" s="61" t="s">
        <v>269</v>
      </c>
      <c r="W73" s="61" t="s">
        <v>269</v>
      </c>
      <c r="X73" s="61"/>
      <c r="Y73" s="61"/>
    </row>
    <row r="74" spans="1:30" x14ac:dyDescent="0.25">
      <c r="A74" s="58" t="s">
        <v>212</v>
      </c>
      <c r="B74" s="58" t="s">
        <v>79</v>
      </c>
      <c r="C74" s="58" t="s">
        <v>80</v>
      </c>
      <c r="D74" s="58">
        <v>24760</v>
      </c>
      <c r="E74" s="58">
        <v>1196000</v>
      </c>
      <c r="F74" s="58">
        <v>2.0709999999999999E-2</v>
      </c>
      <c r="G74" s="58">
        <v>100</v>
      </c>
      <c r="H74" s="58">
        <v>0</v>
      </c>
      <c r="I74" s="68">
        <v>4.6051701859880918</v>
      </c>
      <c r="J74" s="59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>
        <v>13</v>
      </c>
      <c r="V74" s="58" t="s">
        <v>269</v>
      </c>
      <c r="W74" s="58" t="s">
        <v>269</v>
      </c>
      <c r="X74" s="58"/>
      <c r="Y74" s="58"/>
    </row>
    <row r="75" spans="1:30" x14ac:dyDescent="0.25">
      <c r="A75" s="61" t="s">
        <v>213</v>
      </c>
      <c r="B75" s="61" t="s">
        <v>79</v>
      </c>
      <c r="C75" s="61" t="s">
        <v>80</v>
      </c>
      <c r="D75" s="61">
        <v>18820</v>
      </c>
      <c r="E75" s="61">
        <v>1052000</v>
      </c>
      <c r="F75" s="61">
        <v>1.788E-2</v>
      </c>
      <c r="G75" s="61">
        <v>100</v>
      </c>
      <c r="H75" s="61">
        <v>0</v>
      </c>
      <c r="I75" s="66">
        <v>4.6051701859880918</v>
      </c>
      <c r="J75" s="62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>
        <v>14</v>
      </c>
      <c r="V75" s="61" t="s">
        <v>269</v>
      </c>
      <c r="W75" s="61" t="s">
        <v>269</v>
      </c>
      <c r="X75" s="61"/>
      <c r="Y75" s="61"/>
    </row>
    <row r="76" spans="1:30" x14ac:dyDescent="0.25">
      <c r="A76" s="58" t="s">
        <v>214</v>
      </c>
      <c r="B76" s="58" t="s">
        <v>79</v>
      </c>
      <c r="C76" s="58" t="s">
        <v>80</v>
      </c>
      <c r="D76" s="58">
        <v>19850</v>
      </c>
      <c r="E76" s="58">
        <v>1058000</v>
      </c>
      <c r="F76" s="58">
        <v>1.8769999999999998E-2</v>
      </c>
      <c r="G76" s="58">
        <v>100</v>
      </c>
      <c r="H76" s="58">
        <v>0</v>
      </c>
      <c r="I76" s="68">
        <v>4.6051701859880918</v>
      </c>
      <c r="J76" s="59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>
        <v>15</v>
      </c>
      <c r="V76" s="58" t="s">
        <v>269</v>
      </c>
      <c r="W76" s="58" t="s">
        <v>269</v>
      </c>
      <c r="X76" s="58"/>
      <c r="Y76" s="58"/>
    </row>
    <row r="77" spans="1:30" ht="15.75" thickBot="1" x14ac:dyDescent="0.3">
      <c r="A77" s="61"/>
      <c r="B77" s="61"/>
      <c r="C77" s="61"/>
      <c r="D77" s="61"/>
      <c r="E77" s="61"/>
      <c r="F77" s="61"/>
      <c r="G77" s="61"/>
      <c r="H77" s="61"/>
      <c r="I77" s="61"/>
      <c r="J77" s="62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</row>
    <row r="78" spans="1:30" ht="16.5" thickTop="1" thickBot="1" x14ac:dyDescent="0.3">
      <c r="A78" s="58" t="s">
        <v>6</v>
      </c>
      <c r="B78" s="58" t="s">
        <v>96</v>
      </c>
      <c r="C78" s="58" t="s">
        <v>97</v>
      </c>
      <c r="D78" s="58">
        <v>1408</v>
      </c>
      <c r="E78" s="58">
        <v>1641000</v>
      </c>
      <c r="F78" s="58">
        <v>8.5760000000000003E-4</v>
      </c>
      <c r="G78" s="58"/>
      <c r="H78" s="58"/>
      <c r="I78" s="58"/>
      <c r="J78" s="59"/>
      <c r="K78" s="58"/>
      <c r="L78" s="58"/>
      <c r="M78" s="58"/>
      <c r="N78" s="58"/>
      <c r="O78" s="58"/>
      <c r="P78" s="58"/>
      <c r="Q78" s="58"/>
      <c r="R78" s="58" t="s">
        <v>142</v>
      </c>
      <c r="S78" s="58"/>
      <c r="T78" s="58">
        <v>7</v>
      </c>
      <c r="U78" s="58"/>
      <c r="V78" s="58"/>
      <c r="W78" s="58"/>
      <c r="X78" s="58"/>
      <c r="Y78" s="58"/>
      <c r="Z78" s="60" t="s">
        <v>126</v>
      </c>
      <c r="AA78" s="60" t="s">
        <v>128</v>
      </c>
      <c r="AB78" s="60" t="s">
        <v>129</v>
      </c>
      <c r="AC78" s="60" t="s">
        <v>130</v>
      </c>
      <c r="AD78" s="60" t="s">
        <v>131</v>
      </c>
    </row>
    <row r="79" spans="1:30" ht="15.75" thickTop="1" x14ac:dyDescent="0.25">
      <c r="A79" s="61" t="s">
        <v>9</v>
      </c>
      <c r="B79" s="61" t="s">
        <v>96</v>
      </c>
      <c r="C79" s="61" t="s">
        <v>97</v>
      </c>
      <c r="D79" s="61">
        <v>1787</v>
      </c>
      <c r="E79" s="61">
        <v>1692000</v>
      </c>
      <c r="F79" s="61">
        <v>1.0560000000000001E-3</v>
      </c>
      <c r="G79" s="61"/>
      <c r="H79" s="61"/>
      <c r="I79" s="61"/>
      <c r="J79" s="62"/>
      <c r="K79" s="61"/>
      <c r="L79" s="61"/>
      <c r="M79" s="61"/>
      <c r="N79" s="61"/>
      <c r="O79" s="61"/>
      <c r="P79" s="61"/>
      <c r="Q79" s="61"/>
      <c r="R79" s="61" t="s">
        <v>126</v>
      </c>
      <c r="S79" s="61"/>
      <c r="T79" s="61">
        <v>119</v>
      </c>
      <c r="U79" s="61"/>
      <c r="V79" s="61"/>
      <c r="W79" s="61"/>
      <c r="X79" s="61"/>
      <c r="Y79" s="61"/>
      <c r="Z79" s="63">
        <v>120</v>
      </c>
      <c r="AA79" s="65" t="s">
        <v>272</v>
      </c>
      <c r="AB79" s="67" t="s">
        <v>301</v>
      </c>
      <c r="AC79" s="65" t="s">
        <v>302</v>
      </c>
      <c r="AD79" s="67" t="s">
        <v>269</v>
      </c>
    </row>
    <row r="80" spans="1:30" x14ac:dyDescent="0.25">
      <c r="A80" s="58" t="s">
        <v>10</v>
      </c>
      <c r="B80" s="58" t="s">
        <v>96</v>
      </c>
      <c r="C80" s="58" t="s">
        <v>97</v>
      </c>
      <c r="D80" s="58">
        <v>2639</v>
      </c>
      <c r="E80" s="58">
        <v>1672000</v>
      </c>
      <c r="F80" s="58">
        <v>1.5790000000000001E-3</v>
      </c>
      <c r="G80" s="58"/>
      <c r="H80" s="58"/>
      <c r="I80" s="58"/>
      <c r="J80" s="59"/>
      <c r="K80" s="58"/>
      <c r="L80" s="58"/>
      <c r="M80" s="58"/>
      <c r="N80" s="58"/>
      <c r="O80" s="58"/>
      <c r="P80" s="58"/>
      <c r="Q80" s="58"/>
      <c r="R80" s="58" t="s">
        <v>127</v>
      </c>
      <c r="S80" s="58"/>
      <c r="T80" s="58">
        <v>133</v>
      </c>
      <c r="U80" s="58"/>
      <c r="V80" s="58"/>
      <c r="W80" s="58"/>
      <c r="X80" s="58"/>
      <c r="Y80" s="58"/>
      <c r="Z80" s="63">
        <v>60</v>
      </c>
      <c r="AA80" s="67" t="s">
        <v>303</v>
      </c>
      <c r="AB80" s="67" t="s">
        <v>304</v>
      </c>
      <c r="AC80" s="67" t="s">
        <v>305</v>
      </c>
      <c r="AD80" s="67" t="s">
        <v>269</v>
      </c>
    </row>
    <row r="81" spans="1:30" x14ac:dyDescent="0.25">
      <c r="A81" s="61" t="s">
        <v>215</v>
      </c>
      <c r="B81" s="61" t="s">
        <v>96</v>
      </c>
      <c r="C81" s="61" t="s">
        <v>97</v>
      </c>
      <c r="D81" s="61">
        <v>1822</v>
      </c>
      <c r="E81" s="61">
        <v>1440000</v>
      </c>
      <c r="F81" s="61">
        <v>1.2650000000000001E-3</v>
      </c>
      <c r="G81" s="61">
        <v>0.12431276499707725</v>
      </c>
      <c r="H81" s="61">
        <v>120</v>
      </c>
      <c r="I81" s="66" t="s">
        <v>306</v>
      </c>
      <c r="J81" s="62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 t="s">
        <v>269</v>
      </c>
      <c r="V81" s="61">
        <v>30</v>
      </c>
      <c r="W81" s="61">
        <v>1.8232516162321999</v>
      </c>
      <c r="X81" s="61"/>
      <c r="Y81" s="61"/>
      <c r="Z81" s="63">
        <v>30</v>
      </c>
      <c r="AA81" s="67">
        <v>6.1919596279496544E-2</v>
      </c>
      <c r="AB81" s="67">
        <v>4.9058237533537739E-2</v>
      </c>
      <c r="AC81" s="67">
        <v>4.1778379901700975E-2</v>
      </c>
      <c r="AD81" s="67">
        <v>5.0918737904911748E-2</v>
      </c>
    </row>
    <row r="82" spans="1:30" x14ac:dyDescent="0.25">
      <c r="A82" s="58" t="s">
        <v>216</v>
      </c>
      <c r="B82" s="58" t="s">
        <v>96</v>
      </c>
      <c r="C82" s="58" t="s">
        <v>97</v>
      </c>
      <c r="D82" s="58">
        <v>3997</v>
      </c>
      <c r="E82" s="58">
        <v>1143000</v>
      </c>
      <c r="F82" s="58">
        <v>3.496E-3</v>
      </c>
      <c r="G82" s="58">
        <v>2.4267893903157387</v>
      </c>
      <c r="H82" s="58">
        <v>120</v>
      </c>
      <c r="I82" s="68" t="s">
        <v>307</v>
      </c>
      <c r="J82" s="59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 t="s">
        <v>269</v>
      </c>
      <c r="V82" s="58">
        <v>30</v>
      </c>
      <c r="W82" s="58">
        <v>1.5904230204771237</v>
      </c>
      <c r="X82" s="58"/>
      <c r="Y82" s="58"/>
      <c r="Z82" s="63">
        <v>15</v>
      </c>
      <c r="AA82" s="67" t="s">
        <v>308</v>
      </c>
      <c r="AB82" s="69">
        <v>0.15096715643726752</v>
      </c>
      <c r="AC82" s="69">
        <v>0.1906230689877165</v>
      </c>
      <c r="AD82" s="69">
        <v>0.17079511271249201</v>
      </c>
    </row>
    <row r="83" spans="1:30" ht="15.75" thickBot="1" x14ac:dyDescent="0.3">
      <c r="A83" s="61" t="s">
        <v>217</v>
      </c>
      <c r="B83" s="61" t="s">
        <v>96</v>
      </c>
      <c r="C83" s="61" t="s">
        <v>97</v>
      </c>
      <c r="D83" s="61">
        <v>2170</v>
      </c>
      <c r="E83" s="61">
        <v>1341000</v>
      </c>
      <c r="F83" s="61">
        <v>1.6180000000000001E-3</v>
      </c>
      <c r="G83" s="61">
        <v>0.58663991581756003</v>
      </c>
      <c r="H83" s="61">
        <v>120</v>
      </c>
      <c r="I83" s="66" t="s">
        <v>309</v>
      </c>
      <c r="J83" s="62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 t="s">
        <v>269</v>
      </c>
      <c r="V83" s="61">
        <v>30</v>
      </c>
      <c r="W83" s="61">
        <v>1.4297938854964845</v>
      </c>
      <c r="X83" s="61"/>
      <c r="Y83" s="61"/>
      <c r="Z83" s="70">
        <v>0</v>
      </c>
      <c r="AA83" s="71">
        <v>1</v>
      </c>
      <c r="AB83" s="71">
        <v>1</v>
      </c>
      <c r="AC83" s="71">
        <v>1</v>
      </c>
      <c r="AD83" s="71">
        <v>1</v>
      </c>
    </row>
    <row r="84" spans="1:30" ht="16.5" thickTop="1" thickBot="1" x14ac:dyDescent="0.3">
      <c r="A84" s="58" t="s">
        <v>218</v>
      </c>
      <c r="B84" s="58" t="s">
        <v>96</v>
      </c>
      <c r="C84" s="58" t="s">
        <v>97</v>
      </c>
      <c r="D84" s="58">
        <v>4903</v>
      </c>
      <c r="E84" s="58">
        <v>1372000</v>
      </c>
      <c r="F84" s="58">
        <v>3.5739999999999999E-3</v>
      </c>
      <c r="G84" s="58">
        <v>2.9719137012892518</v>
      </c>
      <c r="H84" s="58">
        <v>60</v>
      </c>
      <c r="I84" s="68" t="s">
        <v>310</v>
      </c>
      <c r="J84" s="59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 t="s">
        <v>269</v>
      </c>
      <c r="V84" s="58">
        <v>15</v>
      </c>
      <c r="W84" s="58">
        <v>2.7144772131248289</v>
      </c>
      <c r="X84" s="58"/>
      <c r="Y84" s="58"/>
    </row>
    <row r="85" spans="1:30" x14ac:dyDescent="0.25">
      <c r="A85" s="61" t="s">
        <v>219</v>
      </c>
      <c r="B85" s="61" t="s">
        <v>96</v>
      </c>
      <c r="C85" s="61" t="s">
        <v>97</v>
      </c>
      <c r="D85" s="61">
        <v>4924</v>
      </c>
      <c r="E85" s="61">
        <v>1460000</v>
      </c>
      <c r="F85" s="61">
        <v>3.372E-3</v>
      </c>
      <c r="G85" s="61">
        <v>2.2977380632726168</v>
      </c>
      <c r="H85" s="61">
        <v>60</v>
      </c>
      <c r="I85" s="66" t="s">
        <v>311</v>
      </c>
      <c r="J85" s="62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 t="s">
        <v>269</v>
      </c>
      <c r="V85" s="61">
        <v>15</v>
      </c>
      <c r="W85" s="61">
        <v>2.9477129244158191</v>
      </c>
      <c r="X85" s="61"/>
      <c r="Y85" s="61"/>
      <c r="Z85" s="72" t="s">
        <v>132</v>
      </c>
      <c r="AA85" s="73">
        <v>-9.9689355952871858E-2</v>
      </c>
    </row>
    <row r="86" spans="1:30" x14ac:dyDescent="0.25">
      <c r="A86" s="58" t="s">
        <v>220</v>
      </c>
      <c r="B86" s="58" t="s">
        <v>96</v>
      </c>
      <c r="C86" s="58" t="s">
        <v>97</v>
      </c>
      <c r="D86" s="58">
        <v>4930</v>
      </c>
      <c r="E86" s="58">
        <v>1433000</v>
      </c>
      <c r="F86" s="58">
        <v>3.4399999999999999E-3</v>
      </c>
      <c r="G86" s="58">
        <v>2.9419901287298424</v>
      </c>
      <c r="H86" s="58">
        <v>60</v>
      </c>
      <c r="I86" s="68" t="s">
        <v>312</v>
      </c>
      <c r="J86" s="59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 t="s">
        <v>269</v>
      </c>
      <c r="V86" s="58">
        <v>0</v>
      </c>
      <c r="W86" s="58">
        <v>4.6051701859880918</v>
      </c>
      <c r="X86" s="58"/>
      <c r="Y86" s="58"/>
      <c r="Z86" s="74" t="s">
        <v>133</v>
      </c>
      <c r="AA86" s="75">
        <v>4.5354864915069193</v>
      </c>
    </row>
    <row r="87" spans="1:30" ht="17.25" x14ac:dyDescent="0.25">
      <c r="A87" s="61" t="s">
        <v>221</v>
      </c>
      <c r="B87" s="61" t="s">
        <v>96</v>
      </c>
      <c r="C87" s="61" t="s">
        <v>97</v>
      </c>
      <c r="D87" s="61">
        <v>9088</v>
      </c>
      <c r="E87" s="61">
        <v>1469000</v>
      </c>
      <c r="F87" s="61">
        <v>6.1850000000000004E-3</v>
      </c>
      <c r="G87" s="61">
        <v>6.1919596279496547</v>
      </c>
      <c r="H87" s="61">
        <v>30</v>
      </c>
      <c r="I87" s="66">
        <v>1.8232516162321999</v>
      </c>
      <c r="J87" s="62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>
        <v>7</v>
      </c>
      <c r="V87" s="61">
        <v>0</v>
      </c>
      <c r="W87" s="61">
        <v>4.6051701859880918</v>
      </c>
      <c r="X87" s="61"/>
      <c r="Y87" s="61"/>
      <c r="Z87" s="74" t="s">
        <v>134</v>
      </c>
      <c r="AA87" s="76">
        <v>0.98372136858842418</v>
      </c>
    </row>
    <row r="88" spans="1:30" ht="18" x14ac:dyDescent="0.35">
      <c r="A88" s="58" t="s">
        <v>222</v>
      </c>
      <c r="B88" s="58" t="s">
        <v>96</v>
      </c>
      <c r="C88" s="58" t="s">
        <v>97</v>
      </c>
      <c r="D88" s="58">
        <v>8284</v>
      </c>
      <c r="E88" s="58">
        <v>1409000</v>
      </c>
      <c r="F88" s="58">
        <v>5.8780000000000004E-3</v>
      </c>
      <c r="G88" s="58">
        <v>4.9058237533537739</v>
      </c>
      <c r="H88" s="58">
        <v>30</v>
      </c>
      <c r="I88" s="68">
        <v>1.5904230204771237</v>
      </c>
      <c r="J88" s="59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>
        <v>8</v>
      </c>
      <c r="V88" s="58">
        <v>0</v>
      </c>
      <c r="W88" s="58">
        <v>4.6051701859880918</v>
      </c>
      <c r="X88" s="58"/>
      <c r="Y88" s="58"/>
      <c r="Z88" s="74" t="s">
        <v>135</v>
      </c>
      <c r="AA88" s="77">
        <v>6.9530711070862026</v>
      </c>
    </row>
    <row r="89" spans="1:30" ht="18.75" x14ac:dyDescent="0.35">
      <c r="A89" s="61" t="s">
        <v>223</v>
      </c>
      <c r="B89" s="61" t="s">
        <v>96</v>
      </c>
      <c r="C89" s="61" t="s">
        <v>97</v>
      </c>
      <c r="D89" s="61">
        <v>5924</v>
      </c>
      <c r="E89" s="61">
        <v>1348000</v>
      </c>
      <c r="F89" s="61">
        <v>4.3959999999999997E-3</v>
      </c>
      <c r="G89" s="61">
        <v>4.1778379901700973</v>
      </c>
      <c r="H89" s="61">
        <v>30</v>
      </c>
      <c r="I89" s="66">
        <v>1.4297938854964845</v>
      </c>
      <c r="J89" s="62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>
        <v>9</v>
      </c>
      <c r="V89" s="61" t="s">
        <v>269</v>
      </c>
      <c r="W89" s="61" t="s">
        <v>269</v>
      </c>
      <c r="X89" s="61"/>
      <c r="Y89" s="61"/>
      <c r="Z89" s="74" t="s">
        <v>136</v>
      </c>
      <c r="AA89" s="77">
        <v>199.37871190574373</v>
      </c>
    </row>
    <row r="90" spans="1:30" ht="15.75" thickBot="1" x14ac:dyDescent="0.3">
      <c r="A90" s="58" t="s">
        <v>224</v>
      </c>
      <c r="B90" s="58" t="s">
        <v>96</v>
      </c>
      <c r="C90" s="58" t="s">
        <v>97</v>
      </c>
      <c r="D90" s="58">
        <v>9988</v>
      </c>
      <c r="E90" s="58">
        <v>1557000</v>
      </c>
      <c r="F90" s="58">
        <v>6.4149999999999997E-3</v>
      </c>
      <c r="G90" s="58">
        <v>6.4756097861771114</v>
      </c>
      <c r="H90" s="58">
        <v>15</v>
      </c>
      <c r="I90" s="68" t="s">
        <v>313</v>
      </c>
      <c r="J90" s="59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 t="s">
        <v>269</v>
      </c>
      <c r="V90" s="58" t="s">
        <v>269</v>
      </c>
      <c r="W90" s="58" t="s">
        <v>269</v>
      </c>
      <c r="X90" s="58"/>
      <c r="Y90" s="58"/>
      <c r="Z90" s="79" t="s">
        <v>118</v>
      </c>
      <c r="AA90" s="80" t="s">
        <v>225</v>
      </c>
    </row>
    <row r="91" spans="1:30" x14ac:dyDescent="0.25">
      <c r="A91" s="61" t="s">
        <v>226</v>
      </c>
      <c r="B91" s="61" t="s">
        <v>96</v>
      </c>
      <c r="C91" s="61" t="s">
        <v>97</v>
      </c>
      <c r="D91" s="61">
        <v>21600</v>
      </c>
      <c r="E91" s="61">
        <v>1378000</v>
      </c>
      <c r="F91" s="61">
        <v>1.567E-2</v>
      </c>
      <c r="G91" s="61">
        <v>15.096715643726752</v>
      </c>
      <c r="H91" s="61">
        <v>15</v>
      </c>
      <c r="I91" s="66">
        <v>2.7144772131248289</v>
      </c>
      <c r="J91" s="62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>
        <v>11</v>
      </c>
      <c r="V91" s="61" t="s">
        <v>269</v>
      </c>
      <c r="W91" s="61" t="s">
        <v>269</v>
      </c>
      <c r="X91" s="61"/>
      <c r="Y91" s="61"/>
    </row>
    <row r="92" spans="1:30" x14ac:dyDescent="0.25">
      <c r="A92" s="58" t="s">
        <v>227</v>
      </c>
      <c r="B92" s="58" t="s">
        <v>96</v>
      </c>
      <c r="C92" s="58" t="s">
        <v>97</v>
      </c>
      <c r="D92" s="58">
        <v>22580</v>
      </c>
      <c r="E92" s="58">
        <v>1420000</v>
      </c>
      <c r="F92" s="58">
        <v>1.5910000000000001E-2</v>
      </c>
      <c r="G92" s="58">
        <v>19.062306898771649</v>
      </c>
      <c r="H92" s="58">
        <v>15</v>
      </c>
      <c r="I92" s="68">
        <v>2.9477129244158191</v>
      </c>
      <c r="J92" s="59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>
        <v>12</v>
      </c>
      <c r="V92" s="58" t="s">
        <v>269</v>
      </c>
      <c r="W92" s="58" t="s">
        <v>269</v>
      </c>
      <c r="X92" s="58"/>
      <c r="Y92" s="58"/>
    </row>
    <row r="93" spans="1:30" x14ac:dyDescent="0.25">
      <c r="A93" s="61" t="s">
        <v>228</v>
      </c>
      <c r="B93" s="61" t="s">
        <v>96</v>
      </c>
      <c r="C93" s="61" t="s">
        <v>97</v>
      </c>
      <c r="D93" s="61">
        <v>90550</v>
      </c>
      <c r="E93" s="61">
        <v>1101000</v>
      </c>
      <c r="F93" s="61">
        <v>8.2250000000000004E-2</v>
      </c>
      <c r="G93" s="61">
        <v>100</v>
      </c>
      <c r="H93" s="61">
        <v>0</v>
      </c>
      <c r="I93" s="66">
        <v>4.6051701859880918</v>
      </c>
      <c r="J93" s="62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>
        <v>13</v>
      </c>
      <c r="V93" s="61" t="s">
        <v>269</v>
      </c>
      <c r="W93" s="61" t="s">
        <v>269</v>
      </c>
      <c r="X93" s="61"/>
      <c r="Y93" s="61"/>
    </row>
    <row r="94" spans="1:30" x14ac:dyDescent="0.25">
      <c r="A94" s="58" t="s">
        <v>229</v>
      </c>
      <c r="B94" s="58" t="s">
        <v>96</v>
      </c>
      <c r="C94" s="58" t="s">
        <v>97</v>
      </c>
      <c r="D94" s="58">
        <v>106100</v>
      </c>
      <c r="E94" s="58">
        <v>1091000</v>
      </c>
      <c r="F94" s="58">
        <v>9.7250000000000003E-2</v>
      </c>
      <c r="G94" s="58">
        <v>100</v>
      </c>
      <c r="H94" s="58">
        <v>0</v>
      </c>
      <c r="I94" s="68">
        <v>4.6051701859880918</v>
      </c>
      <c r="J94" s="59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>
        <v>14</v>
      </c>
      <c r="V94" s="58" t="s">
        <v>269</v>
      </c>
      <c r="W94" s="58" t="s">
        <v>269</v>
      </c>
      <c r="X94" s="58"/>
      <c r="Y94" s="58"/>
    </row>
    <row r="95" spans="1:30" x14ac:dyDescent="0.25">
      <c r="A95" s="61" t="s">
        <v>230</v>
      </c>
      <c r="B95" s="61" t="s">
        <v>96</v>
      </c>
      <c r="C95" s="61" t="s">
        <v>97</v>
      </c>
      <c r="D95" s="61">
        <v>86410</v>
      </c>
      <c r="E95" s="61">
        <v>1100000</v>
      </c>
      <c r="F95" s="61">
        <v>7.8520000000000006E-2</v>
      </c>
      <c r="G95" s="61">
        <v>100</v>
      </c>
      <c r="H95" s="61">
        <v>0</v>
      </c>
      <c r="I95" s="66">
        <v>4.6051701859880918</v>
      </c>
      <c r="J95" s="62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>
        <v>15</v>
      </c>
      <c r="V95" s="61" t="s">
        <v>269</v>
      </c>
      <c r="W95" s="61" t="s">
        <v>269</v>
      </c>
      <c r="X95" s="61"/>
      <c r="Y95" s="61"/>
    </row>
    <row r="96" spans="1:30" ht="15.75" thickBot="1" x14ac:dyDescent="0.3">
      <c r="A96" s="58"/>
      <c r="B96" s="58"/>
      <c r="C96" s="58"/>
      <c r="D96" s="58"/>
      <c r="E96" s="58"/>
      <c r="F96" s="58"/>
      <c r="G96" s="58"/>
      <c r="H96" s="58"/>
      <c r="I96" s="58"/>
      <c r="J96" s="59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</row>
    <row r="97" spans="1:30" ht="16.5" thickTop="1" thickBot="1" x14ac:dyDescent="0.3">
      <c r="A97" s="61" t="s">
        <v>6</v>
      </c>
      <c r="B97" s="61" t="s">
        <v>28</v>
      </c>
      <c r="C97" s="61" t="s">
        <v>29</v>
      </c>
      <c r="D97" s="61">
        <v>17.38</v>
      </c>
      <c r="E97" s="61">
        <v>1641000</v>
      </c>
      <c r="F97" s="61">
        <v>1.059E-5</v>
      </c>
      <c r="G97" s="61"/>
      <c r="H97" s="61"/>
      <c r="I97" s="61"/>
      <c r="J97" s="62"/>
      <c r="K97" s="61"/>
      <c r="L97" s="61"/>
      <c r="M97" s="61"/>
      <c r="N97" s="61"/>
      <c r="O97" s="61"/>
      <c r="P97" s="61"/>
      <c r="Q97" s="61"/>
      <c r="R97" s="61" t="s">
        <v>143</v>
      </c>
      <c r="S97" s="61"/>
      <c r="T97" s="61">
        <v>8</v>
      </c>
      <c r="U97" s="61"/>
      <c r="V97" s="61"/>
      <c r="W97" s="61"/>
      <c r="X97" s="61"/>
      <c r="Y97" s="61"/>
      <c r="Z97" s="60" t="s">
        <v>126</v>
      </c>
      <c r="AA97" s="60" t="s">
        <v>128</v>
      </c>
      <c r="AB97" s="60" t="s">
        <v>129</v>
      </c>
      <c r="AC97" s="60" t="s">
        <v>130</v>
      </c>
      <c r="AD97" s="60" t="s">
        <v>131</v>
      </c>
    </row>
    <row r="98" spans="1:30" ht="15.75" thickTop="1" x14ac:dyDescent="0.25">
      <c r="A98" s="58" t="s">
        <v>9</v>
      </c>
      <c r="B98" s="58" t="s">
        <v>28</v>
      </c>
      <c r="C98" s="58" t="s">
        <v>29</v>
      </c>
      <c r="D98" s="58">
        <v>26.66</v>
      </c>
      <c r="E98" s="58">
        <v>1692000</v>
      </c>
      <c r="F98" s="58">
        <v>1.5760000000000002E-5</v>
      </c>
      <c r="G98" s="58"/>
      <c r="H98" s="58"/>
      <c r="I98" s="58"/>
      <c r="J98" s="59"/>
      <c r="K98" s="58"/>
      <c r="L98" s="58"/>
      <c r="M98" s="58"/>
      <c r="N98" s="58"/>
      <c r="O98" s="58"/>
      <c r="P98" s="58"/>
      <c r="Q98" s="58"/>
      <c r="R98" s="58" t="s">
        <v>126</v>
      </c>
      <c r="S98" s="58"/>
      <c r="T98" s="58">
        <v>138</v>
      </c>
      <c r="U98" s="58"/>
      <c r="V98" s="58"/>
      <c r="W98" s="58"/>
      <c r="X98" s="58"/>
      <c r="Y98" s="58"/>
      <c r="Z98" s="63">
        <v>120</v>
      </c>
      <c r="AA98" s="67" t="s">
        <v>314</v>
      </c>
      <c r="AB98" s="67" t="s">
        <v>315</v>
      </c>
      <c r="AC98" s="67" t="s">
        <v>316</v>
      </c>
      <c r="AD98" s="67" t="s">
        <v>269</v>
      </c>
    </row>
    <row r="99" spans="1:30" x14ac:dyDescent="0.25">
      <c r="A99" s="61" t="s">
        <v>10</v>
      </c>
      <c r="B99" s="61" t="s">
        <v>28</v>
      </c>
      <c r="C99" s="61" t="s">
        <v>29</v>
      </c>
      <c r="D99" s="61">
        <v>88.84</v>
      </c>
      <c r="E99" s="61">
        <v>1672000</v>
      </c>
      <c r="F99" s="61">
        <v>5.3140000000000003E-5</v>
      </c>
      <c r="G99" s="61"/>
      <c r="H99" s="61"/>
      <c r="I99" s="61"/>
      <c r="J99" s="62"/>
      <c r="K99" s="61"/>
      <c r="L99" s="61"/>
      <c r="M99" s="61"/>
      <c r="N99" s="61"/>
      <c r="O99" s="61"/>
      <c r="P99" s="61"/>
      <c r="Q99" s="61"/>
      <c r="R99" s="61" t="s">
        <v>127</v>
      </c>
      <c r="S99" s="61"/>
      <c r="T99" s="61">
        <v>152</v>
      </c>
      <c r="U99" s="61"/>
      <c r="V99" s="61"/>
      <c r="W99" s="61"/>
      <c r="X99" s="61"/>
      <c r="Y99" s="61"/>
      <c r="Z99" s="63">
        <v>60</v>
      </c>
      <c r="AA99" s="67" t="s">
        <v>317</v>
      </c>
      <c r="AB99" s="67" t="s">
        <v>318</v>
      </c>
      <c r="AC99" s="67" t="s">
        <v>319</v>
      </c>
      <c r="AD99" s="67" t="s">
        <v>269</v>
      </c>
    </row>
    <row r="100" spans="1:30" x14ac:dyDescent="0.25">
      <c r="A100" s="58" t="s">
        <v>231</v>
      </c>
      <c r="B100" s="58" t="s">
        <v>28</v>
      </c>
      <c r="C100" s="58" t="s">
        <v>29</v>
      </c>
      <c r="D100" s="58">
        <v>6666</v>
      </c>
      <c r="E100" s="58">
        <v>1072000</v>
      </c>
      <c r="F100" s="58">
        <v>6.2199999999999998E-3</v>
      </c>
      <c r="G100" s="58">
        <v>4.0303000836123317</v>
      </c>
      <c r="H100" s="58">
        <v>120</v>
      </c>
      <c r="I100" s="68" t="s">
        <v>320</v>
      </c>
      <c r="J100" s="59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 t="s">
        <v>269</v>
      </c>
      <c r="V100" s="58">
        <v>30</v>
      </c>
      <c r="W100" s="58">
        <v>3.0089456051645893</v>
      </c>
      <c r="X100" s="58"/>
      <c r="Y100" s="58"/>
      <c r="Z100" s="63">
        <v>30</v>
      </c>
      <c r="AA100" s="69">
        <v>0.20266020268816237</v>
      </c>
      <c r="AB100" s="69">
        <v>0.12852156696745609</v>
      </c>
      <c r="AC100" s="69">
        <v>0.15017379581778054</v>
      </c>
      <c r="AD100" s="69">
        <v>0.16045185515779967</v>
      </c>
    </row>
    <row r="101" spans="1:30" x14ac:dyDescent="0.25">
      <c r="A101" s="61" t="s">
        <v>232</v>
      </c>
      <c r="B101" s="61" t="s">
        <v>28</v>
      </c>
      <c r="C101" s="61" t="s">
        <v>29</v>
      </c>
      <c r="D101" s="61">
        <v>6678</v>
      </c>
      <c r="E101" s="61">
        <v>1084000</v>
      </c>
      <c r="F101" s="61">
        <v>6.1590000000000004E-3</v>
      </c>
      <c r="G101" s="61">
        <v>3.473059783922658</v>
      </c>
      <c r="H101" s="61">
        <v>120</v>
      </c>
      <c r="I101" s="66" t="s">
        <v>321</v>
      </c>
      <c r="J101" s="62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 t="s">
        <v>269</v>
      </c>
      <c r="V101" s="61">
        <v>30</v>
      </c>
      <c r="W101" s="61">
        <v>2.5535116335809045</v>
      </c>
      <c r="X101" s="61"/>
      <c r="Y101" s="61"/>
      <c r="Z101" s="63">
        <v>15</v>
      </c>
      <c r="AA101" s="69">
        <v>0.33143972271428873</v>
      </c>
      <c r="AB101" s="69">
        <v>0.28743555729039072</v>
      </c>
      <c r="AC101" s="69">
        <v>0.29053612398162171</v>
      </c>
      <c r="AD101" s="69">
        <v>0.3031371346621004</v>
      </c>
    </row>
    <row r="102" spans="1:30" ht="15.75" thickBot="1" x14ac:dyDescent="0.3">
      <c r="A102" s="58" t="s">
        <v>233</v>
      </c>
      <c r="B102" s="58" t="s">
        <v>28</v>
      </c>
      <c r="C102" s="58" t="s">
        <v>29</v>
      </c>
      <c r="D102" s="58">
        <v>9784</v>
      </c>
      <c r="E102" s="58">
        <v>1209000</v>
      </c>
      <c r="F102" s="58">
        <v>8.0920000000000002E-3</v>
      </c>
      <c r="G102" s="58">
        <v>4.3160229724738386</v>
      </c>
      <c r="H102" s="58">
        <v>120</v>
      </c>
      <c r="I102" s="68" t="s">
        <v>322</v>
      </c>
      <c r="J102" s="59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 t="s">
        <v>269</v>
      </c>
      <c r="V102" s="58">
        <v>30</v>
      </c>
      <c r="W102" s="58">
        <v>2.7092081691835155</v>
      </c>
      <c r="X102" s="58"/>
      <c r="Y102" s="58"/>
      <c r="Z102" s="70">
        <v>0</v>
      </c>
      <c r="AA102" s="71">
        <v>1</v>
      </c>
      <c r="AB102" s="71">
        <v>1</v>
      </c>
      <c r="AC102" s="71">
        <v>1</v>
      </c>
      <c r="AD102" s="71">
        <v>1</v>
      </c>
    </row>
    <row r="103" spans="1:30" ht="16.5" thickTop="1" thickBot="1" x14ac:dyDescent="0.3">
      <c r="A103" s="61" t="s">
        <v>234</v>
      </c>
      <c r="B103" s="61" t="s">
        <v>28</v>
      </c>
      <c r="C103" s="61" t="s">
        <v>29</v>
      </c>
      <c r="D103" s="61">
        <v>17510</v>
      </c>
      <c r="E103" s="61">
        <v>1201000</v>
      </c>
      <c r="F103" s="61">
        <v>1.4579999999999999E-2</v>
      </c>
      <c r="G103" s="61">
        <v>9.4704051236245412</v>
      </c>
      <c r="H103" s="61">
        <v>60</v>
      </c>
      <c r="I103" s="66" t="s">
        <v>323</v>
      </c>
      <c r="J103" s="62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 t="s">
        <v>269</v>
      </c>
      <c r="V103" s="61">
        <v>15</v>
      </c>
      <c r="W103" s="61">
        <v>3.5008608681656774</v>
      </c>
      <c r="X103" s="61"/>
      <c r="Y103" s="61"/>
    </row>
    <row r="104" spans="1:30" x14ac:dyDescent="0.25">
      <c r="A104" s="58" t="s">
        <v>235</v>
      </c>
      <c r="B104" s="58" t="s">
        <v>28</v>
      </c>
      <c r="C104" s="58" t="s">
        <v>29</v>
      </c>
      <c r="D104" s="58">
        <v>16630</v>
      </c>
      <c r="E104" s="58">
        <v>1251000</v>
      </c>
      <c r="F104" s="58">
        <v>1.329E-2</v>
      </c>
      <c r="G104" s="58">
        <v>7.5116045629420674</v>
      </c>
      <c r="H104" s="58">
        <v>60</v>
      </c>
      <c r="I104" s="68" t="s">
        <v>324</v>
      </c>
      <c r="J104" s="59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 t="s">
        <v>269</v>
      </c>
      <c r="V104" s="58">
        <v>15</v>
      </c>
      <c r="W104" s="58">
        <v>3.3584135935631547</v>
      </c>
      <c r="X104" s="58"/>
      <c r="Y104" s="58"/>
      <c r="Z104" s="72" t="s">
        <v>132</v>
      </c>
      <c r="AA104" s="73">
        <v>-6.1598279444836292E-2</v>
      </c>
    </row>
    <row r="105" spans="1:30" x14ac:dyDescent="0.25">
      <c r="A105" s="61" t="s">
        <v>236</v>
      </c>
      <c r="B105" s="61" t="s">
        <v>28</v>
      </c>
      <c r="C105" s="61" t="s">
        <v>29</v>
      </c>
      <c r="D105" s="61">
        <v>20860</v>
      </c>
      <c r="E105" s="61">
        <v>1207000</v>
      </c>
      <c r="F105" s="61">
        <v>1.728E-2</v>
      </c>
      <c r="G105" s="61">
        <v>9.2327178682777742</v>
      </c>
      <c r="H105" s="61">
        <v>60</v>
      </c>
      <c r="I105" s="66" t="s">
        <v>325</v>
      </c>
      <c r="J105" s="62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 t="s">
        <v>269</v>
      </c>
      <c r="V105" s="61">
        <v>15</v>
      </c>
      <c r="W105" s="61">
        <v>3.3691428266224648</v>
      </c>
      <c r="X105" s="61"/>
      <c r="Y105" s="61"/>
      <c r="Z105" s="74" t="s">
        <v>133</v>
      </c>
      <c r="AA105" s="75">
        <v>4.5145956643663876</v>
      </c>
    </row>
    <row r="106" spans="1:30" ht="17.25" x14ac:dyDescent="0.25">
      <c r="A106" s="58" t="s">
        <v>237</v>
      </c>
      <c r="B106" s="58" t="s">
        <v>28</v>
      </c>
      <c r="C106" s="58" t="s">
        <v>29</v>
      </c>
      <c r="D106" s="58">
        <v>35410</v>
      </c>
      <c r="E106" s="58">
        <v>1136000</v>
      </c>
      <c r="F106" s="58">
        <v>3.117E-2</v>
      </c>
      <c r="G106" s="58">
        <v>20.266020268816238</v>
      </c>
      <c r="H106" s="58">
        <v>30</v>
      </c>
      <c r="I106" s="68">
        <v>3.0089456051645893</v>
      </c>
      <c r="J106" s="59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>
        <v>7</v>
      </c>
      <c r="V106" s="58">
        <v>0</v>
      </c>
      <c r="W106" s="58">
        <v>4.6051701859880918</v>
      </c>
      <c r="X106" s="58"/>
      <c r="Y106" s="58"/>
      <c r="Z106" s="74" t="s">
        <v>134</v>
      </c>
      <c r="AA106" s="76">
        <v>0.95038383575398211</v>
      </c>
    </row>
    <row r="107" spans="1:30" ht="18" x14ac:dyDescent="0.35">
      <c r="A107" s="61" t="s">
        <v>238</v>
      </c>
      <c r="B107" s="61" t="s">
        <v>28</v>
      </c>
      <c r="C107" s="61" t="s">
        <v>29</v>
      </c>
      <c r="D107" s="61">
        <v>28500</v>
      </c>
      <c r="E107" s="61">
        <v>1254000</v>
      </c>
      <c r="F107" s="61">
        <v>2.2720000000000001E-2</v>
      </c>
      <c r="G107" s="61">
        <v>12.85215669674561</v>
      </c>
      <c r="H107" s="61">
        <v>30</v>
      </c>
      <c r="I107" s="66">
        <v>2.5535116335809045</v>
      </c>
      <c r="J107" s="62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>
        <v>8</v>
      </c>
      <c r="V107" s="61">
        <v>0</v>
      </c>
      <c r="W107" s="61">
        <v>4.6051701859880918</v>
      </c>
      <c r="X107" s="61"/>
      <c r="Y107" s="61"/>
      <c r="Z107" s="74" t="s">
        <v>135</v>
      </c>
      <c r="AA107" s="77">
        <v>11.252703595084764</v>
      </c>
    </row>
    <row r="108" spans="1:30" ht="18.75" x14ac:dyDescent="0.35">
      <c r="A108" s="58" t="s">
        <v>239</v>
      </c>
      <c r="B108" s="58" t="s">
        <v>28</v>
      </c>
      <c r="C108" s="58" t="s">
        <v>29</v>
      </c>
      <c r="D108" s="58">
        <v>33510</v>
      </c>
      <c r="E108" s="58">
        <v>1193000</v>
      </c>
      <c r="F108" s="58">
        <v>2.809E-2</v>
      </c>
      <c r="G108" s="58">
        <v>15.017379581778053</v>
      </c>
      <c r="H108" s="58">
        <v>30</v>
      </c>
      <c r="I108" s="68">
        <v>2.7092081691835155</v>
      </c>
      <c r="J108" s="59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>
        <v>9</v>
      </c>
      <c r="V108" s="58">
        <v>0</v>
      </c>
      <c r="W108" s="58">
        <v>4.6051701859880918</v>
      </c>
      <c r="X108" s="58"/>
      <c r="Y108" s="58"/>
      <c r="Z108" s="74" t="s">
        <v>136</v>
      </c>
      <c r="AA108" s="77">
        <v>123.19655888967259</v>
      </c>
    </row>
    <row r="109" spans="1:30" ht="15.75" thickBot="1" x14ac:dyDescent="0.3">
      <c r="A109" s="61" t="s">
        <v>240</v>
      </c>
      <c r="B109" s="61" t="s">
        <v>28</v>
      </c>
      <c r="C109" s="61" t="s">
        <v>29</v>
      </c>
      <c r="D109" s="61">
        <v>65460</v>
      </c>
      <c r="E109" s="61">
        <v>1285000</v>
      </c>
      <c r="F109" s="61">
        <v>5.0959999999999998E-2</v>
      </c>
      <c r="G109" s="61">
        <v>33.143972271428872</v>
      </c>
      <c r="H109" s="61">
        <v>15</v>
      </c>
      <c r="I109" s="66">
        <v>3.5008608681656774</v>
      </c>
      <c r="J109" s="62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>
        <v>10</v>
      </c>
      <c r="V109" s="61" t="s">
        <v>269</v>
      </c>
      <c r="W109" s="61" t="s">
        <v>269</v>
      </c>
      <c r="X109" s="61"/>
      <c r="Y109" s="61"/>
      <c r="Z109" s="79" t="s">
        <v>118</v>
      </c>
      <c r="AA109" s="80" t="s">
        <v>241</v>
      </c>
    </row>
    <row r="110" spans="1:30" x14ac:dyDescent="0.25">
      <c r="A110" s="58" t="s">
        <v>242</v>
      </c>
      <c r="B110" s="58" t="s">
        <v>28</v>
      </c>
      <c r="C110" s="58" t="s">
        <v>29</v>
      </c>
      <c r="D110" s="58">
        <v>63620</v>
      </c>
      <c r="E110" s="58">
        <v>1253000</v>
      </c>
      <c r="F110" s="58">
        <v>5.0779999999999999E-2</v>
      </c>
      <c r="G110" s="58">
        <v>28.743555729039073</v>
      </c>
      <c r="H110" s="58">
        <v>15</v>
      </c>
      <c r="I110" s="68">
        <v>3.3584135935631547</v>
      </c>
      <c r="J110" s="59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>
        <v>11</v>
      </c>
      <c r="V110" s="58" t="s">
        <v>269</v>
      </c>
      <c r="W110" s="58" t="s">
        <v>269</v>
      </c>
      <c r="X110" s="58"/>
      <c r="Y110" s="58"/>
    </row>
    <row r="111" spans="1:30" x14ac:dyDescent="0.25">
      <c r="A111" s="61" t="s">
        <v>243</v>
      </c>
      <c r="B111" s="61" t="s">
        <v>28</v>
      </c>
      <c r="C111" s="61" t="s">
        <v>29</v>
      </c>
      <c r="D111" s="61">
        <v>61730</v>
      </c>
      <c r="E111" s="61">
        <v>1136000</v>
      </c>
      <c r="F111" s="61">
        <v>5.432E-2</v>
      </c>
      <c r="G111" s="61">
        <v>29.053612398162169</v>
      </c>
      <c r="H111" s="61">
        <v>15</v>
      </c>
      <c r="I111" s="66">
        <v>3.3691428266224648</v>
      </c>
      <c r="J111" s="62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>
        <v>12</v>
      </c>
      <c r="V111" s="61" t="s">
        <v>269</v>
      </c>
      <c r="W111" s="61" t="s">
        <v>269</v>
      </c>
      <c r="X111" s="61"/>
      <c r="Y111" s="61"/>
    </row>
    <row r="112" spans="1:30" x14ac:dyDescent="0.25">
      <c r="A112" s="58" t="s">
        <v>244</v>
      </c>
      <c r="B112" s="58" t="s">
        <v>28</v>
      </c>
      <c r="C112" s="58" t="s">
        <v>29</v>
      </c>
      <c r="D112" s="58">
        <v>134300</v>
      </c>
      <c r="E112" s="58">
        <v>873600</v>
      </c>
      <c r="F112" s="58">
        <v>0.1537</v>
      </c>
      <c r="G112" s="58">
        <v>100</v>
      </c>
      <c r="H112" s="58">
        <v>0</v>
      </c>
      <c r="I112" s="68">
        <v>4.6051701859880918</v>
      </c>
      <c r="J112" s="59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>
        <v>13</v>
      </c>
      <c r="V112" s="58" t="s">
        <v>269</v>
      </c>
      <c r="W112" s="58" t="s">
        <v>269</v>
      </c>
      <c r="X112" s="58"/>
      <c r="Y112" s="58"/>
    </row>
    <row r="113" spans="1:44" x14ac:dyDescent="0.25">
      <c r="A113" s="61" t="s">
        <v>245</v>
      </c>
      <c r="B113" s="61" t="s">
        <v>28</v>
      </c>
      <c r="C113" s="61" t="s">
        <v>29</v>
      </c>
      <c r="D113" s="61">
        <v>187700</v>
      </c>
      <c r="E113" s="61">
        <v>1063000</v>
      </c>
      <c r="F113" s="61">
        <v>0.17660000000000001</v>
      </c>
      <c r="G113" s="61">
        <v>100</v>
      </c>
      <c r="H113" s="61">
        <v>0</v>
      </c>
      <c r="I113" s="66">
        <v>4.6051701859880918</v>
      </c>
      <c r="J113" s="62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>
        <v>14</v>
      </c>
      <c r="V113" s="61" t="s">
        <v>269</v>
      </c>
      <c r="W113" s="61" t="s">
        <v>269</v>
      </c>
      <c r="X113" s="61"/>
      <c r="Y113" s="61"/>
    </row>
    <row r="114" spans="1:44" x14ac:dyDescent="0.25">
      <c r="A114" s="58" t="s">
        <v>246</v>
      </c>
      <c r="B114" s="58" t="s">
        <v>28</v>
      </c>
      <c r="C114" s="58" t="s">
        <v>29</v>
      </c>
      <c r="D114" s="58">
        <v>181900</v>
      </c>
      <c r="E114" s="58">
        <v>973600</v>
      </c>
      <c r="F114" s="58">
        <v>0.18690000000000001</v>
      </c>
      <c r="G114" s="58">
        <v>100</v>
      </c>
      <c r="H114" s="58">
        <v>0</v>
      </c>
      <c r="I114" s="68">
        <v>4.6051701859880918</v>
      </c>
      <c r="J114" s="59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>
        <v>15</v>
      </c>
      <c r="V114" s="58" t="s">
        <v>269</v>
      </c>
      <c r="W114" s="58" t="s">
        <v>269</v>
      </c>
      <c r="X114" s="58"/>
      <c r="Y114" s="58"/>
    </row>
    <row r="115" spans="1:44" ht="15.75" thickBot="1" x14ac:dyDescent="0.3">
      <c r="A115" s="61"/>
      <c r="B115" s="61"/>
      <c r="C115" s="61"/>
      <c r="D115" s="61"/>
      <c r="E115" s="61"/>
      <c r="F115" s="61"/>
      <c r="G115" s="61"/>
      <c r="H115" s="61"/>
      <c r="I115" s="61"/>
      <c r="J115" s="62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</row>
    <row r="116" spans="1:44" ht="16.5" thickTop="1" thickBot="1" x14ac:dyDescent="0.3">
      <c r="A116" s="58" t="s">
        <v>6</v>
      </c>
      <c r="B116" s="58" t="s">
        <v>7</v>
      </c>
      <c r="C116" s="58" t="s">
        <v>8</v>
      </c>
      <c r="D116" s="58">
        <v>7.57</v>
      </c>
      <c r="E116" s="58">
        <v>1641000</v>
      </c>
      <c r="F116" s="58">
        <v>4.6120000000000001E-6</v>
      </c>
      <c r="G116" s="58"/>
      <c r="H116" s="58"/>
      <c r="I116" s="58"/>
      <c r="J116" s="59"/>
      <c r="K116" s="58"/>
      <c r="L116" s="58"/>
      <c r="M116" s="58"/>
      <c r="N116" s="58"/>
      <c r="O116" s="58"/>
      <c r="P116" s="58"/>
      <c r="Q116" s="58"/>
      <c r="R116" s="58" t="s">
        <v>144</v>
      </c>
      <c r="S116" s="58"/>
      <c r="T116" s="58">
        <v>9</v>
      </c>
      <c r="U116" s="58"/>
      <c r="V116" s="58"/>
      <c r="W116" s="58"/>
      <c r="X116" s="58"/>
      <c r="Y116" s="58"/>
      <c r="Z116" s="60" t="s">
        <v>126</v>
      </c>
      <c r="AA116" s="60" t="s">
        <v>128</v>
      </c>
      <c r="AB116" s="60" t="s">
        <v>129</v>
      </c>
      <c r="AC116" s="60" t="s">
        <v>130</v>
      </c>
      <c r="AD116" s="60" t="s">
        <v>131</v>
      </c>
    </row>
    <row r="117" spans="1:44" ht="15.75" thickTop="1" x14ac:dyDescent="0.25">
      <c r="A117" s="61" t="s">
        <v>9</v>
      </c>
      <c r="B117" s="61" t="s">
        <v>7</v>
      </c>
      <c r="C117" s="61" t="s">
        <v>8</v>
      </c>
      <c r="D117" s="61">
        <v>2.6080000000000001</v>
      </c>
      <c r="E117" s="61">
        <v>1692000</v>
      </c>
      <c r="F117" s="61">
        <v>1.5409999999999999E-6</v>
      </c>
      <c r="G117" s="61"/>
      <c r="H117" s="61"/>
      <c r="I117" s="61"/>
      <c r="J117" s="62"/>
      <c r="K117" s="61"/>
      <c r="L117" s="61"/>
      <c r="M117" s="61"/>
      <c r="N117" s="61"/>
      <c r="O117" s="61"/>
      <c r="P117" s="61"/>
      <c r="Q117" s="61"/>
      <c r="R117" s="61" t="s">
        <v>126</v>
      </c>
      <c r="S117" s="61"/>
      <c r="T117" s="61">
        <v>157</v>
      </c>
      <c r="U117" s="61"/>
      <c r="V117" s="61"/>
      <c r="W117" s="61"/>
      <c r="X117" s="61"/>
      <c r="Y117" s="61"/>
      <c r="Z117" s="63">
        <v>120</v>
      </c>
      <c r="AA117" s="67">
        <v>3.3988249969773031E-2</v>
      </c>
      <c r="AB117" s="67">
        <v>3.2217235678898372E-2</v>
      </c>
      <c r="AC117" s="67">
        <v>3.1005536648664112E-2</v>
      </c>
      <c r="AD117" s="67">
        <v>3.2403674099111837E-2</v>
      </c>
    </row>
    <row r="118" spans="1:44" x14ac:dyDescent="0.25">
      <c r="A118" s="58" t="s">
        <v>10</v>
      </c>
      <c r="B118" s="58" t="s">
        <v>7</v>
      </c>
      <c r="C118" s="58" t="s">
        <v>8</v>
      </c>
      <c r="D118" s="58">
        <v>84.38</v>
      </c>
      <c r="E118" s="58">
        <v>1672000</v>
      </c>
      <c r="F118" s="58">
        <v>5.0470000000000003E-5</v>
      </c>
      <c r="G118" s="58"/>
      <c r="H118" s="58"/>
      <c r="I118" s="58"/>
      <c r="J118" s="59"/>
      <c r="K118" s="58"/>
      <c r="L118" s="58"/>
      <c r="M118" s="58"/>
      <c r="N118" s="58"/>
      <c r="O118" s="58"/>
      <c r="P118" s="58"/>
      <c r="Q118" s="58"/>
      <c r="R118" s="58" t="s">
        <v>127</v>
      </c>
      <c r="S118" s="58"/>
      <c r="T118" s="58">
        <v>171</v>
      </c>
      <c r="U118" s="58"/>
      <c r="V118" s="58"/>
      <c r="W118" s="58"/>
      <c r="X118" s="58"/>
      <c r="Y118" s="58"/>
      <c r="Z118" s="63">
        <v>60</v>
      </c>
      <c r="AA118" s="69">
        <v>0.10827173308334531</v>
      </c>
      <c r="AB118" s="67">
        <v>9.4500945197727185E-2</v>
      </c>
      <c r="AC118" s="69">
        <v>0.10142380126958966</v>
      </c>
      <c r="AD118" s="69">
        <v>0.10139882651688738</v>
      </c>
    </row>
    <row r="119" spans="1:44" x14ac:dyDescent="0.25">
      <c r="A119" s="61" t="s">
        <v>247</v>
      </c>
      <c r="B119" s="61" t="s">
        <v>7</v>
      </c>
      <c r="C119" s="61" t="s">
        <v>8</v>
      </c>
      <c r="D119" s="61">
        <v>79630</v>
      </c>
      <c r="E119" s="61">
        <v>910400</v>
      </c>
      <c r="F119" s="61">
        <v>8.7470000000000006E-2</v>
      </c>
      <c r="G119" s="61">
        <v>3.3988249969773032</v>
      </c>
      <c r="H119" s="61">
        <v>120</v>
      </c>
      <c r="I119" s="66">
        <v>1.22342978276811</v>
      </c>
      <c r="J119" s="62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>
        <v>1</v>
      </c>
      <c r="V119" s="61">
        <v>120</v>
      </c>
      <c r="W119" s="61">
        <v>1.22342978276811</v>
      </c>
      <c r="X119" s="61"/>
      <c r="Y119" s="61"/>
      <c r="Z119" s="63">
        <v>30</v>
      </c>
      <c r="AA119" s="69">
        <v>0.2645884646706354</v>
      </c>
      <c r="AB119" s="69">
        <v>0.21968821974709912</v>
      </c>
      <c r="AC119" s="69">
        <v>0.24267433420509668</v>
      </c>
      <c r="AD119" s="69">
        <v>0.2423170062076104</v>
      </c>
    </row>
    <row r="120" spans="1:44" x14ac:dyDescent="0.25">
      <c r="A120" s="58" t="s">
        <v>248</v>
      </c>
      <c r="B120" s="58" t="s">
        <v>7</v>
      </c>
      <c r="C120" s="58" t="s">
        <v>8</v>
      </c>
      <c r="D120" s="58">
        <v>79230</v>
      </c>
      <c r="E120" s="58">
        <v>964600</v>
      </c>
      <c r="F120" s="58">
        <v>8.2140000000000005E-2</v>
      </c>
      <c r="G120" s="58">
        <v>3.2217235678898373</v>
      </c>
      <c r="H120" s="58">
        <v>120</v>
      </c>
      <c r="I120" s="68">
        <v>1.1699164858816871</v>
      </c>
      <c r="J120" s="59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>
        <v>2</v>
      </c>
      <c r="V120" s="58">
        <v>120</v>
      </c>
      <c r="W120" s="58">
        <v>1.1699164858816871</v>
      </c>
      <c r="X120" s="58"/>
      <c r="Y120" s="58"/>
      <c r="Z120" s="63">
        <v>15</v>
      </c>
      <c r="AA120" s="69">
        <v>0.59074709507355405</v>
      </c>
      <c r="AB120" s="69">
        <v>0.52294664414905601</v>
      </c>
      <c r="AC120" s="69">
        <v>0.58561993934987144</v>
      </c>
      <c r="AD120" s="69">
        <v>0.5664378928574938</v>
      </c>
    </row>
    <row r="121" spans="1:44" ht="15.75" thickBot="1" x14ac:dyDescent="0.3">
      <c r="A121" s="61" t="s">
        <v>249</v>
      </c>
      <c r="B121" s="61" t="s">
        <v>7</v>
      </c>
      <c r="C121" s="61" t="s">
        <v>8</v>
      </c>
      <c r="D121" s="61">
        <v>79530</v>
      </c>
      <c r="E121" s="61">
        <v>965100</v>
      </c>
      <c r="F121" s="61">
        <v>8.2400000000000001E-2</v>
      </c>
      <c r="G121" s="61">
        <v>3.1005536648664114</v>
      </c>
      <c r="H121" s="61">
        <v>120</v>
      </c>
      <c r="I121" s="66">
        <v>1.1315806971135491</v>
      </c>
      <c r="J121" s="62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>
        <v>3</v>
      </c>
      <c r="V121" s="61">
        <v>120</v>
      </c>
      <c r="W121" s="61">
        <v>1.1315806971135491</v>
      </c>
      <c r="X121" s="61"/>
      <c r="Y121" s="61"/>
      <c r="Z121" s="70">
        <v>0</v>
      </c>
      <c r="AA121" s="71">
        <v>1</v>
      </c>
      <c r="AB121" s="71">
        <v>1</v>
      </c>
      <c r="AC121" s="71">
        <v>1</v>
      </c>
      <c r="AD121" s="71">
        <v>1</v>
      </c>
    </row>
    <row r="122" spans="1:44" ht="16.5" thickTop="1" thickBot="1" x14ac:dyDescent="0.3">
      <c r="A122" s="58" t="s">
        <v>250</v>
      </c>
      <c r="B122" s="58" t="s">
        <v>7</v>
      </c>
      <c r="C122" s="58" t="s">
        <v>8</v>
      </c>
      <c r="D122" s="58">
        <v>270800</v>
      </c>
      <c r="E122" s="58">
        <v>972200</v>
      </c>
      <c r="F122" s="58">
        <v>0.27860000000000001</v>
      </c>
      <c r="G122" s="58">
        <v>10.827173308334531</v>
      </c>
      <c r="H122" s="58">
        <v>60</v>
      </c>
      <c r="I122" s="68">
        <v>2.382059021251036</v>
      </c>
      <c r="J122" s="59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>
        <v>4</v>
      </c>
      <c r="V122" s="58">
        <v>60</v>
      </c>
      <c r="W122" s="58">
        <v>2.382059021251036</v>
      </c>
      <c r="X122" s="58"/>
      <c r="Y122" s="58"/>
    </row>
    <row r="123" spans="1:44" s="57" customFormat="1" x14ac:dyDescent="0.25">
      <c r="A123" s="61" t="s">
        <v>251</v>
      </c>
      <c r="B123" s="61" t="s">
        <v>7</v>
      </c>
      <c r="C123" s="61" t="s">
        <v>8</v>
      </c>
      <c r="D123" s="61">
        <v>245600</v>
      </c>
      <c r="E123" s="61">
        <v>1019000</v>
      </c>
      <c r="F123" s="61">
        <v>0.2409</v>
      </c>
      <c r="G123" s="61">
        <v>9.4500945197727191</v>
      </c>
      <c r="H123" s="61">
        <v>60</v>
      </c>
      <c r="I123" s="66">
        <v>2.2460247435479821</v>
      </c>
      <c r="J123" s="62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>
        <v>5</v>
      </c>
      <c r="V123" s="61">
        <v>60</v>
      </c>
      <c r="W123" s="61">
        <v>2.2460247435479821</v>
      </c>
      <c r="X123" s="61"/>
      <c r="Y123" s="61"/>
      <c r="Z123" s="72" t="s">
        <v>132</v>
      </c>
      <c r="AA123" s="73">
        <v>-2.8135003786827272E-2</v>
      </c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</row>
    <row r="124" spans="1:44" s="57" customFormat="1" x14ac:dyDescent="0.25">
      <c r="A124" s="58" t="s">
        <v>252</v>
      </c>
      <c r="B124" s="58" t="s">
        <v>7</v>
      </c>
      <c r="C124" s="58" t="s">
        <v>8</v>
      </c>
      <c r="D124" s="58">
        <v>262300</v>
      </c>
      <c r="E124" s="58">
        <v>973100</v>
      </c>
      <c r="F124" s="58">
        <v>0.26950000000000002</v>
      </c>
      <c r="G124" s="58">
        <v>10.142380126958967</v>
      </c>
      <c r="H124" s="58">
        <v>60</v>
      </c>
      <c r="I124" s="68">
        <v>2.3167226971436294</v>
      </c>
      <c r="J124" s="59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>
        <v>6</v>
      </c>
      <c r="V124" s="58">
        <v>60</v>
      </c>
      <c r="W124" s="58">
        <v>2.3167226971436294</v>
      </c>
      <c r="X124" s="58"/>
      <c r="Y124" s="58"/>
      <c r="Z124" s="74" t="s">
        <v>133</v>
      </c>
      <c r="AA124" s="75">
        <v>4.3291003202457281</v>
      </c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</row>
    <row r="125" spans="1:44" s="57" customFormat="1" ht="17.25" x14ac:dyDescent="0.25">
      <c r="A125" s="61" t="s">
        <v>253</v>
      </c>
      <c r="B125" s="61" t="s">
        <v>7</v>
      </c>
      <c r="C125" s="61" t="s">
        <v>8</v>
      </c>
      <c r="D125" s="61">
        <v>739500</v>
      </c>
      <c r="E125" s="61">
        <v>1086000</v>
      </c>
      <c r="F125" s="61">
        <v>0.68079999999999996</v>
      </c>
      <c r="G125" s="61">
        <v>26.458846467063541</v>
      </c>
      <c r="H125" s="61">
        <v>30</v>
      </c>
      <c r="I125" s="66">
        <v>3.2755905623874324</v>
      </c>
      <c r="J125" s="62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>
        <v>7</v>
      </c>
      <c r="V125" s="61">
        <v>30</v>
      </c>
      <c r="W125" s="61">
        <v>3.2755905623874324</v>
      </c>
      <c r="X125" s="61"/>
      <c r="Y125" s="61"/>
      <c r="Z125" s="74" t="s">
        <v>134</v>
      </c>
      <c r="AA125" s="76">
        <v>0.95294234117704235</v>
      </c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</row>
    <row r="126" spans="1:44" s="57" customFormat="1" ht="18" x14ac:dyDescent="0.35">
      <c r="A126" s="58" t="s">
        <v>254</v>
      </c>
      <c r="B126" s="58" t="s">
        <v>7</v>
      </c>
      <c r="C126" s="58" t="s">
        <v>8</v>
      </c>
      <c r="D126" s="58">
        <v>662300</v>
      </c>
      <c r="E126" s="58">
        <v>1183000</v>
      </c>
      <c r="F126" s="58">
        <v>0.56000000000000005</v>
      </c>
      <c r="G126" s="58">
        <v>21.968821974709911</v>
      </c>
      <c r="H126" s="58">
        <v>30</v>
      </c>
      <c r="I126" s="68">
        <v>3.0896242652370325</v>
      </c>
      <c r="J126" s="59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>
        <v>8</v>
      </c>
      <c r="V126" s="58">
        <v>30</v>
      </c>
      <c r="W126" s="58">
        <v>3.0896242652370325</v>
      </c>
      <c r="X126" s="58"/>
      <c r="Y126" s="58"/>
      <c r="Z126" s="74" t="s">
        <v>135</v>
      </c>
      <c r="AA126" s="77">
        <v>24.636470135627803</v>
      </c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</row>
    <row r="127" spans="1:44" s="57" customFormat="1" ht="18.75" x14ac:dyDescent="0.35">
      <c r="A127" s="61" t="s">
        <v>255</v>
      </c>
      <c r="B127" s="61" t="s">
        <v>7</v>
      </c>
      <c r="C127" s="61" t="s">
        <v>8</v>
      </c>
      <c r="D127" s="61">
        <v>681400</v>
      </c>
      <c r="E127" s="61">
        <v>1057000</v>
      </c>
      <c r="F127" s="61">
        <v>0.64480000000000004</v>
      </c>
      <c r="G127" s="61">
        <v>24.267433420509668</v>
      </c>
      <c r="H127" s="61">
        <v>30</v>
      </c>
      <c r="I127" s="66">
        <v>3.1891352630343808</v>
      </c>
      <c r="J127" s="62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>
        <v>9</v>
      </c>
      <c r="V127" s="61">
        <v>30</v>
      </c>
      <c r="W127" s="61">
        <v>3.1891352630343808</v>
      </c>
      <c r="X127" s="61"/>
      <c r="Y127" s="61"/>
      <c r="Z127" s="74" t="s">
        <v>136</v>
      </c>
      <c r="AA127" s="77">
        <v>56.270007573654546</v>
      </c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</row>
    <row r="128" spans="1:44" s="57" customFormat="1" ht="15.75" thickBot="1" x14ac:dyDescent="0.3">
      <c r="A128" s="58" t="s">
        <v>256</v>
      </c>
      <c r="B128" s="58" t="s">
        <v>7</v>
      </c>
      <c r="C128" s="58" t="s">
        <v>8</v>
      </c>
      <c r="D128" s="58">
        <v>1732000</v>
      </c>
      <c r="E128" s="58">
        <v>1139000</v>
      </c>
      <c r="F128" s="58">
        <v>1.52</v>
      </c>
      <c r="G128" s="58">
        <v>59.074709507355408</v>
      </c>
      <c r="H128" s="58">
        <v>15</v>
      </c>
      <c r="I128" s="68">
        <v>4.0788029057076081</v>
      </c>
      <c r="J128" s="59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>
        <v>10</v>
      </c>
      <c r="V128" s="58">
        <v>15</v>
      </c>
      <c r="W128" s="58">
        <v>4.0788029057076081</v>
      </c>
      <c r="X128" s="58"/>
      <c r="Y128" s="58"/>
      <c r="Z128" s="79" t="s">
        <v>118</v>
      </c>
      <c r="AA128" s="80" t="s">
        <v>137</v>
      </c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</row>
    <row r="129" spans="1:44" s="57" customFormat="1" x14ac:dyDescent="0.25">
      <c r="A129" s="61" t="s">
        <v>257</v>
      </c>
      <c r="B129" s="61" t="s">
        <v>7</v>
      </c>
      <c r="C129" s="61" t="s">
        <v>8</v>
      </c>
      <c r="D129" s="61">
        <v>1491000</v>
      </c>
      <c r="E129" s="61">
        <v>1119000</v>
      </c>
      <c r="F129" s="61">
        <v>1.333</v>
      </c>
      <c r="G129" s="61">
        <v>52.294664414905597</v>
      </c>
      <c r="H129" s="61">
        <v>15</v>
      </c>
      <c r="I129" s="66">
        <v>3.9568943470311448</v>
      </c>
      <c r="J129" s="62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>
        <v>11</v>
      </c>
      <c r="V129" s="61">
        <v>15</v>
      </c>
      <c r="W129" s="61">
        <v>3.9568943470311448</v>
      </c>
      <c r="X129" s="61"/>
      <c r="Y129" s="61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</row>
    <row r="130" spans="1:44" s="57" customFormat="1" x14ac:dyDescent="0.25">
      <c r="A130" s="58" t="s">
        <v>258</v>
      </c>
      <c r="B130" s="58" t="s">
        <v>7</v>
      </c>
      <c r="C130" s="58" t="s">
        <v>8</v>
      </c>
      <c r="D130" s="58">
        <v>1639000</v>
      </c>
      <c r="E130" s="58">
        <v>1053000</v>
      </c>
      <c r="F130" s="58">
        <v>1.556</v>
      </c>
      <c r="G130" s="58">
        <v>58.561993934987143</v>
      </c>
      <c r="H130" s="58">
        <v>15</v>
      </c>
      <c r="I130" s="68">
        <v>4.0700859185096432</v>
      </c>
      <c r="J130" s="59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>
        <v>12</v>
      </c>
      <c r="V130" s="58">
        <v>15</v>
      </c>
      <c r="W130" s="58">
        <v>4.0700859185096432</v>
      </c>
      <c r="X130" s="58"/>
      <c r="Y130" s="58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</row>
    <row r="131" spans="1:44" s="57" customFormat="1" x14ac:dyDescent="0.25">
      <c r="A131" s="61" t="s">
        <v>259</v>
      </c>
      <c r="B131" s="61" t="s">
        <v>7</v>
      </c>
      <c r="C131" s="61" t="s">
        <v>8</v>
      </c>
      <c r="D131" s="61">
        <v>2532000</v>
      </c>
      <c r="E131" s="61">
        <v>984200</v>
      </c>
      <c r="F131" s="61">
        <v>2.573</v>
      </c>
      <c r="G131" s="61">
        <v>100</v>
      </c>
      <c r="H131" s="61">
        <v>0</v>
      </c>
      <c r="I131" s="66">
        <v>4.6051701859880918</v>
      </c>
      <c r="J131" s="62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>
        <v>13</v>
      </c>
      <c r="V131" s="61">
        <v>0</v>
      </c>
      <c r="W131" s="61">
        <v>4.6051701859880918</v>
      </c>
      <c r="X131" s="61"/>
      <c r="Y131" s="61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</row>
    <row r="132" spans="1:44" s="57" customFormat="1" x14ac:dyDescent="0.25">
      <c r="A132" s="58" t="s">
        <v>260</v>
      </c>
      <c r="B132" s="58" t="s">
        <v>7</v>
      </c>
      <c r="C132" s="58" t="s">
        <v>8</v>
      </c>
      <c r="D132" s="58">
        <v>2492000</v>
      </c>
      <c r="E132" s="58">
        <v>977500</v>
      </c>
      <c r="F132" s="58">
        <v>2.5489999999999999</v>
      </c>
      <c r="G132" s="58">
        <v>100</v>
      </c>
      <c r="H132" s="58">
        <v>0</v>
      </c>
      <c r="I132" s="68">
        <v>4.6051701859880918</v>
      </c>
      <c r="J132" s="59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>
        <v>14</v>
      </c>
      <c r="V132" s="58">
        <v>0</v>
      </c>
      <c r="W132" s="58">
        <v>4.6051701859880918</v>
      </c>
      <c r="X132" s="58"/>
      <c r="Y132" s="58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</row>
    <row r="133" spans="1:44" s="57" customFormat="1" x14ac:dyDescent="0.25">
      <c r="A133" s="61" t="s">
        <v>261</v>
      </c>
      <c r="B133" s="61" t="s">
        <v>7</v>
      </c>
      <c r="C133" s="61" t="s">
        <v>8</v>
      </c>
      <c r="D133" s="61">
        <v>2664000</v>
      </c>
      <c r="E133" s="61">
        <v>1003000</v>
      </c>
      <c r="F133" s="61">
        <v>2.657</v>
      </c>
      <c r="G133" s="61">
        <v>100</v>
      </c>
      <c r="H133" s="61">
        <v>0</v>
      </c>
      <c r="I133" s="66">
        <v>4.6051701859880918</v>
      </c>
      <c r="J133" s="62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>
        <v>15</v>
      </c>
      <c r="V133" s="61">
        <v>0</v>
      </c>
      <c r="W133" s="61">
        <v>4.6051701859880918</v>
      </c>
      <c r="X133" s="61"/>
      <c r="Y133" s="61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</row>
  </sheetData>
  <conditionalFormatting sqref="I5">
    <cfRule type="expression" dxfId="640" priority="315">
      <formula>ISTEXT($I$5)</formula>
    </cfRule>
  </conditionalFormatting>
  <conditionalFormatting sqref="I6">
    <cfRule type="expression" dxfId="639" priority="314">
      <formula>ISTEXT($I$6)</formula>
    </cfRule>
  </conditionalFormatting>
  <conditionalFormatting sqref="I7">
    <cfRule type="expression" dxfId="638" priority="313">
      <formula>ISTEXT($I$7)</formula>
    </cfRule>
  </conditionalFormatting>
  <conditionalFormatting sqref="I8">
    <cfRule type="expression" dxfId="637" priority="312">
      <formula>ISTEXT($I$8)</formula>
    </cfRule>
  </conditionalFormatting>
  <conditionalFormatting sqref="I9">
    <cfRule type="expression" dxfId="636" priority="311">
      <formula>ISTEXT($I$9)</formula>
    </cfRule>
  </conditionalFormatting>
  <conditionalFormatting sqref="I10">
    <cfRule type="expression" dxfId="635" priority="310">
      <formula>ISTEXT($I$10)</formula>
    </cfRule>
  </conditionalFormatting>
  <conditionalFormatting sqref="I11">
    <cfRule type="expression" dxfId="634" priority="309">
      <formula>ISTEXT($I$11)</formula>
    </cfRule>
  </conditionalFormatting>
  <conditionalFormatting sqref="I12">
    <cfRule type="expression" dxfId="633" priority="308">
      <formula>ISTEXT($I$12)</formula>
    </cfRule>
  </conditionalFormatting>
  <conditionalFormatting sqref="I13">
    <cfRule type="expression" dxfId="632" priority="307">
      <formula>ISTEXT($I$13)</formula>
    </cfRule>
  </conditionalFormatting>
  <conditionalFormatting sqref="I14">
    <cfRule type="expression" dxfId="631" priority="306">
      <formula>ISTEXT($I$14)</formula>
    </cfRule>
  </conditionalFormatting>
  <conditionalFormatting sqref="I15">
    <cfRule type="expression" dxfId="630" priority="305">
      <formula>ISTEXT($I$15)</formula>
    </cfRule>
  </conditionalFormatting>
  <conditionalFormatting sqref="I16">
    <cfRule type="expression" dxfId="629" priority="304">
      <formula>ISTEXT($I$16)</formula>
    </cfRule>
  </conditionalFormatting>
  <conditionalFormatting sqref="I17">
    <cfRule type="expression" dxfId="628" priority="303">
      <formula>ISTEXT($I$17)</formula>
    </cfRule>
  </conditionalFormatting>
  <conditionalFormatting sqref="I18">
    <cfRule type="expression" dxfId="627" priority="302">
      <formula>ISTEXT($I$18)</formula>
    </cfRule>
  </conditionalFormatting>
  <conditionalFormatting sqref="I19">
    <cfRule type="expression" dxfId="626" priority="301">
      <formula>ISTEXT($I$19)</formula>
    </cfRule>
  </conditionalFormatting>
  <conditionalFormatting sqref="I24">
    <cfRule type="expression" dxfId="625" priority="300">
      <formula>ISTEXT($I$24)</formula>
    </cfRule>
  </conditionalFormatting>
  <conditionalFormatting sqref="I25">
    <cfRule type="expression" dxfId="624" priority="299">
      <formula>ISTEXT($I$25)</formula>
    </cfRule>
  </conditionalFormatting>
  <conditionalFormatting sqref="I26">
    <cfRule type="expression" dxfId="623" priority="298">
      <formula>ISTEXT($I$26)</formula>
    </cfRule>
  </conditionalFormatting>
  <conditionalFormatting sqref="I27">
    <cfRule type="expression" dxfId="622" priority="297">
      <formula>ISTEXT($I$27)</formula>
    </cfRule>
  </conditionalFormatting>
  <conditionalFormatting sqref="I28">
    <cfRule type="expression" dxfId="621" priority="296">
      <formula>ISTEXT($I$28)</formula>
    </cfRule>
  </conditionalFormatting>
  <conditionalFormatting sqref="I29">
    <cfRule type="expression" dxfId="620" priority="295">
      <formula>ISTEXT($I$29)</formula>
    </cfRule>
  </conditionalFormatting>
  <conditionalFormatting sqref="I30">
    <cfRule type="expression" dxfId="619" priority="294">
      <formula>ISTEXT($I$30)</formula>
    </cfRule>
  </conditionalFormatting>
  <conditionalFormatting sqref="I31">
    <cfRule type="expression" dxfId="618" priority="293">
      <formula>ISTEXT($I$31)</formula>
    </cfRule>
  </conditionalFormatting>
  <conditionalFormatting sqref="I32">
    <cfRule type="expression" dxfId="617" priority="292">
      <formula>ISTEXT($I$32)</formula>
    </cfRule>
  </conditionalFormatting>
  <conditionalFormatting sqref="I33">
    <cfRule type="expression" dxfId="616" priority="291">
      <formula>ISTEXT($I$33)</formula>
    </cfRule>
  </conditionalFormatting>
  <conditionalFormatting sqref="I34">
    <cfRule type="expression" dxfId="615" priority="290">
      <formula>ISTEXT($I$34)</formula>
    </cfRule>
  </conditionalFormatting>
  <conditionalFormatting sqref="I35">
    <cfRule type="expression" dxfId="614" priority="289">
      <formula>ISTEXT($I$35)</formula>
    </cfRule>
  </conditionalFormatting>
  <conditionalFormatting sqref="I36">
    <cfRule type="expression" dxfId="613" priority="288">
      <formula>ISTEXT($I$36)</formula>
    </cfRule>
  </conditionalFormatting>
  <conditionalFormatting sqref="I37">
    <cfRule type="expression" dxfId="612" priority="287">
      <formula>ISTEXT($I$37)</formula>
    </cfRule>
  </conditionalFormatting>
  <conditionalFormatting sqref="I38">
    <cfRule type="expression" dxfId="611" priority="286">
      <formula>ISTEXT($I$38)</formula>
    </cfRule>
  </conditionalFormatting>
  <conditionalFormatting sqref="I43">
    <cfRule type="expression" dxfId="610" priority="255">
      <formula>ISTEXT($I$43)</formula>
    </cfRule>
  </conditionalFormatting>
  <conditionalFormatting sqref="I44">
    <cfRule type="expression" dxfId="609" priority="254">
      <formula>ISTEXT($I$44)</formula>
    </cfRule>
  </conditionalFormatting>
  <conditionalFormatting sqref="I45">
    <cfRule type="expression" dxfId="608" priority="253">
      <formula>ISTEXT($I$45)</formula>
    </cfRule>
  </conditionalFormatting>
  <conditionalFormatting sqref="I46">
    <cfRule type="expression" dxfId="607" priority="252">
      <formula>ISTEXT($I$46)</formula>
    </cfRule>
  </conditionalFormatting>
  <conditionalFormatting sqref="I47">
    <cfRule type="expression" dxfId="606" priority="251">
      <formula>ISTEXT($I$47)</formula>
    </cfRule>
  </conditionalFormatting>
  <conditionalFormatting sqref="I48">
    <cfRule type="expression" dxfId="605" priority="250">
      <formula>ISTEXT($I$48)</formula>
    </cfRule>
  </conditionalFormatting>
  <conditionalFormatting sqref="I49">
    <cfRule type="expression" dxfId="604" priority="249">
      <formula>ISTEXT($I$49)</formula>
    </cfRule>
  </conditionalFormatting>
  <conditionalFormatting sqref="I50">
    <cfRule type="expression" dxfId="603" priority="248">
      <formula>ISTEXT($I$50)</formula>
    </cfRule>
  </conditionalFormatting>
  <conditionalFormatting sqref="I51">
    <cfRule type="expression" dxfId="602" priority="247">
      <formula>ISTEXT($I$51)</formula>
    </cfRule>
  </conditionalFormatting>
  <conditionalFormatting sqref="I52">
    <cfRule type="expression" dxfId="601" priority="246">
      <formula>ISTEXT($I$52)</formula>
    </cfRule>
  </conditionalFormatting>
  <conditionalFormatting sqref="I53">
    <cfRule type="expression" dxfId="600" priority="245">
      <formula>ISTEXT($I$53)</formula>
    </cfRule>
  </conditionalFormatting>
  <conditionalFormatting sqref="I54">
    <cfRule type="expression" dxfId="599" priority="244">
      <formula>ISTEXT($I$54)</formula>
    </cfRule>
  </conditionalFormatting>
  <conditionalFormatting sqref="I55">
    <cfRule type="expression" dxfId="598" priority="243">
      <formula>ISTEXT($I$55)</formula>
    </cfRule>
  </conditionalFormatting>
  <conditionalFormatting sqref="I56">
    <cfRule type="expression" dxfId="597" priority="242">
      <formula>ISTEXT($I$56)</formula>
    </cfRule>
  </conditionalFormatting>
  <conditionalFormatting sqref="I57">
    <cfRule type="expression" dxfId="596" priority="241">
      <formula>ISTEXT($I$57)</formula>
    </cfRule>
  </conditionalFormatting>
  <conditionalFormatting sqref="I62">
    <cfRule type="expression" dxfId="595" priority="240">
      <formula>ISTEXT($I$62)</formula>
    </cfRule>
  </conditionalFormatting>
  <conditionalFormatting sqref="I63">
    <cfRule type="expression" dxfId="594" priority="239">
      <formula>ISTEXT($I$63)</formula>
    </cfRule>
  </conditionalFormatting>
  <conditionalFormatting sqref="I64">
    <cfRule type="expression" dxfId="593" priority="238">
      <formula>ISTEXT($I$64)</formula>
    </cfRule>
  </conditionalFormatting>
  <conditionalFormatting sqref="I65">
    <cfRule type="expression" dxfId="592" priority="237">
      <formula>ISTEXT($I$65)</formula>
    </cfRule>
  </conditionalFormatting>
  <conditionalFormatting sqref="I66">
    <cfRule type="expression" dxfId="591" priority="236">
      <formula>ISTEXT($I$66)</formula>
    </cfRule>
  </conditionalFormatting>
  <conditionalFormatting sqref="I67">
    <cfRule type="expression" dxfId="590" priority="235">
      <formula>ISTEXT($I$67)</formula>
    </cfRule>
  </conditionalFormatting>
  <conditionalFormatting sqref="I68">
    <cfRule type="expression" dxfId="589" priority="234">
      <formula>ISTEXT($I$68)</formula>
    </cfRule>
  </conditionalFormatting>
  <conditionalFormatting sqref="I69">
    <cfRule type="expression" dxfId="588" priority="233">
      <formula>ISTEXT($I$69)</formula>
    </cfRule>
  </conditionalFormatting>
  <conditionalFormatting sqref="I70">
    <cfRule type="expression" dxfId="587" priority="232">
      <formula>ISTEXT($I$70)</formula>
    </cfRule>
  </conditionalFormatting>
  <conditionalFormatting sqref="I71">
    <cfRule type="expression" dxfId="586" priority="231">
      <formula>ISTEXT($I$71)</formula>
    </cfRule>
  </conditionalFormatting>
  <conditionalFormatting sqref="I72">
    <cfRule type="expression" dxfId="585" priority="230">
      <formula>ISTEXT($I$72)</formula>
    </cfRule>
  </conditionalFormatting>
  <conditionalFormatting sqref="I73">
    <cfRule type="expression" dxfId="584" priority="229">
      <formula>ISTEXT($I$73)</formula>
    </cfRule>
  </conditionalFormatting>
  <conditionalFormatting sqref="I74">
    <cfRule type="expression" dxfId="583" priority="228">
      <formula>ISTEXT($I$74)</formula>
    </cfRule>
  </conditionalFormatting>
  <conditionalFormatting sqref="I75">
    <cfRule type="expression" dxfId="582" priority="227">
      <formula>ISTEXT($I$75)</formula>
    </cfRule>
  </conditionalFormatting>
  <conditionalFormatting sqref="I76">
    <cfRule type="expression" dxfId="581" priority="226">
      <formula>ISTEXT($I$76)</formula>
    </cfRule>
  </conditionalFormatting>
  <conditionalFormatting sqref="I81">
    <cfRule type="expression" dxfId="580" priority="225">
      <formula>ISTEXT($I$81)</formula>
    </cfRule>
  </conditionalFormatting>
  <conditionalFormatting sqref="I82">
    <cfRule type="expression" dxfId="579" priority="224">
      <formula>ISTEXT($I$82)</formula>
    </cfRule>
  </conditionalFormatting>
  <conditionalFormatting sqref="I83">
    <cfRule type="expression" dxfId="578" priority="223">
      <formula>ISTEXT($I$83)</formula>
    </cfRule>
  </conditionalFormatting>
  <conditionalFormatting sqref="I84">
    <cfRule type="expression" dxfId="577" priority="222">
      <formula>ISTEXT($I$84)</formula>
    </cfRule>
  </conditionalFormatting>
  <conditionalFormatting sqref="I85">
    <cfRule type="expression" dxfId="576" priority="221">
      <formula>ISTEXT($I$85)</formula>
    </cfRule>
  </conditionalFormatting>
  <conditionalFormatting sqref="I86">
    <cfRule type="expression" dxfId="575" priority="220">
      <formula>ISTEXT($I$86)</formula>
    </cfRule>
  </conditionalFormatting>
  <conditionalFormatting sqref="I87">
    <cfRule type="expression" dxfId="574" priority="219">
      <formula>ISTEXT($I$87)</formula>
    </cfRule>
  </conditionalFormatting>
  <conditionalFormatting sqref="I88">
    <cfRule type="expression" dxfId="573" priority="218">
      <formula>ISTEXT($I$88)</formula>
    </cfRule>
  </conditionalFormatting>
  <conditionalFormatting sqref="I89">
    <cfRule type="expression" dxfId="572" priority="217">
      <formula>ISTEXT($I$89)</formula>
    </cfRule>
  </conditionalFormatting>
  <conditionalFormatting sqref="I90">
    <cfRule type="expression" dxfId="571" priority="216">
      <formula>ISTEXT($I$90)</formula>
    </cfRule>
  </conditionalFormatting>
  <conditionalFormatting sqref="I91">
    <cfRule type="expression" dxfId="570" priority="215">
      <formula>ISTEXT($I$91)</formula>
    </cfRule>
  </conditionalFormatting>
  <conditionalFormatting sqref="I92">
    <cfRule type="expression" dxfId="569" priority="214">
      <formula>ISTEXT($I$92)</formula>
    </cfRule>
  </conditionalFormatting>
  <conditionalFormatting sqref="I93">
    <cfRule type="expression" dxfId="568" priority="213">
      <formula>ISTEXT($I$93)</formula>
    </cfRule>
  </conditionalFormatting>
  <conditionalFormatting sqref="I94">
    <cfRule type="expression" dxfId="567" priority="212">
      <formula>ISTEXT($I$94)</formula>
    </cfRule>
  </conditionalFormatting>
  <conditionalFormatting sqref="I95">
    <cfRule type="expression" dxfId="566" priority="211">
      <formula>ISTEXT($I$95)</formula>
    </cfRule>
  </conditionalFormatting>
  <conditionalFormatting sqref="I100">
    <cfRule type="expression" dxfId="565" priority="210">
      <formula>ISTEXT($I$100)</formula>
    </cfRule>
  </conditionalFormatting>
  <conditionalFormatting sqref="I101">
    <cfRule type="expression" dxfId="564" priority="209">
      <formula>ISTEXT($I$101)</formula>
    </cfRule>
  </conditionalFormatting>
  <conditionalFormatting sqref="I102">
    <cfRule type="expression" dxfId="563" priority="208">
      <formula>ISTEXT($I$102)</formula>
    </cfRule>
  </conditionalFormatting>
  <conditionalFormatting sqref="I103">
    <cfRule type="expression" dxfId="562" priority="207">
      <formula>ISTEXT($I$103)</formula>
    </cfRule>
  </conditionalFormatting>
  <conditionalFormatting sqref="I104">
    <cfRule type="expression" dxfId="561" priority="206">
      <formula>ISTEXT($I$104)</formula>
    </cfRule>
  </conditionalFormatting>
  <conditionalFormatting sqref="I105">
    <cfRule type="expression" dxfId="560" priority="205">
      <formula>ISTEXT($I$105)</formula>
    </cfRule>
  </conditionalFormatting>
  <conditionalFormatting sqref="I106">
    <cfRule type="expression" dxfId="559" priority="204">
      <formula>ISTEXT($I$106)</formula>
    </cfRule>
  </conditionalFormatting>
  <conditionalFormatting sqref="I107">
    <cfRule type="expression" dxfId="558" priority="203">
      <formula>ISTEXT($I$107)</formula>
    </cfRule>
  </conditionalFormatting>
  <conditionalFormatting sqref="I108">
    <cfRule type="expression" dxfId="557" priority="202">
      <formula>ISTEXT($I$108)</formula>
    </cfRule>
  </conditionalFormatting>
  <conditionalFormatting sqref="I109">
    <cfRule type="expression" dxfId="556" priority="201">
      <formula>ISTEXT($I$109)</formula>
    </cfRule>
  </conditionalFormatting>
  <conditionalFormatting sqref="I110">
    <cfRule type="expression" dxfId="555" priority="200">
      <formula>ISTEXT($I$110)</formula>
    </cfRule>
  </conditionalFormatting>
  <conditionalFormatting sqref="I111">
    <cfRule type="expression" dxfId="554" priority="199">
      <formula>ISTEXT($I$111)</formula>
    </cfRule>
  </conditionalFormatting>
  <conditionalFormatting sqref="I112">
    <cfRule type="expression" dxfId="553" priority="198">
      <formula>ISTEXT($I$112)</formula>
    </cfRule>
  </conditionalFormatting>
  <conditionalFormatting sqref="I113">
    <cfRule type="expression" dxfId="552" priority="197">
      <formula>ISTEXT($I$113)</formula>
    </cfRule>
  </conditionalFormatting>
  <conditionalFormatting sqref="I114">
    <cfRule type="expression" dxfId="551" priority="196">
      <formula>ISTEXT($I$114)</formula>
    </cfRule>
  </conditionalFormatting>
  <conditionalFormatting sqref="I119">
    <cfRule type="expression" dxfId="550" priority="195">
      <formula>ISTEXT($I$119)</formula>
    </cfRule>
  </conditionalFormatting>
  <conditionalFormatting sqref="I120">
    <cfRule type="expression" dxfId="549" priority="194">
      <formula>ISTEXT($I$120)</formula>
    </cfRule>
  </conditionalFormatting>
  <conditionalFormatting sqref="I121">
    <cfRule type="expression" dxfId="548" priority="193">
      <formula>ISTEXT($I$121)</formula>
    </cfRule>
  </conditionalFormatting>
  <conditionalFormatting sqref="I122">
    <cfRule type="expression" dxfId="547" priority="192">
      <formula>ISTEXT($I$122)</formula>
    </cfRule>
  </conditionalFormatting>
  <conditionalFormatting sqref="I123">
    <cfRule type="expression" dxfId="546" priority="191">
      <formula>ISTEXT($I$123)</formula>
    </cfRule>
  </conditionalFormatting>
  <conditionalFormatting sqref="I124">
    <cfRule type="expression" dxfId="545" priority="190">
      <formula>ISTEXT($I$124)</formula>
    </cfRule>
  </conditionalFormatting>
  <conditionalFormatting sqref="I125">
    <cfRule type="expression" dxfId="544" priority="189">
      <formula>ISTEXT($I$125)</formula>
    </cfRule>
  </conditionalFormatting>
  <conditionalFormatting sqref="I126">
    <cfRule type="expression" dxfId="543" priority="188">
      <formula>ISTEXT($I$126)</formula>
    </cfRule>
  </conditionalFormatting>
  <conditionalFormatting sqref="I127">
    <cfRule type="expression" dxfId="542" priority="187">
      <formula>ISTEXT($I$127)</formula>
    </cfRule>
  </conditionalFormatting>
  <conditionalFormatting sqref="I128">
    <cfRule type="expression" dxfId="541" priority="186">
      <formula>ISTEXT($I$128)</formula>
    </cfRule>
  </conditionalFormatting>
  <conditionalFormatting sqref="I129">
    <cfRule type="expression" dxfId="540" priority="185">
      <formula>ISTEXT($I$129)</formula>
    </cfRule>
  </conditionalFormatting>
  <conditionalFormatting sqref="I130">
    <cfRule type="expression" dxfId="539" priority="184">
      <formula>ISTEXT($I$130)</formula>
    </cfRule>
  </conditionalFormatting>
  <conditionalFormatting sqref="I131">
    <cfRule type="expression" dxfId="538" priority="183">
      <formula>ISTEXT($I$131)</formula>
    </cfRule>
  </conditionalFormatting>
  <conditionalFormatting sqref="I132">
    <cfRule type="expression" dxfId="537" priority="182">
      <formula>ISTEXT($I$132)</formula>
    </cfRule>
  </conditionalFormatting>
  <conditionalFormatting sqref="I133">
    <cfRule type="expression" dxfId="536" priority="181">
      <formula>ISTEXT($I$133)</formula>
    </cfRule>
  </conditionalFormatting>
  <conditionalFormatting sqref="AA3">
    <cfRule type="expression" dxfId="535" priority="180">
      <formula>ISTEXT($AA$3)</formula>
    </cfRule>
  </conditionalFormatting>
  <conditionalFormatting sqref="AB3">
    <cfRule type="expression" dxfId="534" priority="179">
      <formula>ISTEXT($AB$3)</formula>
    </cfRule>
  </conditionalFormatting>
  <conditionalFormatting sqref="AC3">
    <cfRule type="expression" dxfId="533" priority="178">
      <formula>ISTEXT($AC$3)</formula>
    </cfRule>
  </conditionalFormatting>
  <conditionalFormatting sqref="AD3">
    <cfRule type="expression" dxfId="532" priority="177">
      <formula>ISTEXT($AD$3)</formula>
    </cfRule>
  </conditionalFormatting>
  <conditionalFormatting sqref="AA4">
    <cfRule type="expression" dxfId="531" priority="176">
      <formula>ISTEXT($AA$4)</formula>
    </cfRule>
  </conditionalFormatting>
  <conditionalFormatting sqref="AB4">
    <cfRule type="expression" dxfId="530" priority="175">
      <formula>ISTEXT($AB$4)</formula>
    </cfRule>
  </conditionalFormatting>
  <conditionalFormatting sqref="AC4">
    <cfRule type="expression" dxfId="529" priority="174">
      <formula>ISTEXT($AC$4)</formula>
    </cfRule>
  </conditionalFormatting>
  <conditionalFormatting sqref="AD4">
    <cfRule type="expression" dxfId="528" priority="173">
      <formula>ISTEXT($AD$4)</formula>
    </cfRule>
  </conditionalFormatting>
  <conditionalFormatting sqref="AA5">
    <cfRule type="expression" dxfId="527" priority="172">
      <formula>ISTEXT($AA$5)</formula>
    </cfRule>
  </conditionalFormatting>
  <conditionalFormatting sqref="AB5">
    <cfRule type="expression" dxfId="526" priority="171">
      <formula>ISTEXT($AB$5)</formula>
    </cfRule>
  </conditionalFormatting>
  <conditionalFormatting sqref="AC5">
    <cfRule type="expression" dxfId="525" priority="170">
      <formula>ISTEXT($AC$5)</formula>
    </cfRule>
  </conditionalFormatting>
  <conditionalFormatting sqref="AD5">
    <cfRule type="expression" dxfId="524" priority="169">
      <formula>ISTEXT($AD$5)</formula>
    </cfRule>
  </conditionalFormatting>
  <conditionalFormatting sqref="AA6">
    <cfRule type="expression" dxfId="523" priority="168">
      <formula>ISTEXT($AA$6)</formula>
    </cfRule>
  </conditionalFormatting>
  <conditionalFormatting sqref="AB6">
    <cfRule type="expression" dxfId="522" priority="167">
      <formula>ISTEXT($AB$6)</formula>
    </cfRule>
  </conditionalFormatting>
  <conditionalFormatting sqref="AC6">
    <cfRule type="expression" dxfId="521" priority="166">
      <formula>ISTEXT($AC$6)</formula>
    </cfRule>
  </conditionalFormatting>
  <conditionalFormatting sqref="AD6">
    <cfRule type="expression" dxfId="520" priority="165">
      <formula>ISTEXT($AD$6)</formula>
    </cfRule>
  </conditionalFormatting>
  <conditionalFormatting sqref="AA7">
    <cfRule type="expression" dxfId="519" priority="164">
      <formula>ISTEXT($AA$7)</formula>
    </cfRule>
  </conditionalFormatting>
  <conditionalFormatting sqref="AB7">
    <cfRule type="expression" dxfId="518" priority="163">
      <formula>ISTEXT($AB$7)</formula>
    </cfRule>
  </conditionalFormatting>
  <conditionalFormatting sqref="AC7">
    <cfRule type="expression" dxfId="517" priority="162">
      <formula>ISTEXT($AC$7)</formula>
    </cfRule>
  </conditionalFormatting>
  <conditionalFormatting sqref="AD7">
    <cfRule type="expression" dxfId="516" priority="161">
      <formula>ISTEXT($AD$7)</formula>
    </cfRule>
  </conditionalFormatting>
  <conditionalFormatting sqref="AA22">
    <cfRule type="expression" dxfId="515" priority="160">
      <formula>ISTEXT($AA$22)</formula>
    </cfRule>
  </conditionalFormatting>
  <conditionalFormatting sqref="AB22">
    <cfRule type="expression" dxfId="514" priority="159">
      <formula>ISTEXT($AB$22)</formula>
    </cfRule>
  </conditionalFormatting>
  <conditionalFormatting sqref="AC22">
    <cfRule type="expression" dxfId="513" priority="158">
      <formula>ISTEXT($AC$22)</formula>
    </cfRule>
  </conditionalFormatting>
  <conditionalFormatting sqref="AD22">
    <cfRule type="expression" dxfId="512" priority="157">
      <formula>ISTEXT($AD$22)</formula>
    </cfRule>
  </conditionalFormatting>
  <conditionalFormatting sqref="AA23">
    <cfRule type="expression" dxfId="511" priority="156">
      <formula>ISTEXT($AA$23)</formula>
    </cfRule>
  </conditionalFormatting>
  <conditionalFormatting sqref="AB23">
    <cfRule type="expression" dxfId="510" priority="155">
      <formula>ISTEXT($AB$23)</formula>
    </cfRule>
  </conditionalFormatting>
  <conditionalFormatting sqref="AC23">
    <cfRule type="expression" dxfId="509" priority="154">
      <formula>ISTEXT($AC$23)</formula>
    </cfRule>
  </conditionalFormatting>
  <conditionalFormatting sqref="AD23">
    <cfRule type="expression" dxfId="508" priority="153">
      <formula>ISTEXT($AD$23)</formula>
    </cfRule>
  </conditionalFormatting>
  <conditionalFormatting sqref="AA24">
    <cfRule type="expression" dxfId="507" priority="152">
      <formula>ISTEXT($AA$24)</formula>
    </cfRule>
  </conditionalFormatting>
  <conditionalFormatting sqref="AB24">
    <cfRule type="expression" dxfId="506" priority="151">
      <formula>ISTEXT($AB$24)</formula>
    </cfRule>
  </conditionalFormatting>
  <conditionalFormatting sqref="AC24">
    <cfRule type="expression" dxfId="505" priority="150">
      <formula>ISTEXT($AC$24)</formula>
    </cfRule>
  </conditionalFormatting>
  <conditionalFormatting sqref="AD24">
    <cfRule type="expression" dxfId="504" priority="149">
      <formula>ISTEXT($AD$24)</formula>
    </cfRule>
  </conditionalFormatting>
  <conditionalFormatting sqref="AA25">
    <cfRule type="expression" dxfId="503" priority="148">
      <formula>ISTEXT($AA$25)</formula>
    </cfRule>
  </conditionalFormatting>
  <conditionalFormatting sqref="AB25">
    <cfRule type="expression" dxfId="502" priority="147">
      <formula>ISTEXT($AB$25)</formula>
    </cfRule>
  </conditionalFormatting>
  <conditionalFormatting sqref="AC25">
    <cfRule type="expression" dxfId="501" priority="146">
      <formula>ISTEXT($AC$25)</formula>
    </cfRule>
  </conditionalFormatting>
  <conditionalFormatting sqref="AD25">
    <cfRule type="expression" dxfId="500" priority="145">
      <formula>ISTEXT($AD$25)</formula>
    </cfRule>
  </conditionalFormatting>
  <conditionalFormatting sqref="AA26">
    <cfRule type="expression" dxfId="499" priority="144">
      <formula>ISTEXT($AA$26)</formula>
    </cfRule>
  </conditionalFormatting>
  <conditionalFormatting sqref="AB26">
    <cfRule type="expression" dxfId="498" priority="143">
      <formula>ISTEXT($AB$26)</formula>
    </cfRule>
  </conditionalFormatting>
  <conditionalFormatting sqref="AC26">
    <cfRule type="expression" dxfId="497" priority="142">
      <formula>ISTEXT($AC$26)</formula>
    </cfRule>
  </conditionalFormatting>
  <conditionalFormatting sqref="AD26">
    <cfRule type="expression" dxfId="496" priority="141">
      <formula>ISTEXT($AD$26)</formula>
    </cfRule>
  </conditionalFormatting>
  <conditionalFormatting sqref="AA41">
    <cfRule type="expression" dxfId="495" priority="100">
      <formula>ISTEXT($AA$41)</formula>
    </cfRule>
  </conditionalFormatting>
  <conditionalFormatting sqref="AB41">
    <cfRule type="expression" dxfId="494" priority="99">
      <formula>ISTEXT($AB$41)</formula>
    </cfRule>
  </conditionalFormatting>
  <conditionalFormatting sqref="AC41">
    <cfRule type="expression" dxfId="493" priority="98">
      <formula>ISTEXT($AC$41)</formula>
    </cfRule>
  </conditionalFormatting>
  <conditionalFormatting sqref="AD41">
    <cfRule type="expression" dxfId="492" priority="97">
      <formula>ISTEXT($AD$41)</formula>
    </cfRule>
  </conditionalFormatting>
  <conditionalFormatting sqref="AA42">
    <cfRule type="expression" dxfId="491" priority="96">
      <formula>ISTEXT($AA$42)</formula>
    </cfRule>
  </conditionalFormatting>
  <conditionalFormatting sqref="AB42">
    <cfRule type="expression" dxfId="490" priority="95">
      <formula>ISTEXT($AB$42)</formula>
    </cfRule>
  </conditionalFormatting>
  <conditionalFormatting sqref="AC42">
    <cfRule type="expression" dxfId="489" priority="94">
      <formula>ISTEXT($AC$42)</formula>
    </cfRule>
  </conditionalFormatting>
  <conditionalFormatting sqref="AD42">
    <cfRule type="expression" dxfId="488" priority="93">
      <formula>ISTEXT($AD$42)</formula>
    </cfRule>
  </conditionalFormatting>
  <conditionalFormatting sqref="AA43">
    <cfRule type="expression" dxfId="487" priority="92">
      <formula>ISTEXT($AA$43)</formula>
    </cfRule>
  </conditionalFormatting>
  <conditionalFormatting sqref="AB43">
    <cfRule type="expression" dxfId="486" priority="91">
      <formula>ISTEXT($AB$43)</formula>
    </cfRule>
  </conditionalFormatting>
  <conditionalFormatting sqref="AC43">
    <cfRule type="expression" dxfId="485" priority="90">
      <formula>ISTEXT($AC$43)</formula>
    </cfRule>
  </conditionalFormatting>
  <conditionalFormatting sqref="AD43">
    <cfRule type="expression" dxfId="484" priority="89">
      <formula>ISTEXT($AD$43)</formula>
    </cfRule>
  </conditionalFormatting>
  <conditionalFormatting sqref="AA44">
    <cfRule type="expression" dxfId="483" priority="88">
      <formula>ISTEXT($AA$44)</formula>
    </cfRule>
  </conditionalFormatting>
  <conditionalFormatting sqref="AB44">
    <cfRule type="expression" dxfId="482" priority="87">
      <formula>ISTEXT($AB$44)</formula>
    </cfRule>
  </conditionalFormatting>
  <conditionalFormatting sqref="AC44">
    <cfRule type="expression" dxfId="481" priority="86">
      <formula>ISTEXT($AC$44)</formula>
    </cfRule>
  </conditionalFormatting>
  <conditionalFormatting sqref="AD44">
    <cfRule type="expression" dxfId="480" priority="85">
      <formula>ISTEXT($AD$44)</formula>
    </cfRule>
  </conditionalFormatting>
  <conditionalFormatting sqref="AA45">
    <cfRule type="expression" dxfId="479" priority="84">
      <formula>ISTEXT($AA$45)</formula>
    </cfRule>
  </conditionalFormatting>
  <conditionalFormatting sqref="AB45">
    <cfRule type="expression" dxfId="478" priority="83">
      <formula>ISTEXT($AB$45)</formula>
    </cfRule>
  </conditionalFormatting>
  <conditionalFormatting sqref="AC45">
    <cfRule type="expression" dxfId="477" priority="82">
      <formula>ISTEXT($AC$45)</formula>
    </cfRule>
  </conditionalFormatting>
  <conditionalFormatting sqref="AD45">
    <cfRule type="expression" dxfId="476" priority="81">
      <formula>ISTEXT($AD$45)</formula>
    </cfRule>
  </conditionalFormatting>
  <conditionalFormatting sqref="AA60">
    <cfRule type="expression" dxfId="475" priority="80">
      <formula>ISTEXT($AA$60)</formula>
    </cfRule>
  </conditionalFormatting>
  <conditionalFormatting sqref="AB60">
    <cfRule type="expression" dxfId="474" priority="79">
      <formula>ISTEXT($AB$60)</formula>
    </cfRule>
  </conditionalFormatting>
  <conditionalFormatting sqref="AC60">
    <cfRule type="expression" dxfId="473" priority="78">
      <formula>ISTEXT($AC$60)</formula>
    </cfRule>
  </conditionalFormatting>
  <conditionalFormatting sqref="AD60">
    <cfRule type="expression" dxfId="472" priority="77">
      <formula>ISTEXT($AD$60)</formula>
    </cfRule>
  </conditionalFormatting>
  <conditionalFormatting sqref="AA61">
    <cfRule type="expression" dxfId="471" priority="76">
      <formula>ISTEXT($AA$61)</formula>
    </cfRule>
  </conditionalFormatting>
  <conditionalFormatting sqref="AB61">
    <cfRule type="expression" dxfId="470" priority="75">
      <formula>ISTEXT($AB$61)</formula>
    </cfRule>
  </conditionalFormatting>
  <conditionalFormatting sqref="AC61">
    <cfRule type="expression" dxfId="469" priority="74">
      <formula>ISTEXT($AC$61)</formula>
    </cfRule>
  </conditionalFormatting>
  <conditionalFormatting sqref="AD61">
    <cfRule type="expression" dxfId="468" priority="73">
      <formula>ISTEXT($AD$61)</formula>
    </cfRule>
  </conditionalFormatting>
  <conditionalFormatting sqref="AA62">
    <cfRule type="expression" dxfId="467" priority="72">
      <formula>ISTEXT($AA$62)</formula>
    </cfRule>
  </conditionalFormatting>
  <conditionalFormatting sqref="AB62">
    <cfRule type="expression" dxfId="466" priority="71">
      <formula>ISTEXT($AB$62)</formula>
    </cfRule>
  </conditionalFormatting>
  <conditionalFormatting sqref="AC62">
    <cfRule type="expression" dxfId="465" priority="70">
      <formula>ISTEXT($AC$62)</formula>
    </cfRule>
  </conditionalFormatting>
  <conditionalFormatting sqref="AD62">
    <cfRule type="expression" dxfId="464" priority="69">
      <formula>ISTEXT($AD$62)</formula>
    </cfRule>
  </conditionalFormatting>
  <conditionalFormatting sqref="AA63">
    <cfRule type="expression" dxfId="463" priority="68">
      <formula>ISTEXT($AA$63)</formula>
    </cfRule>
  </conditionalFormatting>
  <conditionalFormatting sqref="AB63">
    <cfRule type="expression" dxfId="462" priority="67">
      <formula>ISTEXT($AB$63)</formula>
    </cfRule>
  </conditionalFormatting>
  <conditionalFormatting sqref="AC63">
    <cfRule type="expression" dxfId="461" priority="66">
      <formula>ISTEXT($AC$63)</formula>
    </cfRule>
  </conditionalFormatting>
  <conditionalFormatting sqref="AD63">
    <cfRule type="expression" dxfId="460" priority="65">
      <formula>ISTEXT($AD$63)</formula>
    </cfRule>
  </conditionalFormatting>
  <conditionalFormatting sqref="AA64">
    <cfRule type="expression" dxfId="459" priority="64">
      <formula>ISTEXT($AA$64)</formula>
    </cfRule>
  </conditionalFormatting>
  <conditionalFormatting sqref="AB64">
    <cfRule type="expression" dxfId="458" priority="63">
      <formula>ISTEXT($AB$64)</formula>
    </cfRule>
  </conditionalFormatting>
  <conditionalFormatting sqref="AC64">
    <cfRule type="expression" dxfId="457" priority="62">
      <formula>ISTEXT($AC$64)</formula>
    </cfRule>
  </conditionalFormatting>
  <conditionalFormatting sqref="AD64">
    <cfRule type="expression" dxfId="456" priority="61">
      <formula>ISTEXT($AD$64)</formula>
    </cfRule>
  </conditionalFormatting>
  <conditionalFormatting sqref="AA79">
    <cfRule type="expression" dxfId="455" priority="60">
      <formula>ISTEXT($AA$79)</formula>
    </cfRule>
  </conditionalFormatting>
  <conditionalFormatting sqref="AB79">
    <cfRule type="expression" dxfId="454" priority="59">
      <formula>ISTEXT($AB$79)</formula>
    </cfRule>
  </conditionalFormatting>
  <conditionalFormatting sqref="AC79">
    <cfRule type="expression" dxfId="453" priority="58">
      <formula>ISTEXT($AC$79)</formula>
    </cfRule>
  </conditionalFormatting>
  <conditionalFormatting sqref="AD79">
    <cfRule type="expression" dxfId="452" priority="57">
      <formula>ISTEXT($AD$79)</formula>
    </cfRule>
  </conditionalFormatting>
  <conditionalFormatting sqref="AA80">
    <cfRule type="expression" dxfId="451" priority="56">
      <formula>ISTEXT($AA$80)</formula>
    </cfRule>
  </conditionalFormatting>
  <conditionalFormatting sqref="AB80">
    <cfRule type="expression" dxfId="450" priority="55">
      <formula>ISTEXT($AB$80)</formula>
    </cfRule>
  </conditionalFormatting>
  <conditionalFormatting sqref="AC80">
    <cfRule type="expression" dxfId="449" priority="54">
      <formula>ISTEXT($AC$80)</formula>
    </cfRule>
  </conditionalFormatting>
  <conditionalFormatting sqref="AD80">
    <cfRule type="expression" dxfId="448" priority="53">
      <formula>ISTEXT($AD$80)</formula>
    </cfRule>
  </conditionalFormatting>
  <conditionalFormatting sqref="AA81">
    <cfRule type="expression" dxfId="447" priority="52">
      <formula>ISTEXT($AA$81)</formula>
    </cfRule>
  </conditionalFormatting>
  <conditionalFormatting sqref="AB81">
    <cfRule type="expression" dxfId="446" priority="51">
      <formula>ISTEXT($AB$81)</formula>
    </cfRule>
  </conditionalFormatting>
  <conditionalFormatting sqref="AC81">
    <cfRule type="expression" dxfId="445" priority="50">
      <formula>ISTEXT($AC$81)</formula>
    </cfRule>
  </conditionalFormatting>
  <conditionalFormatting sqref="AD81">
    <cfRule type="expression" dxfId="444" priority="49">
      <formula>ISTEXT($AD$81)</formula>
    </cfRule>
  </conditionalFormatting>
  <conditionalFormatting sqref="AA82">
    <cfRule type="expression" dxfId="443" priority="48">
      <formula>ISTEXT($AA$82)</formula>
    </cfRule>
  </conditionalFormatting>
  <conditionalFormatting sqref="AB82">
    <cfRule type="expression" dxfId="442" priority="47">
      <formula>ISTEXT($AB$82)</formula>
    </cfRule>
  </conditionalFormatting>
  <conditionalFormatting sqref="AC82">
    <cfRule type="expression" dxfId="441" priority="46">
      <formula>ISTEXT($AC$82)</formula>
    </cfRule>
  </conditionalFormatting>
  <conditionalFormatting sqref="AD82">
    <cfRule type="expression" dxfId="440" priority="45">
      <formula>ISTEXT($AD$82)</formula>
    </cfRule>
  </conditionalFormatting>
  <conditionalFormatting sqref="AA83">
    <cfRule type="expression" dxfId="439" priority="44">
      <formula>ISTEXT($AA$83)</formula>
    </cfRule>
  </conditionalFormatting>
  <conditionalFormatting sqref="AB83">
    <cfRule type="expression" dxfId="438" priority="43">
      <formula>ISTEXT($AB$83)</formula>
    </cfRule>
  </conditionalFormatting>
  <conditionalFormatting sqref="AC83">
    <cfRule type="expression" dxfId="437" priority="42">
      <formula>ISTEXT($AC$83)</formula>
    </cfRule>
  </conditionalFormatting>
  <conditionalFormatting sqref="AD83">
    <cfRule type="expression" dxfId="436" priority="41">
      <formula>ISTEXT($AD$83)</formula>
    </cfRule>
  </conditionalFormatting>
  <conditionalFormatting sqref="AA98">
    <cfRule type="expression" dxfId="435" priority="40">
      <formula>ISTEXT($AA$98)</formula>
    </cfRule>
  </conditionalFormatting>
  <conditionalFormatting sqref="AB98">
    <cfRule type="expression" dxfId="434" priority="39">
      <formula>ISTEXT($AB$98)</formula>
    </cfRule>
  </conditionalFormatting>
  <conditionalFormatting sqref="AC98">
    <cfRule type="expression" dxfId="433" priority="38">
      <formula>ISTEXT($AC$98)</formula>
    </cfRule>
  </conditionalFormatting>
  <conditionalFormatting sqref="AD98">
    <cfRule type="expression" dxfId="432" priority="37">
      <formula>ISTEXT($AD$98)</formula>
    </cfRule>
  </conditionalFormatting>
  <conditionalFormatting sqref="AA99">
    <cfRule type="expression" dxfId="431" priority="36">
      <formula>ISTEXT($AA$99)</formula>
    </cfRule>
  </conditionalFormatting>
  <conditionalFormatting sqref="AB99">
    <cfRule type="expression" dxfId="430" priority="35">
      <formula>ISTEXT($AB$99)</formula>
    </cfRule>
  </conditionalFormatting>
  <conditionalFormatting sqref="AC99">
    <cfRule type="expression" dxfId="429" priority="34">
      <formula>ISTEXT($AC$99)</formula>
    </cfRule>
  </conditionalFormatting>
  <conditionalFormatting sqref="AD99">
    <cfRule type="expression" dxfId="428" priority="33">
      <formula>ISTEXT($AD$99)</formula>
    </cfRule>
  </conditionalFormatting>
  <conditionalFormatting sqref="AA100">
    <cfRule type="expression" dxfId="427" priority="32">
      <formula>ISTEXT($AA$100)</formula>
    </cfRule>
  </conditionalFormatting>
  <conditionalFormatting sqref="AB100">
    <cfRule type="expression" dxfId="426" priority="31">
      <formula>ISTEXT($AB$100)</formula>
    </cfRule>
  </conditionalFormatting>
  <conditionalFormatting sqref="AC100">
    <cfRule type="expression" dxfId="425" priority="30">
      <formula>ISTEXT($AC$100)</formula>
    </cfRule>
  </conditionalFormatting>
  <conditionalFormatting sqref="AD100">
    <cfRule type="expression" dxfId="424" priority="29">
      <formula>ISTEXT($AD$100)</formula>
    </cfRule>
  </conditionalFormatting>
  <conditionalFormatting sqref="AA101">
    <cfRule type="expression" dxfId="423" priority="28">
      <formula>ISTEXT($AA$101)</formula>
    </cfRule>
  </conditionalFormatting>
  <conditionalFormatting sqref="AB101">
    <cfRule type="expression" dxfId="422" priority="27">
      <formula>ISTEXT($AB$101)</formula>
    </cfRule>
  </conditionalFormatting>
  <conditionalFormatting sqref="AC101">
    <cfRule type="expression" dxfId="421" priority="26">
      <formula>ISTEXT($AC$101)</formula>
    </cfRule>
  </conditionalFormatting>
  <conditionalFormatting sqref="AD101">
    <cfRule type="expression" dxfId="420" priority="25">
      <formula>ISTEXT($AD$101)</formula>
    </cfRule>
  </conditionalFormatting>
  <conditionalFormatting sqref="AA102">
    <cfRule type="expression" dxfId="419" priority="24">
      <formula>ISTEXT($AA$102)</formula>
    </cfRule>
  </conditionalFormatting>
  <conditionalFormatting sqref="AB102">
    <cfRule type="expression" dxfId="418" priority="23">
      <formula>ISTEXT($AB$102)</formula>
    </cfRule>
  </conditionalFormatting>
  <conditionalFormatting sqref="AC102">
    <cfRule type="expression" dxfId="417" priority="22">
      <formula>ISTEXT($AC$102)</formula>
    </cfRule>
  </conditionalFormatting>
  <conditionalFormatting sqref="AD102">
    <cfRule type="expression" dxfId="416" priority="21">
      <formula>ISTEXT($AD$102)</formula>
    </cfRule>
  </conditionalFormatting>
  <conditionalFormatting sqref="AA117">
    <cfRule type="expression" dxfId="415" priority="20">
      <formula>ISTEXT($AA$117)</formula>
    </cfRule>
  </conditionalFormatting>
  <conditionalFormatting sqref="AB117">
    <cfRule type="expression" dxfId="414" priority="19">
      <formula>ISTEXT($AB$117)</formula>
    </cfRule>
  </conditionalFormatting>
  <conditionalFormatting sqref="AC117">
    <cfRule type="expression" dxfId="413" priority="18">
      <formula>ISTEXT($AC$117)</formula>
    </cfRule>
  </conditionalFormatting>
  <conditionalFormatting sqref="AD117">
    <cfRule type="expression" dxfId="412" priority="17">
      <formula>ISTEXT($AD$117)</formula>
    </cfRule>
  </conditionalFormatting>
  <conditionalFormatting sqref="AA118">
    <cfRule type="expression" dxfId="411" priority="16">
      <formula>ISTEXT($AA$118)</formula>
    </cfRule>
  </conditionalFormatting>
  <conditionalFormatting sqref="AB118">
    <cfRule type="expression" dxfId="410" priority="15">
      <formula>ISTEXT($AB$118)</formula>
    </cfRule>
  </conditionalFormatting>
  <conditionalFormatting sqref="AC118">
    <cfRule type="expression" dxfId="409" priority="14">
      <formula>ISTEXT($AC$118)</formula>
    </cfRule>
  </conditionalFormatting>
  <conditionalFormatting sqref="AD118">
    <cfRule type="expression" dxfId="408" priority="13">
      <formula>ISTEXT($AD$118)</formula>
    </cfRule>
  </conditionalFormatting>
  <conditionalFormatting sqref="AA119">
    <cfRule type="expression" dxfId="407" priority="12">
      <formula>ISTEXT($AA$119)</formula>
    </cfRule>
  </conditionalFormatting>
  <conditionalFormatting sqref="AB119">
    <cfRule type="expression" dxfId="406" priority="11">
      <formula>ISTEXT($AB$119)</formula>
    </cfRule>
  </conditionalFormatting>
  <conditionalFormatting sqref="AC119">
    <cfRule type="expression" dxfId="405" priority="10">
      <formula>ISTEXT($AC$119)</formula>
    </cfRule>
  </conditionalFormatting>
  <conditionalFormatting sqref="AD119">
    <cfRule type="expression" dxfId="404" priority="9">
      <formula>ISTEXT($AD$119)</formula>
    </cfRule>
  </conditionalFormatting>
  <conditionalFormatting sqref="AA120">
    <cfRule type="expression" dxfId="403" priority="8">
      <formula>ISTEXT($AA$120)</formula>
    </cfRule>
  </conditionalFormatting>
  <conditionalFormatting sqref="AB120">
    <cfRule type="expression" dxfId="402" priority="7">
      <formula>ISTEXT($AB$120)</formula>
    </cfRule>
  </conditionalFormatting>
  <conditionalFormatting sqref="AC120">
    <cfRule type="expression" dxfId="401" priority="6">
      <formula>ISTEXT($AC$120)</formula>
    </cfRule>
  </conditionalFormatting>
  <conditionalFormatting sqref="AD120">
    <cfRule type="expression" dxfId="400" priority="5">
      <formula>ISTEXT($AD$120)</formula>
    </cfRule>
  </conditionalFormatting>
  <conditionalFormatting sqref="AA121">
    <cfRule type="expression" dxfId="399" priority="4">
      <formula>ISTEXT($AA$121)</formula>
    </cfRule>
  </conditionalFormatting>
  <conditionalFormatting sqref="AB121">
    <cfRule type="expression" dxfId="398" priority="3">
      <formula>ISTEXT($AB$121)</formula>
    </cfRule>
  </conditionalFormatting>
  <conditionalFormatting sqref="AC121">
    <cfRule type="expression" dxfId="397" priority="2">
      <formula>ISTEXT($AC$121)</formula>
    </cfRule>
  </conditionalFormatting>
  <conditionalFormatting sqref="AD121">
    <cfRule type="expression" dxfId="396" priority="1">
      <formula>ISTEXT($AD$121)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42"/>
  <sheetViews>
    <sheetView topLeftCell="B1" workbookViewId="0">
      <pane ySplit="1" topLeftCell="A2" activePane="bottomLeft" state="frozenSplit"/>
      <selection pane="bottomLeft" activeCell="AA119" sqref="AA119"/>
    </sheetView>
  </sheetViews>
  <sheetFormatPr defaultRowHeight="15" x14ac:dyDescent="0.25"/>
  <cols>
    <col min="1" max="1" width="51.42578125" style="99" bestFit="1" customWidth="1"/>
    <col min="2" max="2" width="15.85546875" style="99" bestFit="1" customWidth="1"/>
    <col min="3" max="3" width="11.85546875" style="99" bestFit="1" customWidth="1"/>
    <col min="4" max="4" width="8" style="99" bestFit="1" customWidth="1"/>
    <col min="5" max="5" width="10.5703125" style="99" bestFit="1" customWidth="1"/>
    <col min="6" max="6" width="8.7109375" style="99" customWidth="1"/>
    <col min="7" max="7" width="12.42578125" style="99" bestFit="1" customWidth="1"/>
    <col min="8" max="8" width="11.5703125" style="99" bestFit="1" customWidth="1"/>
    <col min="9" max="9" width="14.7109375" style="99" bestFit="1" customWidth="1"/>
    <col min="10" max="10" width="8.7109375" style="102" customWidth="1"/>
    <col min="11" max="11" width="8.7109375" style="99" hidden="1" customWidth="1"/>
    <col min="12" max="17" width="8.7109375" style="99" customWidth="1"/>
    <col min="18" max="18" width="24.42578125" style="99" bestFit="1" customWidth="1"/>
    <col min="19" max="19" width="8.7109375" style="99" customWidth="1"/>
    <col min="20" max="25" width="8.7109375" style="99" hidden="1" customWidth="1"/>
    <col min="26" max="26" width="20.5703125" style="102" bestFit="1" customWidth="1"/>
    <col min="27" max="29" width="21" style="102" bestFit="1" customWidth="1"/>
    <col min="30" max="30" width="8.28515625" style="99" bestFit="1" customWidth="1"/>
    <col min="31" max="44" width="8.7109375" style="99" customWidth="1"/>
    <col min="45" max="16384" width="9.140625" style="99"/>
  </cols>
  <sheetData>
    <row r="1" spans="1:30" ht="15.75" thickBot="1" x14ac:dyDescent="0.3">
      <c r="A1" s="96" t="s">
        <v>0</v>
      </c>
      <c r="B1" s="96" t="s">
        <v>1</v>
      </c>
      <c r="C1" s="96" t="s">
        <v>2</v>
      </c>
      <c r="D1" s="96" t="s">
        <v>3</v>
      </c>
      <c r="E1" s="96" t="s">
        <v>4</v>
      </c>
      <c r="F1" s="96" t="s">
        <v>5</v>
      </c>
      <c r="G1" s="97" t="s">
        <v>120</v>
      </c>
      <c r="H1" s="97" t="s">
        <v>121</v>
      </c>
      <c r="I1" s="97" t="s">
        <v>122</v>
      </c>
      <c r="J1" s="98"/>
      <c r="K1" s="97"/>
      <c r="R1" s="100" t="s">
        <v>124</v>
      </c>
      <c r="Z1" s="101" t="s">
        <v>123</v>
      </c>
    </row>
    <row r="2" spans="1:30" ht="16.5" thickTop="1" thickBot="1" x14ac:dyDescent="0.3">
      <c r="A2" s="103" t="s">
        <v>392</v>
      </c>
      <c r="B2" s="103" t="s">
        <v>62</v>
      </c>
      <c r="C2" s="103" t="s">
        <v>63</v>
      </c>
      <c r="D2" s="103">
        <v>8.9779999999999998</v>
      </c>
      <c r="E2" s="103">
        <v>1595000</v>
      </c>
      <c r="F2" s="103">
        <v>5.6289999999999998E-6</v>
      </c>
      <c r="G2" s="103"/>
      <c r="H2" s="103"/>
      <c r="I2" s="103"/>
      <c r="J2" s="104"/>
      <c r="K2" s="103"/>
      <c r="L2" s="103"/>
      <c r="M2" s="103"/>
      <c r="N2" s="103"/>
      <c r="O2" s="103"/>
      <c r="P2" s="103"/>
      <c r="Q2" s="103"/>
      <c r="R2" s="103" t="s">
        <v>393</v>
      </c>
      <c r="S2" s="103"/>
      <c r="T2" s="103">
        <v>1</v>
      </c>
      <c r="U2" s="103"/>
      <c r="V2" s="103"/>
      <c r="W2" s="103"/>
      <c r="X2" s="103"/>
      <c r="Y2" s="103"/>
      <c r="Z2" s="105" t="s">
        <v>126</v>
      </c>
      <c r="AA2" s="105" t="s">
        <v>128</v>
      </c>
      <c r="AB2" s="105" t="s">
        <v>129</v>
      </c>
      <c r="AC2" s="105" t="s">
        <v>130</v>
      </c>
      <c r="AD2" s="105" t="s">
        <v>131</v>
      </c>
    </row>
    <row r="3" spans="1:30" ht="15.75" thickTop="1" x14ac:dyDescent="0.25">
      <c r="A3" s="106" t="s">
        <v>394</v>
      </c>
      <c r="B3" s="106" t="s">
        <v>62</v>
      </c>
      <c r="C3" s="106" t="s">
        <v>63</v>
      </c>
      <c r="D3" s="106">
        <v>7.6639999999999997</v>
      </c>
      <c r="E3" s="106">
        <v>1849000</v>
      </c>
      <c r="F3" s="106">
        <v>4.1450000000000001E-6</v>
      </c>
      <c r="G3" s="106"/>
      <c r="H3" s="106"/>
      <c r="I3" s="106"/>
      <c r="J3" s="107"/>
      <c r="K3" s="106"/>
      <c r="L3" s="106"/>
      <c r="M3" s="106"/>
      <c r="N3" s="106"/>
      <c r="O3" s="106"/>
      <c r="P3" s="106"/>
      <c r="Q3" s="106"/>
      <c r="R3" s="106" t="s">
        <v>126</v>
      </c>
      <c r="S3" s="106"/>
      <c r="T3" s="106">
        <v>5</v>
      </c>
      <c r="U3" s="106"/>
      <c r="V3" s="106"/>
      <c r="W3" s="106"/>
      <c r="X3" s="106"/>
      <c r="Y3" s="106"/>
      <c r="Z3" s="108">
        <v>120</v>
      </c>
      <c r="AA3" s="109">
        <v>0.34102391063699017</v>
      </c>
      <c r="AB3" s="109">
        <v>0.47645872173838905</v>
      </c>
      <c r="AC3" s="109">
        <v>0.4355166891473265</v>
      </c>
      <c r="AD3" s="109">
        <v>0.41766644050756857</v>
      </c>
    </row>
    <row r="4" spans="1:30" ht="15.75" thickBot="1" x14ac:dyDescent="0.3">
      <c r="A4" s="103" t="s">
        <v>395</v>
      </c>
      <c r="B4" s="103" t="s">
        <v>62</v>
      </c>
      <c r="C4" s="103" t="s">
        <v>63</v>
      </c>
      <c r="D4" s="103">
        <v>5.4169999999999998</v>
      </c>
      <c r="E4" s="103">
        <v>1853000</v>
      </c>
      <c r="F4" s="103">
        <v>2.9239999999999999E-6</v>
      </c>
      <c r="G4" s="103"/>
      <c r="H4" s="103"/>
      <c r="I4" s="103"/>
      <c r="J4" s="104"/>
      <c r="K4" s="103"/>
      <c r="L4" s="103"/>
      <c r="M4" s="103"/>
      <c r="N4" s="103"/>
      <c r="O4" s="103"/>
      <c r="P4" s="103"/>
      <c r="Q4" s="103"/>
      <c r="R4" s="103" t="s">
        <v>127</v>
      </c>
      <c r="S4" s="103"/>
      <c r="T4" s="103">
        <v>10</v>
      </c>
      <c r="U4" s="103"/>
      <c r="V4" s="103"/>
      <c r="W4" s="103"/>
      <c r="X4" s="103"/>
      <c r="Y4" s="103"/>
      <c r="Z4" s="110">
        <v>0</v>
      </c>
      <c r="AA4" s="111">
        <v>1</v>
      </c>
      <c r="AB4" s="111">
        <v>1</v>
      </c>
      <c r="AC4" s="111">
        <v>1</v>
      </c>
      <c r="AD4" s="111">
        <v>1</v>
      </c>
    </row>
    <row r="5" spans="1:30" ht="16.5" thickTop="1" thickBot="1" x14ac:dyDescent="0.3">
      <c r="A5" s="106" t="s">
        <v>396</v>
      </c>
      <c r="B5" s="106" t="s">
        <v>62</v>
      </c>
      <c r="C5" s="106" t="s">
        <v>63</v>
      </c>
      <c r="D5" s="106">
        <v>108000</v>
      </c>
      <c r="E5" s="106">
        <v>2434000</v>
      </c>
      <c r="F5" s="106">
        <v>4.437E-2</v>
      </c>
      <c r="G5" s="106">
        <v>34.102391063699017</v>
      </c>
      <c r="H5" s="106">
        <v>120</v>
      </c>
      <c r="I5" s="112">
        <v>3.5293675010012961</v>
      </c>
      <c r="J5" s="107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>
        <v>1</v>
      </c>
      <c r="V5" s="106">
        <v>120</v>
      </c>
      <c r="W5" s="106">
        <v>3.5293675010012961</v>
      </c>
      <c r="X5" s="106"/>
      <c r="Y5" s="106"/>
    </row>
    <row r="6" spans="1:30" x14ac:dyDescent="0.25">
      <c r="A6" s="103" t="s">
        <v>397</v>
      </c>
      <c r="B6" s="103" t="s">
        <v>62</v>
      </c>
      <c r="C6" s="103" t="s">
        <v>63</v>
      </c>
      <c r="D6" s="103">
        <v>101000</v>
      </c>
      <c r="E6" s="103">
        <v>2420000</v>
      </c>
      <c r="F6" s="103">
        <v>4.1739999999999999E-2</v>
      </c>
      <c r="G6" s="103">
        <v>47.645872173838903</v>
      </c>
      <c r="H6" s="103">
        <v>120</v>
      </c>
      <c r="I6" s="113">
        <v>3.8637959983066295</v>
      </c>
      <c r="J6" s="104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>
        <v>2</v>
      </c>
      <c r="V6" s="103">
        <v>120</v>
      </c>
      <c r="W6" s="103">
        <v>3.8637959983066295</v>
      </c>
      <c r="X6" s="103"/>
      <c r="Y6" s="103"/>
      <c r="Z6" s="114" t="s">
        <v>132</v>
      </c>
      <c r="AA6" s="115">
        <v>-7.3566639841228659E-3</v>
      </c>
    </row>
    <row r="7" spans="1:30" x14ac:dyDescent="0.25">
      <c r="A7" s="106" t="s">
        <v>398</v>
      </c>
      <c r="B7" s="106" t="s">
        <v>62</v>
      </c>
      <c r="C7" s="106" t="s">
        <v>63</v>
      </c>
      <c r="D7" s="106">
        <v>99870</v>
      </c>
      <c r="E7" s="106">
        <v>2311000</v>
      </c>
      <c r="F7" s="106">
        <v>4.3209999999999998E-2</v>
      </c>
      <c r="G7" s="106">
        <v>43.551668914732652</v>
      </c>
      <c r="H7" s="106">
        <v>120</v>
      </c>
      <c r="I7" s="112">
        <v>3.773948024372118</v>
      </c>
      <c r="J7" s="107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>
        <v>3</v>
      </c>
      <c r="V7" s="106">
        <v>120</v>
      </c>
      <c r="W7" s="106">
        <v>3.773948024372118</v>
      </c>
      <c r="X7" s="106"/>
      <c r="Y7" s="106"/>
      <c r="Z7" s="116" t="s">
        <v>133</v>
      </c>
      <c r="AA7" s="117">
        <v>4.6051701859880918</v>
      </c>
    </row>
    <row r="8" spans="1:30" ht="17.25" x14ac:dyDescent="0.25">
      <c r="A8" s="103" t="s">
        <v>399</v>
      </c>
      <c r="B8" s="103" t="s">
        <v>62</v>
      </c>
      <c r="C8" s="103" t="s">
        <v>63</v>
      </c>
      <c r="D8" s="103">
        <v>147100</v>
      </c>
      <c r="E8" s="103">
        <v>1131000</v>
      </c>
      <c r="F8" s="103">
        <v>0.13009999999999999</v>
      </c>
      <c r="G8" s="103">
        <v>100</v>
      </c>
      <c r="H8" s="103">
        <v>0</v>
      </c>
      <c r="I8" s="113">
        <v>4.6051701859880918</v>
      </c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>
        <v>4</v>
      </c>
      <c r="V8" s="103">
        <v>0</v>
      </c>
      <c r="W8" s="103">
        <v>4.6051701859880918</v>
      </c>
      <c r="X8" s="103"/>
      <c r="Y8" s="103"/>
      <c r="Z8" s="116" t="s">
        <v>134</v>
      </c>
      <c r="AA8" s="118">
        <v>0.95124838115080856</v>
      </c>
    </row>
    <row r="9" spans="1:30" ht="18" x14ac:dyDescent="0.35">
      <c r="A9" s="106" t="s">
        <v>400</v>
      </c>
      <c r="B9" s="106" t="s">
        <v>62</v>
      </c>
      <c r="C9" s="106" t="s">
        <v>63</v>
      </c>
      <c r="D9" s="106">
        <v>99580</v>
      </c>
      <c r="E9" s="106">
        <v>1137000</v>
      </c>
      <c r="F9" s="106">
        <v>8.7599999999999997E-2</v>
      </c>
      <c r="G9" s="106">
        <v>100</v>
      </c>
      <c r="H9" s="106">
        <v>0</v>
      </c>
      <c r="I9" s="112">
        <v>4.6051701859880918</v>
      </c>
      <c r="J9" s="107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>
        <v>5</v>
      </c>
      <c r="V9" s="106">
        <v>0</v>
      </c>
      <c r="W9" s="106">
        <v>4.6051701859880918</v>
      </c>
      <c r="X9" s="106"/>
      <c r="Y9" s="106"/>
      <c r="Z9" s="116" t="s">
        <v>135</v>
      </c>
      <c r="AA9" s="119">
        <v>94.220312638431466</v>
      </c>
    </row>
    <row r="10" spans="1:30" ht="18.75" x14ac:dyDescent="0.35">
      <c r="A10" s="103" t="s">
        <v>401</v>
      </c>
      <c r="B10" s="103" t="s">
        <v>62</v>
      </c>
      <c r="C10" s="103" t="s">
        <v>63</v>
      </c>
      <c r="D10" s="103">
        <v>116800</v>
      </c>
      <c r="E10" s="103">
        <v>1178000</v>
      </c>
      <c r="F10" s="103">
        <v>9.9210000000000007E-2</v>
      </c>
      <c r="G10" s="103">
        <v>100</v>
      </c>
      <c r="H10" s="103">
        <v>0</v>
      </c>
      <c r="I10" s="113">
        <v>4.6051701859880918</v>
      </c>
      <c r="J10" s="104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>
        <v>6</v>
      </c>
      <c r="V10" s="103">
        <v>0</v>
      </c>
      <c r="W10" s="103">
        <v>4.6051701859880918</v>
      </c>
      <c r="X10" s="103"/>
      <c r="Y10" s="103"/>
      <c r="Z10" s="116" t="s">
        <v>136</v>
      </c>
      <c r="AA10" s="119">
        <v>14.713327968245732</v>
      </c>
    </row>
    <row r="11" spans="1:30" ht="15.75" thickBot="1" x14ac:dyDescent="0.3">
      <c r="A11" s="106"/>
      <c r="B11" s="106"/>
      <c r="C11" s="106"/>
      <c r="D11" s="106"/>
      <c r="E11" s="106"/>
      <c r="F11" s="106"/>
      <c r="G11" s="106"/>
      <c r="H11" s="106"/>
      <c r="I11" s="112"/>
      <c r="J11" s="107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20" t="s">
        <v>118</v>
      </c>
      <c r="AA11" s="121" t="s">
        <v>137</v>
      </c>
    </row>
    <row r="12" spans="1:30" x14ac:dyDescent="0.25">
      <c r="A12" s="103"/>
      <c r="B12" s="103"/>
      <c r="C12" s="103"/>
      <c r="D12" s="103"/>
      <c r="E12" s="103"/>
      <c r="F12" s="103"/>
      <c r="G12" s="103"/>
      <c r="H12" s="103"/>
      <c r="I12" s="113"/>
      <c r="J12" s="104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</row>
    <row r="13" spans="1:30" x14ac:dyDescent="0.25">
      <c r="A13" s="106"/>
      <c r="B13" s="106"/>
      <c r="C13" s="106"/>
      <c r="D13" s="106"/>
      <c r="E13" s="106"/>
      <c r="F13" s="106"/>
      <c r="G13" s="106"/>
      <c r="H13" s="106"/>
      <c r="I13" s="112"/>
      <c r="J13" s="107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</row>
    <row r="14" spans="1:30" x14ac:dyDescent="0.25">
      <c r="A14" s="103"/>
      <c r="B14" s="103"/>
      <c r="C14" s="103"/>
      <c r="D14" s="103"/>
      <c r="E14" s="103"/>
      <c r="F14" s="103"/>
      <c r="G14" s="103"/>
      <c r="H14" s="103"/>
      <c r="I14" s="113"/>
      <c r="J14" s="104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</row>
    <row r="15" spans="1:30" x14ac:dyDescent="0.25">
      <c r="A15" s="106"/>
      <c r="B15" s="106"/>
      <c r="C15" s="106"/>
      <c r="D15" s="106"/>
      <c r="E15" s="106"/>
      <c r="F15" s="106"/>
      <c r="G15" s="106"/>
      <c r="H15" s="106"/>
      <c r="I15" s="112"/>
      <c r="J15" s="107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  <c r="X15" s="106"/>
      <c r="Y15" s="106"/>
    </row>
    <row r="16" spans="1:30" x14ac:dyDescent="0.25">
      <c r="A16" s="103"/>
      <c r="B16" s="103"/>
      <c r="C16" s="103"/>
      <c r="D16" s="103"/>
      <c r="E16" s="103"/>
      <c r="F16" s="103"/>
      <c r="G16" s="103"/>
      <c r="H16" s="103"/>
      <c r="I16" s="113"/>
      <c r="J16" s="104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</row>
    <row r="17" spans="1:30" x14ac:dyDescent="0.25">
      <c r="A17" s="106"/>
      <c r="B17" s="106"/>
      <c r="C17" s="106"/>
      <c r="D17" s="106"/>
      <c r="E17" s="106"/>
      <c r="F17" s="106"/>
      <c r="G17" s="106"/>
      <c r="H17" s="106"/>
      <c r="I17" s="112"/>
      <c r="J17" s="107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</row>
    <row r="18" spans="1:30" x14ac:dyDescent="0.25">
      <c r="A18" s="103"/>
      <c r="B18" s="103"/>
      <c r="C18" s="103"/>
      <c r="D18" s="103"/>
      <c r="E18" s="103"/>
      <c r="F18" s="103"/>
      <c r="G18" s="103"/>
      <c r="H18" s="103"/>
      <c r="I18" s="113"/>
      <c r="J18" s="104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</row>
    <row r="19" spans="1:30" x14ac:dyDescent="0.25">
      <c r="A19" s="106"/>
      <c r="B19" s="106"/>
      <c r="C19" s="106"/>
      <c r="D19" s="106"/>
      <c r="E19" s="106"/>
      <c r="F19" s="106"/>
      <c r="G19" s="106"/>
      <c r="H19" s="106"/>
      <c r="I19" s="112"/>
      <c r="J19" s="107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</row>
    <row r="20" spans="1:30" x14ac:dyDescent="0.25">
      <c r="A20" s="103"/>
      <c r="B20" s="103"/>
      <c r="C20" s="103"/>
      <c r="D20" s="103"/>
      <c r="E20" s="103"/>
      <c r="F20" s="103"/>
      <c r="G20" s="103"/>
      <c r="H20" s="103"/>
      <c r="I20" s="113"/>
      <c r="J20" s="104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</row>
    <row r="21" spans="1:30" ht="15.75" thickBot="1" x14ac:dyDescent="0.3">
      <c r="A21" s="106"/>
      <c r="B21" s="106"/>
      <c r="C21" s="106"/>
      <c r="D21" s="106"/>
      <c r="E21" s="106"/>
      <c r="F21" s="106"/>
      <c r="G21" s="106"/>
      <c r="H21" s="106"/>
      <c r="I21" s="106"/>
      <c r="J21" s="107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</row>
    <row r="22" spans="1:30" ht="16.5" thickTop="1" thickBot="1" x14ac:dyDescent="0.3">
      <c r="A22" s="103" t="s">
        <v>392</v>
      </c>
      <c r="B22" s="103" t="s">
        <v>11</v>
      </c>
      <c r="C22" s="103" t="s">
        <v>12</v>
      </c>
      <c r="D22" s="103">
        <v>2.5070000000000001</v>
      </c>
      <c r="E22" s="103">
        <v>1595000</v>
      </c>
      <c r="F22" s="103">
        <v>1.5719999999999999E-6</v>
      </c>
      <c r="G22" s="103"/>
      <c r="H22" s="103"/>
      <c r="I22" s="103"/>
      <c r="J22" s="104"/>
      <c r="K22" s="103"/>
      <c r="L22" s="103"/>
      <c r="M22" s="103"/>
      <c r="N22" s="103"/>
      <c r="O22" s="103"/>
      <c r="P22" s="103"/>
      <c r="Q22" s="103"/>
      <c r="R22" s="103" t="s">
        <v>402</v>
      </c>
      <c r="S22" s="103"/>
      <c r="T22" s="103">
        <v>2</v>
      </c>
      <c r="U22" s="103"/>
      <c r="V22" s="103"/>
      <c r="W22" s="103"/>
      <c r="X22" s="103"/>
      <c r="Y22" s="103"/>
      <c r="Z22" s="105" t="s">
        <v>126</v>
      </c>
      <c r="AA22" s="105" t="s">
        <v>128</v>
      </c>
      <c r="AB22" s="105" t="s">
        <v>129</v>
      </c>
      <c r="AC22" s="105" t="s">
        <v>130</v>
      </c>
      <c r="AD22" s="105" t="s">
        <v>131</v>
      </c>
    </row>
    <row r="23" spans="1:30" ht="15.75" thickTop="1" x14ac:dyDescent="0.25">
      <c r="A23" s="106" t="s">
        <v>394</v>
      </c>
      <c r="B23" s="106" t="s">
        <v>11</v>
      </c>
      <c r="C23" s="106" t="s">
        <v>12</v>
      </c>
      <c r="D23" s="106">
        <v>1.236</v>
      </c>
      <c r="E23" s="106">
        <v>1849000</v>
      </c>
      <c r="F23" s="106">
        <v>6.6820000000000001E-7</v>
      </c>
      <c r="G23" s="106"/>
      <c r="H23" s="106"/>
      <c r="I23" s="106"/>
      <c r="J23" s="107"/>
      <c r="K23" s="106"/>
      <c r="L23" s="106"/>
      <c r="M23" s="106"/>
      <c r="N23" s="106"/>
      <c r="O23" s="106"/>
      <c r="P23" s="106"/>
      <c r="Q23" s="106"/>
      <c r="R23" s="106" t="s">
        <v>126</v>
      </c>
      <c r="S23" s="106"/>
      <c r="T23" s="106">
        <v>25</v>
      </c>
      <c r="U23" s="106"/>
      <c r="V23" s="106"/>
      <c r="W23" s="106"/>
      <c r="X23" s="106"/>
      <c r="Y23" s="106"/>
      <c r="Z23" s="108">
        <v>120</v>
      </c>
      <c r="AA23" s="109">
        <v>0.2911022511732424</v>
      </c>
      <c r="AB23" s="109">
        <v>0.74079370921413368</v>
      </c>
      <c r="AC23" s="109">
        <v>0.47550568225190726</v>
      </c>
      <c r="AD23" s="109">
        <v>0.50246721421309448</v>
      </c>
    </row>
    <row r="24" spans="1:30" ht="15.75" thickBot="1" x14ac:dyDescent="0.3">
      <c r="A24" s="103" t="s">
        <v>395</v>
      </c>
      <c r="B24" s="103" t="s">
        <v>11</v>
      </c>
      <c r="C24" s="103" t="s">
        <v>12</v>
      </c>
      <c r="D24" s="103">
        <v>2.742</v>
      </c>
      <c r="E24" s="103">
        <v>1853000</v>
      </c>
      <c r="F24" s="103">
        <v>1.48E-6</v>
      </c>
      <c r="G24" s="103"/>
      <c r="H24" s="103"/>
      <c r="I24" s="103"/>
      <c r="J24" s="104"/>
      <c r="K24" s="103"/>
      <c r="L24" s="103"/>
      <c r="M24" s="103"/>
      <c r="N24" s="103"/>
      <c r="O24" s="103"/>
      <c r="P24" s="103"/>
      <c r="Q24" s="103"/>
      <c r="R24" s="103" t="s">
        <v>127</v>
      </c>
      <c r="S24" s="103"/>
      <c r="T24" s="103">
        <v>30</v>
      </c>
      <c r="U24" s="103"/>
      <c r="V24" s="103"/>
      <c r="W24" s="103"/>
      <c r="X24" s="103"/>
      <c r="Y24" s="103"/>
      <c r="Z24" s="110">
        <v>0</v>
      </c>
      <c r="AA24" s="111">
        <v>1</v>
      </c>
      <c r="AB24" s="111">
        <v>1</v>
      </c>
      <c r="AC24" s="111">
        <v>1</v>
      </c>
      <c r="AD24" s="111">
        <v>1</v>
      </c>
    </row>
    <row r="25" spans="1:30" ht="16.5" thickTop="1" thickBot="1" x14ac:dyDescent="0.3">
      <c r="A25" s="106" t="s">
        <v>403</v>
      </c>
      <c r="B25" s="106" t="s">
        <v>11</v>
      </c>
      <c r="C25" s="106" t="s">
        <v>12</v>
      </c>
      <c r="D25" s="106">
        <v>294700</v>
      </c>
      <c r="E25" s="106">
        <v>2529000</v>
      </c>
      <c r="F25" s="106">
        <v>0.11650000000000001</v>
      </c>
      <c r="G25" s="106">
        <v>29.110225117324241</v>
      </c>
      <c r="H25" s="106">
        <v>120</v>
      </c>
      <c r="I25" s="112">
        <v>3.3710894910606508</v>
      </c>
      <c r="J25" s="107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>
        <v>1</v>
      </c>
      <c r="V25" s="106">
        <v>120</v>
      </c>
      <c r="W25" s="106">
        <v>3.3710894910606508</v>
      </c>
      <c r="X25" s="106"/>
      <c r="Y25" s="106"/>
    </row>
    <row r="26" spans="1:30" x14ac:dyDescent="0.25">
      <c r="A26" s="103" t="s">
        <v>404</v>
      </c>
      <c r="B26" s="103" t="s">
        <v>11</v>
      </c>
      <c r="C26" s="103" t="s">
        <v>12</v>
      </c>
      <c r="D26" s="103">
        <v>361700</v>
      </c>
      <c r="E26" s="103">
        <v>2397000</v>
      </c>
      <c r="F26" s="103">
        <v>0.15090000000000001</v>
      </c>
      <c r="G26" s="103">
        <v>74.079370921413371</v>
      </c>
      <c r="H26" s="103">
        <v>120</v>
      </c>
      <c r="I26" s="113">
        <v>4.3051370984202988</v>
      </c>
      <c r="J26" s="104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>
        <v>2</v>
      </c>
      <c r="V26" s="103">
        <v>120</v>
      </c>
      <c r="W26" s="103">
        <v>4.3051370984202988</v>
      </c>
      <c r="X26" s="103"/>
      <c r="Y26" s="103"/>
      <c r="Z26" s="114" t="s">
        <v>132</v>
      </c>
      <c r="AA26" s="115">
        <v>-6.3263617486298352E-3</v>
      </c>
    </row>
    <row r="27" spans="1:30" x14ac:dyDescent="0.25">
      <c r="A27" s="106" t="s">
        <v>405</v>
      </c>
      <c r="B27" s="106" t="s">
        <v>11</v>
      </c>
      <c r="C27" s="106" t="s">
        <v>12</v>
      </c>
      <c r="D27" s="106">
        <v>402200</v>
      </c>
      <c r="E27" s="106">
        <v>2289000</v>
      </c>
      <c r="F27" s="106">
        <v>0.1757</v>
      </c>
      <c r="G27" s="106">
        <v>47.550568225190723</v>
      </c>
      <c r="H27" s="106">
        <v>120</v>
      </c>
      <c r="I27" s="112">
        <v>3.8617937389765853</v>
      </c>
      <c r="J27" s="107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>
        <v>3</v>
      </c>
      <c r="V27" s="106">
        <v>120</v>
      </c>
      <c r="W27" s="106">
        <v>3.8617937389765853</v>
      </c>
      <c r="X27" s="106"/>
      <c r="Y27" s="106"/>
      <c r="Z27" s="116" t="s">
        <v>133</v>
      </c>
      <c r="AA27" s="117">
        <v>4.6051701859880927</v>
      </c>
    </row>
    <row r="28" spans="1:30" ht="17.25" x14ac:dyDescent="0.25">
      <c r="A28" s="103" t="s">
        <v>406</v>
      </c>
      <c r="B28" s="103" t="s">
        <v>11</v>
      </c>
      <c r="C28" s="103" t="s">
        <v>12</v>
      </c>
      <c r="D28" s="103">
        <v>370000</v>
      </c>
      <c r="E28" s="103">
        <v>924600</v>
      </c>
      <c r="F28" s="103">
        <v>0.4002</v>
      </c>
      <c r="G28" s="103">
        <v>100</v>
      </c>
      <c r="H28" s="103">
        <v>0</v>
      </c>
      <c r="I28" s="113">
        <v>4.6051701859880918</v>
      </c>
      <c r="J28" s="104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>
        <v>4</v>
      </c>
      <c r="V28" s="103">
        <v>0</v>
      </c>
      <c r="W28" s="103">
        <v>4.6051701859880918</v>
      </c>
      <c r="X28" s="103"/>
      <c r="Y28" s="103"/>
      <c r="Z28" s="116" t="s">
        <v>134</v>
      </c>
      <c r="AA28" s="118">
        <v>0.66443802411864294</v>
      </c>
    </row>
    <row r="29" spans="1:30" ht="18" x14ac:dyDescent="0.35">
      <c r="A29" s="106" t="s">
        <v>407</v>
      </c>
      <c r="B29" s="106" t="s">
        <v>11</v>
      </c>
      <c r="C29" s="106" t="s">
        <v>12</v>
      </c>
      <c r="D29" s="106">
        <v>241400</v>
      </c>
      <c r="E29" s="106">
        <v>1185000</v>
      </c>
      <c r="F29" s="106">
        <v>0.20369999999999999</v>
      </c>
      <c r="G29" s="106">
        <v>100</v>
      </c>
      <c r="H29" s="106">
        <v>0</v>
      </c>
      <c r="I29" s="112">
        <v>4.6051701859880918</v>
      </c>
      <c r="J29" s="107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>
        <v>5</v>
      </c>
      <c r="V29" s="106">
        <v>0</v>
      </c>
      <c r="W29" s="106">
        <v>4.6051701859880918</v>
      </c>
      <c r="X29" s="106"/>
      <c r="Y29" s="106"/>
      <c r="Z29" s="116" t="s">
        <v>135</v>
      </c>
      <c r="AA29" s="122">
        <v>109.56489813597322</v>
      </c>
    </row>
    <row r="30" spans="1:30" ht="18.75" x14ac:dyDescent="0.35">
      <c r="A30" s="103" t="s">
        <v>408</v>
      </c>
      <c r="B30" s="103" t="s">
        <v>11</v>
      </c>
      <c r="C30" s="103" t="s">
        <v>12</v>
      </c>
      <c r="D30" s="103">
        <v>292500</v>
      </c>
      <c r="E30" s="103">
        <v>791600</v>
      </c>
      <c r="F30" s="103">
        <v>0.3695</v>
      </c>
      <c r="G30" s="103">
        <v>100</v>
      </c>
      <c r="H30" s="103">
        <v>0</v>
      </c>
      <c r="I30" s="113">
        <v>4.6051701859880918</v>
      </c>
      <c r="J30" s="104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>
        <v>6</v>
      </c>
      <c r="V30" s="103">
        <v>0</v>
      </c>
      <c r="W30" s="103">
        <v>4.6051701859880918</v>
      </c>
      <c r="X30" s="103"/>
      <c r="Y30" s="103"/>
      <c r="Z30" s="116" t="s">
        <v>136</v>
      </c>
      <c r="AA30" s="119">
        <v>12.65272349725967</v>
      </c>
    </row>
    <row r="31" spans="1:30" ht="15.75" thickBot="1" x14ac:dyDescent="0.3">
      <c r="A31" s="106"/>
      <c r="B31" s="106"/>
      <c r="C31" s="106"/>
      <c r="D31" s="106"/>
      <c r="E31" s="106"/>
      <c r="F31" s="106"/>
      <c r="G31" s="106"/>
      <c r="H31" s="106"/>
      <c r="I31" s="112"/>
      <c r="J31" s="107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20" t="s">
        <v>118</v>
      </c>
      <c r="AA31" s="121" t="s">
        <v>137</v>
      </c>
    </row>
    <row r="32" spans="1:30" x14ac:dyDescent="0.25">
      <c r="A32" s="103"/>
      <c r="B32" s="103"/>
      <c r="C32" s="103"/>
      <c r="D32" s="103"/>
      <c r="E32" s="103"/>
      <c r="F32" s="103"/>
      <c r="G32" s="103"/>
      <c r="H32" s="103"/>
      <c r="I32" s="113"/>
      <c r="J32" s="104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</row>
    <row r="33" spans="1:30" x14ac:dyDescent="0.25">
      <c r="A33" s="106"/>
      <c r="B33" s="106"/>
      <c r="C33" s="106"/>
      <c r="D33" s="106"/>
      <c r="E33" s="106"/>
      <c r="F33" s="106"/>
      <c r="G33" s="106"/>
      <c r="H33" s="106"/>
      <c r="I33" s="112"/>
      <c r="J33" s="107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</row>
    <row r="34" spans="1:30" x14ac:dyDescent="0.25">
      <c r="A34" s="103"/>
      <c r="B34" s="103"/>
      <c r="C34" s="103"/>
      <c r="D34" s="103"/>
      <c r="E34" s="103"/>
      <c r="F34" s="103"/>
      <c r="G34" s="103"/>
      <c r="H34" s="103"/>
      <c r="I34" s="113"/>
      <c r="J34" s="104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</row>
    <row r="35" spans="1:30" x14ac:dyDescent="0.25">
      <c r="A35" s="106"/>
      <c r="B35" s="106"/>
      <c r="C35" s="106"/>
      <c r="D35" s="106"/>
      <c r="E35" s="106"/>
      <c r="F35" s="106"/>
      <c r="G35" s="106"/>
      <c r="H35" s="106"/>
      <c r="I35" s="112"/>
      <c r="J35" s="107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</row>
    <row r="36" spans="1:30" x14ac:dyDescent="0.25">
      <c r="A36" s="103"/>
      <c r="B36" s="103"/>
      <c r="C36" s="103"/>
      <c r="D36" s="103"/>
      <c r="E36" s="103"/>
      <c r="F36" s="103"/>
      <c r="G36" s="103"/>
      <c r="H36" s="103"/>
      <c r="I36" s="113"/>
      <c r="J36" s="104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</row>
    <row r="37" spans="1:30" x14ac:dyDescent="0.25">
      <c r="A37" s="106"/>
      <c r="B37" s="106"/>
      <c r="C37" s="106"/>
      <c r="D37" s="106"/>
      <c r="E37" s="106"/>
      <c r="F37" s="106"/>
      <c r="G37" s="106"/>
      <c r="H37" s="106"/>
      <c r="I37" s="112"/>
      <c r="J37" s="107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</row>
    <row r="38" spans="1:30" x14ac:dyDescent="0.25">
      <c r="A38" s="103"/>
      <c r="B38" s="103"/>
      <c r="C38" s="103"/>
      <c r="D38" s="103"/>
      <c r="E38" s="103"/>
      <c r="F38" s="103"/>
      <c r="G38" s="103"/>
      <c r="H38" s="103"/>
      <c r="I38" s="113"/>
      <c r="J38" s="104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</row>
    <row r="39" spans="1:30" x14ac:dyDescent="0.25">
      <c r="A39" s="106"/>
      <c r="B39" s="106"/>
      <c r="C39" s="106"/>
      <c r="D39" s="106"/>
      <c r="E39" s="106"/>
      <c r="F39" s="106"/>
      <c r="G39" s="106"/>
      <c r="H39" s="106"/>
      <c r="I39" s="112"/>
      <c r="J39" s="107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</row>
    <row r="40" spans="1:30" x14ac:dyDescent="0.25">
      <c r="A40" s="103"/>
      <c r="B40" s="103"/>
      <c r="C40" s="103"/>
      <c r="D40" s="103"/>
      <c r="E40" s="103"/>
      <c r="F40" s="103"/>
      <c r="G40" s="103"/>
      <c r="H40" s="103"/>
      <c r="I40" s="113"/>
      <c r="J40" s="104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</row>
    <row r="41" spans="1:30" x14ac:dyDescent="0.25">
      <c r="A41" s="106"/>
      <c r="B41" s="106"/>
      <c r="C41" s="106"/>
      <c r="D41" s="106"/>
      <c r="E41" s="106"/>
      <c r="F41" s="106"/>
      <c r="G41" s="106"/>
      <c r="H41" s="106"/>
      <c r="I41" s="112"/>
      <c r="J41" s="107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</row>
    <row r="42" spans="1:30" x14ac:dyDescent="0.25">
      <c r="A42" s="103"/>
      <c r="B42" s="103"/>
      <c r="C42" s="103"/>
      <c r="D42" s="103"/>
      <c r="E42" s="103"/>
      <c r="F42" s="103"/>
      <c r="G42" s="103"/>
      <c r="H42" s="103"/>
      <c r="I42" s="113"/>
      <c r="J42" s="104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</row>
    <row r="43" spans="1:30" ht="15.75" thickBot="1" x14ac:dyDescent="0.3">
      <c r="A43" s="106"/>
      <c r="B43" s="106"/>
      <c r="C43" s="106"/>
      <c r="D43" s="106"/>
      <c r="E43" s="106"/>
      <c r="F43" s="106"/>
      <c r="G43" s="106"/>
      <c r="H43" s="106"/>
      <c r="I43" s="106"/>
      <c r="J43" s="107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1:30" ht="16.5" thickTop="1" thickBot="1" x14ac:dyDescent="0.3">
      <c r="A44" s="103" t="s">
        <v>392</v>
      </c>
      <c r="B44" s="103" t="s">
        <v>45</v>
      </c>
      <c r="C44" s="103" t="s">
        <v>46</v>
      </c>
      <c r="D44" s="103">
        <v>38.82</v>
      </c>
      <c r="E44" s="103">
        <v>1595000</v>
      </c>
      <c r="F44" s="103">
        <v>2.4340000000000001E-5</v>
      </c>
      <c r="G44" s="103"/>
      <c r="H44" s="103"/>
      <c r="I44" s="103"/>
      <c r="J44" s="104"/>
      <c r="K44" s="103"/>
      <c r="L44" s="103"/>
      <c r="M44" s="103"/>
      <c r="N44" s="103"/>
      <c r="O44" s="103"/>
      <c r="P44" s="103"/>
      <c r="Q44" s="103"/>
      <c r="R44" s="103" t="s">
        <v>409</v>
      </c>
      <c r="S44" s="103"/>
      <c r="T44" s="103">
        <v>5</v>
      </c>
      <c r="U44" s="103"/>
      <c r="V44" s="103"/>
      <c r="W44" s="103"/>
      <c r="X44" s="103"/>
      <c r="Y44" s="103"/>
      <c r="Z44" s="105" t="s">
        <v>126</v>
      </c>
      <c r="AA44" s="105" t="s">
        <v>128</v>
      </c>
      <c r="AB44" s="105" t="s">
        <v>129</v>
      </c>
      <c r="AC44" s="105" t="s">
        <v>130</v>
      </c>
      <c r="AD44" s="105" t="s">
        <v>131</v>
      </c>
    </row>
    <row r="45" spans="1:30" ht="15.75" thickTop="1" x14ac:dyDescent="0.25">
      <c r="A45" s="106" t="s">
        <v>394</v>
      </c>
      <c r="B45" s="106" t="s">
        <v>45</v>
      </c>
      <c r="C45" s="106" t="s">
        <v>46</v>
      </c>
      <c r="D45" s="106">
        <v>26.26</v>
      </c>
      <c r="E45" s="106">
        <v>1849000</v>
      </c>
      <c r="F45" s="106">
        <v>1.42E-5</v>
      </c>
      <c r="G45" s="106"/>
      <c r="H45" s="106"/>
      <c r="I45" s="106"/>
      <c r="J45" s="107"/>
      <c r="K45" s="106"/>
      <c r="L45" s="106"/>
      <c r="M45" s="106"/>
      <c r="N45" s="106"/>
      <c r="O45" s="106"/>
      <c r="P45" s="106"/>
      <c r="Q45" s="106"/>
      <c r="R45" s="106" t="s">
        <v>126</v>
      </c>
      <c r="S45" s="106"/>
      <c r="T45" s="106">
        <v>85</v>
      </c>
      <c r="U45" s="106"/>
      <c r="V45" s="106"/>
      <c r="W45" s="106"/>
      <c r="X45" s="106"/>
      <c r="Y45" s="106"/>
      <c r="Z45" s="108">
        <v>120</v>
      </c>
      <c r="AA45" s="109">
        <v>0.77878052659540264</v>
      </c>
      <c r="AB45" s="109">
        <v>0.69403336239875135</v>
      </c>
      <c r="AC45" s="123">
        <v>1.1261132163230687</v>
      </c>
      <c r="AD45" s="109">
        <v>0.86630903510574087</v>
      </c>
    </row>
    <row r="46" spans="1:30" ht="15.75" thickBot="1" x14ac:dyDescent="0.3">
      <c r="A46" s="103" t="s">
        <v>395</v>
      </c>
      <c r="B46" s="103" t="s">
        <v>45</v>
      </c>
      <c r="C46" s="103" t="s">
        <v>46</v>
      </c>
      <c r="D46" s="103">
        <v>21.08</v>
      </c>
      <c r="E46" s="103">
        <v>1853000</v>
      </c>
      <c r="F46" s="103">
        <v>1.1379999999999999E-5</v>
      </c>
      <c r="G46" s="103"/>
      <c r="H46" s="103"/>
      <c r="I46" s="103"/>
      <c r="J46" s="104"/>
      <c r="K46" s="103"/>
      <c r="L46" s="103"/>
      <c r="M46" s="103"/>
      <c r="N46" s="103"/>
      <c r="O46" s="103"/>
      <c r="P46" s="103"/>
      <c r="Q46" s="103"/>
      <c r="R46" s="103" t="s">
        <v>127</v>
      </c>
      <c r="S46" s="103"/>
      <c r="T46" s="103">
        <v>90</v>
      </c>
      <c r="U46" s="103"/>
      <c r="V46" s="103"/>
      <c r="W46" s="103"/>
      <c r="X46" s="103"/>
      <c r="Y46" s="103"/>
      <c r="Z46" s="110">
        <v>0</v>
      </c>
      <c r="AA46" s="111">
        <v>1</v>
      </c>
      <c r="AB46" s="111">
        <v>1</v>
      </c>
      <c r="AC46" s="111">
        <v>1</v>
      </c>
      <c r="AD46" s="111">
        <v>1</v>
      </c>
    </row>
    <row r="47" spans="1:30" ht="16.5" thickTop="1" thickBot="1" x14ac:dyDescent="0.3">
      <c r="A47" s="106" t="s">
        <v>410</v>
      </c>
      <c r="B47" s="106" t="s">
        <v>45</v>
      </c>
      <c r="C47" s="106" t="s">
        <v>46</v>
      </c>
      <c r="D47" s="106">
        <v>95980</v>
      </c>
      <c r="E47" s="106">
        <v>2605000</v>
      </c>
      <c r="F47" s="106">
        <v>3.6839999999999998E-2</v>
      </c>
      <c r="G47" s="106">
        <v>77.878052659540259</v>
      </c>
      <c r="H47" s="106">
        <v>120</v>
      </c>
      <c r="I47" s="112">
        <v>4.3551441758197909</v>
      </c>
      <c r="J47" s="107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>
        <v>1</v>
      </c>
      <c r="V47" s="106">
        <v>120</v>
      </c>
      <c r="W47" s="106">
        <v>4.3551441758197909</v>
      </c>
      <c r="X47" s="106"/>
      <c r="Y47" s="106"/>
    </row>
    <row r="48" spans="1:30" x14ac:dyDescent="0.25">
      <c r="A48" s="103" t="s">
        <v>411</v>
      </c>
      <c r="B48" s="103" t="s">
        <v>45</v>
      </c>
      <c r="C48" s="103" t="s">
        <v>46</v>
      </c>
      <c r="D48" s="103">
        <v>98010</v>
      </c>
      <c r="E48" s="103">
        <v>2393000</v>
      </c>
      <c r="F48" s="103">
        <v>4.0960000000000003E-2</v>
      </c>
      <c r="G48" s="103">
        <v>69.403336239875131</v>
      </c>
      <c r="H48" s="103">
        <v>120</v>
      </c>
      <c r="I48" s="113">
        <v>4.2399349389779868</v>
      </c>
      <c r="J48" s="104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>
        <v>2</v>
      </c>
      <c r="V48" s="103">
        <v>120</v>
      </c>
      <c r="W48" s="103">
        <v>4.2399349389779868</v>
      </c>
      <c r="X48" s="103"/>
      <c r="Y48" s="103"/>
      <c r="Z48" s="114" t="s">
        <v>132</v>
      </c>
      <c r="AA48" s="115">
        <v>-1.3791366254424034E-3</v>
      </c>
    </row>
    <row r="49" spans="1:30" x14ac:dyDescent="0.25">
      <c r="A49" s="106" t="s">
        <v>412</v>
      </c>
      <c r="B49" s="106" t="s">
        <v>45</v>
      </c>
      <c r="C49" s="106" t="s">
        <v>46</v>
      </c>
      <c r="D49" s="106">
        <v>129100</v>
      </c>
      <c r="E49" s="106">
        <v>2450000</v>
      </c>
      <c r="F49" s="106">
        <v>5.2699999999999997E-2</v>
      </c>
      <c r="G49" s="106">
        <v>112.61132163230687</v>
      </c>
      <c r="H49" s="106">
        <v>120</v>
      </c>
      <c r="I49" s="112">
        <v>4.7239422580072326</v>
      </c>
      <c r="J49" s="107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>
        <v>3</v>
      </c>
      <c r="V49" s="106">
        <v>120</v>
      </c>
      <c r="W49" s="106">
        <v>4.7239422580072326</v>
      </c>
      <c r="X49" s="106"/>
      <c r="Y49" s="106"/>
      <c r="Z49" s="116" t="s">
        <v>133</v>
      </c>
      <c r="AA49" s="117">
        <v>4.6051701859880918</v>
      </c>
    </row>
    <row r="50" spans="1:30" ht="17.25" x14ac:dyDescent="0.25">
      <c r="A50" s="103" t="s">
        <v>413</v>
      </c>
      <c r="B50" s="103" t="s">
        <v>45</v>
      </c>
      <c r="C50" s="103" t="s">
        <v>46</v>
      </c>
      <c r="D50" s="103">
        <v>46740</v>
      </c>
      <c r="E50" s="103">
        <v>988000</v>
      </c>
      <c r="F50" s="103">
        <v>4.7300000000000002E-2</v>
      </c>
      <c r="G50" s="103">
        <v>100</v>
      </c>
      <c r="H50" s="103">
        <v>0</v>
      </c>
      <c r="I50" s="113">
        <v>4.6051701859880918</v>
      </c>
      <c r="J50" s="104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>
        <v>4</v>
      </c>
      <c r="V50" s="103">
        <v>0</v>
      </c>
      <c r="W50" s="103">
        <v>4.6051701859880918</v>
      </c>
      <c r="X50" s="103"/>
      <c r="Y50" s="103"/>
      <c r="Z50" s="116" t="s">
        <v>134</v>
      </c>
      <c r="AA50" s="118">
        <v>0.24319453513335137</v>
      </c>
    </row>
    <row r="51" spans="1:30" ht="18" x14ac:dyDescent="0.35">
      <c r="A51" s="106" t="s">
        <v>414</v>
      </c>
      <c r="B51" s="106" t="s">
        <v>45</v>
      </c>
      <c r="C51" s="106" t="s">
        <v>46</v>
      </c>
      <c r="D51" s="106">
        <v>63830</v>
      </c>
      <c r="E51" s="106">
        <v>1082000</v>
      </c>
      <c r="F51" s="106">
        <v>5.901E-2</v>
      </c>
      <c r="G51" s="106">
        <v>100</v>
      </c>
      <c r="H51" s="106">
        <v>0</v>
      </c>
      <c r="I51" s="112">
        <v>4.6051701859880918</v>
      </c>
      <c r="J51" s="107"/>
      <c r="K51" s="106"/>
      <c r="L51" s="106"/>
      <c r="M51" s="106"/>
      <c r="N51" s="106"/>
      <c r="O51" s="106"/>
      <c r="P51" s="106"/>
      <c r="Q51" s="106"/>
      <c r="R51" s="106"/>
      <c r="S51" s="106"/>
      <c r="T51" s="106"/>
      <c r="U51" s="106">
        <v>5</v>
      </c>
      <c r="V51" s="106">
        <v>0</v>
      </c>
      <c r="W51" s="106">
        <v>4.6051701859880918</v>
      </c>
      <c r="X51" s="106"/>
      <c r="Y51" s="106"/>
      <c r="Z51" s="116" t="s">
        <v>135</v>
      </c>
      <c r="AA51" s="122">
        <v>502.59500601515498</v>
      </c>
    </row>
    <row r="52" spans="1:30" ht="18.75" x14ac:dyDescent="0.35">
      <c r="A52" s="103" t="s">
        <v>415</v>
      </c>
      <c r="B52" s="103" t="s">
        <v>45</v>
      </c>
      <c r="C52" s="103" t="s">
        <v>46</v>
      </c>
      <c r="D52" s="103">
        <v>52810</v>
      </c>
      <c r="E52" s="103">
        <v>1128000</v>
      </c>
      <c r="F52" s="103">
        <v>4.6800000000000001E-2</v>
      </c>
      <c r="G52" s="103">
        <v>100</v>
      </c>
      <c r="H52" s="103">
        <v>0</v>
      </c>
      <c r="I52" s="113">
        <v>4.6051701859880918</v>
      </c>
      <c r="J52" s="104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>
        <v>6</v>
      </c>
      <c r="V52" s="103">
        <v>0</v>
      </c>
      <c r="W52" s="103">
        <v>4.6051701859880918</v>
      </c>
      <c r="X52" s="103"/>
      <c r="Y52" s="103"/>
      <c r="Z52" s="116" t="s">
        <v>136</v>
      </c>
      <c r="AA52" s="117">
        <v>2.7582732508848067</v>
      </c>
    </row>
    <row r="53" spans="1:30" ht="15.75" thickBot="1" x14ac:dyDescent="0.3">
      <c r="A53" s="106"/>
      <c r="B53" s="106"/>
      <c r="C53" s="106"/>
      <c r="D53" s="106"/>
      <c r="E53" s="106"/>
      <c r="F53" s="106"/>
      <c r="G53" s="106"/>
      <c r="H53" s="106"/>
      <c r="I53" s="112"/>
      <c r="J53" s="107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20" t="s">
        <v>118</v>
      </c>
      <c r="AA53" s="121" t="s">
        <v>137</v>
      </c>
    </row>
    <row r="54" spans="1:30" x14ac:dyDescent="0.25">
      <c r="A54" s="103"/>
      <c r="B54" s="103"/>
      <c r="C54" s="103"/>
      <c r="D54" s="103"/>
      <c r="E54" s="103"/>
      <c r="F54" s="103"/>
      <c r="G54" s="103"/>
      <c r="H54" s="103"/>
      <c r="I54" s="113"/>
      <c r="J54" s="104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</row>
    <row r="55" spans="1:30" x14ac:dyDescent="0.25">
      <c r="A55" s="106"/>
      <c r="B55" s="106"/>
      <c r="C55" s="106"/>
      <c r="D55" s="106"/>
      <c r="E55" s="106"/>
      <c r="F55" s="106"/>
      <c r="G55" s="106"/>
      <c r="H55" s="106"/>
      <c r="I55" s="112"/>
      <c r="J55" s="107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</row>
    <row r="56" spans="1:30" x14ac:dyDescent="0.25">
      <c r="A56" s="103"/>
      <c r="B56" s="103"/>
      <c r="C56" s="103"/>
      <c r="D56" s="103"/>
      <c r="E56" s="103"/>
      <c r="F56" s="103"/>
      <c r="G56" s="103"/>
      <c r="H56" s="103"/>
      <c r="I56" s="113"/>
      <c r="J56" s="104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</row>
    <row r="57" spans="1:30" x14ac:dyDescent="0.25">
      <c r="A57" s="106"/>
      <c r="B57" s="106"/>
      <c r="C57" s="106"/>
      <c r="D57" s="106"/>
      <c r="E57" s="106"/>
      <c r="F57" s="106"/>
      <c r="G57" s="106"/>
      <c r="H57" s="106"/>
      <c r="I57" s="112"/>
      <c r="J57" s="107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</row>
    <row r="58" spans="1:30" x14ac:dyDescent="0.25">
      <c r="A58" s="103"/>
      <c r="B58" s="103"/>
      <c r="C58" s="103"/>
      <c r="D58" s="103"/>
      <c r="E58" s="103"/>
      <c r="F58" s="103"/>
      <c r="G58" s="103"/>
      <c r="H58" s="103"/>
      <c r="I58" s="113"/>
      <c r="J58" s="104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</row>
    <row r="59" spans="1:30" x14ac:dyDescent="0.25">
      <c r="A59" s="106"/>
      <c r="B59" s="106"/>
      <c r="C59" s="106"/>
      <c r="D59" s="106"/>
      <c r="E59" s="106"/>
      <c r="F59" s="106"/>
      <c r="G59" s="106"/>
      <c r="H59" s="106"/>
      <c r="I59" s="112"/>
      <c r="J59" s="107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</row>
    <row r="60" spans="1:30" x14ac:dyDescent="0.25">
      <c r="A60" s="103"/>
      <c r="B60" s="103"/>
      <c r="C60" s="103"/>
      <c r="D60" s="103"/>
      <c r="E60" s="103"/>
      <c r="F60" s="103"/>
      <c r="G60" s="103"/>
      <c r="H60" s="103"/>
      <c r="I60" s="113"/>
      <c r="J60" s="104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</row>
    <row r="61" spans="1:30" x14ac:dyDescent="0.25">
      <c r="A61" s="106"/>
      <c r="B61" s="106"/>
      <c r="C61" s="106"/>
      <c r="D61" s="106"/>
      <c r="E61" s="106"/>
      <c r="F61" s="106"/>
      <c r="G61" s="106"/>
      <c r="H61" s="106"/>
      <c r="I61" s="112"/>
      <c r="J61" s="107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</row>
    <row r="62" spans="1:30" x14ac:dyDescent="0.25">
      <c r="A62" s="103"/>
      <c r="B62" s="103"/>
      <c r="C62" s="103"/>
      <c r="D62" s="103"/>
      <c r="E62" s="103"/>
      <c r="F62" s="103"/>
      <c r="G62" s="103"/>
      <c r="H62" s="103"/>
      <c r="I62" s="113"/>
      <c r="J62" s="104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</row>
    <row r="63" spans="1:30" ht="15.75" thickBot="1" x14ac:dyDescent="0.3">
      <c r="A63" s="106"/>
      <c r="B63" s="106"/>
      <c r="C63" s="106"/>
      <c r="D63" s="106"/>
      <c r="E63" s="106"/>
      <c r="F63" s="106"/>
      <c r="G63" s="106"/>
      <c r="H63" s="106"/>
      <c r="I63" s="106"/>
      <c r="J63" s="107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</row>
    <row r="64" spans="1:30" ht="16.5" thickTop="1" thickBot="1" x14ac:dyDescent="0.3">
      <c r="A64" s="103" t="s">
        <v>392</v>
      </c>
      <c r="B64" s="103" t="s">
        <v>79</v>
      </c>
      <c r="C64" s="103" t="s">
        <v>80</v>
      </c>
      <c r="D64" s="103">
        <v>727.1</v>
      </c>
      <c r="E64" s="103">
        <v>1595000</v>
      </c>
      <c r="F64" s="103">
        <v>4.5590000000000002E-4</v>
      </c>
      <c r="G64" s="103"/>
      <c r="H64" s="103"/>
      <c r="I64" s="103"/>
      <c r="J64" s="104"/>
      <c r="K64" s="103"/>
      <c r="L64" s="103"/>
      <c r="M64" s="103"/>
      <c r="N64" s="103"/>
      <c r="O64" s="103"/>
      <c r="P64" s="103"/>
      <c r="Q64" s="103"/>
      <c r="R64" s="103" t="s">
        <v>416</v>
      </c>
      <c r="S64" s="103"/>
      <c r="T64" s="103">
        <v>6</v>
      </c>
      <c r="U64" s="103"/>
      <c r="V64" s="103"/>
      <c r="W64" s="103"/>
      <c r="X64" s="103"/>
      <c r="Y64" s="103"/>
      <c r="Z64" s="105" t="s">
        <v>126</v>
      </c>
      <c r="AA64" s="105" t="s">
        <v>128</v>
      </c>
      <c r="AB64" s="105" t="s">
        <v>129</v>
      </c>
      <c r="AC64" s="105" t="s">
        <v>130</v>
      </c>
      <c r="AD64" s="105" t="s">
        <v>131</v>
      </c>
    </row>
    <row r="65" spans="1:30" ht="15.75" thickTop="1" x14ac:dyDescent="0.25">
      <c r="A65" s="106" t="s">
        <v>394</v>
      </c>
      <c r="B65" s="106" t="s">
        <v>79</v>
      </c>
      <c r="C65" s="106" t="s">
        <v>80</v>
      </c>
      <c r="D65" s="106">
        <v>60.61</v>
      </c>
      <c r="E65" s="106">
        <v>1849000</v>
      </c>
      <c r="F65" s="106">
        <v>3.2780000000000001E-5</v>
      </c>
      <c r="G65" s="106"/>
      <c r="H65" s="106"/>
      <c r="I65" s="106"/>
      <c r="J65" s="107"/>
      <c r="K65" s="106"/>
      <c r="L65" s="106"/>
      <c r="M65" s="106"/>
      <c r="N65" s="106"/>
      <c r="O65" s="106"/>
      <c r="P65" s="106"/>
      <c r="Q65" s="106"/>
      <c r="R65" s="106" t="s">
        <v>126</v>
      </c>
      <c r="S65" s="106"/>
      <c r="T65" s="106">
        <v>105</v>
      </c>
      <c r="U65" s="106"/>
      <c r="V65" s="106"/>
      <c r="W65" s="106"/>
      <c r="X65" s="106"/>
      <c r="Y65" s="106"/>
      <c r="Z65" s="108">
        <f>$H$67</f>
        <v>120</v>
      </c>
      <c r="AA65" s="109">
        <f>IF(ISTEXT($I$67),TEXT($G$67/100,"0.00%"),$G$67 / 100)</f>
        <v>0.50235650264720044</v>
      </c>
      <c r="AB65" s="109">
        <f>IF(ISTEXT($I$68),TEXT($G$68/100,"0.00%"),$G$68 / 100)</f>
        <v>0.7565905508564793</v>
      </c>
      <c r="AC65" s="109">
        <f>IF(ISTEXT($I$69),TEXT($G$69/100,"0.00%"),$G$69 / 100)</f>
        <v>0.68059003731289114</v>
      </c>
      <c r="AD65" s="109">
        <f>IFERROR(AVERAGE($AA$65:$AC$65),"")</f>
        <v>0.64651236360552355</v>
      </c>
    </row>
    <row r="66" spans="1:30" ht="15.75" thickBot="1" x14ac:dyDescent="0.3">
      <c r="A66" s="103" t="s">
        <v>395</v>
      </c>
      <c r="B66" s="103" t="s">
        <v>79</v>
      </c>
      <c r="C66" s="103" t="s">
        <v>80</v>
      </c>
      <c r="D66" s="103">
        <v>57.34</v>
      </c>
      <c r="E66" s="103">
        <v>1853000</v>
      </c>
      <c r="F66" s="103">
        <v>3.095E-5</v>
      </c>
      <c r="G66" s="103"/>
      <c r="H66" s="103"/>
      <c r="I66" s="103"/>
      <c r="J66" s="104"/>
      <c r="K66" s="103"/>
      <c r="L66" s="103"/>
      <c r="M66" s="103"/>
      <c r="N66" s="103"/>
      <c r="O66" s="103"/>
      <c r="P66" s="103"/>
      <c r="Q66" s="103"/>
      <c r="R66" s="103" t="s">
        <v>127</v>
      </c>
      <c r="S66" s="103"/>
      <c r="T66" s="103">
        <v>110</v>
      </c>
      <c r="U66" s="103"/>
      <c r="V66" s="103"/>
      <c r="W66" s="103"/>
      <c r="X66" s="103"/>
      <c r="Y66" s="103"/>
      <c r="Z66" s="110">
        <f>$H$70</f>
        <v>0</v>
      </c>
      <c r="AA66" s="111">
        <f>IF(ISTEXT($I$70),TEXT($G$70/100,"0.00%"),$G$70 / 100)</f>
        <v>1</v>
      </c>
      <c r="AB66" s="111">
        <f>IF(ISTEXT($I$71),TEXT($G$71/100,"0.00%"),$G$71 / 100)</f>
        <v>1</v>
      </c>
      <c r="AC66" s="111">
        <f>IF(ISTEXT($I$72),TEXT($G$72/100,"0.00%"),$G$72 / 100)</f>
        <v>1</v>
      </c>
      <c r="AD66" s="111">
        <f>IFERROR(AVERAGE($AA$66:$AC$66),"")</f>
        <v>1</v>
      </c>
    </row>
    <row r="67" spans="1:30" ht="16.5" thickTop="1" thickBot="1" x14ac:dyDescent="0.3">
      <c r="A67" s="106" t="s">
        <v>417</v>
      </c>
      <c r="B67" s="106" t="s">
        <v>79</v>
      </c>
      <c r="C67" s="106" t="s">
        <v>80</v>
      </c>
      <c r="D67" s="106">
        <v>26060</v>
      </c>
      <c r="E67" s="106">
        <v>2485000</v>
      </c>
      <c r="F67" s="106">
        <v>1.0489999999999999E-2</v>
      </c>
      <c r="G67" s="106">
        <f>($F$67 -  AVERAGE($F$64,$F$65,$F$66) ) / ($F$70 -  AVERAGE($F$64,$F$65,$F$66) ) * 100</f>
        <v>50.235650264720043</v>
      </c>
      <c r="H67" s="106">
        <v>120</v>
      </c>
      <c r="I67" s="112">
        <f>LN($G$67)</f>
        <v>3.9167249392859591</v>
      </c>
      <c r="J67" s="107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>
        <f>IF(ISTEXT($I$67),"",1)</f>
        <v>1</v>
      </c>
      <c r="V67" s="106">
        <f t="shared" ref="V67:V72" si="0">IFERROR(INDEX($H$67:$H$72,SMALL($U$67:$U$72,ROW(W1)),1),"")</f>
        <v>120</v>
      </c>
      <c r="W67" s="106">
        <f t="shared" ref="W67:W72" si="1">IFERROR(INDEX($I$67:$I$72,SMALL($U$67:$U$72,ROW(I1)),1),"")</f>
        <v>3.9167249392859591</v>
      </c>
      <c r="X67" s="106"/>
      <c r="Y67" s="106"/>
    </row>
    <row r="68" spans="1:30" x14ac:dyDescent="0.25">
      <c r="A68" s="103" t="s">
        <v>418</v>
      </c>
      <c r="B68" s="103" t="s">
        <v>79</v>
      </c>
      <c r="C68" s="103" t="s">
        <v>80</v>
      </c>
      <c r="D68" s="103">
        <v>30680</v>
      </c>
      <c r="E68" s="103">
        <v>2260000</v>
      </c>
      <c r="F68" s="103">
        <v>1.357E-2</v>
      </c>
      <c r="G68" s="103">
        <f>($F$68 -  AVERAGE($F$64,$F$65,$F$66) ) / ($F$71 -  AVERAGE($F$64,$F$65,$F$66) ) * 100</f>
        <v>75.659055085647935</v>
      </c>
      <c r="H68" s="103">
        <v>120</v>
      </c>
      <c r="I68" s="113">
        <f>LN($G$68)</f>
        <v>4.3262371301716742</v>
      </c>
      <c r="J68" s="104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>
        <f>IF(ISTEXT($I$68),"",2)</f>
        <v>2</v>
      </c>
      <c r="V68" s="103">
        <f t="shared" si="0"/>
        <v>120</v>
      </c>
      <c r="W68" s="103">
        <f t="shared" si="1"/>
        <v>4.3262371301716742</v>
      </c>
      <c r="X68" s="103"/>
      <c r="Y68" s="103"/>
      <c r="Z68" s="114" t="s">
        <v>132</v>
      </c>
      <c r="AA68" s="115">
        <f>IFERROR(SLOPE($W$67:$W$72,$V$67:$V$72),"")</f>
        <v>-3.756037382320858E-3</v>
      </c>
    </row>
    <row r="69" spans="1:30" x14ac:dyDescent="0.25">
      <c r="A69" s="106" t="s">
        <v>419</v>
      </c>
      <c r="B69" s="106" t="s">
        <v>79</v>
      </c>
      <c r="C69" s="106" t="s">
        <v>80</v>
      </c>
      <c r="D69" s="106">
        <v>27160</v>
      </c>
      <c r="E69" s="106">
        <v>2117000</v>
      </c>
      <c r="F69" s="106">
        <v>1.2829999999999999E-2</v>
      </c>
      <c r="G69" s="106">
        <f>($F$69 -  AVERAGE($F$64,$F$65,$F$66) ) / ($F$72 -  AVERAGE($F$64,$F$65,$F$66) ) * 100</f>
        <v>68.05900373128911</v>
      </c>
      <c r="H69" s="106">
        <v>120</v>
      </c>
      <c r="I69" s="112">
        <f>LN($G$69)</f>
        <v>4.220375030871133</v>
      </c>
      <c r="J69" s="107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>
        <f>IF(ISTEXT($I$69),"",3)</f>
        <v>3</v>
      </c>
      <c r="V69" s="106">
        <f t="shared" si="0"/>
        <v>120</v>
      </c>
      <c r="W69" s="106">
        <f t="shared" si="1"/>
        <v>4.220375030871133</v>
      </c>
      <c r="X69" s="106"/>
      <c r="Y69" s="106"/>
      <c r="Z69" s="116" t="s">
        <v>133</v>
      </c>
      <c r="AA69" s="117">
        <f>IFERROR(INTERCEPT($W$67:$W$72,$V$67:$V$72),"")</f>
        <v>4.6051701859880927</v>
      </c>
    </row>
    <row r="70" spans="1:30" ht="17.25" x14ac:dyDescent="0.25">
      <c r="A70" s="103" t="s">
        <v>420</v>
      </c>
      <c r="B70" s="103" t="s">
        <v>79</v>
      </c>
      <c r="C70" s="103" t="s">
        <v>80</v>
      </c>
      <c r="D70" s="103">
        <v>24760</v>
      </c>
      <c r="E70" s="103">
        <v>1196000</v>
      </c>
      <c r="F70" s="103">
        <v>2.0709999999999999E-2</v>
      </c>
      <c r="G70" s="103">
        <f>($F$70 -  AVERAGE($F$64,$F$65,$F$66) ) / ($F$70 -  AVERAGE($F$64,$F$65,$F$66) ) * 100</f>
        <v>100</v>
      </c>
      <c r="H70" s="103">
        <v>0</v>
      </c>
      <c r="I70" s="113">
        <f>LN($G$70)</f>
        <v>4.6051701859880918</v>
      </c>
      <c r="J70" s="104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>
        <f>IF(ISTEXT($I$70),"",4)</f>
        <v>4</v>
      </c>
      <c r="V70" s="103">
        <f t="shared" si="0"/>
        <v>0</v>
      </c>
      <c r="W70" s="103">
        <f t="shared" si="1"/>
        <v>4.6051701859880918</v>
      </c>
      <c r="X70" s="103"/>
      <c r="Y70" s="103"/>
      <c r="Z70" s="116" t="s">
        <v>134</v>
      </c>
      <c r="AA70" s="118">
        <f>IFERROR(CORREL($W$67:$W$72,$V$67:$V$72)^2,"")</f>
        <v>0.77127216765294448</v>
      </c>
    </row>
    <row r="71" spans="1:30" ht="18" x14ac:dyDescent="0.35">
      <c r="A71" s="106" t="s">
        <v>421</v>
      </c>
      <c r="B71" s="106" t="s">
        <v>79</v>
      </c>
      <c r="C71" s="106" t="s">
        <v>80</v>
      </c>
      <c r="D71" s="106">
        <v>18820</v>
      </c>
      <c r="E71" s="106">
        <v>1052000</v>
      </c>
      <c r="F71" s="106">
        <v>1.788E-2</v>
      </c>
      <c r="G71" s="106">
        <f>($F$71 -  AVERAGE($F$64,$F$65,$F$66) ) / ($F$71 -  AVERAGE($F$64,$F$65,$F$66) ) * 100</f>
        <v>100</v>
      </c>
      <c r="H71" s="106">
        <v>0</v>
      </c>
      <c r="I71" s="112">
        <f>LN($G$71)</f>
        <v>4.6051701859880918</v>
      </c>
      <c r="J71" s="107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>
        <f>IF(ISTEXT($I$71),"",5)</f>
        <v>5</v>
      </c>
      <c r="V71" s="106">
        <f t="shared" si="0"/>
        <v>0</v>
      </c>
      <c r="W71" s="106">
        <f t="shared" si="1"/>
        <v>4.6051701859880918</v>
      </c>
      <c r="X71" s="106"/>
      <c r="Y71" s="106"/>
      <c r="Z71" s="116" t="s">
        <v>135</v>
      </c>
      <c r="AA71" s="122">
        <f>IF(AA68&gt;0,"",IFERROR(LN(2) /ABS(AA68),0))</f>
        <v>184.54214109329476</v>
      </c>
    </row>
    <row r="72" spans="1:30" ht="18.75" x14ac:dyDescent="0.35">
      <c r="A72" s="103" t="s">
        <v>422</v>
      </c>
      <c r="B72" s="103" t="s">
        <v>79</v>
      </c>
      <c r="C72" s="103" t="s">
        <v>80</v>
      </c>
      <c r="D72" s="103">
        <v>19850</v>
      </c>
      <c r="E72" s="103">
        <v>1058000</v>
      </c>
      <c r="F72" s="103">
        <v>1.8769999999999998E-2</v>
      </c>
      <c r="G72" s="103">
        <f>($F$72 -  AVERAGE($F$64,$F$65,$F$66) ) / ($F$72 -  AVERAGE($F$64,$F$65,$F$66) ) * 100</f>
        <v>100</v>
      </c>
      <c r="H72" s="103">
        <v>0</v>
      </c>
      <c r="I72" s="113">
        <f>LN($G$72)</f>
        <v>4.6051701859880918</v>
      </c>
      <c r="J72" s="104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>
        <f>IF(ISTEXT($I$72),"",6)</f>
        <v>6</v>
      </c>
      <c r="V72" s="103">
        <f t="shared" si="0"/>
        <v>0</v>
      </c>
      <c r="W72" s="103">
        <f t="shared" si="1"/>
        <v>4.6051701859880918</v>
      </c>
      <c r="X72" s="103"/>
      <c r="Y72" s="103"/>
      <c r="Z72" s="116" t="s">
        <v>136</v>
      </c>
      <c r="AA72" s="117">
        <f>IF(AA68&gt;0,0,IFERROR(ABS(AA68 * 1000 / 0.5),0))</f>
        <v>7.5120747646417163</v>
      </c>
    </row>
    <row r="73" spans="1:30" ht="15.75" thickBot="1" x14ac:dyDescent="0.3">
      <c r="A73" s="106"/>
      <c r="B73" s="106"/>
      <c r="C73" s="106"/>
      <c r="D73" s="106"/>
      <c r="E73" s="106"/>
      <c r="F73" s="106"/>
      <c r="G73" s="106"/>
      <c r="H73" s="106"/>
      <c r="I73" s="112"/>
      <c r="J73" s="107"/>
      <c r="K73" s="106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20" t="s">
        <v>118</v>
      </c>
      <c r="AA73" s="121" t="s">
        <v>137</v>
      </c>
    </row>
    <row r="74" spans="1:30" x14ac:dyDescent="0.25">
      <c r="A74" s="103"/>
      <c r="B74" s="103"/>
      <c r="C74" s="103"/>
      <c r="D74" s="103"/>
      <c r="E74" s="103"/>
      <c r="F74" s="103"/>
      <c r="G74" s="103"/>
      <c r="H74" s="103"/>
      <c r="I74" s="113"/>
      <c r="J74" s="104"/>
      <c r="K74" s="103"/>
      <c r="L74" s="103"/>
      <c r="M74" s="103"/>
      <c r="N74" s="103"/>
      <c r="O74" s="103"/>
      <c r="P74" s="103"/>
      <c r="Q74" s="103"/>
      <c r="R74" s="103"/>
      <c r="S74" s="103"/>
      <c r="T74" s="103"/>
      <c r="U74" s="103"/>
      <c r="V74" s="103"/>
      <c r="W74" s="103"/>
      <c r="X74" s="103"/>
      <c r="Y74" s="103"/>
    </row>
    <row r="75" spans="1:30" x14ac:dyDescent="0.25">
      <c r="A75" s="106"/>
      <c r="B75" s="106"/>
      <c r="C75" s="106"/>
      <c r="D75" s="106"/>
      <c r="E75" s="106"/>
      <c r="F75" s="106"/>
      <c r="G75" s="106"/>
      <c r="H75" s="106"/>
      <c r="I75" s="112"/>
      <c r="J75" s="107"/>
      <c r="K75" s="10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</row>
    <row r="76" spans="1:30" x14ac:dyDescent="0.25">
      <c r="A76" s="103"/>
      <c r="B76" s="103"/>
      <c r="C76" s="103"/>
      <c r="D76" s="103"/>
      <c r="E76" s="103"/>
      <c r="F76" s="103"/>
      <c r="G76" s="103"/>
      <c r="H76" s="103"/>
      <c r="I76" s="113"/>
      <c r="J76" s="104"/>
      <c r="K76" s="103"/>
      <c r="L76" s="103"/>
      <c r="M76" s="103"/>
      <c r="N76" s="103"/>
      <c r="O76" s="103"/>
      <c r="P76" s="103"/>
      <c r="Q76" s="103"/>
      <c r="R76" s="103"/>
      <c r="S76" s="103"/>
      <c r="T76" s="103"/>
      <c r="U76" s="103"/>
      <c r="V76" s="103"/>
      <c r="W76" s="103"/>
      <c r="X76" s="103"/>
      <c r="Y76" s="103"/>
    </row>
    <row r="77" spans="1:30" x14ac:dyDescent="0.25">
      <c r="A77" s="106"/>
      <c r="B77" s="106"/>
      <c r="C77" s="106"/>
      <c r="D77" s="106"/>
      <c r="E77" s="106"/>
      <c r="F77" s="106"/>
      <c r="G77" s="106"/>
      <c r="H77" s="106"/>
      <c r="I77" s="112"/>
      <c r="J77" s="107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</row>
    <row r="78" spans="1:30" x14ac:dyDescent="0.25">
      <c r="A78" s="103"/>
      <c r="B78" s="103"/>
      <c r="C78" s="103"/>
      <c r="D78" s="103"/>
      <c r="E78" s="103"/>
      <c r="F78" s="103"/>
      <c r="G78" s="103"/>
      <c r="H78" s="103"/>
      <c r="I78" s="113"/>
      <c r="J78" s="104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</row>
    <row r="79" spans="1:30" x14ac:dyDescent="0.25">
      <c r="A79" s="106"/>
      <c r="B79" s="106"/>
      <c r="C79" s="106"/>
      <c r="D79" s="106"/>
      <c r="E79" s="106"/>
      <c r="F79" s="106"/>
      <c r="G79" s="106"/>
      <c r="H79" s="106"/>
      <c r="I79" s="112"/>
      <c r="J79" s="107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</row>
    <row r="80" spans="1:30" x14ac:dyDescent="0.25">
      <c r="A80" s="103"/>
      <c r="B80" s="103"/>
      <c r="C80" s="103"/>
      <c r="D80" s="103"/>
      <c r="E80" s="103"/>
      <c r="F80" s="103"/>
      <c r="G80" s="103"/>
      <c r="H80" s="103"/>
      <c r="I80" s="113"/>
      <c r="J80" s="104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</row>
    <row r="81" spans="1:30" x14ac:dyDescent="0.25">
      <c r="A81" s="106"/>
      <c r="B81" s="106"/>
      <c r="C81" s="106"/>
      <c r="D81" s="106"/>
      <c r="E81" s="106"/>
      <c r="F81" s="106"/>
      <c r="G81" s="106"/>
      <c r="H81" s="106"/>
      <c r="I81" s="112"/>
      <c r="J81" s="107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</row>
    <row r="82" spans="1:30" x14ac:dyDescent="0.25">
      <c r="A82" s="103"/>
      <c r="B82" s="103"/>
      <c r="C82" s="103"/>
      <c r="D82" s="103"/>
      <c r="E82" s="103"/>
      <c r="F82" s="103"/>
      <c r="G82" s="103"/>
      <c r="H82" s="103"/>
      <c r="I82" s="113"/>
      <c r="J82" s="104"/>
      <c r="K82" s="103"/>
      <c r="L82" s="103"/>
      <c r="M82" s="103"/>
      <c r="N82" s="103"/>
      <c r="O82" s="103"/>
      <c r="P82" s="103"/>
      <c r="Q82" s="103"/>
      <c r="R82" s="103"/>
      <c r="S82" s="103"/>
      <c r="T82" s="103"/>
      <c r="U82" s="103"/>
      <c r="V82" s="103"/>
      <c r="W82" s="103"/>
      <c r="X82" s="103"/>
      <c r="Y82" s="103"/>
    </row>
    <row r="83" spans="1:30" ht="15.75" thickBot="1" x14ac:dyDescent="0.3">
      <c r="A83" s="106"/>
      <c r="B83" s="106"/>
      <c r="C83" s="106"/>
      <c r="D83" s="106"/>
      <c r="E83" s="106"/>
      <c r="F83" s="106"/>
      <c r="G83" s="106"/>
      <c r="H83" s="106"/>
      <c r="I83" s="106"/>
      <c r="J83" s="107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</row>
    <row r="84" spans="1:30" s="130" customFormat="1" ht="16.5" thickTop="1" thickBot="1" x14ac:dyDescent="0.3">
      <c r="A84" s="126" t="s">
        <v>392</v>
      </c>
      <c r="B84" s="126" t="s">
        <v>96</v>
      </c>
      <c r="C84" s="126" t="s">
        <v>97</v>
      </c>
      <c r="D84" s="126">
        <v>40050</v>
      </c>
      <c r="E84" s="126">
        <v>1595000</v>
      </c>
      <c r="F84" s="127" t="s">
        <v>449</v>
      </c>
      <c r="G84" s="126"/>
      <c r="H84" s="126"/>
      <c r="I84" s="126"/>
      <c r="J84" s="128"/>
      <c r="K84" s="126"/>
      <c r="L84" s="126"/>
      <c r="M84" s="126"/>
      <c r="N84" s="126"/>
      <c r="O84" s="126"/>
      <c r="P84" s="126"/>
      <c r="Q84" s="126"/>
      <c r="R84" s="126" t="s">
        <v>423</v>
      </c>
      <c r="S84" s="126"/>
      <c r="T84" s="126">
        <v>7</v>
      </c>
      <c r="U84" s="126"/>
      <c r="V84" s="126"/>
      <c r="W84" s="126"/>
      <c r="X84" s="126"/>
      <c r="Y84" s="126"/>
      <c r="Z84" s="129" t="s">
        <v>126</v>
      </c>
      <c r="AA84" s="129" t="s">
        <v>128</v>
      </c>
      <c r="AB84" s="129" t="s">
        <v>129</v>
      </c>
      <c r="AC84" s="129" t="s">
        <v>130</v>
      </c>
      <c r="AD84" s="129" t="s">
        <v>131</v>
      </c>
    </row>
    <row r="85" spans="1:30" s="130" customFormat="1" ht="15.75" thickTop="1" x14ac:dyDescent="0.25">
      <c r="A85" s="131" t="s">
        <v>394</v>
      </c>
      <c r="B85" s="131" t="s">
        <v>96</v>
      </c>
      <c r="C85" s="131" t="s">
        <v>97</v>
      </c>
      <c r="D85" s="131">
        <v>6037</v>
      </c>
      <c r="E85" s="131">
        <v>1849000</v>
      </c>
      <c r="F85" s="131">
        <v>3.2650000000000001E-3</v>
      </c>
      <c r="G85" s="131"/>
      <c r="H85" s="131"/>
      <c r="I85" s="131"/>
      <c r="J85" s="132"/>
      <c r="K85" s="131"/>
      <c r="L85" s="131"/>
      <c r="M85" s="131"/>
      <c r="N85" s="131"/>
      <c r="O85" s="131"/>
      <c r="P85" s="131"/>
      <c r="Q85" s="131"/>
      <c r="R85" s="131" t="s">
        <v>126</v>
      </c>
      <c r="S85" s="131"/>
      <c r="T85" s="131">
        <v>125</v>
      </c>
      <c r="U85" s="131"/>
      <c r="V85" s="131"/>
      <c r="W85" s="131"/>
      <c r="X85" s="131"/>
      <c r="Y85" s="131"/>
      <c r="Z85" s="133">
        <v>120</v>
      </c>
      <c r="AA85" s="134" t="s">
        <v>445</v>
      </c>
      <c r="AB85" s="134" t="s">
        <v>446</v>
      </c>
      <c r="AC85" s="134" t="s">
        <v>447</v>
      </c>
      <c r="AD85" s="134"/>
    </row>
    <row r="86" spans="1:30" s="130" customFormat="1" ht="15.75" thickBot="1" x14ac:dyDescent="0.3">
      <c r="A86" s="126" t="s">
        <v>395</v>
      </c>
      <c r="B86" s="126" t="s">
        <v>96</v>
      </c>
      <c r="C86" s="126" t="s">
        <v>97</v>
      </c>
      <c r="D86" s="126">
        <v>4733</v>
      </c>
      <c r="E86" s="126">
        <v>1853000</v>
      </c>
      <c r="F86" s="126">
        <v>2.555E-3</v>
      </c>
      <c r="G86" s="126"/>
      <c r="H86" s="126"/>
      <c r="I86" s="126"/>
      <c r="J86" s="128"/>
      <c r="K86" s="126"/>
      <c r="L86" s="126"/>
      <c r="M86" s="126"/>
      <c r="N86" s="126"/>
      <c r="O86" s="126"/>
      <c r="P86" s="126"/>
      <c r="Q86" s="126"/>
      <c r="R86" s="126" t="s">
        <v>127</v>
      </c>
      <c r="S86" s="126"/>
      <c r="T86" s="126">
        <v>130</v>
      </c>
      <c r="U86" s="126"/>
      <c r="V86" s="126"/>
      <c r="W86" s="126"/>
      <c r="X86" s="126"/>
      <c r="Y86" s="126"/>
      <c r="Z86" s="135">
        <v>0</v>
      </c>
      <c r="AA86" s="136">
        <v>1</v>
      </c>
      <c r="AB86" s="136">
        <v>1</v>
      </c>
      <c r="AC86" s="136">
        <v>1</v>
      </c>
      <c r="AD86" s="136">
        <v>1</v>
      </c>
    </row>
    <row r="87" spans="1:30" s="130" customFormat="1" ht="16.5" thickTop="1" thickBot="1" x14ac:dyDescent="0.3">
      <c r="A87" s="131" t="s">
        <v>424</v>
      </c>
      <c r="B87" s="131" t="s">
        <v>96</v>
      </c>
      <c r="C87" s="131" t="s">
        <v>97</v>
      </c>
      <c r="D87" s="131">
        <v>16070</v>
      </c>
      <c r="E87" s="131">
        <v>2284000</v>
      </c>
      <c r="F87" s="131">
        <v>7.0330000000000002E-3</v>
      </c>
      <c r="G87" s="131">
        <v>5.196622132593899</v>
      </c>
      <c r="H87" s="131">
        <v>120</v>
      </c>
      <c r="I87" s="131" t="s">
        <v>269</v>
      </c>
      <c r="J87" s="132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 t="s">
        <v>269</v>
      </c>
      <c r="V87" s="131">
        <v>0</v>
      </c>
      <c r="W87" s="131">
        <v>4.6051701859880918</v>
      </c>
      <c r="X87" s="131"/>
      <c r="Y87" s="131"/>
      <c r="Z87" s="137"/>
      <c r="AA87" s="137"/>
      <c r="AB87" s="137"/>
      <c r="AC87" s="137"/>
    </row>
    <row r="88" spans="1:30" s="130" customFormat="1" x14ac:dyDescent="0.25">
      <c r="A88" s="126" t="s">
        <v>425</v>
      </c>
      <c r="B88" s="126" t="s">
        <v>96</v>
      </c>
      <c r="C88" s="126" t="s">
        <v>97</v>
      </c>
      <c r="D88" s="126">
        <v>23100</v>
      </c>
      <c r="E88" s="126">
        <v>2268000</v>
      </c>
      <c r="F88" s="126">
        <v>1.018E-2</v>
      </c>
      <c r="G88" s="126">
        <v>7.7061691753232981</v>
      </c>
      <c r="H88" s="126">
        <v>120</v>
      </c>
      <c r="I88" s="126" t="s">
        <v>269</v>
      </c>
      <c r="J88" s="128"/>
      <c r="K88" s="126"/>
      <c r="L88" s="126"/>
      <c r="M88" s="126"/>
      <c r="N88" s="126"/>
      <c r="O88" s="126"/>
      <c r="P88" s="126"/>
      <c r="Q88" s="126"/>
      <c r="R88" s="126"/>
      <c r="S88" s="126"/>
      <c r="T88" s="126"/>
      <c r="U88" s="126" t="s">
        <v>269</v>
      </c>
      <c r="V88" s="126">
        <v>0</v>
      </c>
      <c r="W88" s="126">
        <v>4.6051701859880918</v>
      </c>
      <c r="X88" s="126"/>
      <c r="Y88" s="126"/>
      <c r="Z88" s="138" t="s">
        <v>132</v>
      </c>
      <c r="AA88" s="139" t="s">
        <v>269</v>
      </c>
      <c r="AB88" s="137"/>
      <c r="AC88" s="137"/>
    </row>
    <row r="89" spans="1:30" s="130" customFormat="1" x14ac:dyDescent="0.25">
      <c r="A89" s="131" t="s">
        <v>426</v>
      </c>
      <c r="B89" s="131" t="s">
        <v>96</v>
      </c>
      <c r="C89" s="131" t="s">
        <v>97</v>
      </c>
      <c r="D89" s="131">
        <v>14490</v>
      </c>
      <c r="E89" s="131">
        <v>2298000</v>
      </c>
      <c r="F89" s="131">
        <v>6.3039999999999997E-3</v>
      </c>
      <c r="G89" s="131">
        <v>4.488824229599258</v>
      </c>
      <c r="H89" s="131">
        <v>120</v>
      </c>
      <c r="I89" s="131" t="s">
        <v>269</v>
      </c>
      <c r="J89" s="132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 t="s">
        <v>269</v>
      </c>
      <c r="V89" s="131">
        <v>0</v>
      </c>
      <c r="W89" s="131">
        <v>4.6051701859880918</v>
      </c>
      <c r="X89" s="131"/>
      <c r="Y89" s="131"/>
      <c r="Z89" s="140" t="s">
        <v>133</v>
      </c>
      <c r="AA89" s="141" t="s">
        <v>269</v>
      </c>
      <c r="AB89" s="137"/>
      <c r="AC89" s="137"/>
    </row>
    <row r="90" spans="1:30" s="130" customFormat="1" x14ac:dyDescent="0.25">
      <c r="A90" s="126" t="s">
        <v>427</v>
      </c>
      <c r="B90" s="126" t="s">
        <v>96</v>
      </c>
      <c r="C90" s="126" t="s">
        <v>97</v>
      </c>
      <c r="D90" s="126">
        <v>90550</v>
      </c>
      <c r="E90" s="126">
        <v>1101000</v>
      </c>
      <c r="F90" s="126">
        <v>8.2250000000000004E-2</v>
      </c>
      <c r="G90" s="126">
        <v>100</v>
      </c>
      <c r="H90" s="126">
        <v>0</v>
      </c>
      <c r="I90" s="142">
        <v>4.6051701859880918</v>
      </c>
      <c r="J90" s="128"/>
      <c r="K90" s="126"/>
      <c r="L90" s="126"/>
      <c r="M90" s="126"/>
      <c r="N90" s="126"/>
      <c r="O90" s="126"/>
      <c r="P90" s="126"/>
      <c r="Q90" s="126"/>
      <c r="R90" s="126"/>
      <c r="S90" s="126"/>
      <c r="T90" s="126"/>
      <c r="U90" s="126">
        <v>4</v>
      </c>
      <c r="V90" s="126" t="s">
        <v>269</v>
      </c>
      <c r="W90" s="126" t="s">
        <v>269</v>
      </c>
      <c r="X90" s="126"/>
      <c r="Y90" s="126"/>
      <c r="Z90" s="140" t="s">
        <v>450</v>
      </c>
      <c r="AA90" s="141" t="s">
        <v>269</v>
      </c>
      <c r="AB90" s="137"/>
      <c r="AC90" s="137"/>
    </row>
    <row r="91" spans="1:30" s="130" customFormat="1" x14ac:dyDescent="0.25">
      <c r="A91" s="131" t="s">
        <v>428</v>
      </c>
      <c r="B91" s="131" t="s">
        <v>96</v>
      </c>
      <c r="C91" s="131" t="s">
        <v>97</v>
      </c>
      <c r="D91" s="131">
        <v>106100</v>
      </c>
      <c r="E91" s="131">
        <v>1091000</v>
      </c>
      <c r="F91" s="131">
        <v>9.7250000000000003E-2</v>
      </c>
      <c r="G91" s="131">
        <v>100</v>
      </c>
      <c r="H91" s="131">
        <v>0</v>
      </c>
      <c r="I91" s="143">
        <v>4.6051701859880918</v>
      </c>
      <c r="J91" s="132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>
        <v>5</v>
      </c>
      <c r="V91" s="131" t="s">
        <v>269</v>
      </c>
      <c r="W91" s="131" t="s">
        <v>269</v>
      </c>
      <c r="X91" s="131"/>
      <c r="Y91" s="131"/>
      <c r="Z91" s="140" t="s">
        <v>451</v>
      </c>
      <c r="AA91" s="141" t="s">
        <v>448</v>
      </c>
      <c r="AB91" s="137"/>
      <c r="AC91" s="137"/>
    </row>
    <row r="92" spans="1:30" s="130" customFormat="1" x14ac:dyDescent="0.25">
      <c r="A92" s="126" t="s">
        <v>429</v>
      </c>
      <c r="B92" s="126" t="s">
        <v>96</v>
      </c>
      <c r="C92" s="126" t="s">
        <v>97</v>
      </c>
      <c r="D92" s="126">
        <v>86410</v>
      </c>
      <c r="E92" s="126">
        <v>1100000</v>
      </c>
      <c r="F92" s="126">
        <v>7.8520000000000006E-2</v>
      </c>
      <c r="G92" s="126">
        <v>100</v>
      </c>
      <c r="H92" s="126">
        <v>0</v>
      </c>
      <c r="I92" s="142">
        <v>4.6051701859880918</v>
      </c>
      <c r="J92" s="128"/>
      <c r="K92" s="126"/>
      <c r="L92" s="126"/>
      <c r="M92" s="126"/>
      <c r="N92" s="126"/>
      <c r="O92" s="126"/>
      <c r="P92" s="126"/>
      <c r="Q92" s="126"/>
      <c r="R92" s="126"/>
      <c r="S92" s="126"/>
      <c r="T92" s="126"/>
      <c r="U92" s="126">
        <v>6</v>
      </c>
      <c r="V92" s="126" t="s">
        <v>269</v>
      </c>
      <c r="W92" s="126" t="s">
        <v>269</v>
      </c>
      <c r="X92" s="126"/>
      <c r="Y92" s="126"/>
      <c r="Z92" s="140" t="s">
        <v>452</v>
      </c>
      <c r="AA92" s="144">
        <v>0</v>
      </c>
      <c r="AB92" s="137"/>
      <c r="AC92" s="137"/>
    </row>
    <row r="93" spans="1:30" s="130" customFormat="1" ht="15.75" thickBot="1" x14ac:dyDescent="0.3">
      <c r="A93" s="131"/>
      <c r="B93" s="131"/>
      <c r="C93" s="131"/>
      <c r="D93" s="131"/>
      <c r="E93" s="131"/>
      <c r="F93" s="131"/>
      <c r="G93" s="131"/>
      <c r="H93" s="131"/>
      <c r="I93" s="143"/>
      <c r="J93" s="132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45" t="s">
        <v>118</v>
      </c>
      <c r="AA93" s="146" t="s">
        <v>137</v>
      </c>
      <c r="AB93" s="137"/>
      <c r="AC93" s="137"/>
    </row>
    <row r="94" spans="1:30" s="130" customFormat="1" x14ac:dyDescent="0.25">
      <c r="A94" s="126"/>
      <c r="B94" s="126"/>
      <c r="C94" s="126"/>
      <c r="D94" s="126"/>
      <c r="E94" s="126"/>
      <c r="F94" s="126"/>
      <c r="G94" s="126"/>
      <c r="H94" s="126"/>
      <c r="I94" s="142"/>
      <c r="J94" s="128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37"/>
      <c r="AA94" s="137"/>
      <c r="AB94" s="137"/>
      <c r="AC94" s="137"/>
    </row>
    <row r="95" spans="1:30" x14ac:dyDescent="0.25">
      <c r="A95" s="106"/>
      <c r="B95" s="106"/>
      <c r="C95" s="106"/>
      <c r="D95" s="106"/>
      <c r="E95" s="106"/>
      <c r="F95" s="106"/>
      <c r="G95" s="106"/>
      <c r="H95" s="106"/>
      <c r="I95" s="112"/>
      <c r="J95" s="107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</row>
    <row r="96" spans="1:30" x14ac:dyDescent="0.25">
      <c r="A96" s="103"/>
      <c r="B96" s="125"/>
      <c r="C96" s="103"/>
      <c r="D96" s="103"/>
      <c r="E96" s="103"/>
      <c r="F96" s="103"/>
      <c r="G96" s="103"/>
      <c r="H96" s="103"/>
      <c r="I96" s="113"/>
      <c r="J96" s="104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</row>
    <row r="97" spans="1:30" x14ac:dyDescent="0.25">
      <c r="A97" s="106"/>
      <c r="B97" s="106"/>
      <c r="C97" s="106"/>
      <c r="D97" s="106"/>
      <c r="E97" s="106"/>
      <c r="F97" s="106"/>
      <c r="G97" s="106"/>
      <c r="H97" s="106"/>
      <c r="I97" s="112"/>
      <c r="J97" s="107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</row>
    <row r="98" spans="1:30" x14ac:dyDescent="0.25">
      <c r="A98" s="103"/>
      <c r="B98" s="103"/>
      <c r="C98" s="103"/>
      <c r="D98" s="103"/>
      <c r="E98" s="103"/>
      <c r="F98" s="103"/>
      <c r="G98" s="103"/>
      <c r="H98" s="103"/>
      <c r="I98" s="113"/>
      <c r="J98" s="104"/>
      <c r="K98" s="103"/>
      <c r="L98" s="103"/>
      <c r="M98" s="103"/>
      <c r="N98" s="103"/>
      <c r="O98" s="103"/>
      <c r="P98" s="103"/>
      <c r="Q98" s="103"/>
      <c r="R98" s="103"/>
      <c r="S98" s="103"/>
      <c r="T98" s="103"/>
      <c r="U98" s="103"/>
      <c r="V98" s="103"/>
      <c r="W98" s="103"/>
      <c r="X98" s="103"/>
      <c r="Y98" s="103"/>
    </row>
    <row r="99" spans="1:30" x14ac:dyDescent="0.25">
      <c r="A99" s="106"/>
      <c r="B99" s="106"/>
      <c r="C99" s="106"/>
      <c r="D99" s="106"/>
      <c r="E99" s="106"/>
      <c r="F99" s="106"/>
      <c r="G99" s="106"/>
      <c r="H99" s="106"/>
      <c r="I99" s="112"/>
      <c r="J99" s="107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</row>
    <row r="100" spans="1:30" x14ac:dyDescent="0.25">
      <c r="A100" s="103"/>
      <c r="B100" s="103"/>
      <c r="C100" s="103"/>
      <c r="D100" s="103"/>
      <c r="E100" s="103"/>
      <c r="F100" s="103"/>
      <c r="G100" s="103"/>
      <c r="H100" s="103"/>
      <c r="I100" s="113"/>
      <c r="J100" s="104"/>
      <c r="K100" s="103"/>
      <c r="L100" s="103"/>
      <c r="M100" s="103"/>
      <c r="N100" s="103"/>
      <c r="O100" s="103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</row>
    <row r="101" spans="1:30" x14ac:dyDescent="0.25">
      <c r="A101" s="106"/>
      <c r="B101" s="106"/>
      <c r="C101" s="106"/>
      <c r="D101" s="106"/>
      <c r="E101" s="106"/>
      <c r="F101" s="106"/>
      <c r="G101" s="106"/>
      <c r="H101" s="106"/>
      <c r="I101" s="112"/>
      <c r="J101" s="107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</row>
    <row r="102" spans="1:30" x14ac:dyDescent="0.25">
      <c r="A102" s="103"/>
      <c r="B102" s="103"/>
      <c r="C102" s="103"/>
      <c r="D102" s="103"/>
      <c r="E102" s="103"/>
      <c r="F102" s="103"/>
      <c r="G102" s="103"/>
      <c r="H102" s="103"/>
      <c r="I102" s="113"/>
      <c r="J102" s="104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</row>
    <row r="103" spans="1:30" ht="15.75" thickBot="1" x14ac:dyDescent="0.3">
      <c r="A103" s="106"/>
      <c r="B103" s="106"/>
      <c r="C103" s="106"/>
      <c r="D103" s="106"/>
      <c r="E103" s="106"/>
      <c r="F103" s="106"/>
      <c r="G103" s="106"/>
      <c r="H103" s="106"/>
      <c r="I103" s="106"/>
      <c r="J103" s="107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</row>
    <row r="104" spans="1:30" ht="16.5" thickTop="1" thickBot="1" x14ac:dyDescent="0.3">
      <c r="A104" s="103" t="s">
        <v>392</v>
      </c>
      <c r="B104" s="103" t="s">
        <v>28</v>
      </c>
      <c r="C104" s="103" t="s">
        <v>29</v>
      </c>
      <c r="D104" s="103">
        <v>2591</v>
      </c>
      <c r="E104" s="103">
        <v>1595000</v>
      </c>
      <c r="F104" s="103">
        <v>1.624E-3</v>
      </c>
      <c r="G104" s="103"/>
      <c r="H104" s="103"/>
      <c r="I104" s="103"/>
      <c r="J104" s="104"/>
      <c r="K104" s="103"/>
      <c r="L104" s="103"/>
      <c r="M104" s="103"/>
      <c r="N104" s="103"/>
      <c r="O104" s="103"/>
      <c r="P104" s="103"/>
      <c r="Q104" s="103"/>
      <c r="R104" s="103" t="s">
        <v>430</v>
      </c>
      <c r="S104" s="103"/>
      <c r="T104" s="103">
        <v>8</v>
      </c>
      <c r="U104" s="103"/>
      <c r="V104" s="103"/>
      <c r="W104" s="103"/>
      <c r="X104" s="103"/>
      <c r="Y104" s="103"/>
      <c r="Z104" s="105" t="s">
        <v>126</v>
      </c>
      <c r="AA104" s="105" t="s">
        <v>128</v>
      </c>
      <c r="AB104" s="105" t="s">
        <v>129</v>
      </c>
      <c r="AC104" s="105" t="s">
        <v>130</v>
      </c>
      <c r="AD104" s="105" t="s">
        <v>131</v>
      </c>
    </row>
    <row r="105" spans="1:30" ht="15.75" thickTop="1" x14ac:dyDescent="0.25">
      <c r="A105" s="106" t="s">
        <v>394</v>
      </c>
      <c r="B105" s="106" t="s">
        <v>28</v>
      </c>
      <c r="C105" s="106" t="s">
        <v>29</v>
      </c>
      <c r="D105" s="106">
        <v>124</v>
      </c>
      <c r="E105" s="106">
        <v>1849000</v>
      </c>
      <c r="F105" s="106">
        <v>6.7039999999999995E-5</v>
      </c>
      <c r="G105" s="106"/>
      <c r="H105" s="106"/>
      <c r="I105" s="106"/>
      <c r="J105" s="107"/>
      <c r="K105" s="106"/>
      <c r="L105" s="106"/>
      <c r="M105" s="106"/>
      <c r="N105" s="106"/>
      <c r="O105" s="106"/>
      <c r="P105" s="106"/>
      <c r="Q105" s="106"/>
      <c r="R105" s="106" t="s">
        <v>126</v>
      </c>
      <c r="S105" s="106"/>
      <c r="T105" s="106">
        <v>145</v>
      </c>
      <c r="U105" s="106"/>
      <c r="V105" s="106"/>
      <c r="W105" s="106"/>
      <c r="X105" s="106"/>
      <c r="Y105" s="106"/>
      <c r="Z105" s="108">
        <v>120</v>
      </c>
      <c r="AA105" s="109">
        <v>0.17444503059780858</v>
      </c>
      <c r="AB105" s="109">
        <v>0.17862156186057745</v>
      </c>
      <c r="AC105" s="109">
        <v>0.19719149509854167</v>
      </c>
      <c r="AD105" s="109">
        <v>0.18341936251897586</v>
      </c>
    </row>
    <row r="106" spans="1:30" ht="15.75" thickBot="1" x14ac:dyDescent="0.3">
      <c r="A106" s="103" t="s">
        <v>395</v>
      </c>
      <c r="B106" s="103" t="s">
        <v>28</v>
      </c>
      <c r="C106" s="103" t="s">
        <v>29</v>
      </c>
      <c r="D106" s="103">
        <v>16.5</v>
      </c>
      <c r="E106" s="103">
        <v>1853000</v>
      </c>
      <c r="F106" s="103">
        <v>8.9029999999999993E-6</v>
      </c>
      <c r="G106" s="103"/>
      <c r="H106" s="103"/>
      <c r="I106" s="103"/>
      <c r="J106" s="104"/>
      <c r="K106" s="103"/>
      <c r="L106" s="103"/>
      <c r="M106" s="103"/>
      <c r="N106" s="103"/>
      <c r="O106" s="103"/>
      <c r="P106" s="103"/>
      <c r="Q106" s="103"/>
      <c r="R106" s="103" t="s">
        <v>127</v>
      </c>
      <c r="S106" s="103"/>
      <c r="T106" s="103">
        <v>150</v>
      </c>
      <c r="U106" s="103"/>
      <c r="V106" s="103"/>
      <c r="W106" s="103"/>
      <c r="X106" s="103"/>
      <c r="Y106" s="103"/>
      <c r="Z106" s="110">
        <v>0</v>
      </c>
      <c r="AA106" s="111">
        <v>1</v>
      </c>
      <c r="AB106" s="111">
        <v>1</v>
      </c>
      <c r="AC106" s="111">
        <v>1</v>
      </c>
      <c r="AD106" s="111">
        <v>1</v>
      </c>
    </row>
    <row r="107" spans="1:30" ht="16.5" thickTop="1" thickBot="1" x14ac:dyDescent="0.3">
      <c r="A107" s="106" t="s">
        <v>431</v>
      </c>
      <c r="B107" s="106" t="s">
        <v>28</v>
      </c>
      <c r="C107" s="106" t="s">
        <v>29</v>
      </c>
      <c r="D107" s="106">
        <v>65320</v>
      </c>
      <c r="E107" s="106">
        <v>2394000</v>
      </c>
      <c r="F107" s="106">
        <v>2.7279999999999999E-2</v>
      </c>
      <c r="G107" s="106">
        <v>17.444503059780857</v>
      </c>
      <c r="H107" s="106">
        <v>120</v>
      </c>
      <c r="I107" s="112">
        <v>2.8590245881212697</v>
      </c>
      <c r="J107" s="107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>
        <v>1</v>
      </c>
      <c r="V107" s="106">
        <v>120</v>
      </c>
      <c r="W107" s="106">
        <v>2.8590245881212697</v>
      </c>
      <c r="X107" s="106"/>
      <c r="Y107" s="106"/>
    </row>
    <row r="108" spans="1:30" x14ac:dyDescent="0.25">
      <c r="A108" s="103" t="s">
        <v>432</v>
      </c>
      <c r="B108" s="103" t="s">
        <v>28</v>
      </c>
      <c r="C108" s="103" t="s">
        <v>29</v>
      </c>
      <c r="D108" s="103">
        <v>76520</v>
      </c>
      <c r="E108" s="103">
        <v>2390000</v>
      </c>
      <c r="F108" s="103">
        <v>3.2009999999999997E-2</v>
      </c>
      <c r="G108" s="103">
        <v>17.862156186057746</v>
      </c>
      <c r="H108" s="103">
        <v>120</v>
      </c>
      <c r="I108" s="113">
        <v>2.8826842952643199</v>
      </c>
      <c r="J108" s="104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>
        <v>2</v>
      </c>
      <c r="V108" s="103">
        <v>120</v>
      </c>
      <c r="W108" s="103">
        <v>2.8826842952643199</v>
      </c>
      <c r="X108" s="103"/>
      <c r="Y108" s="103"/>
      <c r="Z108" s="114" t="s">
        <v>132</v>
      </c>
      <c r="AA108" s="124">
        <v>-1.4145031818438306E-2</v>
      </c>
    </row>
    <row r="109" spans="1:30" x14ac:dyDescent="0.25">
      <c r="A109" s="106" t="s">
        <v>433</v>
      </c>
      <c r="B109" s="106" t="s">
        <v>28</v>
      </c>
      <c r="C109" s="106" t="s">
        <v>29</v>
      </c>
      <c r="D109" s="106">
        <v>86110</v>
      </c>
      <c r="E109" s="106">
        <v>2308000</v>
      </c>
      <c r="F109" s="106">
        <v>3.7310000000000003E-2</v>
      </c>
      <c r="G109" s="106">
        <v>19.719149509854166</v>
      </c>
      <c r="H109" s="106">
        <v>120</v>
      </c>
      <c r="I109" s="112">
        <v>2.9815902199408959</v>
      </c>
      <c r="J109" s="107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>
        <v>3</v>
      </c>
      <c r="V109" s="106">
        <v>120</v>
      </c>
      <c r="W109" s="106">
        <v>2.9815902199408959</v>
      </c>
      <c r="X109" s="106"/>
      <c r="Y109" s="106"/>
      <c r="Z109" s="116" t="s">
        <v>133</v>
      </c>
      <c r="AA109" s="117">
        <v>4.6051701859880918</v>
      </c>
    </row>
    <row r="110" spans="1:30" ht="17.25" x14ac:dyDescent="0.25">
      <c r="A110" s="103" t="s">
        <v>434</v>
      </c>
      <c r="B110" s="103" t="s">
        <v>28</v>
      </c>
      <c r="C110" s="103" t="s">
        <v>29</v>
      </c>
      <c r="D110" s="103">
        <v>134300</v>
      </c>
      <c r="E110" s="103">
        <v>873600</v>
      </c>
      <c r="F110" s="103">
        <v>0.1537</v>
      </c>
      <c r="G110" s="103">
        <v>100</v>
      </c>
      <c r="H110" s="103">
        <v>0</v>
      </c>
      <c r="I110" s="113">
        <v>4.6051701859880918</v>
      </c>
      <c r="J110" s="104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>
        <v>4</v>
      </c>
      <c r="V110" s="103">
        <v>0</v>
      </c>
      <c r="W110" s="103">
        <v>4.6051701859880918</v>
      </c>
      <c r="X110" s="103"/>
      <c r="Y110" s="103"/>
      <c r="Z110" s="116" t="s">
        <v>134</v>
      </c>
      <c r="AA110" s="118">
        <v>0.99804748396799836</v>
      </c>
    </row>
    <row r="111" spans="1:30" ht="18" x14ac:dyDescent="0.35">
      <c r="A111" s="106" t="s">
        <v>435</v>
      </c>
      <c r="B111" s="106" t="s">
        <v>28</v>
      </c>
      <c r="C111" s="106" t="s">
        <v>29</v>
      </c>
      <c r="D111" s="106">
        <v>187700</v>
      </c>
      <c r="E111" s="106">
        <v>1063000</v>
      </c>
      <c r="F111" s="106">
        <v>0.17660000000000001</v>
      </c>
      <c r="G111" s="106">
        <v>100</v>
      </c>
      <c r="H111" s="106">
        <v>0</v>
      </c>
      <c r="I111" s="112">
        <v>4.6051701859880918</v>
      </c>
      <c r="J111" s="107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>
        <v>5</v>
      </c>
      <c r="V111" s="106">
        <v>0</v>
      </c>
      <c r="W111" s="106">
        <v>4.6051701859880918</v>
      </c>
      <c r="X111" s="106"/>
      <c r="Y111" s="106"/>
      <c r="Z111" s="116" t="s">
        <v>135</v>
      </c>
      <c r="AA111" s="119">
        <v>49.002871782615244</v>
      </c>
    </row>
    <row r="112" spans="1:30" ht="18.75" x14ac:dyDescent="0.35">
      <c r="A112" s="103" t="s">
        <v>436</v>
      </c>
      <c r="B112" s="103" t="s">
        <v>28</v>
      </c>
      <c r="C112" s="103" t="s">
        <v>29</v>
      </c>
      <c r="D112" s="103">
        <v>181900</v>
      </c>
      <c r="E112" s="103">
        <v>973600</v>
      </c>
      <c r="F112" s="103">
        <v>0.18690000000000001</v>
      </c>
      <c r="G112" s="103">
        <v>100</v>
      </c>
      <c r="H112" s="103">
        <v>0</v>
      </c>
      <c r="I112" s="113">
        <v>4.6051701859880918</v>
      </c>
      <c r="J112" s="104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>
        <v>6</v>
      </c>
      <c r="V112" s="103">
        <v>0</v>
      </c>
      <c r="W112" s="103">
        <v>4.6051701859880918</v>
      </c>
      <c r="X112" s="103"/>
      <c r="Y112" s="103"/>
      <c r="Z112" s="116" t="s">
        <v>136</v>
      </c>
      <c r="AA112" s="119">
        <v>28.29006363687661</v>
      </c>
    </row>
    <row r="113" spans="1:30" ht="15.75" thickBot="1" x14ac:dyDescent="0.3">
      <c r="A113" s="106"/>
      <c r="B113" s="106"/>
      <c r="C113" s="106"/>
      <c r="D113" s="106"/>
      <c r="E113" s="106"/>
      <c r="F113" s="106"/>
      <c r="G113" s="106"/>
      <c r="H113" s="106"/>
      <c r="I113" s="112"/>
      <c r="J113" s="107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20" t="s">
        <v>118</v>
      </c>
      <c r="AA113" s="121" t="s">
        <v>137</v>
      </c>
    </row>
    <row r="114" spans="1:30" x14ac:dyDescent="0.25">
      <c r="A114" s="103"/>
      <c r="B114" s="103"/>
      <c r="C114" s="103"/>
      <c r="D114" s="103"/>
      <c r="E114" s="103"/>
      <c r="F114" s="103"/>
      <c r="G114" s="103"/>
      <c r="H114" s="103"/>
      <c r="I114" s="113"/>
      <c r="J114" s="104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</row>
    <row r="115" spans="1:30" x14ac:dyDescent="0.25">
      <c r="A115" s="106"/>
      <c r="B115" s="106"/>
      <c r="C115" s="106"/>
      <c r="D115" s="106"/>
      <c r="E115" s="106"/>
      <c r="F115" s="106"/>
      <c r="G115" s="106"/>
      <c r="H115" s="106"/>
      <c r="I115" s="112"/>
      <c r="J115" s="107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</row>
    <row r="116" spans="1:30" x14ac:dyDescent="0.25">
      <c r="A116" s="103"/>
      <c r="B116" s="103"/>
      <c r="C116" s="103"/>
      <c r="D116" s="103"/>
      <c r="E116" s="103"/>
      <c r="F116" s="103"/>
      <c r="G116" s="103"/>
      <c r="H116" s="103"/>
      <c r="I116" s="113"/>
      <c r="J116" s="104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03"/>
      <c r="Y116" s="103"/>
    </row>
    <row r="117" spans="1:30" x14ac:dyDescent="0.25">
      <c r="A117" s="106"/>
      <c r="B117" s="106"/>
      <c r="C117" s="106"/>
      <c r="D117" s="106"/>
      <c r="E117" s="106"/>
      <c r="F117" s="106"/>
      <c r="G117" s="106"/>
      <c r="H117" s="106"/>
      <c r="I117" s="112"/>
      <c r="J117" s="107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</row>
    <row r="118" spans="1:30" x14ac:dyDescent="0.25">
      <c r="A118" s="103"/>
      <c r="B118" s="103"/>
      <c r="C118" s="103"/>
      <c r="D118" s="103"/>
      <c r="E118" s="103"/>
      <c r="F118" s="103"/>
      <c r="G118" s="103"/>
      <c r="H118" s="103"/>
      <c r="I118" s="113"/>
      <c r="J118" s="104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</row>
    <row r="119" spans="1:30" x14ac:dyDescent="0.25">
      <c r="A119" s="106"/>
      <c r="B119" s="106"/>
      <c r="C119" s="106"/>
      <c r="D119" s="106"/>
      <c r="E119" s="106"/>
      <c r="F119" s="106"/>
      <c r="G119" s="106"/>
      <c r="H119" s="106"/>
      <c r="I119" s="112"/>
      <c r="J119" s="107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</row>
    <row r="120" spans="1:30" x14ac:dyDescent="0.25">
      <c r="A120" s="103"/>
      <c r="B120" s="103"/>
      <c r="C120" s="103"/>
      <c r="D120" s="103"/>
      <c r="E120" s="103"/>
      <c r="F120" s="103"/>
      <c r="G120" s="103"/>
      <c r="H120" s="103"/>
      <c r="I120" s="113"/>
      <c r="J120" s="104"/>
      <c r="K120" s="103"/>
      <c r="L120" s="103"/>
      <c r="M120" s="103"/>
      <c r="N120" s="103"/>
      <c r="O120" s="103"/>
      <c r="P120" s="103"/>
      <c r="Q120" s="103"/>
      <c r="R120" s="103"/>
      <c r="S120" s="103"/>
      <c r="T120" s="103"/>
      <c r="U120" s="103"/>
      <c r="V120" s="103"/>
      <c r="W120" s="103"/>
      <c r="X120" s="103"/>
      <c r="Y120" s="103"/>
    </row>
    <row r="121" spans="1:30" x14ac:dyDescent="0.25">
      <c r="A121" s="106"/>
      <c r="B121" s="106"/>
      <c r="C121" s="106"/>
      <c r="D121" s="106"/>
      <c r="E121" s="106"/>
      <c r="F121" s="106"/>
      <c r="G121" s="106"/>
      <c r="H121" s="106"/>
      <c r="I121" s="112"/>
      <c r="J121" s="107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</row>
    <row r="122" spans="1:30" x14ac:dyDescent="0.25">
      <c r="A122" s="103"/>
      <c r="B122" s="103"/>
      <c r="C122" s="103"/>
      <c r="D122" s="103"/>
      <c r="E122" s="103"/>
      <c r="F122" s="103"/>
      <c r="G122" s="103"/>
      <c r="H122" s="103"/>
      <c r="I122" s="113"/>
      <c r="J122" s="104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</row>
    <row r="123" spans="1:30" ht="15.75" thickBot="1" x14ac:dyDescent="0.3">
      <c r="A123" s="106"/>
      <c r="B123" s="106"/>
      <c r="C123" s="106"/>
      <c r="D123" s="106"/>
      <c r="E123" s="106"/>
      <c r="F123" s="106"/>
      <c r="G123" s="106"/>
      <c r="H123" s="106"/>
      <c r="I123" s="106"/>
      <c r="J123" s="107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</row>
    <row r="124" spans="1:30" ht="16.5" thickTop="1" thickBot="1" x14ac:dyDescent="0.3">
      <c r="A124" s="103" t="s">
        <v>392</v>
      </c>
      <c r="B124" s="103" t="s">
        <v>7</v>
      </c>
      <c r="C124" s="103" t="s">
        <v>8</v>
      </c>
      <c r="D124" s="103">
        <v>249.2</v>
      </c>
      <c r="E124" s="103">
        <v>1595000</v>
      </c>
      <c r="F124" s="103">
        <v>1.562E-4</v>
      </c>
      <c r="G124" s="103"/>
      <c r="H124" s="103"/>
      <c r="I124" s="103"/>
      <c r="J124" s="104"/>
      <c r="K124" s="103"/>
      <c r="L124" s="103"/>
      <c r="M124" s="103"/>
      <c r="N124" s="103"/>
      <c r="O124" s="103"/>
      <c r="P124" s="103"/>
      <c r="Q124" s="103"/>
      <c r="R124" s="103" t="s">
        <v>437</v>
      </c>
      <c r="S124" s="103"/>
      <c r="T124" s="103">
        <v>9</v>
      </c>
      <c r="U124" s="103"/>
      <c r="V124" s="103"/>
      <c r="W124" s="103"/>
      <c r="X124" s="103"/>
      <c r="Y124" s="103"/>
      <c r="Z124" s="105" t="s">
        <v>126</v>
      </c>
      <c r="AA124" s="105" t="s">
        <v>128</v>
      </c>
      <c r="AB124" s="105" t="s">
        <v>129</v>
      </c>
      <c r="AC124" s="105" t="s">
        <v>130</v>
      </c>
      <c r="AD124" s="105" t="s">
        <v>131</v>
      </c>
    </row>
    <row r="125" spans="1:30" ht="15.75" thickTop="1" x14ac:dyDescent="0.25">
      <c r="A125" s="106" t="s">
        <v>394</v>
      </c>
      <c r="B125" s="106" t="s">
        <v>7</v>
      </c>
      <c r="C125" s="106" t="s">
        <v>8</v>
      </c>
      <c r="D125" s="106">
        <v>130.19999999999999</v>
      </c>
      <c r="E125" s="106">
        <v>1849000</v>
      </c>
      <c r="F125" s="106">
        <v>7.0409999999999998E-5</v>
      </c>
      <c r="G125" s="106"/>
      <c r="H125" s="106"/>
      <c r="I125" s="106"/>
      <c r="J125" s="107"/>
      <c r="K125" s="106"/>
      <c r="L125" s="106"/>
      <c r="M125" s="106"/>
      <c r="N125" s="106"/>
      <c r="O125" s="106"/>
      <c r="P125" s="106"/>
      <c r="Q125" s="106"/>
      <c r="R125" s="106" t="s">
        <v>126</v>
      </c>
      <c r="S125" s="106"/>
      <c r="T125" s="106">
        <v>165</v>
      </c>
      <c r="U125" s="106"/>
      <c r="V125" s="106"/>
      <c r="W125" s="106"/>
      <c r="X125" s="106"/>
      <c r="Y125" s="106"/>
      <c r="Z125" s="108">
        <v>120</v>
      </c>
      <c r="AA125" s="109">
        <v>0.76952092800176464</v>
      </c>
      <c r="AB125" s="109">
        <v>0.8289459349691285</v>
      </c>
      <c r="AC125" s="109">
        <v>0.78809904917885465</v>
      </c>
      <c r="AD125" s="109">
        <v>0.79552197071658259</v>
      </c>
    </row>
    <row r="126" spans="1:30" ht="15.75" thickBot="1" x14ac:dyDescent="0.3">
      <c r="A126" s="103" t="s">
        <v>395</v>
      </c>
      <c r="B126" s="103" t="s">
        <v>7</v>
      </c>
      <c r="C126" s="103" t="s">
        <v>8</v>
      </c>
      <c r="D126" s="103">
        <v>126.4</v>
      </c>
      <c r="E126" s="103">
        <v>1853000</v>
      </c>
      <c r="F126" s="103">
        <v>6.8239999999999997E-5</v>
      </c>
      <c r="G126" s="103"/>
      <c r="H126" s="103"/>
      <c r="I126" s="103"/>
      <c r="J126" s="104"/>
      <c r="K126" s="103"/>
      <c r="L126" s="103"/>
      <c r="M126" s="103"/>
      <c r="N126" s="103"/>
      <c r="O126" s="103"/>
      <c r="P126" s="103"/>
      <c r="Q126" s="103"/>
      <c r="R126" s="103" t="s">
        <v>127</v>
      </c>
      <c r="S126" s="103"/>
      <c r="T126" s="103">
        <v>170</v>
      </c>
      <c r="U126" s="103"/>
      <c r="V126" s="103"/>
      <c r="W126" s="103"/>
      <c r="X126" s="103"/>
      <c r="Y126" s="103"/>
      <c r="Z126" s="110">
        <v>0</v>
      </c>
      <c r="AA126" s="111">
        <v>1</v>
      </c>
      <c r="AB126" s="111">
        <v>1</v>
      </c>
      <c r="AC126" s="111">
        <v>1</v>
      </c>
      <c r="AD126" s="111">
        <v>1</v>
      </c>
    </row>
    <row r="127" spans="1:30" ht="16.5" thickTop="1" thickBot="1" x14ac:dyDescent="0.3">
      <c r="A127" s="106" t="s">
        <v>438</v>
      </c>
      <c r="B127" s="106" t="s">
        <v>7</v>
      </c>
      <c r="C127" s="106" t="s">
        <v>8</v>
      </c>
      <c r="D127" s="106">
        <v>4888000</v>
      </c>
      <c r="E127" s="106">
        <v>2469000</v>
      </c>
      <c r="F127" s="106">
        <v>1.98</v>
      </c>
      <c r="G127" s="106">
        <v>76.952092800176459</v>
      </c>
      <c r="H127" s="106">
        <v>120</v>
      </c>
      <c r="I127" s="112">
        <v>4.3431830567984449</v>
      </c>
      <c r="J127" s="107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>
        <v>1</v>
      </c>
      <c r="V127" s="106">
        <v>120</v>
      </c>
      <c r="W127" s="106">
        <v>4.3431830567984449</v>
      </c>
      <c r="X127" s="106"/>
      <c r="Y127" s="106"/>
    </row>
    <row r="128" spans="1:30" x14ac:dyDescent="0.25">
      <c r="A128" s="103" t="s">
        <v>439</v>
      </c>
      <c r="B128" s="103" t="s">
        <v>7</v>
      </c>
      <c r="C128" s="103" t="s">
        <v>8</v>
      </c>
      <c r="D128" s="103">
        <v>5051000</v>
      </c>
      <c r="E128" s="103">
        <v>2391000</v>
      </c>
      <c r="F128" s="103">
        <v>2.113</v>
      </c>
      <c r="G128" s="103">
        <v>82.894593496912847</v>
      </c>
      <c r="H128" s="103">
        <v>120</v>
      </c>
      <c r="I128" s="113">
        <v>4.4175698428482066</v>
      </c>
      <c r="J128" s="104"/>
      <c r="K128" s="103"/>
      <c r="L128" s="103"/>
      <c r="M128" s="103"/>
      <c r="N128" s="103"/>
      <c r="O128" s="103"/>
      <c r="P128" s="103"/>
      <c r="Q128" s="103"/>
      <c r="R128" s="103"/>
      <c r="S128" s="103"/>
      <c r="T128" s="103"/>
      <c r="U128" s="103">
        <v>2</v>
      </c>
      <c r="V128" s="103">
        <v>120</v>
      </c>
      <c r="W128" s="103">
        <v>4.4175698428482066</v>
      </c>
      <c r="X128" s="103"/>
      <c r="Y128" s="103"/>
      <c r="Z128" s="114" t="s">
        <v>132</v>
      </c>
      <c r="AA128" s="115">
        <v>-1.9103304789597404E-3</v>
      </c>
    </row>
    <row r="129" spans="1:27" x14ac:dyDescent="0.25">
      <c r="A129" s="106" t="s">
        <v>440</v>
      </c>
      <c r="B129" s="106" t="s">
        <v>7</v>
      </c>
      <c r="C129" s="106" t="s">
        <v>8</v>
      </c>
      <c r="D129" s="106">
        <v>4857000</v>
      </c>
      <c r="E129" s="106">
        <v>2320000</v>
      </c>
      <c r="F129" s="106">
        <v>2.0939999999999999</v>
      </c>
      <c r="G129" s="106">
        <v>78.809904917885461</v>
      </c>
      <c r="H129" s="106">
        <v>120</v>
      </c>
      <c r="I129" s="112">
        <v>4.3670386858921173</v>
      </c>
      <c r="J129" s="107"/>
      <c r="K129" s="106"/>
      <c r="L129" s="106"/>
      <c r="M129" s="106"/>
      <c r="N129" s="106"/>
      <c r="O129" s="106"/>
      <c r="P129" s="106"/>
      <c r="Q129" s="106"/>
      <c r="R129" s="106"/>
      <c r="S129" s="106"/>
      <c r="T129" s="106"/>
      <c r="U129" s="106">
        <v>3</v>
      </c>
      <c r="V129" s="106">
        <v>120</v>
      </c>
      <c r="W129" s="106">
        <v>4.3670386858921173</v>
      </c>
      <c r="X129" s="106"/>
      <c r="Y129" s="106"/>
      <c r="Z129" s="116" t="s">
        <v>133</v>
      </c>
      <c r="AA129" s="117">
        <v>4.6051701859880927</v>
      </c>
    </row>
    <row r="130" spans="1:27" ht="17.25" x14ac:dyDescent="0.25">
      <c r="A130" s="103" t="s">
        <v>441</v>
      </c>
      <c r="B130" s="103" t="s">
        <v>7</v>
      </c>
      <c r="C130" s="103" t="s">
        <v>8</v>
      </c>
      <c r="D130" s="103">
        <v>2532000</v>
      </c>
      <c r="E130" s="103">
        <v>984200</v>
      </c>
      <c r="F130" s="103">
        <v>2.573</v>
      </c>
      <c r="G130" s="103">
        <v>100</v>
      </c>
      <c r="H130" s="103">
        <v>0</v>
      </c>
      <c r="I130" s="113">
        <v>4.6051701859880918</v>
      </c>
      <c r="J130" s="104"/>
      <c r="K130" s="103"/>
      <c r="L130" s="103"/>
      <c r="M130" s="103"/>
      <c r="N130" s="103"/>
      <c r="O130" s="103"/>
      <c r="P130" s="103"/>
      <c r="Q130" s="103"/>
      <c r="R130" s="103"/>
      <c r="S130" s="103"/>
      <c r="T130" s="103"/>
      <c r="U130" s="103">
        <v>4</v>
      </c>
      <c r="V130" s="103">
        <v>0</v>
      </c>
      <c r="W130" s="103">
        <v>4.6051701859880918</v>
      </c>
      <c r="X130" s="103"/>
      <c r="Y130" s="103"/>
      <c r="Z130" s="116" t="s">
        <v>134</v>
      </c>
      <c r="AA130" s="118">
        <v>0.96468926184590886</v>
      </c>
    </row>
    <row r="131" spans="1:27" ht="18" x14ac:dyDescent="0.35">
      <c r="A131" s="106" t="s">
        <v>442</v>
      </c>
      <c r="B131" s="106" t="s">
        <v>7</v>
      </c>
      <c r="C131" s="106" t="s">
        <v>8</v>
      </c>
      <c r="D131" s="106">
        <v>2492000</v>
      </c>
      <c r="E131" s="106">
        <v>977500</v>
      </c>
      <c r="F131" s="106">
        <v>2.5489999999999999</v>
      </c>
      <c r="G131" s="106">
        <v>100</v>
      </c>
      <c r="H131" s="106">
        <v>0</v>
      </c>
      <c r="I131" s="112">
        <v>4.6051701859880918</v>
      </c>
      <c r="J131" s="107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>
        <v>5</v>
      </c>
      <c r="V131" s="106">
        <v>0</v>
      </c>
      <c r="W131" s="106">
        <v>4.6051701859880918</v>
      </c>
      <c r="X131" s="106"/>
      <c r="Y131" s="106"/>
      <c r="Z131" s="116" t="s">
        <v>135</v>
      </c>
      <c r="AA131" s="122">
        <v>362.84150213495764</v>
      </c>
    </row>
    <row r="132" spans="1:27" ht="18.75" x14ac:dyDescent="0.35">
      <c r="A132" s="103" t="s">
        <v>443</v>
      </c>
      <c r="B132" s="103" t="s">
        <v>7</v>
      </c>
      <c r="C132" s="103" t="s">
        <v>8</v>
      </c>
      <c r="D132" s="103">
        <v>2664000</v>
      </c>
      <c r="E132" s="103">
        <v>1003000</v>
      </c>
      <c r="F132" s="103">
        <v>2.657</v>
      </c>
      <c r="G132" s="103">
        <v>100</v>
      </c>
      <c r="H132" s="103">
        <v>0</v>
      </c>
      <c r="I132" s="113">
        <v>4.6051701859880918</v>
      </c>
      <c r="J132" s="104"/>
      <c r="K132" s="103"/>
      <c r="L132" s="103"/>
      <c r="M132" s="103"/>
      <c r="N132" s="103"/>
      <c r="O132" s="103"/>
      <c r="P132" s="103"/>
      <c r="Q132" s="103"/>
      <c r="R132" s="103"/>
      <c r="S132" s="103"/>
      <c r="T132" s="103"/>
      <c r="U132" s="103">
        <v>6</v>
      </c>
      <c r="V132" s="103">
        <v>0</v>
      </c>
      <c r="W132" s="103">
        <v>4.6051701859880918</v>
      </c>
      <c r="X132" s="103"/>
      <c r="Y132" s="103"/>
      <c r="Z132" s="116" t="s">
        <v>136</v>
      </c>
      <c r="AA132" s="117">
        <v>3.8206609579194808</v>
      </c>
    </row>
    <row r="133" spans="1:27" ht="15.75" thickBot="1" x14ac:dyDescent="0.3">
      <c r="A133" s="106"/>
      <c r="B133" s="106"/>
      <c r="C133" s="106"/>
      <c r="D133" s="106"/>
      <c r="E133" s="106"/>
      <c r="F133" s="106"/>
      <c r="G133" s="106"/>
      <c r="H133" s="106"/>
      <c r="I133" s="112"/>
      <c r="J133" s="107"/>
      <c r="K133" s="106"/>
      <c r="L133" s="106"/>
      <c r="M133" s="106"/>
      <c r="N133" s="106"/>
      <c r="O133" s="106"/>
      <c r="P133" s="106"/>
      <c r="Q133" s="106"/>
      <c r="R133" s="106"/>
      <c r="S133" s="106"/>
      <c r="T133" s="106"/>
      <c r="U133" s="106"/>
      <c r="V133" s="106"/>
      <c r="W133" s="106"/>
      <c r="X133" s="106"/>
      <c r="Y133" s="106"/>
      <c r="Z133" s="120" t="s">
        <v>118</v>
      </c>
      <c r="AA133" s="121" t="s">
        <v>444</v>
      </c>
    </row>
    <row r="134" spans="1:27" x14ac:dyDescent="0.25">
      <c r="A134" s="96"/>
      <c r="B134" s="96"/>
      <c r="C134" s="96"/>
      <c r="D134" s="96"/>
      <c r="E134" s="96"/>
      <c r="F134" s="96"/>
      <c r="I134" s="97"/>
    </row>
    <row r="135" spans="1:27" x14ac:dyDescent="0.25">
      <c r="A135" s="96"/>
      <c r="B135" s="96"/>
      <c r="C135" s="96"/>
      <c r="D135" s="96"/>
      <c r="E135" s="96"/>
      <c r="F135" s="96"/>
      <c r="I135" s="97"/>
    </row>
    <row r="136" spans="1:27" x14ac:dyDescent="0.25">
      <c r="A136" s="96"/>
      <c r="B136" s="96"/>
      <c r="C136" s="96"/>
      <c r="D136" s="96"/>
      <c r="E136" s="96"/>
      <c r="F136" s="96"/>
      <c r="I136" s="97"/>
    </row>
    <row r="137" spans="1:27" x14ac:dyDescent="0.25">
      <c r="A137" s="96"/>
      <c r="B137" s="96"/>
      <c r="C137" s="96"/>
      <c r="D137" s="96"/>
      <c r="E137" s="96"/>
      <c r="F137" s="96"/>
      <c r="I137" s="97"/>
    </row>
    <row r="138" spans="1:27" x14ac:dyDescent="0.25">
      <c r="A138" s="96"/>
      <c r="B138" s="96"/>
      <c r="C138" s="96"/>
      <c r="D138" s="96"/>
      <c r="E138" s="96"/>
      <c r="F138" s="96"/>
      <c r="I138" s="97"/>
    </row>
    <row r="139" spans="1:27" x14ac:dyDescent="0.25">
      <c r="A139" s="96"/>
      <c r="B139" s="96"/>
      <c r="C139" s="96"/>
      <c r="D139" s="96"/>
      <c r="E139" s="96"/>
      <c r="F139" s="96"/>
      <c r="I139" s="97"/>
    </row>
    <row r="140" spans="1:27" x14ac:dyDescent="0.25">
      <c r="A140" s="96"/>
      <c r="B140" s="96"/>
      <c r="C140" s="96"/>
      <c r="D140" s="96"/>
      <c r="E140" s="96"/>
      <c r="F140" s="96"/>
      <c r="I140" s="97"/>
    </row>
    <row r="141" spans="1:27" x14ac:dyDescent="0.25">
      <c r="A141" s="96"/>
      <c r="B141" s="96"/>
      <c r="C141" s="96"/>
      <c r="D141" s="96"/>
      <c r="E141" s="96"/>
      <c r="F141" s="96"/>
      <c r="I141" s="97"/>
    </row>
    <row r="142" spans="1:27" x14ac:dyDescent="0.25">
      <c r="A142" s="96"/>
      <c r="B142" s="96"/>
      <c r="C142" s="96"/>
      <c r="D142" s="96"/>
      <c r="E142" s="96"/>
      <c r="F142" s="96"/>
      <c r="I142" s="97"/>
    </row>
  </sheetData>
  <conditionalFormatting sqref="I5">
    <cfRule type="expression" dxfId="395" priority="168">
      <formula>ISTEXT($I$5)</formula>
    </cfRule>
  </conditionalFormatting>
  <conditionalFormatting sqref="I6">
    <cfRule type="expression" dxfId="394" priority="167">
      <formula>ISTEXT($I$6)</formula>
    </cfRule>
  </conditionalFormatting>
  <conditionalFormatting sqref="I7">
    <cfRule type="expression" dxfId="393" priority="166">
      <formula>ISTEXT($I$7)</formula>
    </cfRule>
  </conditionalFormatting>
  <conditionalFormatting sqref="I8">
    <cfRule type="expression" dxfId="392" priority="165">
      <formula>ISTEXT($I$8)</formula>
    </cfRule>
  </conditionalFormatting>
  <conditionalFormatting sqref="I9">
    <cfRule type="expression" dxfId="391" priority="164">
      <formula>ISTEXT($I$9)</formula>
    </cfRule>
  </conditionalFormatting>
  <conditionalFormatting sqref="I10:I20">
    <cfRule type="expression" dxfId="390" priority="163">
      <formula>ISTEXT($I$10)</formula>
    </cfRule>
  </conditionalFormatting>
  <conditionalFormatting sqref="I25">
    <cfRule type="expression" dxfId="389" priority="162">
      <formula>ISTEXT($I$25)</formula>
    </cfRule>
  </conditionalFormatting>
  <conditionalFormatting sqref="I26">
    <cfRule type="expression" dxfId="388" priority="161">
      <formula>ISTEXT($I$26)</formula>
    </cfRule>
  </conditionalFormatting>
  <conditionalFormatting sqref="I27">
    <cfRule type="expression" dxfId="387" priority="160">
      <formula>ISTEXT($I$27)</formula>
    </cfRule>
  </conditionalFormatting>
  <conditionalFormatting sqref="I28">
    <cfRule type="expression" dxfId="386" priority="159">
      <formula>ISTEXT($I$28)</formula>
    </cfRule>
  </conditionalFormatting>
  <conditionalFormatting sqref="I29">
    <cfRule type="expression" dxfId="385" priority="158">
      <formula>ISTEXT($I$29)</formula>
    </cfRule>
  </conditionalFormatting>
  <conditionalFormatting sqref="I30:I39">
    <cfRule type="expression" dxfId="384" priority="157">
      <formula>ISTEXT($I$30)</formula>
    </cfRule>
  </conditionalFormatting>
  <conditionalFormatting sqref="I47">
    <cfRule type="expression" dxfId="383" priority="144">
      <formula>ISTEXT($I$47)</formula>
    </cfRule>
  </conditionalFormatting>
  <conditionalFormatting sqref="I48">
    <cfRule type="expression" dxfId="382" priority="143">
      <formula>ISTEXT($I$48)</formula>
    </cfRule>
  </conditionalFormatting>
  <conditionalFormatting sqref="I49">
    <cfRule type="expression" dxfId="381" priority="142">
      <formula>ISTEXT($I$49)</formula>
    </cfRule>
  </conditionalFormatting>
  <conditionalFormatting sqref="I50">
    <cfRule type="expression" dxfId="380" priority="141">
      <formula>ISTEXT($I$50)</formula>
    </cfRule>
  </conditionalFormatting>
  <conditionalFormatting sqref="I51">
    <cfRule type="expression" dxfId="379" priority="140">
      <formula>ISTEXT($I$51)</formula>
    </cfRule>
  </conditionalFormatting>
  <conditionalFormatting sqref="I52:I62">
    <cfRule type="expression" dxfId="378" priority="139">
      <formula>ISTEXT($I$52)</formula>
    </cfRule>
  </conditionalFormatting>
  <conditionalFormatting sqref="I67">
    <cfRule type="expression" dxfId="377" priority="138">
      <formula>ISTEXT($I$67)</formula>
    </cfRule>
  </conditionalFormatting>
  <conditionalFormatting sqref="I68">
    <cfRule type="expression" dxfId="376" priority="137">
      <formula>ISTEXT($I$68)</formula>
    </cfRule>
  </conditionalFormatting>
  <conditionalFormatting sqref="I69">
    <cfRule type="expression" dxfId="375" priority="136">
      <formula>ISTEXT($I$69)</formula>
    </cfRule>
  </conditionalFormatting>
  <conditionalFormatting sqref="I70">
    <cfRule type="expression" dxfId="374" priority="135">
      <formula>ISTEXT($I$70)</formula>
    </cfRule>
  </conditionalFormatting>
  <conditionalFormatting sqref="I71">
    <cfRule type="expression" dxfId="373" priority="134">
      <formula>ISTEXT($I$71)</formula>
    </cfRule>
  </conditionalFormatting>
  <conditionalFormatting sqref="I72:I82">
    <cfRule type="expression" dxfId="372" priority="133">
      <formula>ISTEXT($I$72)</formula>
    </cfRule>
  </conditionalFormatting>
  <conditionalFormatting sqref="I95:I102">
    <cfRule type="expression" dxfId="371" priority="127">
      <formula>ISTEXT($I$92)</formula>
    </cfRule>
  </conditionalFormatting>
  <conditionalFormatting sqref="I107">
    <cfRule type="expression" dxfId="370" priority="126">
      <formula>ISTEXT($I$107)</formula>
    </cfRule>
  </conditionalFormatting>
  <conditionalFormatting sqref="I108">
    <cfRule type="expression" dxfId="369" priority="125">
      <formula>ISTEXT($I$108)</formula>
    </cfRule>
  </conditionalFormatting>
  <conditionalFormatting sqref="I109">
    <cfRule type="expression" dxfId="368" priority="124">
      <formula>ISTEXT($I$109)</formula>
    </cfRule>
  </conditionalFormatting>
  <conditionalFormatting sqref="I110">
    <cfRule type="expression" dxfId="367" priority="123">
      <formula>ISTEXT($I$110)</formula>
    </cfRule>
  </conditionalFormatting>
  <conditionalFormatting sqref="I111">
    <cfRule type="expression" dxfId="366" priority="122">
      <formula>ISTEXT($I$111)</formula>
    </cfRule>
  </conditionalFormatting>
  <conditionalFormatting sqref="I112:I122">
    <cfRule type="expression" dxfId="365" priority="121">
      <formula>ISTEXT($I$112)</formula>
    </cfRule>
  </conditionalFormatting>
  <conditionalFormatting sqref="I127">
    <cfRule type="expression" dxfId="364" priority="120">
      <formula>ISTEXT($I$127)</formula>
    </cfRule>
  </conditionalFormatting>
  <conditionalFormatting sqref="I128">
    <cfRule type="expression" dxfId="363" priority="119">
      <formula>ISTEXT($I$128)</formula>
    </cfRule>
  </conditionalFormatting>
  <conditionalFormatting sqref="I129">
    <cfRule type="expression" dxfId="362" priority="118">
      <formula>ISTEXT($I$129)</formula>
    </cfRule>
  </conditionalFormatting>
  <conditionalFormatting sqref="I130">
    <cfRule type="expression" dxfId="361" priority="117">
      <formula>ISTEXT($I$130)</formula>
    </cfRule>
  </conditionalFormatting>
  <conditionalFormatting sqref="I131">
    <cfRule type="expression" dxfId="360" priority="116">
      <formula>ISTEXT($I$131)</formula>
    </cfRule>
  </conditionalFormatting>
  <conditionalFormatting sqref="I132:I142">
    <cfRule type="expression" dxfId="359" priority="115">
      <formula>ISTEXT($I$132)</formula>
    </cfRule>
  </conditionalFormatting>
  <conditionalFormatting sqref="AA3">
    <cfRule type="expression" dxfId="358" priority="114">
      <formula>ISTEXT($AA$3)</formula>
    </cfRule>
  </conditionalFormatting>
  <conditionalFormatting sqref="AB3">
    <cfRule type="expression" dxfId="357" priority="113">
      <formula>ISTEXT($AB$3)</formula>
    </cfRule>
  </conditionalFormatting>
  <conditionalFormatting sqref="AC3">
    <cfRule type="expression" dxfId="356" priority="112">
      <formula>ISTEXT($AC$3)</formula>
    </cfRule>
  </conditionalFormatting>
  <conditionalFormatting sqref="AD3">
    <cfRule type="expression" dxfId="355" priority="111">
      <formula>ISTEXT($AD$3)</formula>
    </cfRule>
  </conditionalFormatting>
  <conditionalFormatting sqref="AA4">
    <cfRule type="expression" dxfId="354" priority="110">
      <formula>ISTEXT($AA$4)</formula>
    </cfRule>
  </conditionalFormatting>
  <conditionalFormatting sqref="AB4">
    <cfRule type="expression" dxfId="353" priority="109">
      <formula>ISTEXT($AB$4)</formula>
    </cfRule>
  </conditionalFormatting>
  <conditionalFormatting sqref="AC4">
    <cfRule type="expression" dxfId="352" priority="108">
      <formula>ISTEXT($AC$4)</formula>
    </cfRule>
  </conditionalFormatting>
  <conditionalFormatting sqref="AD4">
    <cfRule type="expression" dxfId="351" priority="107">
      <formula>ISTEXT($AD$4)</formula>
    </cfRule>
  </conditionalFormatting>
  <conditionalFormatting sqref="AA23">
    <cfRule type="expression" dxfId="350" priority="106">
      <formula>ISTEXT($AA$23)</formula>
    </cfRule>
  </conditionalFormatting>
  <conditionalFormatting sqref="AB23">
    <cfRule type="expression" dxfId="349" priority="105">
      <formula>ISTEXT($AB$23)</formula>
    </cfRule>
  </conditionalFormatting>
  <conditionalFormatting sqref="AC23">
    <cfRule type="expression" dxfId="348" priority="104">
      <formula>ISTEXT($AC$23)</formula>
    </cfRule>
  </conditionalFormatting>
  <conditionalFormatting sqref="AD23">
    <cfRule type="expression" dxfId="347" priority="103">
      <formula>ISTEXT($AD$23)</formula>
    </cfRule>
  </conditionalFormatting>
  <conditionalFormatting sqref="AA24">
    <cfRule type="expression" dxfId="346" priority="102">
      <formula>ISTEXT($AA$24)</formula>
    </cfRule>
  </conditionalFormatting>
  <conditionalFormatting sqref="AB24">
    <cfRule type="expression" dxfId="345" priority="101">
      <formula>ISTEXT($AB$24)</formula>
    </cfRule>
  </conditionalFormatting>
  <conditionalFormatting sqref="AC24">
    <cfRule type="expression" dxfId="344" priority="100">
      <formula>ISTEXT($AC$24)</formula>
    </cfRule>
  </conditionalFormatting>
  <conditionalFormatting sqref="AD24">
    <cfRule type="expression" dxfId="343" priority="99">
      <formula>ISTEXT($AD$24)</formula>
    </cfRule>
  </conditionalFormatting>
  <conditionalFormatting sqref="AA45">
    <cfRule type="expression" dxfId="342" priority="82">
      <formula>ISTEXT($AA$45)</formula>
    </cfRule>
  </conditionalFormatting>
  <conditionalFormatting sqref="AB45">
    <cfRule type="expression" dxfId="341" priority="81">
      <formula>ISTEXT($AB$45)</formula>
    </cfRule>
  </conditionalFormatting>
  <conditionalFormatting sqref="AC45">
    <cfRule type="expression" dxfId="340" priority="80">
      <formula>ISTEXT($AC$45)</formula>
    </cfRule>
  </conditionalFormatting>
  <conditionalFormatting sqref="AD45">
    <cfRule type="expression" dxfId="339" priority="79">
      <formula>ISTEXT($AD$45)</formula>
    </cfRule>
  </conditionalFormatting>
  <conditionalFormatting sqref="AA46">
    <cfRule type="expression" dxfId="338" priority="78">
      <formula>ISTEXT($AA$46)</formula>
    </cfRule>
  </conditionalFormatting>
  <conditionalFormatting sqref="AB46">
    <cfRule type="expression" dxfId="337" priority="77">
      <formula>ISTEXT($AB$46)</formula>
    </cfRule>
  </conditionalFormatting>
  <conditionalFormatting sqref="AC46">
    <cfRule type="expression" dxfId="336" priority="76">
      <formula>ISTEXT($AC$46)</formula>
    </cfRule>
  </conditionalFormatting>
  <conditionalFormatting sqref="AD46">
    <cfRule type="expression" dxfId="335" priority="75">
      <formula>ISTEXT($AD$46)</formula>
    </cfRule>
  </conditionalFormatting>
  <conditionalFormatting sqref="AA65">
    <cfRule type="expression" dxfId="334" priority="74">
      <formula>ISTEXT($AA$65)</formula>
    </cfRule>
  </conditionalFormatting>
  <conditionalFormatting sqref="AB65">
    <cfRule type="expression" dxfId="333" priority="73">
      <formula>ISTEXT($AB$65)</formula>
    </cfRule>
  </conditionalFormatting>
  <conditionalFormatting sqref="AC65">
    <cfRule type="expression" dxfId="332" priority="72">
      <formula>ISTEXT($AC$65)</formula>
    </cfRule>
  </conditionalFormatting>
  <conditionalFormatting sqref="AD65">
    <cfRule type="expression" dxfId="331" priority="71">
      <formula>ISTEXT($AD$65)</formula>
    </cfRule>
  </conditionalFormatting>
  <conditionalFormatting sqref="AA66">
    <cfRule type="expression" dxfId="330" priority="70">
      <formula>ISTEXT($AA$66)</formula>
    </cfRule>
  </conditionalFormatting>
  <conditionalFormatting sqref="AB66">
    <cfRule type="expression" dxfId="329" priority="69">
      <formula>ISTEXT($AB$66)</formula>
    </cfRule>
  </conditionalFormatting>
  <conditionalFormatting sqref="AC66">
    <cfRule type="expression" dxfId="328" priority="68">
      <formula>ISTEXT($AC$66)</formula>
    </cfRule>
  </conditionalFormatting>
  <conditionalFormatting sqref="AD66">
    <cfRule type="expression" dxfId="327" priority="67">
      <formula>ISTEXT($AD$66)</formula>
    </cfRule>
  </conditionalFormatting>
  <conditionalFormatting sqref="AA105">
    <cfRule type="expression" dxfId="326" priority="58">
      <formula>ISTEXT($AA$105)</formula>
    </cfRule>
  </conditionalFormatting>
  <conditionalFormatting sqref="AB105">
    <cfRule type="expression" dxfId="325" priority="57">
      <formula>ISTEXT($AB$105)</formula>
    </cfRule>
  </conditionalFormatting>
  <conditionalFormatting sqref="AC105">
    <cfRule type="expression" dxfId="324" priority="56">
      <formula>ISTEXT($AC$105)</formula>
    </cfRule>
  </conditionalFormatting>
  <conditionalFormatting sqref="AD105">
    <cfRule type="expression" dxfId="323" priority="55">
      <formula>ISTEXT($AD$105)</formula>
    </cfRule>
  </conditionalFormatting>
  <conditionalFormatting sqref="AA106">
    <cfRule type="expression" dxfId="322" priority="54">
      <formula>ISTEXT($AA$106)</formula>
    </cfRule>
  </conditionalFormatting>
  <conditionalFormatting sqref="AB106">
    <cfRule type="expression" dxfId="321" priority="53">
      <formula>ISTEXT($AB$106)</formula>
    </cfRule>
  </conditionalFormatting>
  <conditionalFormatting sqref="AC106">
    <cfRule type="expression" dxfId="320" priority="52">
      <formula>ISTEXT($AC$106)</formula>
    </cfRule>
  </conditionalFormatting>
  <conditionalFormatting sqref="AD106">
    <cfRule type="expression" dxfId="319" priority="51">
      <formula>ISTEXT($AD$106)</formula>
    </cfRule>
  </conditionalFormatting>
  <conditionalFormatting sqref="AA125">
    <cfRule type="expression" dxfId="318" priority="50">
      <formula>ISTEXT($AA$125)</formula>
    </cfRule>
  </conditionalFormatting>
  <conditionalFormatting sqref="AB125">
    <cfRule type="expression" dxfId="317" priority="49">
      <formula>ISTEXT($AB$125)</formula>
    </cfRule>
  </conditionalFormatting>
  <conditionalFormatting sqref="AC125">
    <cfRule type="expression" dxfId="316" priority="48">
      <formula>ISTEXT($AC$125)</formula>
    </cfRule>
  </conditionalFormatting>
  <conditionalFormatting sqref="AD125">
    <cfRule type="expression" dxfId="315" priority="47">
      <formula>ISTEXT($AD$125)</formula>
    </cfRule>
  </conditionalFormatting>
  <conditionalFormatting sqref="AA126">
    <cfRule type="expression" dxfId="314" priority="46">
      <formula>ISTEXT($AA$126)</formula>
    </cfRule>
  </conditionalFormatting>
  <conditionalFormatting sqref="AB126">
    <cfRule type="expression" dxfId="313" priority="45">
      <formula>ISTEXT($AB$126)</formula>
    </cfRule>
  </conditionalFormatting>
  <conditionalFormatting sqref="AC126">
    <cfRule type="expression" dxfId="312" priority="44">
      <formula>ISTEXT($AC$126)</formula>
    </cfRule>
  </conditionalFormatting>
  <conditionalFormatting sqref="AD126">
    <cfRule type="expression" dxfId="311" priority="43">
      <formula>ISTEXT($AD$126)</formula>
    </cfRule>
  </conditionalFormatting>
  <conditionalFormatting sqref="I40:I42">
    <cfRule type="expression" dxfId="310" priority="358">
      <formula>ISTEXT(#REF!)</formula>
    </cfRule>
  </conditionalFormatting>
  <conditionalFormatting sqref="I87">
    <cfRule type="expression" dxfId="309" priority="14">
      <formula>ISTEXT($I$125)</formula>
    </cfRule>
  </conditionalFormatting>
  <conditionalFormatting sqref="I88">
    <cfRule type="expression" dxfId="308" priority="13">
      <formula>ISTEXT($I$126)</formula>
    </cfRule>
  </conditionalFormatting>
  <conditionalFormatting sqref="I89">
    <cfRule type="expression" dxfId="307" priority="12">
      <formula>ISTEXT($I$127)</formula>
    </cfRule>
  </conditionalFormatting>
  <conditionalFormatting sqref="I90">
    <cfRule type="expression" dxfId="306" priority="11">
      <formula>ISTEXT($I$128)</formula>
    </cfRule>
  </conditionalFormatting>
  <conditionalFormatting sqref="I91">
    <cfRule type="expression" dxfId="305" priority="10">
      <formula>ISTEXT($I$129)</formula>
    </cfRule>
  </conditionalFormatting>
  <conditionalFormatting sqref="I92:I94">
    <cfRule type="expression" dxfId="304" priority="9">
      <formula>ISTEXT($I$130)</formula>
    </cfRule>
  </conditionalFormatting>
  <conditionalFormatting sqref="AA85">
    <cfRule type="expression" dxfId="303" priority="8">
      <formula>ISTEXT($AA$123)</formula>
    </cfRule>
  </conditionalFormatting>
  <conditionalFormatting sqref="AB85">
    <cfRule type="expression" dxfId="302" priority="7">
      <formula>ISTEXT($AB$123)</formula>
    </cfRule>
  </conditionalFormatting>
  <conditionalFormatting sqref="AC85">
    <cfRule type="expression" dxfId="301" priority="6">
      <formula>ISTEXT($AC$123)</formula>
    </cfRule>
  </conditionalFormatting>
  <conditionalFormatting sqref="AD85">
    <cfRule type="expression" dxfId="300" priority="5">
      <formula>ISTEXT($AD$123)</formula>
    </cfRule>
  </conditionalFormatting>
  <conditionalFormatting sqref="AA86">
    <cfRule type="expression" dxfId="299" priority="4">
      <formula>ISTEXT($AA$124)</formula>
    </cfRule>
  </conditionalFormatting>
  <conditionalFormatting sqref="AB86">
    <cfRule type="expression" dxfId="298" priority="3">
      <formula>ISTEXT($AB$124)</formula>
    </cfRule>
  </conditionalFormatting>
  <conditionalFormatting sqref="AC86">
    <cfRule type="expression" dxfId="297" priority="2">
      <formula>ISTEXT($AC$124)</formula>
    </cfRule>
  </conditionalFormatting>
  <conditionalFormatting sqref="AD86">
    <cfRule type="expression" dxfId="296" priority="1">
      <formula>ISTEXT($AD$124)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4"/>
  <sheetViews>
    <sheetView topLeftCell="C1" workbookViewId="0">
      <pane ySplit="1" topLeftCell="A5" activePane="bottomLeft" state="frozenSplit"/>
      <selection pane="bottomLeft" activeCell="R8" sqref="R8"/>
    </sheetView>
  </sheetViews>
  <sheetFormatPr defaultRowHeight="15" x14ac:dyDescent="0.25"/>
  <cols>
    <col min="1" max="1" width="62.5703125" style="1" bestFit="1" customWidth="1"/>
    <col min="2" max="2" width="15.85546875" style="1" bestFit="1" customWidth="1"/>
    <col min="3" max="3" width="11.85546875" style="1" bestFit="1" customWidth="1"/>
    <col min="4" max="4" width="8" style="1" bestFit="1" customWidth="1"/>
    <col min="5" max="5" width="10.5703125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8" customWidth="1"/>
    <col min="11" max="11" width="8.7109375" style="1" hidden="1" customWidth="1"/>
    <col min="12" max="17" width="8.7109375" style="1" customWidth="1"/>
    <col min="18" max="18" width="22.5703125" style="1" bestFit="1" customWidth="1"/>
    <col min="19" max="19" width="8.7109375" style="1" customWidth="1"/>
    <col min="20" max="25" width="8.7109375" style="1" hidden="1" customWidth="1"/>
    <col min="26" max="26" width="20.5703125" style="8" bestFit="1" customWidth="1"/>
    <col min="27" max="29" width="21" style="8" bestFit="1" customWidth="1"/>
    <col min="30" max="30" width="10.140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5" t="s">
        <v>120</v>
      </c>
      <c r="H1" s="5" t="s">
        <v>121</v>
      </c>
      <c r="I1" s="5" t="s">
        <v>122</v>
      </c>
      <c r="J1" s="7"/>
      <c r="K1" s="5"/>
      <c r="R1" s="6" t="s">
        <v>124</v>
      </c>
      <c r="Z1" s="34" t="s">
        <v>123</v>
      </c>
    </row>
    <row r="2" spans="1:30" ht="16.5" thickTop="1" thickBot="1" x14ac:dyDescent="0.3">
      <c r="A2" s="44" t="s">
        <v>6</v>
      </c>
      <c r="B2" s="44" t="s">
        <v>62</v>
      </c>
      <c r="C2" s="44" t="s">
        <v>63</v>
      </c>
      <c r="D2" s="44">
        <v>2.875</v>
      </c>
      <c r="E2" s="44">
        <v>1641000</v>
      </c>
      <c r="F2" s="44">
        <v>1.751E-6</v>
      </c>
      <c r="G2" s="44"/>
      <c r="H2" s="44"/>
      <c r="I2" s="44"/>
      <c r="J2" s="46"/>
      <c r="K2" s="44"/>
      <c r="L2" s="44"/>
      <c r="M2" s="44"/>
      <c r="N2" s="44"/>
      <c r="O2" s="44"/>
      <c r="P2" s="44"/>
      <c r="Q2" s="44"/>
      <c r="R2" s="44" t="s">
        <v>125</v>
      </c>
      <c r="S2" s="44"/>
      <c r="T2" s="44">
        <v>1</v>
      </c>
      <c r="U2" s="44"/>
      <c r="V2" s="44"/>
      <c r="W2" s="44"/>
      <c r="X2" s="44"/>
      <c r="Y2" s="44"/>
      <c r="Z2" s="9" t="s">
        <v>126</v>
      </c>
      <c r="AA2" s="9" t="s">
        <v>128</v>
      </c>
      <c r="AB2" s="9" t="s">
        <v>129</v>
      </c>
      <c r="AC2" s="9" t="s">
        <v>130</v>
      </c>
      <c r="AD2" s="9" t="s">
        <v>131</v>
      </c>
    </row>
    <row r="3" spans="1:30" ht="15.75" thickTop="1" x14ac:dyDescent="0.25">
      <c r="A3" s="45" t="s">
        <v>9</v>
      </c>
      <c r="B3" s="45" t="s">
        <v>62</v>
      </c>
      <c r="C3" s="45" t="s">
        <v>63</v>
      </c>
      <c r="D3" s="45">
        <v>6.835</v>
      </c>
      <c r="E3" s="45">
        <v>1692000</v>
      </c>
      <c r="F3" s="45">
        <v>4.0400000000000003E-6</v>
      </c>
      <c r="G3" s="45"/>
      <c r="H3" s="45"/>
      <c r="I3" s="45"/>
      <c r="J3" s="47"/>
      <c r="K3" s="45"/>
      <c r="L3" s="45"/>
      <c r="M3" s="45"/>
      <c r="N3" s="45"/>
      <c r="O3" s="45"/>
      <c r="P3" s="45"/>
      <c r="Q3" s="45"/>
      <c r="R3" s="45" t="s">
        <v>126</v>
      </c>
      <c r="S3" s="45"/>
      <c r="T3" s="45">
        <v>5</v>
      </c>
      <c r="U3" s="45"/>
      <c r="V3" s="45"/>
      <c r="W3" s="45"/>
      <c r="X3" s="45"/>
      <c r="Y3" s="45"/>
      <c r="Z3" s="10">
        <v>120</v>
      </c>
      <c r="AA3" s="11" t="s">
        <v>292</v>
      </c>
      <c r="AB3" s="11" t="s">
        <v>328</v>
      </c>
      <c r="AC3" s="11" t="s">
        <v>329</v>
      </c>
      <c r="AD3" s="11" t="s">
        <v>269</v>
      </c>
    </row>
    <row r="4" spans="1:30" x14ac:dyDescent="0.25">
      <c r="A4" s="44" t="s">
        <v>10</v>
      </c>
      <c r="B4" s="44" t="s">
        <v>62</v>
      </c>
      <c r="C4" s="44" t="s">
        <v>63</v>
      </c>
      <c r="D4" s="44">
        <v>1.496</v>
      </c>
      <c r="E4" s="44">
        <v>1672000</v>
      </c>
      <c r="F4" s="44">
        <v>8.9469999999999998E-7</v>
      </c>
      <c r="G4" s="44"/>
      <c r="H4" s="44"/>
      <c r="I4" s="44"/>
      <c r="J4" s="46"/>
      <c r="K4" s="44"/>
      <c r="L4" s="44"/>
      <c r="M4" s="44"/>
      <c r="N4" s="44"/>
      <c r="O4" s="44"/>
      <c r="P4" s="44"/>
      <c r="Q4" s="44"/>
      <c r="R4" s="44" t="s">
        <v>127</v>
      </c>
      <c r="S4" s="44"/>
      <c r="T4" s="44">
        <v>19</v>
      </c>
      <c r="U4" s="44"/>
      <c r="V4" s="44"/>
      <c r="W4" s="44"/>
      <c r="X4" s="44"/>
      <c r="Y4" s="44"/>
      <c r="Z4" s="10">
        <v>60</v>
      </c>
      <c r="AA4" s="11">
        <v>3.9971683271272498E-2</v>
      </c>
      <c r="AB4" s="11">
        <v>2.9982429061943171E-2</v>
      </c>
      <c r="AC4" s="11">
        <v>1.9986973561735986E-2</v>
      </c>
      <c r="AD4" s="11">
        <v>2.9980361964983882E-2</v>
      </c>
    </row>
    <row r="5" spans="1:30" x14ac:dyDescent="0.25">
      <c r="A5" s="45" t="s">
        <v>64</v>
      </c>
      <c r="B5" s="45" t="s">
        <v>62</v>
      </c>
      <c r="C5" s="45" t="s">
        <v>63</v>
      </c>
      <c r="D5" s="45">
        <v>18440</v>
      </c>
      <c r="E5" s="45">
        <v>1246000</v>
      </c>
      <c r="F5" s="45">
        <v>1.4789999999999999E-2</v>
      </c>
      <c r="G5" s="45">
        <v>1.3028899091721191</v>
      </c>
      <c r="H5" s="45">
        <v>120</v>
      </c>
      <c r="I5" s="48" t="s">
        <v>330</v>
      </c>
      <c r="J5" s="47"/>
      <c r="K5" s="45"/>
      <c r="L5" s="45"/>
      <c r="M5" s="45"/>
      <c r="N5" s="45"/>
      <c r="O5" s="45"/>
      <c r="P5" s="45"/>
      <c r="Q5" s="45"/>
      <c r="R5" s="45"/>
      <c r="S5" s="45"/>
      <c r="T5" s="45"/>
      <c r="U5" s="45" t="s">
        <v>269</v>
      </c>
      <c r="V5" s="45">
        <v>60</v>
      </c>
      <c r="W5" s="45">
        <v>1.3855861922092811</v>
      </c>
      <c r="X5" s="45"/>
      <c r="Y5" s="45"/>
      <c r="Z5" s="10">
        <v>30</v>
      </c>
      <c r="AA5" s="12">
        <v>0.10995419953620907</v>
      </c>
      <c r="AB5" s="11" t="s">
        <v>331</v>
      </c>
      <c r="AC5" s="11" t="s">
        <v>332</v>
      </c>
      <c r="AD5" s="11">
        <v>0.10995419953620907</v>
      </c>
    </row>
    <row r="6" spans="1:30" x14ac:dyDescent="0.25">
      <c r="A6" s="44" t="s">
        <v>65</v>
      </c>
      <c r="B6" s="44" t="s">
        <v>62</v>
      </c>
      <c r="C6" s="44" t="s">
        <v>63</v>
      </c>
      <c r="D6" s="44">
        <v>16240</v>
      </c>
      <c r="E6" s="44">
        <v>1315000</v>
      </c>
      <c r="F6" s="44">
        <v>1.235E-2</v>
      </c>
      <c r="G6" s="44">
        <v>1.3424441564031659</v>
      </c>
      <c r="H6" s="44">
        <v>120</v>
      </c>
      <c r="I6" s="49" t="s">
        <v>333</v>
      </c>
      <c r="J6" s="46"/>
      <c r="K6" s="44"/>
      <c r="L6" s="44"/>
      <c r="M6" s="44"/>
      <c r="N6" s="44"/>
      <c r="O6" s="44"/>
      <c r="P6" s="44"/>
      <c r="Q6" s="44"/>
      <c r="R6" s="44"/>
      <c r="S6" s="44"/>
      <c r="T6" s="44"/>
      <c r="U6" s="44" t="s">
        <v>269</v>
      </c>
      <c r="V6" s="44">
        <v>60</v>
      </c>
      <c r="W6" s="44">
        <v>1.0980264191448439</v>
      </c>
      <c r="X6" s="44"/>
      <c r="Y6" s="44"/>
      <c r="Z6" s="10">
        <v>15</v>
      </c>
      <c r="AA6" s="12">
        <v>0.22184869236822402</v>
      </c>
      <c r="AB6" s="12">
        <v>0.195040450200021</v>
      </c>
      <c r="AC6" s="12">
        <v>0.23622918255185865</v>
      </c>
      <c r="AD6" s="12">
        <v>0.2177061083733679</v>
      </c>
    </row>
    <row r="7" spans="1:30" ht="15.75" thickBot="1" x14ac:dyDescent="0.3">
      <c r="A7" s="45" t="s">
        <v>66</v>
      </c>
      <c r="B7" s="45" t="s">
        <v>62</v>
      </c>
      <c r="C7" s="45" t="s">
        <v>63</v>
      </c>
      <c r="D7" s="45">
        <v>35100</v>
      </c>
      <c r="E7" s="45">
        <v>1250000</v>
      </c>
      <c r="F7" s="45">
        <v>2.8070000000000001E-2</v>
      </c>
      <c r="G7" s="45">
        <v>1.648139058321257</v>
      </c>
      <c r="H7" s="45">
        <v>120</v>
      </c>
      <c r="I7" s="48" t="s">
        <v>334</v>
      </c>
      <c r="J7" s="47"/>
      <c r="K7" s="45"/>
      <c r="L7" s="45"/>
      <c r="M7" s="45"/>
      <c r="N7" s="45"/>
      <c r="O7" s="45"/>
      <c r="P7" s="45"/>
      <c r="Q7" s="45"/>
      <c r="R7" s="45"/>
      <c r="S7" s="45"/>
      <c r="T7" s="45"/>
      <c r="U7" s="45" t="s">
        <v>269</v>
      </c>
      <c r="V7" s="45">
        <v>60</v>
      </c>
      <c r="W7" s="45">
        <v>0.69249564644448092</v>
      </c>
      <c r="X7" s="45"/>
      <c r="Y7" s="45"/>
      <c r="Z7" s="13">
        <v>0</v>
      </c>
      <c r="AA7" s="14">
        <v>1</v>
      </c>
      <c r="AB7" s="14">
        <v>1</v>
      </c>
      <c r="AC7" s="14">
        <v>1</v>
      </c>
      <c r="AD7" s="14">
        <v>1</v>
      </c>
    </row>
    <row r="8" spans="1:30" ht="16.5" thickTop="1" thickBot="1" x14ac:dyDescent="0.3">
      <c r="A8" s="44" t="s">
        <v>67</v>
      </c>
      <c r="B8" s="44" t="s">
        <v>62</v>
      </c>
      <c r="C8" s="44" t="s">
        <v>63</v>
      </c>
      <c r="D8" s="44">
        <v>58880</v>
      </c>
      <c r="E8" s="44">
        <v>1298000</v>
      </c>
      <c r="F8" s="44">
        <v>4.5370000000000001E-2</v>
      </c>
      <c r="G8" s="44">
        <v>3.99716832712725</v>
      </c>
      <c r="H8" s="44">
        <v>60</v>
      </c>
      <c r="I8" s="49">
        <v>1.3855861922092811</v>
      </c>
      <c r="J8" s="46"/>
      <c r="K8" s="44"/>
      <c r="L8" s="44"/>
      <c r="M8" s="44"/>
      <c r="N8" s="44"/>
      <c r="O8" s="44"/>
      <c r="P8" s="44"/>
      <c r="Q8" s="44"/>
      <c r="R8" s="44"/>
      <c r="S8" s="44"/>
      <c r="T8" s="44"/>
      <c r="U8" s="44">
        <v>4</v>
      </c>
      <c r="V8" s="44">
        <v>30</v>
      </c>
      <c r="W8" s="44">
        <v>2.3974788182405629</v>
      </c>
      <c r="X8" s="44"/>
      <c r="Y8" s="44"/>
    </row>
    <row r="9" spans="1:30" x14ac:dyDescent="0.25">
      <c r="A9" s="45" t="s">
        <v>68</v>
      </c>
      <c r="B9" s="45" t="s">
        <v>62</v>
      </c>
      <c r="C9" s="45" t="s">
        <v>63</v>
      </c>
      <c r="D9" s="45">
        <v>37320</v>
      </c>
      <c r="E9" s="45">
        <v>1353000</v>
      </c>
      <c r="F9" s="45">
        <v>2.758E-2</v>
      </c>
      <c r="G9" s="45">
        <v>2.9982429061943172</v>
      </c>
      <c r="H9" s="45">
        <v>60</v>
      </c>
      <c r="I9" s="48">
        <v>1.0980264191448439</v>
      </c>
      <c r="J9" s="47"/>
      <c r="K9" s="45"/>
      <c r="L9" s="45"/>
      <c r="M9" s="45"/>
      <c r="N9" s="45"/>
      <c r="O9" s="45"/>
      <c r="P9" s="45"/>
      <c r="Q9" s="45"/>
      <c r="R9" s="45"/>
      <c r="S9" s="45"/>
      <c r="T9" s="45"/>
      <c r="U9" s="45">
        <v>5</v>
      </c>
      <c r="V9" s="45">
        <v>15</v>
      </c>
      <c r="W9" s="45">
        <v>3.0994104905976982</v>
      </c>
      <c r="X9" s="45"/>
      <c r="Y9" s="45"/>
      <c r="Z9" s="35" t="s">
        <v>132</v>
      </c>
      <c r="AA9" s="36">
        <v>-5.6001660581240335E-2</v>
      </c>
    </row>
    <row r="10" spans="1:30" x14ac:dyDescent="0.25">
      <c r="A10" s="44" t="s">
        <v>69</v>
      </c>
      <c r="B10" s="44" t="s">
        <v>62</v>
      </c>
      <c r="C10" s="44" t="s">
        <v>63</v>
      </c>
      <c r="D10" s="44">
        <v>52780</v>
      </c>
      <c r="E10" s="44">
        <v>1550000</v>
      </c>
      <c r="F10" s="44">
        <v>3.4040000000000001E-2</v>
      </c>
      <c r="G10" s="44">
        <v>1.9986973561735986</v>
      </c>
      <c r="H10" s="44">
        <v>60</v>
      </c>
      <c r="I10" s="49">
        <v>0.69249564644448092</v>
      </c>
      <c r="J10" s="46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>
        <v>6</v>
      </c>
      <c r="V10" s="44">
        <v>15</v>
      </c>
      <c r="W10" s="44">
        <v>2.970621880980822</v>
      </c>
      <c r="X10" s="44"/>
      <c r="Y10" s="44"/>
      <c r="Z10" s="37" t="s">
        <v>133</v>
      </c>
      <c r="AA10" s="38">
        <v>4.2901770807112989</v>
      </c>
    </row>
    <row r="11" spans="1:30" ht="17.25" x14ac:dyDescent="0.25">
      <c r="A11" s="45" t="s">
        <v>70</v>
      </c>
      <c r="B11" s="45" t="s">
        <v>62</v>
      </c>
      <c r="C11" s="45" t="s">
        <v>63</v>
      </c>
      <c r="D11" s="45">
        <v>154500</v>
      </c>
      <c r="E11" s="45">
        <v>1238000</v>
      </c>
      <c r="F11" s="45">
        <v>0.12479999999999999</v>
      </c>
      <c r="G11" s="45">
        <v>10.995419953620907</v>
      </c>
      <c r="H11" s="45">
        <v>30</v>
      </c>
      <c r="I11" s="48">
        <v>2.3974788182405629</v>
      </c>
      <c r="J11" s="47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>
        <v>7</v>
      </c>
      <c r="V11" s="45">
        <v>15</v>
      </c>
      <c r="W11" s="45">
        <v>3.1622173533147389</v>
      </c>
      <c r="X11" s="45"/>
      <c r="Y11" s="45"/>
      <c r="Z11" s="37" t="s">
        <v>134</v>
      </c>
      <c r="AA11" s="39">
        <v>0.94504880929180057</v>
      </c>
    </row>
    <row r="12" spans="1:30" ht="18" x14ac:dyDescent="0.35">
      <c r="A12" s="44" t="s">
        <v>71</v>
      </c>
      <c r="B12" s="44" t="s">
        <v>62</v>
      </c>
      <c r="C12" s="44" t="s">
        <v>63</v>
      </c>
      <c r="D12" s="44">
        <v>37690</v>
      </c>
      <c r="E12" s="44">
        <v>1517000</v>
      </c>
      <c r="F12" s="44">
        <v>2.4840000000000001E-2</v>
      </c>
      <c r="G12" s="44">
        <v>2.7003513386022129</v>
      </c>
      <c r="H12" s="44">
        <v>30</v>
      </c>
      <c r="I12" s="49" t="s">
        <v>335</v>
      </c>
      <c r="J12" s="46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 t="s">
        <v>269</v>
      </c>
      <c r="V12" s="44">
        <v>0</v>
      </c>
      <c r="W12" s="44">
        <v>4.6051701859880918</v>
      </c>
      <c r="X12" s="44"/>
      <c r="Y12" s="44"/>
      <c r="Z12" s="37" t="s">
        <v>135</v>
      </c>
      <c r="AA12" s="40">
        <v>12.377261198432008</v>
      </c>
    </row>
    <row r="13" spans="1:30" ht="18.75" x14ac:dyDescent="0.35">
      <c r="A13" s="45" t="s">
        <v>72</v>
      </c>
      <c r="B13" s="45" t="s">
        <v>62</v>
      </c>
      <c r="C13" s="45" t="s">
        <v>63</v>
      </c>
      <c r="D13" s="45">
        <v>63770</v>
      </c>
      <c r="E13" s="45">
        <v>1727000</v>
      </c>
      <c r="F13" s="45">
        <v>3.6920000000000001E-2</v>
      </c>
      <c r="G13" s="45">
        <v>2.167810906896336</v>
      </c>
      <c r="H13" s="45">
        <v>30</v>
      </c>
      <c r="I13" s="48" t="s">
        <v>336</v>
      </c>
      <c r="J13" s="47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 t="s">
        <v>269</v>
      </c>
      <c r="V13" s="45">
        <v>0</v>
      </c>
      <c r="W13" s="45">
        <v>4.6051701859880918</v>
      </c>
      <c r="X13" s="45"/>
      <c r="Y13" s="45"/>
      <c r="Z13" s="37" t="s">
        <v>136</v>
      </c>
      <c r="AA13" s="40">
        <v>112.00332116248067</v>
      </c>
    </row>
    <row r="14" spans="1:30" ht="15.75" thickBot="1" x14ac:dyDescent="0.3">
      <c r="A14" s="44" t="s">
        <v>73</v>
      </c>
      <c r="B14" s="44" t="s">
        <v>62</v>
      </c>
      <c r="C14" s="44" t="s">
        <v>63</v>
      </c>
      <c r="D14" s="44">
        <v>341600</v>
      </c>
      <c r="E14" s="44">
        <v>1357000</v>
      </c>
      <c r="F14" s="44">
        <v>0.25180000000000002</v>
      </c>
      <c r="G14" s="44">
        <v>22.184869236822401</v>
      </c>
      <c r="H14" s="44">
        <v>15</v>
      </c>
      <c r="I14" s="49">
        <v>3.0994104905976982</v>
      </c>
      <c r="J14" s="46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>
        <v>10</v>
      </c>
      <c r="V14" s="44">
        <v>0</v>
      </c>
      <c r="W14" s="44">
        <v>4.6051701859880918</v>
      </c>
      <c r="X14" s="44"/>
      <c r="Y14" s="44"/>
      <c r="Z14" s="41" t="s">
        <v>118</v>
      </c>
      <c r="AA14" s="42" t="s">
        <v>145</v>
      </c>
    </row>
    <row r="15" spans="1:30" x14ac:dyDescent="0.25">
      <c r="A15" s="45" t="s">
        <v>74</v>
      </c>
      <c r="B15" s="45" t="s">
        <v>62</v>
      </c>
      <c r="C15" s="45" t="s">
        <v>63</v>
      </c>
      <c r="D15" s="45">
        <v>241900</v>
      </c>
      <c r="E15" s="45">
        <v>1348000</v>
      </c>
      <c r="F15" s="45">
        <v>0.1794</v>
      </c>
      <c r="G15" s="45">
        <v>19.504045020002099</v>
      </c>
      <c r="H15" s="45">
        <v>15</v>
      </c>
      <c r="I15" s="48">
        <v>2.970621880980822</v>
      </c>
      <c r="J15" s="47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>
        <v>11</v>
      </c>
      <c r="V15" s="45" t="s">
        <v>269</v>
      </c>
      <c r="W15" s="45" t="s">
        <v>269</v>
      </c>
      <c r="X15" s="45"/>
      <c r="Y15" s="45"/>
    </row>
    <row r="16" spans="1:30" x14ac:dyDescent="0.25">
      <c r="A16" s="44" t="s">
        <v>75</v>
      </c>
      <c r="B16" s="44" t="s">
        <v>62</v>
      </c>
      <c r="C16" s="44" t="s">
        <v>63</v>
      </c>
      <c r="D16" s="44">
        <v>516000</v>
      </c>
      <c r="E16" s="44">
        <v>1283000</v>
      </c>
      <c r="F16" s="44">
        <v>0.40229999999999999</v>
      </c>
      <c r="G16" s="44">
        <v>23.622918255185866</v>
      </c>
      <c r="H16" s="44">
        <v>15</v>
      </c>
      <c r="I16" s="49">
        <v>3.1622173533147389</v>
      </c>
      <c r="J16" s="46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>
        <v>12</v>
      </c>
      <c r="V16" s="44" t="s">
        <v>269</v>
      </c>
      <c r="W16" s="44" t="s">
        <v>269</v>
      </c>
      <c r="X16" s="44"/>
      <c r="Y16" s="44"/>
    </row>
    <row r="17" spans="1:30" x14ac:dyDescent="0.25">
      <c r="A17" s="45" t="s">
        <v>76</v>
      </c>
      <c r="B17" s="45" t="s">
        <v>62</v>
      </c>
      <c r="C17" s="45" t="s">
        <v>63</v>
      </c>
      <c r="D17" s="45">
        <v>1399000</v>
      </c>
      <c r="E17" s="45">
        <v>1232000</v>
      </c>
      <c r="F17" s="45">
        <v>1.135</v>
      </c>
      <c r="G17" s="45">
        <v>100</v>
      </c>
      <c r="H17" s="45">
        <v>0</v>
      </c>
      <c r="I17" s="48">
        <v>4.6051701859880918</v>
      </c>
      <c r="J17" s="47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>
        <v>13</v>
      </c>
      <c r="V17" s="45" t="s">
        <v>269</v>
      </c>
      <c r="W17" s="45" t="s">
        <v>269</v>
      </c>
      <c r="X17" s="45"/>
      <c r="Y17" s="45"/>
    </row>
    <row r="18" spans="1:30" x14ac:dyDescent="0.25">
      <c r="A18" s="44" t="s">
        <v>77</v>
      </c>
      <c r="B18" s="44" t="s">
        <v>62</v>
      </c>
      <c r="C18" s="44" t="s">
        <v>63</v>
      </c>
      <c r="D18" s="44">
        <v>1171000</v>
      </c>
      <c r="E18" s="44">
        <v>1273000</v>
      </c>
      <c r="F18" s="44">
        <v>0.91979999999999995</v>
      </c>
      <c r="G18" s="44">
        <v>100</v>
      </c>
      <c r="H18" s="44">
        <v>0</v>
      </c>
      <c r="I18" s="49">
        <v>4.6051701859880918</v>
      </c>
      <c r="J18" s="46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>
        <v>14</v>
      </c>
      <c r="V18" s="44" t="s">
        <v>269</v>
      </c>
      <c r="W18" s="44" t="s">
        <v>269</v>
      </c>
      <c r="X18" s="44"/>
      <c r="Y18" s="44"/>
    </row>
    <row r="19" spans="1:30" x14ac:dyDescent="0.25">
      <c r="A19" s="45" t="s">
        <v>78</v>
      </c>
      <c r="B19" s="45" t="s">
        <v>62</v>
      </c>
      <c r="C19" s="45" t="s">
        <v>63</v>
      </c>
      <c r="D19" s="45">
        <v>2104000</v>
      </c>
      <c r="E19" s="45">
        <v>1236000</v>
      </c>
      <c r="F19" s="45">
        <v>1.7030000000000001</v>
      </c>
      <c r="G19" s="45">
        <v>100</v>
      </c>
      <c r="H19" s="45">
        <v>0</v>
      </c>
      <c r="I19" s="48">
        <v>4.6051701859880918</v>
      </c>
      <c r="J19" s="47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>
        <v>15</v>
      </c>
      <c r="V19" s="45" t="s">
        <v>269</v>
      </c>
      <c r="W19" s="45" t="s">
        <v>269</v>
      </c>
      <c r="X19" s="45"/>
      <c r="Y19" s="45"/>
    </row>
    <row r="20" spans="1:30" ht="15.75" thickBot="1" x14ac:dyDescent="0.3">
      <c r="A20" s="44"/>
      <c r="B20" s="44"/>
      <c r="C20" s="44"/>
      <c r="D20" s="44"/>
      <c r="E20" s="44"/>
      <c r="F20" s="44"/>
      <c r="G20" s="44"/>
      <c r="H20" s="44"/>
      <c r="I20" s="44"/>
      <c r="J20" s="46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</row>
    <row r="21" spans="1:30" ht="16.5" thickTop="1" thickBot="1" x14ac:dyDescent="0.3">
      <c r="A21" s="45" t="s">
        <v>6</v>
      </c>
      <c r="B21" s="45" t="s">
        <v>11</v>
      </c>
      <c r="C21" s="45" t="s">
        <v>12</v>
      </c>
      <c r="D21" s="45">
        <v>90.06</v>
      </c>
      <c r="E21" s="45">
        <v>1641000</v>
      </c>
      <c r="F21" s="45">
        <v>5.486E-5</v>
      </c>
      <c r="G21" s="45"/>
      <c r="H21" s="45"/>
      <c r="I21" s="45"/>
      <c r="J21" s="47"/>
      <c r="K21" s="45"/>
      <c r="L21" s="45"/>
      <c r="M21" s="45"/>
      <c r="N21" s="45"/>
      <c r="O21" s="45"/>
      <c r="P21" s="45"/>
      <c r="Q21" s="45"/>
      <c r="R21" s="45" t="s">
        <v>139</v>
      </c>
      <c r="S21" s="45"/>
      <c r="T21" s="45">
        <v>2</v>
      </c>
      <c r="U21" s="45"/>
      <c r="V21" s="45"/>
      <c r="W21" s="45"/>
      <c r="X21" s="45"/>
      <c r="Y21" s="45"/>
      <c r="Z21" s="9" t="s">
        <v>126</v>
      </c>
      <c r="AA21" s="9" t="s">
        <v>128</v>
      </c>
      <c r="AB21" s="9" t="s">
        <v>129</v>
      </c>
      <c r="AC21" s="9" t="s">
        <v>130</v>
      </c>
      <c r="AD21" s="9" t="s">
        <v>131</v>
      </c>
    </row>
    <row r="22" spans="1:30" ht="15.75" thickTop="1" x14ac:dyDescent="0.25">
      <c r="A22" s="44" t="s">
        <v>9</v>
      </c>
      <c r="B22" s="44" t="s">
        <v>11</v>
      </c>
      <c r="C22" s="44" t="s">
        <v>12</v>
      </c>
      <c r="D22" s="44">
        <v>116.2</v>
      </c>
      <c r="E22" s="44">
        <v>1692000</v>
      </c>
      <c r="F22" s="44">
        <v>6.8670000000000005E-5</v>
      </c>
      <c r="G22" s="44"/>
      <c r="H22" s="44"/>
      <c r="I22" s="44"/>
      <c r="J22" s="46"/>
      <c r="K22" s="44"/>
      <c r="L22" s="44"/>
      <c r="M22" s="44"/>
      <c r="N22" s="44"/>
      <c r="O22" s="44"/>
      <c r="P22" s="44"/>
      <c r="Q22" s="44"/>
      <c r="R22" s="44" t="s">
        <v>126</v>
      </c>
      <c r="S22" s="44"/>
      <c r="T22" s="44">
        <v>24</v>
      </c>
      <c r="U22" s="44"/>
      <c r="V22" s="44"/>
      <c r="W22" s="44"/>
      <c r="X22" s="44"/>
      <c r="Y22" s="44"/>
      <c r="Z22" s="10">
        <v>120</v>
      </c>
      <c r="AA22" s="12">
        <v>0.18380268748547091</v>
      </c>
      <c r="AB22" s="12">
        <v>0.17664992278787717</v>
      </c>
      <c r="AC22" s="12" t="s">
        <v>337</v>
      </c>
      <c r="AD22" s="12">
        <v>0.18022630513667404</v>
      </c>
    </row>
    <row r="23" spans="1:30" x14ac:dyDescent="0.25">
      <c r="A23" s="45" t="s">
        <v>10</v>
      </c>
      <c r="B23" s="45" t="s">
        <v>11</v>
      </c>
      <c r="C23" s="45" t="s">
        <v>12</v>
      </c>
      <c r="D23" s="45">
        <v>8.8249999999999993</v>
      </c>
      <c r="E23" s="45">
        <v>1672000</v>
      </c>
      <c r="F23" s="45">
        <v>5.2780000000000001E-6</v>
      </c>
      <c r="G23" s="45"/>
      <c r="H23" s="45"/>
      <c r="I23" s="45"/>
      <c r="J23" s="47"/>
      <c r="K23" s="45"/>
      <c r="L23" s="45"/>
      <c r="M23" s="45"/>
      <c r="N23" s="45"/>
      <c r="O23" s="45"/>
      <c r="P23" s="45"/>
      <c r="Q23" s="45"/>
      <c r="R23" s="45" t="s">
        <v>127</v>
      </c>
      <c r="S23" s="45"/>
      <c r="T23" s="45">
        <v>38</v>
      </c>
      <c r="U23" s="45"/>
      <c r="V23" s="45"/>
      <c r="W23" s="45"/>
      <c r="X23" s="45"/>
      <c r="Y23" s="45"/>
      <c r="Z23" s="10">
        <v>60</v>
      </c>
      <c r="AA23" s="12">
        <v>0.55359692441280339</v>
      </c>
      <c r="AB23" s="12">
        <v>0.1958405002838125</v>
      </c>
      <c r="AC23" s="15" t="s">
        <v>338</v>
      </c>
      <c r="AD23" s="12">
        <v>0.37471871234830795</v>
      </c>
    </row>
    <row r="24" spans="1:30" x14ac:dyDescent="0.25">
      <c r="A24" s="44" t="s">
        <v>13</v>
      </c>
      <c r="B24" s="44" t="s">
        <v>11</v>
      </c>
      <c r="C24" s="44" t="s">
        <v>12</v>
      </c>
      <c r="D24" s="44">
        <v>826400</v>
      </c>
      <c r="E24" s="44">
        <v>1083000</v>
      </c>
      <c r="F24" s="44">
        <v>0.76300000000000001</v>
      </c>
      <c r="G24" s="44">
        <v>18.380268748547092</v>
      </c>
      <c r="H24" s="44">
        <v>120</v>
      </c>
      <c r="I24" s="49">
        <v>2.9112777386131947</v>
      </c>
      <c r="J24" s="46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>
        <v>1</v>
      </c>
      <c r="V24" s="44">
        <v>120</v>
      </c>
      <c r="W24" s="44">
        <v>2.9112777386131947</v>
      </c>
      <c r="X24" s="44"/>
      <c r="Y24" s="44"/>
      <c r="Z24" s="10">
        <v>30</v>
      </c>
      <c r="AA24" s="12">
        <v>0.73909631362065087</v>
      </c>
      <c r="AB24" s="12">
        <v>0.66871272760688494</v>
      </c>
      <c r="AC24" s="15" t="s">
        <v>339</v>
      </c>
      <c r="AD24" s="15">
        <v>0.70390452061376796</v>
      </c>
    </row>
    <row r="25" spans="1:30" x14ac:dyDescent="0.25">
      <c r="A25" s="45" t="s">
        <v>14</v>
      </c>
      <c r="B25" s="45" t="s">
        <v>11</v>
      </c>
      <c r="C25" s="45" t="s">
        <v>12</v>
      </c>
      <c r="D25" s="45">
        <v>757800</v>
      </c>
      <c r="E25" s="45">
        <v>1099000</v>
      </c>
      <c r="F25" s="45">
        <v>0.6895</v>
      </c>
      <c r="G25" s="45">
        <v>17.664992278787718</v>
      </c>
      <c r="H25" s="45">
        <v>120</v>
      </c>
      <c r="I25" s="48">
        <v>2.8715848437200262</v>
      </c>
      <c r="J25" s="47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>
        <v>2</v>
      </c>
      <c r="V25" s="45">
        <v>120</v>
      </c>
      <c r="W25" s="45">
        <v>2.8715848437200262</v>
      </c>
      <c r="X25" s="45"/>
      <c r="Y25" s="45"/>
      <c r="Z25" s="10">
        <v>15</v>
      </c>
      <c r="AA25" s="12">
        <v>0.78896433123886434</v>
      </c>
      <c r="AB25" s="12">
        <v>0.82218610437678141</v>
      </c>
      <c r="AC25" s="15" t="s">
        <v>340</v>
      </c>
      <c r="AD25" s="15">
        <v>0.80557521780782282</v>
      </c>
    </row>
    <row r="26" spans="1:30" ht="15.75" thickBot="1" x14ac:dyDescent="0.3">
      <c r="A26" s="44" t="s">
        <v>15</v>
      </c>
      <c r="B26" s="44" t="s">
        <v>11</v>
      </c>
      <c r="C26" s="44" t="s">
        <v>12</v>
      </c>
      <c r="D26" s="44">
        <v>769000</v>
      </c>
      <c r="E26" s="44">
        <v>1150000</v>
      </c>
      <c r="F26" s="44">
        <v>0.66849999999999998</v>
      </c>
      <c r="G26" s="44">
        <v>49.443660734480247</v>
      </c>
      <c r="H26" s="44">
        <v>120</v>
      </c>
      <c r="I26" s="49" t="s">
        <v>341</v>
      </c>
      <c r="J26" s="4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 t="s">
        <v>269</v>
      </c>
      <c r="V26" s="44">
        <v>60</v>
      </c>
      <c r="W26" s="44">
        <v>4.0138517556812712</v>
      </c>
      <c r="X26" s="44"/>
      <c r="Y26" s="44"/>
      <c r="Z26" s="13">
        <v>0</v>
      </c>
      <c r="AA26" s="14">
        <v>1</v>
      </c>
      <c r="AB26" s="14">
        <v>1</v>
      </c>
      <c r="AC26" s="14" t="s">
        <v>342</v>
      </c>
      <c r="AD26" s="14">
        <v>1</v>
      </c>
    </row>
    <row r="27" spans="1:30" ht="16.5" thickTop="1" thickBot="1" x14ac:dyDescent="0.3">
      <c r="A27" s="45" t="s">
        <v>16</v>
      </c>
      <c r="B27" s="45" t="s">
        <v>11</v>
      </c>
      <c r="C27" s="45" t="s">
        <v>12</v>
      </c>
      <c r="D27" s="45">
        <v>2568000</v>
      </c>
      <c r="E27" s="45">
        <v>1118000</v>
      </c>
      <c r="F27" s="45">
        <v>2.298</v>
      </c>
      <c r="G27" s="45">
        <v>55.359692441280338</v>
      </c>
      <c r="H27" s="45">
        <v>60</v>
      </c>
      <c r="I27" s="48">
        <v>4.0138517556812712</v>
      </c>
      <c r="J27" s="47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>
        <v>4</v>
      </c>
      <c r="V27" s="45">
        <v>60</v>
      </c>
      <c r="W27" s="45">
        <v>2.9747154608804336</v>
      </c>
      <c r="X27" s="45"/>
      <c r="Y27" s="45"/>
    </row>
    <row r="28" spans="1:30" x14ac:dyDescent="0.25">
      <c r="A28" s="44" t="s">
        <v>17</v>
      </c>
      <c r="B28" s="44" t="s">
        <v>11</v>
      </c>
      <c r="C28" s="44" t="s">
        <v>12</v>
      </c>
      <c r="D28" s="44">
        <v>1151000</v>
      </c>
      <c r="E28" s="44">
        <v>1506000</v>
      </c>
      <c r="F28" s="44">
        <v>0.76439999999999997</v>
      </c>
      <c r="G28" s="44">
        <v>19.584050028381249</v>
      </c>
      <c r="H28" s="44">
        <v>60</v>
      </c>
      <c r="I28" s="49">
        <v>2.9747154608804336</v>
      </c>
      <c r="J28" s="46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>
        <v>5</v>
      </c>
      <c r="V28" s="44">
        <v>30</v>
      </c>
      <c r="W28" s="44">
        <v>4.3028431491245689</v>
      </c>
      <c r="X28" s="44"/>
      <c r="Y28" s="44"/>
      <c r="Z28" s="35" t="s">
        <v>132</v>
      </c>
      <c r="AA28" s="36">
        <v>-1.4823990838494682E-2</v>
      </c>
    </row>
    <row r="29" spans="1:30" x14ac:dyDescent="0.25">
      <c r="A29" s="45" t="s">
        <v>18</v>
      </c>
      <c r="B29" s="45" t="s">
        <v>11</v>
      </c>
      <c r="C29" s="45" t="s">
        <v>12</v>
      </c>
      <c r="D29" s="45">
        <v>2417000</v>
      </c>
      <c r="E29" s="45">
        <v>1171000</v>
      </c>
      <c r="F29" s="45">
        <v>2.0640000000000001</v>
      </c>
      <c r="G29" s="45">
        <v>152.66439437754218</v>
      </c>
      <c r="H29" s="45">
        <v>60</v>
      </c>
      <c r="I29" s="48" t="s">
        <v>343</v>
      </c>
      <c r="J29" s="47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 t="s">
        <v>269</v>
      </c>
      <c r="V29" s="45">
        <v>30</v>
      </c>
      <c r="W29" s="45">
        <v>4.2027694692433393</v>
      </c>
      <c r="X29" s="45"/>
      <c r="Y29" s="45"/>
      <c r="Z29" s="37" t="s">
        <v>133</v>
      </c>
      <c r="AA29" s="38">
        <v>4.5935696366624112</v>
      </c>
    </row>
    <row r="30" spans="1:30" ht="17.25" x14ac:dyDescent="0.25">
      <c r="A30" s="44" t="s">
        <v>19</v>
      </c>
      <c r="B30" s="44" t="s">
        <v>11</v>
      </c>
      <c r="C30" s="44" t="s">
        <v>12</v>
      </c>
      <c r="D30" s="44">
        <v>3407000</v>
      </c>
      <c r="E30" s="44">
        <v>1111000</v>
      </c>
      <c r="F30" s="44">
        <v>3.0680000000000001</v>
      </c>
      <c r="G30" s="44">
        <v>73.909631362065085</v>
      </c>
      <c r="H30" s="44">
        <v>30</v>
      </c>
      <c r="I30" s="49">
        <v>4.3028431491245689</v>
      </c>
      <c r="J30" s="46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>
        <v>7</v>
      </c>
      <c r="V30" s="44">
        <v>15</v>
      </c>
      <c r="W30" s="44">
        <v>4.3681360192746315</v>
      </c>
      <c r="X30" s="44"/>
      <c r="Y30" s="44"/>
      <c r="Z30" s="37" t="s">
        <v>134</v>
      </c>
      <c r="AA30" s="39">
        <v>0.85535530669822546</v>
      </c>
    </row>
    <row r="31" spans="1:30" ht="18" x14ac:dyDescent="0.35">
      <c r="A31" s="45" t="s">
        <v>20</v>
      </c>
      <c r="B31" s="45" t="s">
        <v>11</v>
      </c>
      <c r="C31" s="45" t="s">
        <v>12</v>
      </c>
      <c r="D31" s="45">
        <v>2613000</v>
      </c>
      <c r="E31" s="45">
        <v>1001000</v>
      </c>
      <c r="F31" s="45">
        <v>2.61</v>
      </c>
      <c r="G31" s="45">
        <v>66.871272760688498</v>
      </c>
      <c r="H31" s="45">
        <v>30</v>
      </c>
      <c r="I31" s="48">
        <v>4.2027694692433393</v>
      </c>
      <c r="J31" s="47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>
        <v>8</v>
      </c>
      <c r="V31" s="45">
        <v>15</v>
      </c>
      <c r="W31" s="45">
        <v>4.4093816807878525</v>
      </c>
      <c r="X31" s="45"/>
      <c r="Y31" s="45"/>
      <c r="Z31" s="37" t="s">
        <v>135</v>
      </c>
      <c r="AA31" s="40">
        <v>46.75847334983456</v>
      </c>
    </row>
    <row r="32" spans="1:30" ht="18.75" x14ac:dyDescent="0.35">
      <c r="A32" s="44" t="s">
        <v>21</v>
      </c>
      <c r="B32" s="44" t="s">
        <v>11</v>
      </c>
      <c r="C32" s="44" t="s">
        <v>12</v>
      </c>
      <c r="D32" s="44">
        <v>2954000</v>
      </c>
      <c r="E32" s="44">
        <v>1004000</v>
      </c>
      <c r="F32" s="44">
        <v>2.9420000000000002</v>
      </c>
      <c r="G32" s="44">
        <v>217.60728519703937</v>
      </c>
      <c r="H32" s="44">
        <v>30</v>
      </c>
      <c r="I32" s="49" t="s">
        <v>344</v>
      </c>
      <c r="J32" s="46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 t="s">
        <v>269</v>
      </c>
      <c r="V32" s="44">
        <v>0</v>
      </c>
      <c r="W32" s="44">
        <v>4.6051701859880918</v>
      </c>
      <c r="X32" s="44"/>
      <c r="Y32" s="44"/>
      <c r="Z32" s="37" t="s">
        <v>136</v>
      </c>
      <c r="AA32" s="40">
        <v>29.647981676989364</v>
      </c>
    </row>
    <row r="33" spans="1:30" ht="15.75" thickBot="1" x14ac:dyDescent="0.3">
      <c r="A33" s="45" t="s">
        <v>22</v>
      </c>
      <c r="B33" s="45" t="s">
        <v>11</v>
      </c>
      <c r="C33" s="45" t="s">
        <v>12</v>
      </c>
      <c r="D33" s="45">
        <v>3327000</v>
      </c>
      <c r="E33" s="45">
        <v>1016000</v>
      </c>
      <c r="F33" s="45">
        <v>3.2749999999999999</v>
      </c>
      <c r="G33" s="45">
        <v>78.896433123886439</v>
      </c>
      <c r="H33" s="45">
        <v>15</v>
      </c>
      <c r="I33" s="48">
        <v>4.3681360192746315</v>
      </c>
      <c r="J33" s="47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>
        <v>10</v>
      </c>
      <c r="V33" s="45">
        <v>0</v>
      </c>
      <c r="W33" s="45">
        <v>4.6051701859880918</v>
      </c>
      <c r="X33" s="45"/>
      <c r="Y33" s="45"/>
      <c r="Z33" s="41" t="s">
        <v>118</v>
      </c>
      <c r="AA33" s="42" t="s">
        <v>146</v>
      </c>
    </row>
    <row r="34" spans="1:30" x14ac:dyDescent="0.25">
      <c r="A34" s="44" t="s">
        <v>23</v>
      </c>
      <c r="B34" s="44" t="s">
        <v>11</v>
      </c>
      <c r="C34" s="44" t="s">
        <v>12</v>
      </c>
      <c r="D34" s="44">
        <v>3504000</v>
      </c>
      <c r="E34" s="44">
        <v>1092000</v>
      </c>
      <c r="F34" s="44">
        <v>3.2090000000000001</v>
      </c>
      <c r="G34" s="44">
        <v>82.218610437678137</v>
      </c>
      <c r="H34" s="44">
        <v>15</v>
      </c>
      <c r="I34" s="49">
        <v>4.4093816807878525</v>
      </c>
      <c r="J34" s="46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>
        <v>11</v>
      </c>
      <c r="V34" s="44" t="s">
        <v>269</v>
      </c>
      <c r="W34" s="44" t="s">
        <v>269</v>
      </c>
      <c r="X34" s="44"/>
      <c r="Y34" s="44"/>
    </row>
    <row r="35" spans="1:30" x14ac:dyDescent="0.25">
      <c r="A35" s="45" t="s">
        <v>24</v>
      </c>
      <c r="B35" s="45" t="s">
        <v>11</v>
      </c>
      <c r="C35" s="45" t="s">
        <v>12</v>
      </c>
      <c r="D35" s="45">
        <v>3258000</v>
      </c>
      <c r="E35" s="45">
        <v>1309000</v>
      </c>
      <c r="F35" s="45">
        <v>2.488</v>
      </c>
      <c r="G35" s="45">
        <v>184.02633709675266</v>
      </c>
      <c r="H35" s="45">
        <v>15</v>
      </c>
      <c r="I35" s="48" t="s">
        <v>345</v>
      </c>
      <c r="J35" s="47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 t="s">
        <v>269</v>
      </c>
      <c r="V35" s="45" t="s">
        <v>269</v>
      </c>
      <c r="W35" s="45" t="s">
        <v>269</v>
      </c>
      <c r="X35" s="45"/>
      <c r="Y35" s="45"/>
    </row>
    <row r="36" spans="1:30" x14ac:dyDescent="0.25">
      <c r="A36" s="44" t="s">
        <v>25</v>
      </c>
      <c r="B36" s="44" t="s">
        <v>11</v>
      </c>
      <c r="C36" s="44" t="s">
        <v>12</v>
      </c>
      <c r="D36" s="44">
        <v>4035000</v>
      </c>
      <c r="E36" s="44">
        <v>972100</v>
      </c>
      <c r="F36" s="44">
        <v>4.1509999999999998</v>
      </c>
      <c r="G36" s="44">
        <v>100</v>
      </c>
      <c r="H36" s="44">
        <v>0</v>
      </c>
      <c r="I36" s="49">
        <v>4.6051701859880918</v>
      </c>
      <c r="J36" s="46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>
        <v>13</v>
      </c>
      <c r="V36" s="44" t="s">
        <v>269</v>
      </c>
      <c r="W36" s="44" t="s">
        <v>269</v>
      </c>
      <c r="X36" s="44"/>
      <c r="Y36" s="44"/>
    </row>
    <row r="37" spans="1:30" x14ac:dyDescent="0.25">
      <c r="A37" s="45" t="s">
        <v>26</v>
      </c>
      <c r="B37" s="45" t="s">
        <v>11</v>
      </c>
      <c r="C37" s="45" t="s">
        <v>12</v>
      </c>
      <c r="D37" s="45">
        <v>4029000</v>
      </c>
      <c r="E37" s="45">
        <v>1032000</v>
      </c>
      <c r="F37" s="45">
        <v>3.903</v>
      </c>
      <c r="G37" s="45">
        <v>100</v>
      </c>
      <c r="H37" s="45">
        <v>0</v>
      </c>
      <c r="I37" s="48">
        <v>4.6051701859880918</v>
      </c>
      <c r="J37" s="47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>
        <v>14</v>
      </c>
      <c r="V37" s="45" t="s">
        <v>269</v>
      </c>
      <c r="W37" s="45" t="s">
        <v>269</v>
      </c>
      <c r="X37" s="45"/>
      <c r="Y37" s="45"/>
    </row>
    <row r="38" spans="1:30" x14ac:dyDescent="0.25">
      <c r="A38" s="44" t="s">
        <v>27</v>
      </c>
      <c r="B38" s="44" t="s">
        <v>11</v>
      </c>
      <c r="C38" s="44" t="s">
        <v>12</v>
      </c>
      <c r="D38" s="44">
        <v>1927000</v>
      </c>
      <c r="E38" s="44">
        <v>1425000</v>
      </c>
      <c r="F38" s="44">
        <v>1.3520000000000001</v>
      </c>
      <c r="G38" s="44">
        <v>100</v>
      </c>
      <c r="H38" s="44">
        <v>0</v>
      </c>
      <c r="I38" s="49" t="s">
        <v>346</v>
      </c>
      <c r="J38" s="46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 t="s">
        <v>269</v>
      </c>
      <c r="V38" s="44" t="s">
        <v>269</v>
      </c>
      <c r="W38" s="44" t="s">
        <v>269</v>
      </c>
      <c r="X38" s="44"/>
      <c r="Y38" s="44"/>
    </row>
    <row r="39" spans="1:30" ht="15.75" thickBot="1" x14ac:dyDescent="0.3">
      <c r="A39" s="45"/>
      <c r="B39" s="45"/>
      <c r="C39" s="45"/>
      <c r="D39" s="45"/>
      <c r="E39" s="45"/>
      <c r="F39" s="45"/>
      <c r="G39" s="45"/>
      <c r="H39" s="45"/>
      <c r="I39" s="45"/>
      <c r="J39" s="47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</row>
    <row r="40" spans="1:30" ht="16.5" thickTop="1" thickBot="1" x14ac:dyDescent="0.3">
      <c r="A40" s="44" t="s">
        <v>6</v>
      </c>
      <c r="B40" s="44" t="s">
        <v>45</v>
      </c>
      <c r="C40" s="44" t="s">
        <v>46</v>
      </c>
      <c r="D40" s="44">
        <v>8.625</v>
      </c>
      <c r="E40" s="44">
        <v>1641000</v>
      </c>
      <c r="F40" s="44">
        <v>5.2549999999999997E-6</v>
      </c>
      <c r="G40" s="44"/>
      <c r="H40" s="44"/>
      <c r="I40" s="44"/>
      <c r="J40" s="46"/>
      <c r="K40" s="44"/>
      <c r="L40" s="44"/>
      <c r="M40" s="44"/>
      <c r="N40" s="44"/>
      <c r="O40" s="44"/>
      <c r="P40" s="44"/>
      <c r="Q40" s="44"/>
      <c r="R40" s="44" t="s">
        <v>140</v>
      </c>
      <c r="S40" s="44"/>
      <c r="T40" s="44">
        <v>5</v>
      </c>
      <c r="U40" s="44"/>
      <c r="V40" s="44"/>
      <c r="W40" s="44"/>
      <c r="X40" s="44"/>
      <c r="Y40" s="44"/>
      <c r="Z40" s="9" t="s">
        <v>126</v>
      </c>
      <c r="AA40" s="9" t="s">
        <v>128</v>
      </c>
      <c r="AB40" s="9" t="s">
        <v>129</v>
      </c>
      <c r="AC40" s="9" t="s">
        <v>130</v>
      </c>
      <c r="AD40" s="9" t="s">
        <v>131</v>
      </c>
    </row>
    <row r="41" spans="1:30" ht="15.75" thickTop="1" x14ac:dyDescent="0.25">
      <c r="A41" s="45" t="s">
        <v>9</v>
      </c>
      <c r="B41" s="45" t="s">
        <v>45</v>
      </c>
      <c r="C41" s="45" t="s">
        <v>46</v>
      </c>
      <c r="D41" s="45">
        <v>17.7</v>
      </c>
      <c r="E41" s="45">
        <v>1692000</v>
      </c>
      <c r="F41" s="45">
        <v>1.046E-5</v>
      </c>
      <c r="G41" s="45"/>
      <c r="H41" s="45"/>
      <c r="I41" s="45"/>
      <c r="J41" s="47"/>
      <c r="K41" s="45"/>
      <c r="L41" s="45"/>
      <c r="M41" s="45"/>
      <c r="N41" s="45"/>
      <c r="O41" s="45"/>
      <c r="P41" s="45"/>
      <c r="Q41" s="45"/>
      <c r="R41" s="45" t="s">
        <v>126</v>
      </c>
      <c r="S41" s="45"/>
      <c r="T41" s="45">
        <v>81</v>
      </c>
      <c r="U41" s="45"/>
      <c r="V41" s="45"/>
      <c r="W41" s="45"/>
      <c r="X41" s="45"/>
      <c r="Y41" s="45"/>
      <c r="Z41" s="10">
        <v>120</v>
      </c>
      <c r="AA41" s="16" t="s">
        <v>284</v>
      </c>
      <c r="AB41" s="17" t="s">
        <v>284</v>
      </c>
      <c r="AC41" s="16" t="s">
        <v>284</v>
      </c>
      <c r="AD41" s="16" t="s">
        <v>269</v>
      </c>
    </row>
    <row r="42" spans="1:30" x14ac:dyDescent="0.25">
      <c r="A42" s="44" t="s">
        <v>10</v>
      </c>
      <c r="B42" s="44" t="s">
        <v>45</v>
      </c>
      <c r="C42" s="44" t="s">
        <v>46</v>
      </c>
      <c r="D42" s="44">
        <v>9.6720000000000006</v>
      </c>
      <c r="E42" s="44">
        <v>1672000</v>
      </c>
      <c r="F42" s="44">
        <v>5.7849999999999997E-6</v>
      </c>
      <c r="G42" s="44"/>
      <c r="H42" s="44"/>
      <c r="I42" s="44"/>
      <c r="J42" s="46"/>
      <c r="K42" s="44"/>
      <c r="L42" s="44"/>
      <c r="M42" s="44"/>
      <c r="N42" s="44"/>
      <c r="O42" s="44"/>
      <c r="P42" s="44"/>
      <c r="Q42" s="44"/>
      <c r="R42" s="44" t="s">
        <v>127</v>
      </c>
      <c r="S42" s="44"/>
      <c r="T42" s="44">
        <v>95</v>
      </c>
      <c r="U42" s="44"/>
      <c r="V42" s="44"/>
      <c r="W42" s="44"/>
      <c r="X42" s="44"/>
      <c r="Y42" s="44"/>
      <c r="Z42" s="10">
        <v>60</v>
      </c>
      <c r="AA42" s="17" t="s">
        <v>284</v>
      </c>
      <c r="AB42" s="17" t="s">
        <v>284</v>
      </c>
      <c r="AC42" s="17" t="s">
        <v>284</v>
      </c>
      <c r="AD42" s="17" t="s">
        <v>269</v>
      </c>
    </row>
    <row r="43" spans="1:30" x14ac:dyDescent="0.25">
      <c r="A43" s="45" t="s">
        <v>47</v>
      </c>
      <c r="B43" s="45" t="s">
        <v>45</v>
      </c>
      <c r="C43" s="45" t="s">
        <v>46</v>
      </c>
      <c r="D43" s="45">
        <v>82.59</v>
      </c>
      <c r="E43" s="45">
        <v>1189000</v>
      </c>
      <c r="F43" s="45">
        <v>6.9469999999999997E-5</v>
      </c>
      <c r="G43" s="45">
        <v>2.1937848786824994E-3</v>
      </c>
      <c r="H43" s="45">
        <v>120</v>
      </c>
      <c r="I43" s="48" t="s">
        <v>347</v>
      </c>
      <c r="J43" s="47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 t="s">
        <v>269</v>
      </c>
      <c r="V43" s="45">
        <v>15</v>
      </c>
      <c r="W43" s="45">
        <v>-4.3721202649453348</v>
      </c>
      <c r="X43" s="45"/>
      <c r="Y43" s="45"/>
      <c r="Z43" s="10">
        <v>30</v>
      </c>
      <c r="AA43" s="16" t="s">
        <v>284</v>
      </c>
      <c r="AB43" s="16" t="s">
        <v>284</v>
      </c>
      <c r="AC43" s="16" t="s">
        <v>284</v>
      </c>
      <c r="AD43" s="16" t="s">
        <v>269</v>
      </c>
    </row>
    <row r="44" spans="1:30" x14ac:dyDescent="0.25">
      <c r="A44" s="44" t="s">
        <v>48</v>
      </c>
      <c r="B44" s="44" t="s">
        <v>45</v>
      </c>
      <c r="C44" s="44" t="s">
        <v>46</v>
      </c>
      <c r="D44" s="44">
        <v>37.119999999999997</v>
      </c>
      <c r="E44" s="44">
        <v>1299000</v>
      </c>
      <c r="F44" s="44">
        <v>2.8569999999999999E-5</v>
      </c>
      <c r="G44" s="44">
        <v>6.8776936450742681E-4</v>
      </c>
      <c r="H44" s="44">
        <v>120</v>
      </c>
      <c r="I44" s="49" t="s">
        <v>348</v>
      </c>
      <c r="J44" s="46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 t="s">
        <v>269</v>
      </c>
      <c r="V44" s="44">
        <v>15</v>
      </c>
      <c r="W44" s="44">
        <v>-3.3211029358696957</v>
      </c>
      <c r="X44" s="44"/>
      <c r="Y44" s="44"/>
      <c r="Z44" s="10">
        <v>15</v>
      </c>
      <c r="AA44" s="18">
        <v>1.2624445003000888E-4</v>
      </c>
      <c r="AB44" s="18">
        <v>3.6112979480404763E-4</v>
      </c>
      <c r="AC44" s="18">
        <v>3.0549014485891409E-4</v>
      </c>
      <c r="AD44" s="18">
        <v>2.6428812989765687E-4</v>
      </c>
    </row>
    <row r="45" spans="1:30" ht="15.75" thickBot="1" x14ac:dyDescent="0.3">
      <c r="A45" s="45" t="s">
        <v>49</v>
      </c>
      <c r="B45" s="45" t="s">
        <v>45</v>
      </c>
      <c r="C45" s="45" t="s">
        <v>46</v>
      </c>
      <c r="D45" s="45">
        <v>136</v>
      </c>
      <c r="E45" s="45">
        <v>1412000</v>
      </c>
      <c r="F45" s="45">
        <v>9.6370000000000001E-5</v>
      </c>
      <c r="G45" s="45">
        <v>2.7928470096233258E-3</v>
      </c>
      <c r="H45" s="45">
        <v>120</v>
      </c>
      <c r="I45" s="48" t="s">
        <v>349</v>
      </c>
      <c r="J45" s="47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 t="s">
        <v>269</v>
      </c>
      <c r="V45" s="45">
        <v>15</v>
      </c>
      <c r="W45" s="45">
        <v>-3.4884228529391583</v>
      </c>
      <c r="X45" s="45"/>
      <c r="Y45" s="45"/>
      <c r="Z45" s="13">
        <v>0</v>
      </c>
      <c r="AA45" s="14">
        <v>1</v>
      </c>
      <c r="AB45" s="14">
        <v>1</v>
      </c>
      <c r="AC45" s="14">
        <v>1</v>
      </c>
      <c r="AD45" s="14">
        <v>1</v>
      </c>
    </row>
    <row r="46" spans="1:30" ht="16.5" thickTop="1" thickBot="1" x14ac:dyDescent="0.3">
      <c r="A46" s="44" t="s">
        <v>50</v>
      </c>
      <c r="B46" s="44" t="s">
        <v>45</v>
      </c>
      <c r="C46" s="44" t="s">
        <v>46</v>
      </c>
      <c r="D46" s="44">
        <v>33.65</v>
      </c>
      <c r="E46" s="44">
        <v>1268000</v>
      </c>
      <c r="F46" s="44">
        <v>2.654E-5</v>
      </c>
      <c r="G46" s="44">
        <v>6.8216134582968729E-4</v>
      </c>
      <c r="H46" s="44">
        <v>60</v>
      </c>
      <c r="I46" s="49" t="s">
        <v>350</v>
      </c>
      <c r="J46" s="46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 t="s">
        <v>269</v>
      </c>
      <c r="V46" s="44">
        <v>0</v>
      </c>
      <c r="W46" s="44">
        <v>4.6051701859880918</v>
      </c>
      <c r="X46" s="44"/>
      <c r="Y46" s="44"/>
    </row>
    <row r="47" spans="1:30" x14ac:dyDescent="0.25">
      <c r="A47" s="45" t="s">
        <v>51</v>
      </c>
      <c r="B47" s="45" t="s">
        <v>45</v>
      </c>
      <c r="C47" s="45" t="s">
        <v>46</v>
      </c>
      <c r="D47" s="45">
        <v>37.19</v>
      </c>
      <c r="E47" s="45">
        <v>1135000</v>
      </c>
      <c r="F47" s="45">
        <v>3.2759999999999998E-5</v>
      </c>
      <c r="G47" s="45">
        <v>8.2240977740040844E-4</v>
      </c>
      <c r="H47" s="45">
        <v>60</v>
      </c>
      <c r="I47" s="48" t="s">
        <v>351</v>
      </c>
      <c r="J47" s="47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 t="s">
        <v>269</v>
      </c>
      <c r="V47" s="45">
        <v>0</v>
      </c>
      <c r="W47" s="45">
        <v>4.6051701859880918</v>
      </c>
      <c r="X47" s="45"/>
      <c r="Y47" s="45"/>
      <c r="Z47" s="35" t="s">
        <v>132</v>
      </c>
      <c r="AA47" s="36">
        <v>-0.55549236914929923</v>
      </c>
    </row>
    <row r="48" spans="1:30" x14ac:dyDescent="0.25">
      <c r="A48" s="44" t="s">
        <v>52</v>
      </c>
      <c r="B48" s="44" t="s">
        <v>45</v>
      </c>
      <c r="C48" s="44" t="s">
        <v>46</v>
      </c>
      <c r="D48" s="44">
        <v>54.42</v>
      </c>
      <c r="E48" s="44">
        <v>1521000</v>
      </c>
      <c r="F48" s="44">
        <v>3.578E-5</v>
      </c>
      <c r="G48" s="44">
        <v>8.9584838872264216E-4</v>
      </c>
      <c r="H48" s="44">
        <v>60</v>
      </c>
      <c r="I48" s="49" t="s">
        <v>352</v>
      </c>
      <c r="J48" s="46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 t="s">
        <v>269</v>
      </c>
      <c r="V48" s="44">
        <v>0</v>
      </c>
      <c r="W48" s="44">
        <v>4.6051701859880918</v>
      </c>
      <c r="X48" s="44"/>
      <c r="Y48" s="44"/>
      <c r="Z48" s="37" t="s">
        <v>133</v>
      </c>
      <c r="AA48" s="39">
        <v>4.6051701859880918</v>
      </c>
    </row>
    <row r="49" spans="1:30" ht="17.25" x14ac:dyDescent="0.25">
      <c r="A49" s="45" t="s">
        <v>53</v>
      </c>
      <c r="B49" s="45" t="s">
        <v>45</v>
      </c>
      <c r="C49" s="45" t="s">
        <v>46</v>
      </c>
      <c r="D49" s="45">
        <v>59.92</v>
      </c>
      <c r="E49" s="45">
        <v>1224000</v>
      </c>
      <c r="F49" s="45">
        <v>4.8930000000000001E-5</v>
      </c>
      <c r="G49" s="45">
        <v>1.4705436169821322E-3</v>
      </c>
      <c r="H49" s="45">
        <v>30</v>
      </c>
      <c r="I49" s="48" t="s">
        <v>353</v>
      </c>
      <c r="J49" s="47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 t="s">
        <v>269</v>
      </c>
      <c r="V49" s="45" t="s">
        <v>269</v>
      </c>
      <c r="W49" s="45" t="s">
        <v>269</v>
      </c>
      <c r="X49" s="45"/>
      <c r="Y49" s="45"/>
      <c r="Z49" s="37" t="s">
        <v>134</v>
      </c>
      <c r="AA49" s="39">
        <v>0.99391251690131344</v>
      </c>
    </row>
    <row r="50" spans="1:30" ht="18" x14ac:dyDescent="0.35">
      <c r="A50" s="44" t="s">
        <v>54</v>
      </c>
      <c r="B50" s="44" t="s">
        <v>45</v>
      </c>
      <c r="C50" s="44" t="s">
        <v>46</v>
      </c>
      <c r="D50" s="44">
        <v>73.28</v>
      </c>
      <c r="E50" s="44">
        <v>1205000</v>
      </c>
      <c r="F50" s="44">
        <v>6.0819999999999997E-5</v>
      </c>
      <c r="G50" s="44">
        <v>1.7240828050321668E-3</v>
      </c>
      <c r="H50" s="44">
        <v>30</v>
      </c>
      <c r="I50" s="49" t="s">
        <v>354</v>
      </c>
      <c r="J50" s="46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 t="s">
        <v>269</v>
      </c>
      <c r="V50" s="44" t="s">
        <v>269</v>
      </c>
      <c r="W50" s="44" t="s">
        <v>269</v>
      </c>
      <c r="X50" s="44"/>
      <c r="Y50" s="44"/>
      <c r="Z50" s="37" t="s">
        <v>135</v>
      </c>
      <c r="AA50" s="40">
        <v>1.2478068449823272</v>
      </c>
    </row>
    <row r="51" spans="1:30" ht="18.75" x14ac:dyDescent="0.35">
      <c r="A51" s="45" t="s">
        <v>55</v>
      </c>
      <c r="B51" s="45" t="s">
        <v>45</v>
      </c>
      <c r="C51" s="45" t="s">
        <v>46</v>
      </c>
      <c r="D51" s="45">
        <v>92.86</v>
      </c>
      <c r="E51" s="45">
        <v>1209000</v>
      </c>
      <c r="F51" s="45">
        <v>7.682E-5</v>
      </c>
      <c r="G51" s="45">
        <v>2.1807604765550245E-3</v>
      </c>
      <c r="H51" s="45">
        <v>30</v>
      </c>
      <c r="I51" s="48" t="s">
        <v>355</v>
      </c>
      <c r="J51" s="47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 t="s">
        <v>269</v>
      </c>
      <c r="V51" s="45" t="s">
        <v>269</v>
      </c>
      <c r="W51" s="45" t="s">
        <v>269</v>
      </c>
      <c r="X51" s="45"/>
      <c r="Y51" s="45"/>
      <c r="Z51" s="37" t="s">
        <v>136</v>
      </c>
      <c r="AA51" s="43">
        <v>1110.9847382985984</v>
      </c>
    </row>
    <row r="52" spans="1:30" ht="15.75" thickBot="1" x14ac:dyDescent="0.3">
      <c r="A52" s="44" t="s">
        <v>56</v>
      </c>
      <c r="B52" s="44" t="s">
        <v>45</v>
      </c>
      <c r="C52" s="44" t="s">
        <v>46</v>
      </c>
      <c r="D52" s="44">
        <v>468.9</v>
      </c>
      <c r="E52" s="44">
        <v>1282000</v>
      </c>
      <c r="F52" s="44">
        <v>3.657E-4</v>
      </c>
      <c r="G52" s="44">
        <v>1.2624445003000889E-2</v>
      </c>
      <c r="H52" s="44">
        <v>15</v>
      </c>
      <c r="I52" s="49">
        <v>-4.3721202649453348</v>
      </c>
      <c r="J52" s="46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>
        <v>10</v>
      </c>
      <c r="V52" s="44" t="s">
        <v>269</v>
      </c>
      <c r="W52" s="44" t="s">
        <v>269</v>
      </c>
      <c r="X52" s="44"/>
      <c r="Y52" s="44"/>
      <c r="Z52" s="41" t="s">
        <v>118</v>
      </c>
      <c r="AA52" s="42" t="s">
        <v>150</v>
      </c>
    </row>
    <row r="53" spans="1:30" x14ac:dyDescent="0.25">
      <c r="A53" s="45" t="s">
        <v>57</v>
      </c>
      <c r="B53" s="45" t="s">
        <v>45</v>
      </c>
      <c r="C53" s="45" t="s">
        <v>46</v>
      </c>
      <c r="D53" s="45">
        <v>1423</v>
      </c>
      <c r="E53" s="45">
        <v>1258000</v>
      </c>
      <c r="F53" s="45">
        <v>1.1310000000000001E-3</v>
      </c>
      <c r="G53" s="45">
        <v>3.6112979480404761E-2</v>
      </c>
      <c r="H53" s="45">
        <v>15</v>
      </c>
      <c r="I53" s="48">
        <v>-3.3211029358696957</v>
      </c>
      <c r="J53" s="47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>
        <v>11</v>
      </c>
      <c r="V53" s="45" t="s">
        <v>269</v>
      </c>
      <c r="W53" s="45" t="s">
        <v>269</v>
      </c>
      <c r="X53" s="45"/>
      <c r="Y53" s="45"/>
    </row>
    <row r="54" spans="1:30" x14ac:dyDescent="0.25">
      <c r="A54" s="44" t="s">
        <v>58</v>
      </c>
      <c r="B54" s="44" t="s">
        <v>45</v>
      </c>
      <c r="C54" s="44" t="s">
        <v>46</v>
      </c>
      <c r="D54" s="44">
        <v>1282</v>
      </c>
      <c r="E54" s="44">
        <v>1304000</v>
      </c>
      <c r="F54" s="44">
        <v>9.8290000000000009E-4</v>
      </c>
      <c r="G54" s="44">
        <v>3.054901448589141E-2</v>
      </c>
      <c r="H54" s="44">
        <v>15</v>
      </c>
      <c r="I54" s="49">
        <v>-3.4884228529391583</v>
      </c>
      <c r="J54" s="46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>
        <v>12</v>
      </c>
      <c r="V54" s="44" t="s">
        <v>269</v>
      </c>
      <c r="W54" s="44" t="s">
        <v>269</v>
      </c>
      <c r="X54" s="44"/>
      <c r="Y54" s="44"/>
    </row>
    <row r="55" spans="1:30" x14ac:dyDescent="0.25">
      <c r="A55" s="45" t="s">
        <v>59</v>
      </c>
      <c r="B55" s="45" t="s">
        <v>45</v>
      </c>
      <c r="C55" s="45" t="s">
        <v>46</v>
      </c>
      <c r="D55" s="45">
        <v>3445000</v>
      </c>
      <c r="E55" s="45">
        <v>1213000</v>
      </c>
      <c r="F55" s="45">
        <v>2.84</v>
      </c>
      <c r="G55" s="45">
        <v>100</v>
      </c>
      <c r="H55" s="45">
        <v>0</v>
      </c>
      <c r="I55" s="48">
        <v>4.6051701859880918</v>
      </c>
      <c r="J55" s="47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>
        <v>13</v>
      </c>
      <c r="V55" s="45" t="s">
        <v>269</v>
      </c>
      <c r="W55" s="45" t="s">
        <v>269</v>
      </c>
      <c r="X55" s="45"/>
      <c r="Y55" s="45"/>
    </row>
    <row r="56" spans="1:30" x14ac:dyDescent="0.25">
      <c r="A56" s="44" t="s">
        <v>60</v>
      </c>
      <c r="B56" s="44" t="s">
        <v>45</v>
      </c>
      <c r="C56" s="44" t="s">
        <v>46</v>
      </c>
      <c r="D56" s="44">
        <v>3808000</v>
      </c>
      <c r="E56" s="44">
        <v>1224000</v>
      </c>
      <c r="F56" s="44">
        <v>3.1120000000000001</v>
      </c>
      <c r="G56" s="44">
        <v>100</v>
      </c>
      <c r="H56" s="44">
        <v>0</v>
      </c>
      <c r="I56" s="49">
        <v>4.6051701859880918</v>
      </c>
      <c r="J56" s="46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>
        <v>14</v>
      </c>
      <c r="V56" s="44" t="s">
        <v>269</v>
      </c>
      <c r="W56" s="44" t="s">
        <v>269</v>
      </c>
      <c r="X56" s="44"/>
      <c r="Y56" s="44"/>
    </row>
    <row r="57" spans="1:30" x14ac:dyDescent="0.25">
      <c r="A57" s="45" t="s">
        <v>61</v>
      </c>
      <c r="B57" s="45" t="s">
        <v>45</v>
      </c>
      <c r="C57" s="45" t="s">
        <v>46</v>
      </c>
      <c r="D57" s="45">
        <v>3893000</v>
      </c>
      <c r="E57" s="45">
        <v>1219000</v>
      </c>
      <c r="F57" s="45">
        <v>3.194</v>
      </c>
      <c r="G57" s="45">
        <v>100</v>
      </c>
      <c r="H57" s="45">
        <v>0</v>
      </c>
      <c r="I57" s="48">
        <v>4.6051701859880918</v>
      </c>
      <c r="J57" s="47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>
        <v>15</v>
      </c>
      <c r="V57" s="45" t="s">
        <v>269</v>
      </c>
      <c r="W57" s="45" t="s">
        <v>269</v>
      </c>
      <c r="X57" s="45"/>
      <c r="Y57" s="45"/>
    </row>
    <row r="58" spans="1:30" ht="15.75" thickBot="1" x14ac:dyDescent="0.3">
      <c r="A58" s="44"/>
      <c r="B58" s="44"/>
      <c r="C58" s="44"/>
      <c r="D58" s="44"/>
      <c r="E58" s="44"/>
      <c r="F58" s="44"/>
      <c r="G58" s="44"/>
      <c r="H58" s="44"/>
      <c r="I58" s="44"/>
      <c r="J58" s="46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</row>
    <row r="59" spans="1:30" ht="16.5" thickTop="1" thickBot="1" x14ac:dyDescent="0.3">
      <c r="A59" s="45" t="s">
        <v>6</v>
      </c>
      <c r="B59" s="45" t="s">
        <v>79</v>
      </c>
      <c r="C59" s="45" t="s">
        <v>80</v>
      </c>
      <c r="D59" s="45">
        <v>83.51</v>
      </c>
      <c r="E59" s="45">
        <v>1641000</v>
      </c>
      <c r="F59" s="45">
        <v>5.0869999999999999E-5</v>
      </c>
      <c r="G59" s="45"/>
      <c r="H59" s="45"/>
      <c r="I59" s="45"/>
      <c r="J59" s="47"/>
      <c r="K59" s="45"/>
      <c r="L59" s="45"/>
      <c r="M59" s="45"/>
      <c r="N59" s="45"/>
      <c r="O59" s="45"/>
      <c r="P59" s="45"/>
      <c r="Q59" s="45"/>
      <c r="R59" s="45" t="s">
        <v>141</v>
      </c>
      <c r="S59" s="45"/>
      <c r="T59" s="45">
        <v>6</v>
      </c>
      <c r="U59" s="45"/>
      <c r="V59" s="45"/>
      <c r="W59" s="45"/>
      <c r="X59" s="45"/>
      <c r="Y59" s="45"/>
      <c r="Z59" s="9" t="s">
        <v>126</v>
      </c>
      <c r="AA59" s="9" t="s">
        <v>128</v>
      </c>
      <c r="AB59" s="9" t="s">
        <v>129</v>
      </c>
      <c r="AC59" s="9" t="s">
        <v>130</v>
      </c>
      <c r="AD59" s="9" t="s">
        <v>131</v>
      </c>
    </row>
    <row r="60" spans="1:30" ht="15.75" thickTop="1" x14ac:dyDescent="0.25">
      <c r="A60" s="44" t="s">
        <v>9</v>
      </c>
      <c r="B60" s="44" t="s">
        <v>79</v>
      </c>
      <c r="C60" s="44" t="s">
        <v>80</v>
      </c>
      <c r="D60" s="44">
        <v>210.2</v>
      </c>
      <c r="E60" s="44">
        <v>1692000</v>
      </c>
      <c r="F60" s="44">
        <v>1.2430000000000001E-4</v>
      </c>
      <c r="G60" s="44"/>
      <c r="H60" s="44"/>
      <c r="I60" s="44"/>
      <c r="J60" s="46"/>
      <c r="K60" s="44"/>
      <c r="L60" s="44"/>
      <c r="M60" s="44"/>
      <c r="N60" s="44"/>
      <c r="O60" s="44"/>
      <c r="P60" s="44"/>
      <c r="Q60" s="44"/>
      <c r="R60" s="44" t="s">
        <v>126</v>
      </c>
      <c r="S60" s="44"/>
      <c r="T60" s="44">
        <v>100</v>
      </c>
      <c r="U60" s="44"/>
      <c r="V60" s="44"/>
      <c r="W60" s="44"/>
      <c r="X60" s="44"/>
      <c r="Y60" s="44"/>
      <c r="Z60" s="10">
        <v>120</v>
      </c>
      <c r="AA60" s="19" t="s">
        <v>286</v>
      </c>
      <c r="AB60" s="16" t="s">
        <v>284</v>
      </c>
      <c r="AC60" s="18" t="s">
        <v>285</v>
      </c>
      <c r="AD60" s="16" t="s">
        <v>269</v>
      </c>
    </row>
    <row r="61" spans="1:30" x14ac:dyDescent="0.25">
      <c r="A61" s="45" t="s">
        <v>10</v>
      </c>
      <c r="B61" s="45" t="s">
        <v>79</v>
      </c>
      <c r="C61" s="45" t="s">
        <v>80</v>
      </c>
      <c r="D61" s="45">
        <v>64.569999999999993</v>
      </c>
      <c r="E61" s="45">
        <v>1672000</v>
      </c>
      <c r="F61" s="45">
        <v>3.862E-5</v>
      </c>
      <c r="G61" s="45"/>
      <c r="H61" s="45"/>
      <c r="I61" s="45"/>
      <c r="J61" s="47"/>
      <c r="K61" s="45"/>
      <c r="L61" s="45"/>
      <c r="M61" s="45"/>
      <c r="N61" s="45"/>
      <c r="O61" s="45"/>
      <c r="P61" s="45"/>
      <c r="Q61" s="45"/>
      <c r="R61" s="45" t="s">
        <v>127</v>
      </c>
      <c r="S61" s="45"/>
      <c r="T61" s="45">
        <v>114</v>
      </c>
      <c r="U61" s="45"/>
      <c r="V61" s="45"/>
      <c r="W61" s="45"/>
      <c r="X61" s="45"/>
      <c r="Y61" s="45"/>
      <c r="Z61" s="10">
        <v>60</v>
      </c>
      <c r="AA61" s="18" t="s">
        <v>356</v>
      </c>
      <c r="AB61" s="19" t="s">
        <v>283</v>
      </c>
      <c r="AC61" s="18" t="s">
        <v>285</v>
      </c>
      <c r="AD61" s="18" t="s">
        <v>269</v>
      </c>
    </row>
    <row r="62" spans="1:30" x14ac:dyDescent="0.25">
      <c r="A62" s="44" t="s">
        <v>81</v>
      </c>
      <c r="B62" s="44" t="s">
        <v>79</v>
      </c>
      <c r="C62" s="44" t="s">
        <v>80</v>
      </c>
      <c r="D62" s="44">
        <v>49.1</v>
      </c>
      <c r="E62" s="44">
        <v>1396000</v>
      </c>
      <c r="F62" s="44">
        <v>3.5169999999999997E-5</v>
      </c>
      <c r="G62" s="44">
        <v>-1.716043841909002E-2</v>
      </c>
      <c r="H62" s="44">
        <v>120</v>
      </c>
      <c r="I62" s="44" t="s">
        <v>269</v>
      </c>
      <c r="J62" s="46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 t="s">
        <v>269</v>
      </c>
      <c r="V62" s="44">
        <v>15</v>
      </c>
      <c r="W62" s="44">
        <v>-2.0199136174980499</v>
      </c>
      <c r="X62" s="44"/>
      <c r="Y62" s="44"/>
      <c r="Z62" s="10">
        <v>30</v>
      </c>
      <c r="AA62" s="18" t="s">
        <v>357</v>
      </c>
      <c r="AB62" s="19" t="s">
        <v>283</v>
      </c>
      <c r="AC62" s="18" t="s">
        <v>356</v>
      </c>
      <c r="AD62" s="18" t="s">
        <v>269</v>
      </c>
    </row>
    <row r="63" spans="1:30" x14ac:dyDescent="0.25">
      <c r="A63" s="45" t="s">
        <v>82</v>
      </c>
      <c r="B63" s="45" t="s">
        <v>79</v>
      </c>
      <c r="C63" s="45" t="s">
        <v>80</v>
      </c>
      <c r="D63" s="45">
        <v>110</v>
      </c>
      <c r="E63" s="45">
        <v>1260000</v>
      </c>
      <c r="F63" s="45">
        <v>8.7250000000000007E-5</v>
      </c>
      <c r="G63" s="45">
        <v>4.1114930968622412E-3</v>
      </c>
      <c r="H63" s="45">
        <v>120</v>
      </c>
      <c r="I63" s="48" t="s">
        <v>358</v>
      </c>
      <c r="J63" s="47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 t="s">
        <v>269</v>
      </c>
      <c r="V63" s="45">
        <v>15</v>
      </c>
      <c r="W63" s="45">
        <v>-1.8271141260689872</v>
      </c>
      <c r="X63" s="45"/>
      <c r="Y63" s="45"/>
      <c r="Z63" s="10">
        <v>15</v>
      </c>
      <c r="AA63" s="20">
        <v>1.3266692468604027E-3</v>
      </c>
      <c r="AB63" s="20">
        <v>1.6087716973525129E-3</v>
      </c>
      <c r="AC63" s="18">
        <v>8.656978782475448E-4</v>
      </c>
      <c r="AD63" s="20">
        <v>1.2670462741534868E-3</v>
      </c>
    </row>
    <row r="64" spans="1:30" ht="15.75" thickBot="1" x14ac:dyDescent="0.3">
      <c r="A64" s="44" t="s">
        <v>83</v>
      </c>
      <c r="B64" s="44" t="s">
        <v>79</v>
      </c>
      <c r="C64" s="44" t="s">
        <v>80</v>
      </c>
      <c r="D64" s="44">
        <v>104.1</v>
      </c>
      <c r="E64" s="44">
        <v>1099000</v>
      </c>
      <c r="F64" s="44">
        <v>9.4679999999999995E-5</v>
      </c>
      <c r="G64" s="44">
        <v>1.0556191690283101E-2</v>
      </c>
      <c r="H64" s="44">
        <v>120</v>
      </c>
      <c r="I64" s="49" t="s">
        <v>359</v>
      </c>
      <c r="J64" s="46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 t="s">
        <v>269</v>
      </c>
      <c r="V64" s="44">
        <v>15</v>
      </c>
      <c r="W64" s="44">
        <v>-2.4468043946670748</v>
      </c>
      <c r="X64" s="44"/>
      <c r="Y64" s="44"/>
      <c r="Z64" s="13">
        <v>0</v>
      </c>
      <c r="AA64" s="14">
        <v>1</v>
      </c>
      <c r="AB64" s="14">
        <v>1</v>
      </c>
      <c r="AC64" s="14">
        <v>1</v>
      </c>
      <c r="AD64" s="14">
        <v>1</v>
      </c>
    </row>
    <row r="65" spans="1:30" ht="16.5" thickTop="1" thickBot="1" x14ac:dyDescent="0.3">
      <c r="A65" s="45" t="s">
        <v>84</v>
      </c>
      <c r="B65" s="45" t="s">
        <v>79</v>
      </c>
      <c r="C65" s="45" t="s">
        <v>80</v>
      </c>
      <c r="D65" s="45">
        <v>161.9</v>
      </c>
      <c r="E65" s="45">
        <v>1373000</v>
      </c>
      <c r="F65" s="45">
        <v>1.1790000000000001E-4</v>
      </c>
      <c r="G65" s="45">
        <v>2.2173226257987472E-2</v>
      </c>
      <c r="H65" s="45">
        <v>60</v>
      </c>
      <c r="I65" s="48" t="s">
        <v>360</v>
      </c>
      <c r="J65" s="47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 t="s">
        <v>269</v>
      </c>
      <c r="V65" s="45">
        <v>0</v>
      </c>
      <c r="W65" s="45">
        <v>4.6051701859880918</v>
      </c>
      <c r="X65" s="45"/>
      <c r="Y65" s="45"/>
    </row>
    <row r="66" spans="1:30" x14ac:dyDescent="0.25">
      <c r="A66" s="44" t="s">
        <v>85</v>
      </c>
      <c r="B66" s="44" t="s">
        <v>79</v>
      </c>
      <c r="C66" s="44" t="s">
        <v>80</v>
      </c>
      <c r="D66" s="44">
        <v>70.930000000000007</v>
      </c>
      <c r="E66" s="44">
        <v>1394000</v>
      </c>
      <c r="F66" s="44">
        <v>5.0880000000000001E-5</v>
      </c>
      <c r="G66" s="44">
        <v>-5.242239426045168E-3</v>
      </c>
      <c r="H66" s="44">
        <v>60</v>
      </c>
      <c r="I66" s="44" t="s">
        <v>269</v>
      </c>
      <c r="J66" s="46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 t="s">
        <v>269</v>
      </c>
      <c r="V66" s="44">
        <v>0</v>
      </c>
      <c r="W66" s="44">
        <v>4.6051701859880918</v>
      </c>
      <c r="X66" s="44"/>
      <c r="Y66" s="44"/>
      <c r="Z66" s="35" t="s">
        <v>132</v>
      </c>
      <c r="AA66" s="36">
        <v>-0.44687428213774194</v>
      </c>
    </row>
    <row r="67" spans="1:30" x14ac:dyDescent="0.25">
      <c r="A67" s="45" t="s">
        <v>86</v>
      </c>
      <c r="B67" s="45" t="s">
        <v>79</v>
      </c>
      <c r="C67" s="45" t="s">
        <v>80</v>
      </c>
      <c r="D67" s="45">
        <v>131.69999999999999</v>
      </c>
      <c r="E67" s="45">
        <v>1390000</v>
      </c>
      <c r="F67" s="45">
        <v>9.4759999999999994E-5</v>
      </c>
      <c r="G67" s="45">
        <v>1.0592255548015029E-2</v>
      </c>
      <c r="H67" s="45">
        <v>60</v>
      </c>
      <c r="I67" s="48" t="s">
        <v>361</v>
      </c>
      <c r="J67" s="47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 t="s">
        <v>269</v>
      </c>
      <c r="V67" s="45">
        <v>0</v>
      </c>
      <c r="W67" s="45">
        <v>4.6051701859880918</v>
      </c>
      <c r="X67" s="45"/>
      <c r="Y67" s="45"/>
      <c r="Z67" s="37" t="s">
        <v>133</v>
      </c>
      <c r="AA67" s="39">
        <v>4.6051701859880918</v>
      </c>
    </row>
    <row r="68" spans="1:30" ht="17.25" x14ac:dyDescent="0.25">
      <c r="A68" s="44" t="s">
        <v>87</v>
      </c>
      <c r="B68" s="44" t="s">
        <v>79</v>
      </c>
      <c r="C68" s="44" t="s">
        <v>80</v>
      </c>
      <c r="D68" s="44">
        <v>183.5</v>
      </c>
      <c r="E68" s="44">
        <v>1400000</v>
      </c>
      <c r="F68" s="44">
        <v>1.3109999999999999E-4</v>
      </c>
      <c r="G68" s="44">
        <v>2.8449116185914728E-2</v>
      </c>
      <c r="H68" s="44">
        <v>30</v>
      </c>
      <c r="I68" s="49" t="s">
        <v>362</v>
      </c>
      <c r="J68" s="46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 t="s">
        <v>269</v>
      </c>
      <c r="V68" s="44" t="s">
        <v>269</v>
      </c>
      <c r="W68" s="44" t="s">
        <v>269</v>
      </c>
      <c r="X68" s="44"/>
      <c r="Y68" s="44"/>
      <c r="Z68" s="37" t="s">
        <v>134</v>
      </c>
      <c r="AA68" s="39">
        <v>0.99702448446203695</v>
      </c>
    </row>
    <row r="69" spans="1:30" ht="18" x14ac:dyDescent="0.35">
      <c r="A69" s="45" t="s">
        <v>88</v>
      </c>
      <c r="B69" s="45" t="s">
        <v>79</v>
      </c>
      <c r="C69" s="45" t="s">
        <v>80</v>
      </c>
      <c r="D69" s="45">
        <v>43.25</v>
      </c>
      <c r="E69" s="45">
        <v>1172000</v>
      </c>
      <c r="F69" s="45">
        <v>3.6909999999999997E-5</v>
      </c>
      <c r="G69" s="45">
        <v>-8.8350808707802937E-3</v>
      </c>
      <c r="H69" s="45">
        <v>30</v>
      </c>
      <c r="I69" s="45" t="s">
        <v>269</v>
      </c>
      <c r="J69" s="47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 t="s">
        <v>269</v>
      </c>
      <c r="V69" s="45" t="s">
        <v>269</v>
      </c>
      <c r="W69" s="45" t="s">
        <v>269</v>
      </c>
      <c r="X69" s="45"/>
      <c r="Y69" s="45"/>
      <c r="Z69" s="37" t="s">
        <v>135</v>
      </c>
      <c r="AA69" s="40">
        <v>1.5511010775650178</v>
      </c>
    </row>
    <row r="70" spans="1:30" ht="18.75" x14ac:dyDescent="0.35">
      <c r="A70" s="44" t="s">
        <v>89</v>
      </c>
      <c r="B70" s="44" t="s">
        <v>79</v>
      </c>
      <c r="C70" s="44" t="s">
        <v>80</v>
      </c>
      <c r="D70" s="44">
        <v>165.5</v>
      </c>
      <c r="E70" s="44">
        <v>1321000</v>
      </c>
      <c r="F70" s="44">
        <v>1.2530000000000001E-4</v>
      </c>
      <c r="G70" s="44">
        <v>2.4359633237178574E-2</v>
      </c>
      <c r="H70" s="44">
        <v>30</v>
      </c>
      <c r="I70" s="49" t="s">
        <v>363</v>
      </c>
      <c r="J70" s="46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 t="s">
        <v>269</v>
      </c>
      <c r="V70" s="44" t="s">
        <v>269</v>
      </c>
      <c r="W70" s="44" t="s">
        <v>269</v>
      </c>
      <c r="X70" s="44"/>
      <c r="Y70" s="44"/>
      <c r="Z70" s="37" t="s">
        <v>136</v>
      </c>
      <c r="AA70" s="43">
        <v>893.74856427548389</v>
      </c>
    </row>
    <row r="71" spans="1:30" ht="15.75" thickBot="1" x14ac:dyDescent="0.3">
      <c r="A71" s="45" t="s">
        <v>90</v>
      </c>
      <c r="B71" s="45" t="s">
        <v>79</v>
      </c>
      <c r="C71" s="45" t="s">
        <v>80</v>
      </c>
      <c r="D71" s="45">
        <v>499.8</v>
      </c>
      <c r="E71" s="45">
        <v>1426000</v>
      </c>
      <c r="F71" s="45">
        <v>3.503E-4</v>
      </c>
      <c r="G71" s="45">
        <v>0.13266692468604027</v>
      </c>
      <c r="H71" s="45">
        <v>15</v>
      </c>
      <c r="I71" s="48">
        <v>-2.0199136174980499</v>
      </c>
      <c r="J71" s="47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>
        <v>10</v>
      </c>
      <c r="V71" s="45" t="s">
        <v>269</v>
      </c>
      <c r="W71" s="45" t="s">
        <v>269</v>
      </c>
      <c r="X71" s="45"/>
      <c r="Y71" s="45"/>
      <c r="Z71" s="41" t="s">
        <v>118</v>
      </c>
      <c r="AA71" s="42" t="s">
        <v>147</v>
      </c>
    </row>
    <row r="72" spans="1:30" x14ac:dyDescent="0.25">
      <c r="A72" s="44" t="s">
        <v>91</v>
      </c>
      <c r="B72" s="44" t="s">
        <v>79</v>
      </c>
      <c r="C72" s="44" t="s">
        <v>80</v>
      </c>
      <c r="D72" s="44">
        <v>983.5</v>
      </c>
      <c r="E72" s="44">
        <v>1411000</v>
      </c>
      <c r="F72" s="44">
        <v>6.9680000000000002E-4</v>
      </c>
      <c r="G72" s="44">
        <v>0.16087716973525129</v>
      </c>
      <c r="H72" s="44">
        <v>15</v>
      </c>
      <c r="I72" s="49">
        <v>-1.8271141260689872</v>
      </c>
      <c r="J72" s="46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>
        <v>11</v>
      </c>
      <c r="V72" s="44" t="s">
        <v>269</v>
      </c>
      <c r="W72" s="44" t="s">
        <v>269</v>
      </c>
      <c r="X72" s="44"/>
      <c r="Y72" s="44"/>
    </row>
    <row r="73" spans="1:30" x14ac:dyDescent="0.25">
      <c r="A73" s="45" t="s">
        <v>92</v>
      </c>
      <c r="B73" s="45" t="s">
        <v>79</v>
      </c>
      <c r="C73" s="45" t="s">
        <v>80</v>
      </c>
      <c r="D73" s="45">
        <v>376.8</v>
      </c>
      <c r="E73" s="45">
        <v>1431000</v>
      </c>
      <c r="F73" s="45">
        <v>2.633E-4</v>
      </c>
      <c r="G73" s="45">
        <v>8.6569787824754482E-2</v>
      </c>
      <c r="H73" s="45">
        <v>15</v>
      </c>
      <c r="I73" s="48">
        <v>-2.4468043946670748</v>
      </c>
      <c r="J73" s="47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>
        <v>12</v>
      </c>
      <c r="V73" s="45" t="s">
        <v>269</v>
      </c>
      <c r="W73" s="45" t="s">
        <v>269</v>
      </c>
      <c r="X73" s="45"/>
      <c r="Y73" s="45"/>
    </row>
    <row r="74" spans="1:30" x14ac:dyDescent="0.25">
      <c r="A74" s="44" t="s">
        <v>93</v>
      </c>
      <c r="B74" s="44" t="s">
        <v>79</v>
      </c>
      <c r="C74" s="44" t="s">
        <v>80</v>
      </c>
      <c r="D74" s="44">
        <v>314800</v>
      </c>
      <c r="E74" s="44">
        <v>1496000</v>
      </c>
      <c r="F74" s="44">
        <v>0.2104</v>
      </c>
      <c r="G74" s="44">
        <v>100</v>
      </c>
      <c r="H74" s="44">
        <v>0</v>
      </c>
      <c r="I74" s="49">
        <v>4.6051701859880918</v>
      </c>
      <c r="J74" s="46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>
        <v>13</v>
      </c>
      <c r="V74" s="44" t="s">
        <v>269</v>
      </c>
      <c r="W74" s="44" t="s">
        <v>269</v>
      </c>
      <c r="X74" s="44"/>
      <c r="Y74" s="44"/>
    </row>
    <row r="75" spans="1:30" x14ac:dyDescent="0.25">
      <c r="A75" s="45" t="s">
        <v>94</v>
      </c>
      <c r="B75" s="45" t="s">
        <v>79</v>
      </c>
      <c r="C75" s="45" t="s">
        <v>80</v>
      </c>
      <c r="D75" s="45">
        <v>493500</v>
      </c>
      <c r="E75" s="45">
        <v>1269000</v>
      </c>
      <c r="F75" s="45">
        <v>0.38890000000000002</v>
      </c>
      <c r="G75" s="45">
        <v>100</v>
      </c>
      <c r="H75" s="45">
        <v>0</v>
      </c>
      <c r="I75" s="48">
        <v>4.6051701859880918</v>
      </c>
      <c r="J75" s="47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>
        <v>14</v>
      </c>
      <c r="V75" s="45" t="s">
        <v>269</v>
      </c>
      <c r="W75" s="45" t="s">
        <v>269</v>
      </c>
      <c r="X75" s="45"/>
      <c r="Y75" s="45"/>
    </row>
    <row r="76" spans="1:30" x14ac:dyDescent="0.25">
      <c r="A76" s="44" t="s">
        <v>95</v>
      </c>
      <c r="B76" s="44" t="s">
        <v>79</v>
      </c>
      <c r="C76" s="44" t="s">
        <v>80</v>
      </c>
      <c r="D76" s="44">
        <v>333500</v>
      </c>
      <c r="E76" s="44">
        <v>1503000</v>
      </c>
      <c r="F76" s="44">
        <v>0.22189999999999999</v>
      </c>
      <c r="G76" s="44">
        <v>100</v>
      </c>
      <c r="H76" s="44">
        <v>0</v>
      </c>
      <c r="I76" s="49">
        <v>4.6051701859880918</v>
      </c>
      <c r="J76" s="46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>
        <v>15</v>
      </c>
      <c r="V76" s="44" t="s">
        <v>269</v>
      </c>
      <c r="W76" s="44" t="s">
        <v>269</v>
      </c>
      <c r="X76" s="44"/>
      <c r="Y76" s="44"/>
    </row>
    <row r="77" spans="1:30" ht="15.75" thickBot="1" x14ac:dyDescent="0.3">
      <c r="A77" s="45"/>
      <c r="B77" s="45"/>
      <c r="C77" s="45"/>
      <c r="D77" s="45"/>
      <c r="E77" s="45"/>
      <c r="F77" s="45"/>
      <c r="G77" s="45"/>
      <c r="H77" s="45"/>
      <c r="I77" s="45"/>
      <c r="J77" s="47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</row>
    <row r="78" spans="1:30" ht="16.5" thickTop="1" thickBot="1" x14ac:dyDescent="0.3">
      <c r="A78" s="44" t="s">
        <v>6</v>
      </c>
      <c r="B78" s="44" t="s">
        <v>96</v>
      </c>
      <c r="C78" s="44" t="s">
        <v>97</v>
      </c>
      <c r="D78" s="44">
        <v>1408</v>
      </c>
      <c r="E78" s="44">
        <v>1641000</v>
      </c>
      <c r="F78" s="44">
        <v>8.5760000000000003E-4</v>
      </c>
      <c r="G78" s="44"/>
      <c r="H78" s="44"/>
      <c r="I78" s="44"/>
      <c r="J78" s="46"/>
      <c r="K78" s="44"/>
      <c r="L78" s="44"/>
      <c r="M78" s="44"/>
      <c r="N78" s="44"/>
      <c r="O78" s="44"/>
      <c r="P78" s="44"/>
      <c r="Q78" s="44"/>
      <c r="R78" s="44" t="s">
        <v>142</v>
      </c>
      <c r="S78" s="44"/>
      <c r="T78" s="44">
        <v>7</v>
      </c>
      <c r="U78" s="44"/>
      <c r="V78" s="44"/>
      <c r="W78" s="44"/>
      <c r="X78" s="44"/>
      <c r="Y78" s="44"/>
      <c r="Z78" s="9" t="s">
        <v>126</v>
      </c>
      <c r="AA78" s="9" t="s">
        <v>128</v>
      </c>
      <c r="AB78" s="9" t="s">
        <v>129</v>
      </c>
      <c r="AC78" s="9" t="s">
        <v>130</v>
      </c>
      <c r="AD78" s="9" t="s">
        <v>131</v>
      </c>
    </row>
    <row r="79" spans="1:30" ht="15.75" thickTop="1" x14ac:dyDescent="0.25">
      <c r="A79" s="45" t="s">
        <v>9</v>
      </c>
      <c r="B79" s="45" t="s">
        <v>96</v>
      </c>
      <c r="C79" s="45" t="s">
        <v>97</v>
      </c>
      <c r="D79" s="45">
        <v>1787</v>
      </c>
      <c r="E79" s="45">
        <v>1692000</v>
      </c>
      <c r="F79" s="45">
        <v>1.0560000000000001E-3</v>
      </c>
      <c r="G79" s="45"/>
      <c r="H79" s="45"/>
      <c r="I79" s="45"/>
      <c r="J79" s="47"/>
      <c r="K79" s="45"/>
      <c r="L79" s="45"/>
      <c r="M79" s="45"/>
      <c r="N79" s="45"/>
      <c r="O79" s="45"/>
      <c r="P79" s="45"/>
      <c r="Q79" s="45"/>
      <c r="R79" s="45" t="s">
        <v>126</v>
      </c>
      <c r="S79" s="45"/>
      <c r="T79" s="45">
        <v>119</v>
      </c>
      <c r="U79" s="45"/>
      <c r="V79" s="45"/>
      <c r="W79" s="45"/>
      <c r="X79" s="45"/>
      <c r="Y79" s="45"/>
      <c r="Z79" s="10">
        <v>120</v>
      </c>
      <c r="AA79" s="20" t="s">
        <v>364</v>
      </c>
      <c r="AB79" s="20" t="s">
        <v>365</v>
      </c>
      <c r="AC79" s="20" t="s">
        <v>366</v>
      </c>
      <c r="AD79" s="20" t="s">
        <v>269</v>
      </c>
    </row>
    <row r="80" spans="1:30" x14ac:dyDescent="0.25">
      <c r="A80" s="44" t="s">
        <v>10</v>
      </c>
      <c r="B80" s="44" t="s">
        <v>96</v>
      </c>
      <c r="C80" s="44" t="s">
        <v>97</v>
      </c>
      <c r="D80" s="44">
        <v>2639</v>
      </c>
      <c r="E80" s="44">
        <v>1672000</v>
      </c>
      <c r="F80" s="44">
        <v>1.5790000000000001E-3</v>
      </c>
      <c r="G80" s="44"/>
      <c r="H80" s="44"/>
      <c r="I80" s="44"/>
      <c r="J80" s="46"/>
      <c r="K80" s="44"/>
      <c r="L80" s="44"/>
      <c r="M80" s="44"/>
      <c r="N80" s="44"/>
      <c r="O80" s="44"/>
      <c r="P80" s="44"/>
      <c r="Q80" s="44"/>
      <c r="R80" s="44" t="s">
        <v>127</v>
      </c>
      <c r="S80" s="44"/>
      <c r="T80" s="44">
        <v>133</v>
      </c>
      <c r="U80" s="44"/>
      <c r="V80" s="44"/>
      <c r="W80" s="44"/>
      <c r="X80" s="44"/>
      <c r="Y80" s="44"/>
      <c r="Z80" s="10">
        <v>60</v>
      </c>
      <c r="AA80" s="11" t="s">
        <v>367</v>
      </c>
      <c r="AB80" s="11" t="s">
        <v>368</v>
      </c>
      <c r="AC80" s="11" t="s">
        <v>369</v>
      </c>
      <c r="AD80" s="11" t="s">
        <v>269</v>
      </c>
    </row>
    <row r="81" spans="1:30" x14ac:dyDescent="0.25">
      <c r="A81" s="45" t="s">
        <v>98</v>
      </c>
      <c r="B81" s="45" t="s">
        <v>96</v>
      </c>
      <c r="C81" s="45" t="s">
        <v>97</v>
      </c>
      <c r="D81" s="45">
        <v>18030</v>
      </c>
      <c r="E81" s="45">
        <v>1326000</v>
      </c>
      <c r="F81" s="45">
        <v>1.3599999999999999E-2</v>
      </c>
      <c r="G81" s="45">
        <v>0.57764739884017158</v>
      </c>
      <c r="H81" s="45">
        <v>120</v>
      </c>
      <c r="I81" s="48" t="s">
        <v>370</v>
      </c>
      <c r="J81" s="47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 t="s">
        <v>269</v>
      </c>
      <c r="V81" s="45">
        <v>30</v>
      </c>
      <c r="W81" s="45">
        <v>1.6130916108857569</v>
      </c>
      <c r="X81" s="45"/>
      <c r="Y81" s="45"/>
      <c r="Z81" s="10">
        <v>30</v>
      </c>
      <c r="AA81" s="11">
        <v>5.0183019067222868E-2</v>
      </c>
      <c r="AB81" s="11">
        <v>4.2396722030647267E-2</v>
      </c>
      <c r="AC81" s="11">
        <v>3.7717418155242384E-2</v>
      </c>
      <c r="AD81" s="11">
        <v>4.3432386417704173E-2</v>
      </c>
    </row>
    <row r="82" spans="1:30" x14ac:dyDescent="0.25">
      <c r="A82" s="44" t="s">
        <v>99</v>
      </c>
      <c r="B82" s="44" t="s">
        <v>96</v>
      </c>
      <c r="C82" s="44" t="s">
        <v>97</v>
      </c>
      <c r="D82" s="44">
        <v>8655</v>
      </c>
      <c r="E82" s="44">
        <v>1231000</v>
      </c>
      <c r="F82" s="44">
        <v>7.0280000000000004E-3</v>
      </c>
      <c r="G82" s="44">
        <v>0.47602123594719364</v>
      </c>
      <c r="H82" s="44">
        <v>120</v>
      </c>
      <c r="I82" s="49" t="s">
        <v>371</v>
      </c>
      <c r="J82" s="46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 t="s">
        <v>269</v>
      </c>
      <c r="V82" s="44">
        <v>30</v>
      </c>
      <c r="W82" s="44">
        <v>1.4444859556573062</v>
      </c>
      <c r="X82" s="44"/>
      <c r="Y82" s="44"/>
      <c r="Z82" s="10">
        <v>15</v>
      </c>
      <c r="AA82" s="11">
        <v>9.6354677862566185E-2</v>
      </c>
      <c r="AB82" s="12">
        <v>0.16076477075921969</v>
      </c>
      <c r="AC82" s="12">
        <v>0.14865315435427889</v>
      </c>
      <c r="AD82" s="12">
        <v>0.13525753432535492</v>
      </c>
    </row>
    <row r="83" spans="1:30" ht="15.75" thickBot="1" x14ac:dyDescent="0.3">
      <c r="A83" s="45" t="s">
        <v>100</v>
      </c>
      <c r="B83" s="45" t="s">
        <v>96</v>
      </c>
      <c r="C83" s="45" t="s">
        <v>97</v>
      </c>
      <c r="D83" s="45">
        <v>9894</v>
      </c>
      <c r="E83" s="45">
        <v>1194000</v>
      </c>
      <c r="F83" s="45">
        <v>8.286E-3</v>
      </c>
      <c r="G83" s="45">
        <v>0.52142431762295294</v>
      </c>
      <c r="H83" s="45">
        <v>120</v>
      </c>
      <c r="I83" s="48" t="s">
        <v>372</v>
      </c>
      <c r="J83" s="47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 t="s">
        <v>269</v>
      </c>
      <c r="V83" s="45">
        <v>30</v>
      </c>
      <c r="W83" s="45">
        <v>1.3275369147944818</v>
      </c>
      <c r="X83" s="45"/>
      <c r="Y83" s="45"/>
      <c r="Z83" s="13">
        <v>0</v>
      </c>
      <c r="AA83" s="14">
        <v>1</v>
      </c>
      <c r="AB83" s="14">
        <v>1</v>
      </c>
      <c r="AC83" s="14">
        <v>1</v>
      </c>
      <c r="AD83" s="14">
        <v>1</v>
      </c>
    </row>
    <row r="84" spans="1:30" ht="16.5" thickTop="1" thickBot="1" x14ac:dyDescent="0.3">
      <c r="A84" s="44" t="s">
        <v>101</v>
      </c>
      <c r="B84" s="44" t="s">
        <v>96</v>
      </c>
      <c r="C84" s="44" t="s">
        <v>97</v>
      </c>
      <c r="D84" s="44">
        <v>48400</v>
      </c>
      <c r="E84" s="44">
        <v>1375000</v>
      </c>
      <c r="F84" s="44">
        <v>3.5209999999999998E-2</v>
      </c>
      <c r="G84" s="44">
        <v>1.5814396992097586</v>
      </c>
      <c r="H84" s="44">
        <v>60</v>
      </c>
      <c r="I84" s="49" t="s">
        <v>373</v>
      </c>
      <c r="J84" s="46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 t="s">
        <v>269</v>
      </c>
      <c r="V84" s="44">
        <v>15</v>
      </c>
      <c r="W84" s="44">
        <v>2.265450851414986</v>
      </c>
      <c r="X84" s="44"/>
      <c r="Y84" s="44"/>
    </row>
    <row r="85" spans="1:30" x14ac:dyDescent="0.25">
      <c r="A85" s="45" t="s">
        <v>102</v>
      </c>
      <c r="B85" s="45" t="s">
        <v>96</v>
      </c>
      <c r="C85" s="45" t="s">
        <v>97</v>
      </c>
      <c r="D85" s="45">
        <v>23970</v>
      </c>
      <c r="E85" s="45">
        <v>1565000</v>
      </c>
      <c r="F85" s="45">
        <v>1.532E-2</v>
      </c>
      <c r="G85" s="45">
        <v>1.1491628997955734</v>
      </c>
      <c r="H85" s="45">
        <v>60</v>
      </c>
      <c r="I85" s="48" t="s">
        <v>374</v>
      </c>
      <c r="J85" s="47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 t="s">
        <v>269</v>
      </c>
      <c r="V85" s="45">
        <v>15</v>
      </c>
      <c r="W85" s="45">
        <v>2.7773571524294023</v>
      </c>
      <c r="X85" s="45"/>
      <c r="Y85" s="45"/>
      <c r="Z85" s="35" t="s">
        <v>132</v>
      </c>
      <c r="AA85" s="36">
        <v>-0.10478217862918589</v>
      </c>
    </row>
    <row r="86" spans="1:30" x14ac:dyDescent="0.25">
      <c r="A86" s="44" t="s">
        <v>103</v>
      </c>
      <c r="B86" s="44" t="s">
        <v>96</v>
      </c>
      <c r="C86" s="44" t="s">
        <v>97</v>
      </c>
      <c r="D86" s="44">
        <v>22200</v>
      </c>
      <c r="E86" s="44">
        <v>1325000</v>
      </c>
      <c r="F86" s="44">
        <v>1.6750000000000001E-2</v>
      </c>
      <c r="G86" s="44">
        <v>1.1411181344053218</v>
      </c>
      <c r="H86" s="44">
        <v>60</v>
      </c>
      <c r="I86" s="49" t="s">
        <v>375</v>
      </c>
      <c r="J86" s="46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 t="s">
        <v>269</v>
      </c>
      <c r="V86" s="44">
        <v>15</v>
      </c>
      <c r="W86" s="44">
        <v>2.6990306762335234</v>
      </c>
      <c r="X86" s="44"/>
      <c r="Y86" s="44"/>
      <c r="Z86" s="37" t="s">
        <v>133</v>
      </c>
      <c r="AA86" s="38">
        <v>4.4542286482577591</v>
      </c>
    </row>
    <row r="87" spans="1:30" ht="17.25" x14ac:dyDescent="0.25">
      <c r="A87" s="45" t="s">
        <v>104</v>
      </c>
      <c r="B87" s="45" t="s">
        <v>96</v>
      </c>
      <c r="C87" s="45" t="s">
        <v>97</v>
      </c>
      <c r="D87" s="45">
        <v>146600</v>
      </c>
      <c r="E87" s="45">
        <v>1342000</v>
      </c>
      <c r="F87" s="45">
        <v>0.10920000000000001</v>
      </c>
      <c r="G87" s="45">
        <v>5.0183019067222867</v>
      </c>
      <c r="H87" s="45">
        <v>30</v>
      </c>
      <c r="I87" s="48">
        <v>1.6130916108857569</v>
      </c>
      <c r="J87" s="47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>
        <v>7</v>
      </c>
      <c r="V87" s="45">
        <v>0</v>
      </c>
      <c r="W87" s="45">
        <v>4.6051701859880918</v>
      </c>
      <c r="X87" s="45"/>
      <c r="Y87" s="45"/>
      <c r="Z87" s="37" t="s">
        <v>134</v>
      </c>
      <c r="AA87" s="39">
        <v>0.96088448070151922</v>
      </c>
    </row>
    <row r="88" spans="1:30" ht="18" x14ac:dyDescent="0.35">
      <c r="A88" s="44" t="s">
        <v>105</v>
      </c>
      <c r="B88" s="44" t="s">
        <v>96</v>
      </c>
      <c r="C88" s="44" t="s">
        <v>97</v>
      </c>
      <c r="D88" s="44">
        <v>72450</v>
      </c>
      <c r="E88" s="44">
        <v>1357000</v>
      </c>
      <c r="F88" s="44">
        <v>5.339E-2</v>
      </c>
      <c r="G88" s="44">
        <v>4.2396722030647265</v>
      </c>
      <c r="H88" s="44">
        <v>30</v>
      </c>
      <c r="I88" s="49">
        <v>1.4444859556573062</v>
      </c>
      <c r="J88" s="46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>
        <v>8</v>
      </c>
      <c r="V88" s="44">
        <v>0</v>
      </c>
      <c r="W88" s="44">
        <v>4.6051701859880918</v>
      </c>
      <c r="X88" s="44"/>
      <c r="Y88" s="44"/>
      <c r="Z88" s="37" t="s">
        <v>135</v>
      </c>
      <c r="AA88" s="40">
        <v>6.6151247247199061</v>
      </c>
    </row>
    <row r="89" spans="1:30" ht="18.75" x14ac:dyDescent="0.35">
      <c r="A89" s="45" t="s">
        <v>106</v>
      </c>
      <c r="B89" s="45" t="s">
        <v>96</v>
      </c>
      <c r="C89" s="45" t="s">
        <v>97</v>
      </c>
      <c r="D89" s="45">
        <v>67180</v>
      </c>
      <c r="E89" s="45">
        <v>1275000</v>
      </c>
      <c r="F89" s="45">
        <v>5.2679999999999998E-2</v>
      </c>
      <c r="G89" s="45">
        <v>3.7717418155242384</v>
      </c>
      <c r="H89" s="45">
        <v>30</v>
      </c>
      <c r="I89" s="48">
        <v>1.3275369147944818</v>
      </c>
      <c r="J89" s="47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>
        <v>9</v>
      </c>
      <c r="V89" s="45">
        <v>0</v>
      </c>
      <c r="W89" s="45">
        <v>4.6051701859880918</v>
      </c>
      <c r="X89" s="45"/>
      <c r="Y89" s="45"/>
      <c r="Z89" s="37" t="s">
        <v>136</v>
      </c>
      <c r="AA89" s="40">
        <v>209.56435725837179</v>
      </c>
    </row>
    <row r="90" spans="1:30" ht="15.75" thickBot="1" x14ac:dyDescent="0.3">
      <c r="A90" s="44" t="s">
        <v>107</v>
      </c>
      <c r="B90" s="44" t="s">
        <v>96</v>
      </c>
      <c r="C90" s="44" t="s">
        <v>97</v>
      </c>
      <c r="D90" s="44">
        <v>327700</v>
      </c>
      <c r="E90" s="44">
        <v>1571000</v>
      </c>
      <c r="F90" s="44">
        <v>0.20860000000000001</v>
      </c>
      <c r="G90" s="44">
        <v>9.6354677862566191</v>
      </c>
      <c r="H90" s="44">
        <v>15</v>
      </c>
      <c r="I90" s="49">
        <v>2.265450851414986</v>
      </c>
      <c r="J90" s="46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>
        <v>10</v>
      </c>
      <c r="V90" s="44" t="s">
        <v>269</v>
      </c>
      <c r="W90" s="44" t="s">
        <v>269</v>
      </c>
      <c r="X90" s="44"/>
      <c r="Y90" s="44"/>
      <c r="Z90" s="41" t="s">
        <v>118</v>
      </c>
      <c r="AA90" s="42" t="s">
        <v>148</v>
      </c>
    </row>
    <row r="91" spans="1:30" x14ac:dyDescent="0.25">
      <c r="A91" s="45" t="s">
        <v>108</v>
      </c>
      <c r="B91" s="45" t="s">
        <v>96</v>
      </c>
      <c r="C91" s="45" t="s">
        <v>97</v>
      </c>
      <c r="D91" s="45">
        <v>268300</v>
      </c>
      <c r="E91" s="45">
        <v>1347000</v>
      </c>
      <c r="F91" s="45">
        <v>0.19919999999999999</v>
      </c>
      <c r="G91" s="45">
        <v>16.076477075921968</v>
      </c>
      <c r="H91" s="45">
        <v>15</v>
      </c>
      <c r="I91" s="48">
        <v>2.7773571524294023</v>
      </c>
      <c r="J91" s="47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>
        <v>11</v>
      </c>
      <c r="V91" s="45" t="s">
        <v>269</v>
      </c>
      <c r="W91" s="45" t="s">
        <v>269</v>
      </c>
      <c r="X91" s="45"/>
      <c r="Y91" s="45"/>
    </row>
    <row r="92" spans="1:30" x14ac:dyDescent="0.25">
      <c r="A92" s="44" t="s">
        <v>109</v>
      </c>
      <c r="B92" s="44" t="s">
        <v>96</v>
      </c>
      <c r="C92" s="44" t="s">
        <v>97</v>
      </c>
      <c r="D92" s="44">
        <v>283200</v>
      </c>
      <c r="E92" s="44">
        <v>1387000</v>
      </c>
      <c r="F92" s="44">
        <v>0.20419999999999999</v>
      </c>
      <c r="G92" s="44">
        <v>14.86531543542789</v>
      </c>
      <c r="H92" s="44">
        <v>15</v>
      </c>
      <c r="I92" s="49">
        <v>2.6990306762335234</v>
      </c>
      <c r="J92" s="46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>
        <v>12</v>
      </c>
      <c r="V92" s="44" t="s">
        <v>269</v>
      </c>
      <c r="W92" s="44" t="s">
        <v>269</v>
      </c>
      <c r="X92" s="44"/>
      <c r="Y92" s="44"/>
    </row>
    <row r="93" spans="1:30" x14ac:dyDescent="0.25">
      <c r="A93" s="45" t="s">
        <v>110</v>
      </c>
      <c r="B93" s="45" t="s">
        <v>96</v>
      </c>
      <c r="C93" s="45" t="s">
        <v>97</v>
      </c>
      <c r="D93" s="45">
        <v>2770000</v>
      </c>
      <c r="E93" s="45">
        <v>1286000</v>
      </c>
      <c r="F93" s="45">
        <v>2.1539999999999999</v>
      </c>
      <c r="G93" s="45">
        <v>100</v>
      </c>
      <c r="H93" s="45">
        <v>0</v>
      </c>
      <c r="I93" s="48">
        <v>4.6051701859880918</v>
      </c>
      <c r="J93" s="47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>
        <v>13</v>
      </c>
      <c r="V93" s="45" t="s">
        <v>269</v>
      </c>
      <c r="W93" s="45" t="s">
        <v>269</v>
      </c>
      <c r="X93" s="45"/>
      <c r="Y93" s="45"/>
    </row>
    <row r="94" spans="1:30" x14ac:dyDescent="0.25">
      <c r="A94" s="44" t="s">
        <v>111</v>
      </c>
      <c r="B94" s="44" t="s">
        <v>96</v>
      </c>
      <c r="C94" s="44" t="s">
        <v>97</v>
      </c>
      <c r="D94" s="44">
        <v>1458000</v>
      </c>
      <c r="E94" s="44">
        <v>1182000</v>
      </c>
      <c r="F94" s="44">
        <v>1.2330000000000001</v>
      </c>
      <c r="G94" s="44">
        <v>100</v>
      </c>
      <c r="H94" s="44">
        <v>0</v>
      </c>
      <c r="I94" s="49">
        <v>4.6051701859880918</v>
      </c>
      <c r="J94" s="46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>
        <v>14</v>
      </c>
      <c r="V94" s="44" t="s">
        <v>269</v>
      </c>
      <c r="W94" s="44" t="s">
        <v>269</v>
      </c>
      <c r="X94" s="44"/>
      <c r="Y94" s="44"/>
    </row>
    <row r="95" spans="1:30" x14ac:dyDescent="0.25">
      <c r="A95" s="45" t="s">
        <v>112</v>
      </c>
      <c r="B95" s="45" t="s">
        <v>96</v>
      </c>
      <c r="C95" s="45" t="s">
        <v>97</v>
      </c>
      <c r="D95" s="45">
        <v>2019000</v>
      </c>
      <c r="E95" s="45">
        <v>1477000</v>
      </c>
      <c r="F95" s="45">
        <v>1.367</v>
      </c>
      <c r="G95" s="45">
        <v>100</v>
      </c>
      <c r="H95" s="45">
        <v>0</v>
      </c>
      <c r="I95" s="48">
        <v>4.6051701859880918</v>
      </c>
      <c r="J95" s="47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>
        <v>15</v>
      </c>
      <c r="V95" s="45" t="s">
        <v>269</v>
      </c>
      <c r="W95" s="45" t="s">
        <v>269</v>
      </c>
      <c r="X95" s="45"/>
      <c r="Y95" s="45"/>
    </row>
    <row r="96" spans="1:30" ht="15.75" thickBot="1" x14ac:dyDescent="0.3">
      <c r="A96" s="44"/>
      <c r="B96" s="44"/>
      <c r="C96" s="44"/>
      <c r="D96" s="44"/>
      <c r="E96" s="44"/>
      <c r="F96" s="44"/>
      <c r="G96" s="44"/>
      <c r="H96" s="44"/>
      <c r="I96" s="44"/>
      <c r="J96" s="46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</row>
    <row r="97" spans="1:30" ht="16.5" thickTop="1" thickBot="1" x14ac:dyDescent="0.3">
      <c r="A97" s="45" t="s">
        <v>6</v>
      </c>
      <c r="B97" s="45" t="s">
        <v>28</v>
      </c>
      <c r="C97" s="45" t="s">
        <v>29</v>
      </c>
      <c r="D97" s="45">
        <v>17.38</v>
      </c>
      <c r="E97" s="45">
        <v>1641000</v>
      </c>
      <c r="F97" s="45">
        <v>1.059E-5</v>
      </c>
      <c r="G97" s="45"/>
      <c r="H97" s="45"/>
      <c r="I97" s="45"/>
      <c r="J97" s="47"/>
      <c r="K97" s="45"/>
      <c r="L97" s="45"/>
      <c r="M97" s="45"/>
      <c r="N97" s="45"/>
      <c r="O97" s="45"/>
      <c r="P97" s="45"/>
      <c r="Q97" s="45"/>
      <c r="R97" s="45" t="s">
        <v>143</v>
      </c>
      <c r="S97" s="45"/>
      <c r="T97" s="45">
        <v>8</v>
      </c>
      <c r="U97" s="45"/>
      <c r="V97" s="45"/>
      <c r="W97" s="45"/>
      <c r="X97" s="45"/>
      <c r="Y97" s="45"/>
      <c r="Z97" s="9" t="s">
        <v>126</v>
      </c>
      <c r="AA97" s="9" t="s">
        <v>128</v>
      </c>
      <c r="AB97" s="9" t="s">
        <v>129</v>
      </c>
      <c r="AC97" s="9" t="s">
        <v>130</v>
      </c>
      <c r="AD97" s="9" t="s">
        <v>131</v>
      </c>
    </row>
    <row r="98" spans="1:30" ht="15.75" thickTop="1" x14ac:dyDescent="0.25">
      <c r="A98" s="44" t="s">
        <v>9</v>
      </c>
      <c r="B98" s="44" t="s">
        <v>28</v>
      </c>
      <c r="C98" s="44" t="s">
        <v>29</v>
      </c>
      <c r="D98" s="44">
        <v>26.66</v>
      </c>
      <c r="E98" s="44">
        <v>1692000</v>
      </c>
      <c r="F98" s="44">
        <v>1.5760000000000002E-5</v>
      </c>
      <c r="G98" s="44"/>
      <c r="H98" s="44"/>
      <c r="I98" s="44"/>
      <c r="J98" s="46"/>
      <c r="K98" s="44"/>
      <c r="L98" s="44"/>
      <c r="M98" s="44"/>
      <c r="N98" s="44"/>
      <c r="O98" s="44"/>
      <c r="P98" s="44"/>
      <c r="Q98" s="44"/>
      <c r="R98" s="44" t="s">
        <v>126</v>
      </c>
      <c r="S98" s="44"/>
      <c r="T98" s="44">
        <v>138</v>
      </c>
      <c r="U98" s="44"/>
      <c r="V98" s="44"/>
      <c r="W98" s="44"/>
      <c r="X98" s="44"/>
      <c r="Y98" s="44"/>
      <c r="Z98" s="10">
        <v>120</v>
      </c>
      <c r="AA98" s="11" t="s">
        <v>376</v>
      </c>
      <c r="AB98" s="12" t="s">
        <v>377</v>
      </c>
      <c r="AC98" s="11" t="s">
        <v>378</v>
      </c>
      <c r="AD98" s="11" t="s">
        <v>269</v>
      </c>
    </row>
    <row r="99" spans="1:30" x14ac:dyDescent="0.25">
      <c r="A99" s="45" t="s">
        <v>10</v>
      </c>
      <c r="B99" s="45" t="s">
        <v>28</v>
      </c>
      <c r="C99" s="45" t="s">
        <v>29</v>
      </c>
      <c r="D99" s="45">
        <v>88.84</v>
      </c>
      <c r="E99" s="45">
        <v>1672000</v>
      </c>
      <c r="F99" s="45">
        <v>5.3140000000000003E-5</v>
      </c>
      <c r="G99" s="45"/>
      <c r="H99" s="45"/>
      <c r="I99" s="45"/>
      <c r="J99" s="47"/>
      <c r="K99" s="45"/>
      <c r="L99" s="45"/>
      <c r="M99" s="45"/>
      <c r="N99" s="45"/>
      <c r="O99" s="45"/>
      <c r="P99" s="45"/>
      <c r="Q99" s="45"/>
      <c r="R99" s="45" t="s">
        <v>127</v>
      </c>
      <c r="S99" s="45"/>
      <c r="T99" s="45">
        <v>152</v>
      </c>
      <c r="U99" s="45"/>
      <c r="V99" s="45"/>
      <c r="W99" s="45"/>
      <c r="X99" s="45"/>
      <c r="Y99" s="45"/>
      <c r="Z99" s="10">
        <v>60</v>
      </c>
      <c r="AA99" s="12" t="s">
        <v>379</v>
      </c>
      <c r="AB99" s="12" t="s">
        <v>380</v>
      </c>
      <c r="AC99" s="12" t="s">
        <v>381</v>
      </c>
      <c r="AD99" s="12" t="s">
        <v>269</v>
      </c>
    </row>
    <row r="100" spans="1:30" x14ac:dyDescent="0.25">
      <c r="A100" s="44" t="s">
        <v>30</v>
      </c>
      <c r="B100" s="44" t="s">
        <v>28</v>
      </c>
      <c r="C100" s="44" t="s">
        <v>29</v>
      </c>
      <c r="D100" s="44">
        <v>72660</v>
      </c>
      <c r="E100" s="44">
        <v>1169000</v>
      </c>
      <c r="F100" s="44">
        <v>6.216E-2</v>
      </c>
      <c r="G100" s="44">
        <v>4.7394934508859423</v>
      </c>
      <c r="H100" s="44">
        <v>120</v>
      </c>
      <c r="I100" s="49" t="s">
        <v>382</v>
      </c>
      <c r="J100" s="46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 t="s">
        <v>269</v>
      </c>
      <c r="V100" s="44">
        <v>30</v>
      </c>
      <c r="W100" s="44">
        <v>2.8869684672460991</v>
      </c>
      <c r="X100" s="44"/>
      <c r="Y100" s="44"/>
      <c r="Z100" s="10">
        <v>30</v>
      </c>
      <c r="AA100" s="12">
        <v>0.17938844891629913</v>
      </c>
      <c r="AB100" s="12" t="s">
        <v>383</v>
      </c>
      <c r="AC100" s="12">
        <v>0.19745062229258969</v>
      </c>
      <c r="AD100" s="12">
        <v>0.18841953560444441</v>
      </c>
    </row>
    <row r="101" spans="1:30" x14ac:dyDescent="0.25">
      <c r="A101" s="45" t="s">
        <v>31</v>
      </c>
      <c r="B101" s="45" t="s">
        <v>28</v>
      </c>
      <c r="C101" s="45" t="s">
        <v>29</v>
      </c>
      <c r="D101" s="45">
        <v>78130</v>
      </c>
      <c r="E101" s="45">
        <v>1233000</v>
      </c>
      <c r="F101" s="45">
        <v>6.3380000000000006E-2</v>
      </c>
      <c r="G101" s="45">
        <v>15.772387973711751</v>
      </c>
      <c r="H101" s="45">
        <v>120</v>
      </c>
      <c r="I101" s="48" t="s">
        <v>384</v>
      </c>
      <c r="J101" s="47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 t="s">
        <v>269</v>
      </c>
      <c r="V101" s="45">
        <v>30</v>
      </c>
      <c r="W101" s="45">
        <v>2.982903446380087</v>
      </c>
      <c r="X101" s="45"/>
      <c r="Y101" s="45"/>
      <c r="Z101" s="10">
        <v>15</v>
      </c>
      <c r="AA101" s="12">
        <v>0.22851224877667314</v>
      </c>
      <c r="AB101" s="15" t="s">
        <v>385</v>
      </c>
      <c r="AC101" s="12">
        <v>0.3958151945727314</v>
      </c>
      <c r="AD101" s="12">
        <v>0.3121637216747023</v>
      </c>
    </row>
    <row r="102" spans="1:30" ht="15.75" thickBot="1" x14ac:dyDescent="0.3">
      <c r="A102" s="44" t="s">
        <v>32</v>
      </c>
      <c r="B102" s="44" t="s">
        <v>28</v>
      </c>
      <c r="C102" s="44" t="s">
        <v>29</v>
      </c>
      <c r="D102" s="44">
        <v>85240</v>
      </c>
      <c r="E102" s="44">
        <v>1209000</v>
      </c>
      <c r="F102" s="44">
        <v>7.0519999999999999E-2</v>
      </c>
      <c r="G102" s="44">
        <v>5.2529728163957214</v>
      </c>
      <c r="H102" s="44">
        <v>120</v>
      </c>
      <c r="I102" s="49" t="s">
        <v>386</v>
      </c>
      <c r="J102" s="46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 t="s">
        <v>269</v>
      </c>
      <c r="V102" s="44">
        <v>15</v>
      </c>
      <c r="W102" s="44">
        <v>3.1290047210530632</v>
      </c>
      <c r="X102" s="44"/>
      <c r="Y102" s="44"/>
      <c r="Z102" s="13">
        <v>0</v>
      </c>
      <c r="AA102" s="14">
        <v>1</v>
      </c>
      <c r="AB102" s="14" t="s">
        <v>342</v>
      </c>
      <c r="AC102" s="14">
        <v>1</v>
      </c>
      <c r="AD102" s="14">
        <v>1</v>
      </c>
    </row>
    <row r="103" spans="1:30" ht="16.5" thickTop="1" thickBot="1" x14ac:dyDescent="0.3">
      <c r="A103" s="45" t="s">
        <v>33</v>
      </c>
      <c r="B103" s="45" t="s">
        <v>28</v>
      </c>
      <c r="C103" s="45" t="s">
        <v>29</v>
      </c>
      <c r="D103" s="45">
        <v>199200</v>
      </c>
      <c r="E103" s="45">
        <v>1253000</v>
      </c>
      <c r="F103" s="45">
        <v>0.159</v>
      </c>
      <c r="G103" s="45">
        <v>12.126370436101189</v>
      </c>
      <c r="H103" s="45">
        <v>60</v>
      </c>
      <c r="I103" s="48" t="s">
        <v>387</v>
      </c>
      <c r="J103" s="47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 t="s">
        <v>269</v>
      </c>
      <c r="V103" s="45">
        <v>15</v>
      </c>
      <c r="W103" s="45">
        <v>3.6783623289593681</v>
      </c>
      <c r="X103" s="45"/>
      <c r="Y103" s="45"/>
    </row>
    <row r="104" spans="1:30" x14ac:dyDescent="0.25">
      <c r="A104" s="44" t="s">
        <v>34</v>
      </c>
      <c r="B104" s="44" t="s">
        <v>28</v>
      </c>
      <c r="C104" s="44" t="s">
        <v>29</v>
      </c>
      <c r="D104" s="44">
        <v>179600</v>
      </c>
      <c r="E104" s="44">
        <v>1256000</v>
      </c>
      <c r="F104" s="44">
        <v>0.14299999999999999</v>
      </c>
      <c r="G104" s="44">
        <v>35.594457226292356</v>
      </c>
      <c r="H104" s="44">
        <v>60</v>
      </c>
      <c r="I104" s="49" t="s">
        <v>388</v>
      </c>
      <c r="J104" s="46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 t="s">
        <v>269</v>
      </c>
      <c r="V104" s="44">
        <v>0</v>
      </c>
      <c r="W104" s="44">
        <v>4.6051701859880918</v>
      </c>
      <c r="X104" s="44"/>
      <c r="Y104" s="44"/>
      <c r="Z104" s="35" t="s">
        <v>132</v>
      </c>
      <c r="AA104" s="36">
        <v>-5.5674474305833291E-2</v>
      </c>
    </row>
    <row r="105" spans="1:30" x14ac:dyDescent="0.25">
      <c r="A105" s="45" t="s">
        <v>35</v>
      </c>
      <c r="B105" s="45" t="s">
        <v>28</v>
      </c>
      <c r="C105" s="45" t="s">
        <v>29</v>
      </c>
      <c r="D105" s="45">
        <v>198900</v>
      </c>
      <c r="E105" s="45">
        <v>1275000</v>
      </c>
      <c r="F105" s="45">
        <v>0.156</v>
      </c>
      <c r="G105" s="45">
        <v>11.622696196751289</v>
      </c>
      <c r="H105" s="45">
        <v>60</v>
      </c>
      <c r="I105" s="48" t="s">
        <v>389</v>
      </c>
      <c r="J105" s="47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 t="s">
        <v>269</v>
      </c>
      <c r="V105" s="45">
        <v>0</v>
      </c>
      <c r="W105" s="45">
        <v>4.6051701859880918</v>
      </c>
      <c r="X105" s="45"/>
      <c r="Y105" s="45"/>
      <c r="Z105" s="37" t="s">
        <v>133</v>
      </c>
      <c r="AA105" s="38">
        <v>4.4830470038566332</v>
      </c>
    </row>
    <row r="106" spans="1:30" ht="17.25" x14ac:dyDescent="0.25">
      <c r="A106" s="44" t="s">
        <v>36</v>
      </c>
      <c r="B106" s="44" t="s">
        <v>28</v>
      </c>
      <c r="C106" s="44" t="s">
        <v>29</v>
      </c>
      <c r="D106" s="44">
        <v>276900</v>
      </c>
      <c r="E106" s="44">
        <v>1178000</v>
      </c>
      <c r="F106" s="44">
        <v>0.23519999999999999</v>
      </c>
      <c r="G106" s="44">
        <v>17.938844891629913</v>
      </c>
      <c r="H106" s="44">
        <v>30</v>
      </c>
      <c r="I106" s="49">
        <v>2.8869684672460991</v>
      </c>
      <c r="J106" s="46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>
        <v>7</v>
      </c>
      <c r="V106" s="44" t="s">
        <v>269</v>
      </c>
      <c r="W106" s="44" t="s">
        <v>269</v>
      </c>
      <c r="X106" s="44"/>
      <c r="Y106" s="44"/>
      <c r="Z106" s="37" t="s">
        <v>134</v>
      </c>
      <c r="AA106" s="39">
        <v>0.89294127302263604</v>
      </c>
    </row>
    <row r="107" spans="1:30" ht="18" x14ac:dyDescent="0.35">
      <c r="A107" s="45" t="s">
        <v>37</v>
      </c>
      <c r="B107" s="45" t="s">
        <v>28</v>
      </c>
      <c r="C107" s="45" t="s">
        <v>29</v>
      </c>
      <c r="D107" s="45">
        <v>297800</v>
      </c>
      <c r="E107" s="45">
        <v>1142000</v>
      </c>
      <c r="F107" s="45">
        <v>0.26090000000000002</v>
      </c>
      <c r="G107" s="45">
        <v>64.946654725403803</v>
      </c>
      <c r="H107" s="45">
        <v>30</v>
      </c>
      <c r="I107" s="48" t="s">
        <v>390</v>
      </c>
      <c r="J107" s="47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 t="s">
        <v>269</v>
      </c>
      <c r="V107" s="45" t="s">
        <v>269</v>
      </c>
      <c r="W107" s="45" t="s">
        <v>269</v>
      </c>
      <c r="X107" s="45"/>
      <c r="Y107" s="45"/>
      <c r="Z107" s="37" t="s">
        <v>135</v>
      </c>
      <c r="AA107" s="40">
        <v>12.449999559085569</v>
      </c>
    </row>
    <row r="108" spans="1:30" ht="18.75" x14ac:dyDescent="0.35">
      <c r="A108" s="44" t="s">
        <v>38</v>
      </c>
      <c r="B108" s="44" t="s">
        <v>28</v>
      </c>
      <c r="C108" s="44" t="s">
        <v>29</v>
      </c>
      <c r="D108" s="44">
        <v>306700</v>
      </c>
      <c r="E108" s="44">
        <v>1157000</v>
      </c>
      <c r="F108" s="44">
        <v>0.26500000000000001</v>
      </c>
      <c r="G108" s="44">
        <v>19.74506222925897</v>
      </c>
      <c r="H108" s="44">
        <v>30</v>
      </c>
      <c r="I108" s="49">
        <v>2.982903446380087</v>
      </c>
      <c r="J108" s="46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>
        <v>9</v>
      </c>
      <c r="V108" s="44" t="s">
        <v>269</v>
      </c>
      <c r="W108" s="44" t="s">
        <v>269</v>
      </c>
      <c r="X108" s="44"/>
      <c r="Y108" s="44"/>
      <c r="Z108" s="37" t="s">
        <v>136</v>
      </c>
      <c r="AA108" s="40">
        <v>111.34894861166659</v>
      </c>
    </row>
    <row r="109" spans="1:30" ht="15.75" thickBot="1" x14ac:dyDescent="0.3">
      <c r="A109" s="45" t="s">
        <v>39</v>
      </c>
      <c r="B109" s="45" t="s">
        <v>28</v>
      </c>
      <c r="C109" s="45" t="s">
        <v>29</v>
      </c>
      <c r="D109" s="45">
        <v>427700</v>
      </c>
      <c r="E109" s="45">
        <v>1428000</v>
      </c>
      <c r="F109" s="45">
        <v>0.29959999999999998</v>
      </c>
      <c r="G109" s="45">
        <v>22.851224877667313</v>
      </c>
      <c r="H109" s="45">
        <v>15</v>
      </c>
      <c r="I109" s="48">
        <v>3.1290047210530632</v>
      </c>
      <c r="J109" s="47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>
        <v>10</v>
      </c>
      <c r="V109" s="45" t="s">
        <v>269</v>
      </c>
      <c r="W109" s="45" t="s">
        <v>269</v>
      </c>
      <c r="X109" s="45"/>
      <c r="Y109" s="45"/>
      <c r="Z109" s="41" t="s">
        <v>118</v>
      </c>
      <c r="AA109" s="42" t="s">
        <v>149</v>
      </c>
    </row>
    <row r="110" spans="1:30" x14ac:dyDescent="0.25">
      <c r="A110" s="44" t="s">
        <v>40</v>
      </c>
      <c r="B110" s="44" t="s">
        <v>28</v>
      </c>
      <c r="C110" s="44" t="s">
        <v>29</v>
      </c>
      <c r="D110" s="44">
        <v>569300</v>
      </c>
      <c r="E110" s="44">
        <v>1198000</v>
      </c>
      <c r="F110" s="44">
        <v>0.47499999999999998</v>
      </c>
      <c r="G110" s="44">
        <v>118.24865204991406</v>
      </c>
      <c r="H110" s="44">
        <v>15</v>
      </c>
      <c r="I110" s="49" t="s">
        <v>391</v>
      </c>
      <c r="J110" s="46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 t="s">
        <v>269</v>
      </c>
      <c r="V110" s="44" t="s">
        <v>269</v>
      </c>
      <c r="W110" s="44" t="s">
        <v>269</v>
      </c>
      <c r="X110" s="44"/>
      <c r="Y110" s="44"/>
    </row>
    <row r="111" spans="1:30" x14ac:dyDescent="0.25">
      <c r="A111" s="45" t="s">
        <v>41</v>
      </c>
      <c r="B111" s="45" t="s">
        <v>28</v>
      </c>
      <c r="C111" s="45" t="s">
        <v>29</v>
      </c>
      <c r="D111" s="45">
        <v>703400</v>
      </c>
      <c r="E111" s="45">
        <v>1324000</v>
      </c>
      <c r="F111" s="45">
        <v>0.53120000000000001</v>
      </c>
      <c r="G111" s="45">
        <v>39.581519457273139</v>
      </c>
      <c r="H111" s="45">
        <v>15</v>
      </c>
      <c r="I111" s="48">
        <v>3.6783623289593681</v>
      </c>
      <c r="J111" s="47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>
        <v>12</v>
      </c>
      <c r="V111" s="45" t="s">
        <v>269</v>
      </c>
      <c r="W111" s="45" t="s">
        <v>269</v>
      </c>
      <c r="X111" s="45"/>
      <c r="Y111" s="45"/>
    </row>
    <row r="112" spans="1:30" x14ac:dyDescent="0.25">
      <c r="A112" s="44" t="s">
        <v>42</v>
      </c>
      <c r="B112" s="44" t="s">
        <v>28</v>
      </c>
      <c r="C112" s="44" t="s">
        <v>29</v>
      </c>
      <c r="D112" s="44">
        <v>1308000</v>
      </c>
      <c r="E112" s="44">
        <v>997300</v>
      </c>
      <c r="F112" s="44">
        <v>1.3109999999999999</v>
      </c>
      <c r="G112" s="44">
        <v>100</v>
      </c>
      <c r="H112" s="44">
        <v>0</v>
      </c>
      <c r="I112" s="49">
        <v>4.6051701859880918</v>
      </c>
      <c r="J112" s="46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>
        <v>13</v>
      </c>
      <c r="V112" s="44" t="s">
        <v>269</v>
      </c>
      <c r="W112" s="44" t="s">
        <v>269</v>
      </c>
      <c r="X112" s="44"/>
      <c r="Y112" s="44"/>
    </row>
    <row r="113" spans="1:25" x14ac:dyDescent="0.25">
      <c r="A113" s="45" t="s">
        <v>43</v>
      </c>
      <c r="B113" s="45" t="s">
        <v>28</v>
      </c>
      <c r="C113" s="45" t="s">
        <v>29</v>
      </c>
      <c r="D113" s="45">
        <v>516100</v>
      </c>
      <c r="E113" s="45">
        <v>1285000</v>
      </c>
      <c r="F113" s="45">
        <v>0.4017</v>
      </c>
      <c r="G113" s="45">
        <v>100</v>
      </c>
      <c r="H113" s="45">
        <v>0</v>
      </c>
      <c r="I113" s="48" t="s">
        <v>346</v>
      </c>
      <c r="J113" s="47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 t="s">
        <v>269</v>
      </c>
      <c r="V113" s="45" t="s">
        <v>269</v>
      </c>
      <c r="W113" s="45" t="s">
        <v>269</v>
      </c>
      <c r="X113" s="45"/>
      <c r="Y113" s="45"/>
    </row>
    <row r="114" spans="1:25" x14ac:dyDescent="0.25">
      <c r="A114" s="44" t="s">
        <v>44</v>
      </c>
      <c r="B114" s="44" t="s">
        <v>28</v>
      </c>
      <c r="C114" s="44" t="s">
        <v>29</v>
      </c>
      <c r="D114" s="44">
        <v>1344000</v>
      </c>
      <c r="E114" s="44">
        <v>1001000</v>
      </c>
      <c r="F114" s="44">
        <v>1.3420000000000001</v>
      </c>
      <c r="G114" s="44">
        <v>100</v>
      </c>
      <c r="H114" s="44">
        <v>0</v>
      </c>
      <c r="I114" s="49">
        <v>4.6051701859880918</v>
      </c>
      <c r="J114" s="46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>
        <v>15</v>
      </c>
      <c r="V114" s="44" t="s">
        <v>269</v>
      </c>
      <c r="W114" s="44" t="s">
        <v>269</v>
      </c>
      <c r="X114" s="44"/>
      <c r="Y114" s="44"/>
    </row>
  </sheetData>
  <sortState ref="A2:L163">
    <sortCondition ref="H2:H163"/>
    <sortCondition ref="L2:L163"/>
    <sortCondition ref="B2:B163"/>
    <sortCondition ref="G2:G163"/>
    <sortCondition descending="1" ref="J2:J163"/>
    <sortCondition ref="K2:K163"/>
  </sortState>
  <conditionalFormatting sqref="I5">
    <cfRule type="expression" dxfId="295" priority="315">
      <formula>ISTEXT($I$5)</formula>
    </cfRule>
  </conditionalFormatting>
  <conditionalFormatting sqref="I6">
    <cfRule type="expression" dxfId="294" priority="314">
      <formula>ISTEXT($I$6)</formula>
    </cfRule>
  </conditionalFormatting>
  <conditionalFormatting sqref="I7">
    <cfRule type="expression" dxfId="293" priority="313">
      <formula>ISTEXT($I$7)</formula>
    </cfRule>
  </conditionalFormatting>
  <conditionalFormatting sqref="I8">
    <cfRule type="expression" dxfId="292" priority="312">
      <formula>ISTEXT($I$8)</formula>
    </cfRule>
  </conditionalFormatting>
  <conditionalFormatting sqref="I9">
    <cfRule type="expression" dxfId="291" priority="311">
      <formula>ISTEXT($I$9)</formula>
    </cfRule>
  </conditionalFormatting>
  <conditionalFormatting sqref="I10">
    <cfRule type="expression" dxfId="290" priority="310">
      <formula>ISTEXT($I$10)</formula>
    </cfRule>
  </conditionalFormatting>
  <conditionalFormatting sqref="I11">
    <cfRule type="expression" dxfId="289" priority="309">
      <formula>ISTEXT($I$11)</formula>
    </cfRule>
  </conditionalFormatting>
  <conditionalFormatting sqref="I12">
    <cfRule type="expression" dxfId="288" priority="308">
      <formula>ISTEXT($I$12)</formula>
    </cfRule>
  </conditionalFormatting>
  <conditionalFormatting sqref="I13">
    <cfRule type="expression" dxfId="287" priority="307">
      <formula>ISTEXT($I$13)</formula>
    </cfRule>
  </conditionalFormatting>
  <conditionalFormatting sqref="I14">
    <cfRule type="expression" dxfId="286" priority="306">
      <formula>ISTEXT($I$14)</formula>
    </cfRule>
  </conditionalFormatting>
  <conditionalFormatting sqref="I15">
    <cfRule type="expression" dxfId="285" priority="305">
      <formula>ISTEXT($I$15)</formula>
    </cfRule>
  </conditionalFormatting>
  <conditionalFormatting sqref="I16">
    <cfRule type="expression" dxfId="284" priority="304">
      <formula>ISTEXT($I$16)</formula>
    </cfRule>
  </conditionalFormatting>
  <conditionalFormatting sqref="I17">
    <cfRule type="expression" dxfId="283" priority="303">
      <formula>ISTEXT($I$17)</formula>
    </cfRule>
  </conditionalFormatting>
  <conditionalFormatting sqref="I18">
    <cfRule type="expression" dxfId="282" priority="302">
      <formula>ISTEXT($I$18)</formula>
    </cfRule>
  </conditionalFormatting>
  <conditionalFormatting sqref="I19">
    <cfRule type="expression" dxfId="281" priority="301">
      <formula>ISTEXT($I$19)</formula>
    </cfRule>
  </conditionalFormatting>
  <conditionalFormatting sqref="I24">
    <cfRule type="expression" dxfId="280" priority="300">
      <formula>ISTEXT($I$24)</formula>
    </cfRule>
  </conditionalFormatting>
  <conditionalFormatting sqref="I25">
    <cfRule type="expression" dxfId="279" priority="299">
      <formula>ISTEXT($I$25)</formula>
    </cfRule>
  </conditionalFormatting>
  <conditionalFormatting sqref="I26">
    <cfRule type="expression" dxfId="278" priority="298">
      <formula>ISTEXT($I$26)</formula>
    </cfRule>
  </conditionalFormatting>
  <conditionalFormatting sqref="I27">
    <cfRule type="expression" dxfId="277" priority="297">
      <formula>ISTEXT($I$27)</formula>
    </cfRule>
  </conditionalFormatting>
  <conditionalFormatting sqref="I28">
    <cfRule type="expression" dxfId="276" priority="296">
      <formula>ISTEXT($I$28)</formula>
    </cfRule>
  </conditionalFormatting>
  <conditionalFormatting sqref="I29">
    <cfRule type="expression" dxfId="275" priority="295">
      <formula>ISTEXT($I$29)</formula>
    </cfRule>
  </conditionalFormatting>
  <conditionalFormatting sqref="I30">
    <cfRule type="expression" dxfId="274" priority="294">
      <formula>ISTEXT($I$30)</formula>
    </cfRule>
  </conditionalFormatting>
  <conditionalFormatting sqref="I31">
    <cfRule type="expression" dxfId="273" priority="293">
      <formula>ISTEXT($I$31)</formula>
    </cfRule>
  </conditionalFormatting>
  <conditionalFormatting sqref="I32">
    <cfRule type="expression" dxfId="272" priority="292">
      <formula>ISTEXT($I$32)</formula>
    </cfRule>
  </conditionalFormatting>
  <conditionalFormatting sqref="I33">
    <cfRule type="expression" dxfId="271" priority="291">
      <formula>ISTEXT($I$33)</formula>
    </cfRule>
  </conditionalFormatting>
  <conditionalFormatting sqref="I34">
    <cfRule type="expression" dxfId="270" priority="290">
      <formula>ISTEXT($I$34)</formula>
    </cfRule>
  </conditionalFormatting>
  <conditionalFormatting sqref="I35">
    <cfRule type="expression" dxfId="269" priority="289">
      <formula>ISTEXT($I$35)</formula>
    </cfRule>
  </conditionalFormatting>
  <conditionalFormatting sqref="I36">
    <cfRule type="expression" dxfId="268" priority="288">
      <formula>ISTEXT($I$36)</formula>
    </cfRule>
  </conditionalFormatting>
  <conditionalFormatting sqref="I37">
    <cfRule type="expression" dxfId="267" priority="287">
      <formula>ISTEXT($I$37)</formula>
    </cfRule>
  </conditionalFormatting>
  <conditionalFormatting sqref="I38">
    <cfRule type="expression" dxfId="266" priority="286">
      <formula>ISTEXT($I$38)</formula>
    </cfRule>
  </conditionalFormatting>
  <conditionalFormatting sqref="I43">
    <cfRule type="expression" dxfId="265" priority="255">
      <formula>ISTEXT($I$43)</formula>
    </cfRule>
  </conditionalFormatting>
  <conditionalFormatting sqref="I44">
    <cfRule type="expression" dxfId="264" priority="254">
      <formula>ISTEXT($I$44)</formula>
    </cfRule>
  </conditionalFormatting>
  <conditionalFormatting sqref="I45">
    <cfRule type="expression" dxfId="263" priority="253">
      <formula>ISTEXT($I$45)</formula>
    </cfRule>
  </conditionalFormatting>
  <conditionalFormatting sqref="I46">
    <cfRule type="expression" dxfId="262" priority="252">
      <formula>ISTEXT($I$46)</formula>
    </cfRule>
  </conditionalFormatting>
  <conditionalFormatting sqref="I47">
    <cfRule type="expression" dxfId="261" priority="251">
      <formula>ISTEXT($I$47)</formula>
    </cfRule>
  </conditionalFormatting>
  <conditionalFormatting sqref="I48">
    <cfRule type="expression" dxfId="260" priority="250">
      <formula>ISTEXT($I$48)</formula>
    </cfRule>
  </conditionalFormatting>
  <conditionalFormatting sqref="I49">
    <cfRule type="expression" dxfId="259" priority="249">
      <formula>ISTEXT($I$49)</formula>
    </cfRule>
  </conditionalFormatting>
  <conditionalFormatting sqref="I50">
    <cfRule type="expression" dxfId="258" priority="248">
      <formula>ISTEXT($I$50)</formula>
    </cfRule>
  </conditionalFormatting>
  <conditionalFormatting sqref="I51">
    <cfRule type="expression" dxfId="257" priority="247">
      <formula>ISTEXT($I$51)</formula>
    </cfRule>
  </conditionalFormatting>
  <conditionalFormatting sqref="I52">
    <cfRule type="expression" dxfId="256" priority="246">
      <formula>ISTEXT($I$52)</formula>
    </cfRule>
  </conditionalFormatting>
  <conditionalFormatting sqref="I53">
    <cfRule type="expression" dxfId="255" priority="245">
      <formula>ISTEXT($I$53)</formula>
    </cfRule>
  </conditionalFormatting>
  <conditionalFormatting sqref="I54">
    <cfRule type="expression" dxfId="254" priority="244">
      <formula>ISTEXT($I$54)</formula>
    </cfRule>
  </conditionalFormatting>
  <conditionalFormatting sqref="I55">
    <cfRule type="expression" dxfId="253" priority="243">
      <formula>ISTEXT($I$55)</formula>
    </cfRule>
  </conditionalFormatting>
  <conditionalFormatting sqref="I56">
    <cfRule type="expression" dxfId="252" priority="242">
      <formula>ISTEXT($I$56)</formula>
    </cfRule>
  </conditionalFormatting>
  <conditionalFormatting sqref="I57">
    <cfRule type="expression" dxfId="251" priority="241">
      <formula>ISTEXT($I$57)</formula>
    </cfRule>
  </conditionalFormatting>
  <conditionalFormatting sqref="I62">
    <cfRule type="expression" dxfId="250" priority="240">
      <formula>ISTEXT($I$62)</formula>
    </cfRule>
  </conditionalFormatting>
  <conditionalFormatting sqref="I63">
    <cfRule type="expression" dxfId="249" priority="239">
      <formula>ISTEXT($I$63)</formula>
    </cfRule>
  </conditionalFormatting>
  <conditionalFormatting sqref="I64">
    <cfRule type="expression" dxfId="248" priority="238">
      <formula>ISTEXT($I$64)</formula>
    </cfRule>
  </conditionalFormatting>
  <conditionalFormatting sqref="I65">
    <cfRule type="expression" dxfId="247" priority="237">
      <formula>ISTEXT($I$65)</formula>
    </cfRule>
  </conditionalFormatting>
  <conditionalFormatting sqref="I66">
    <cfRule type="expression" dxfId="246" priority="236">
      <formula>ISTEXT($I$66)</formula>
    </cfRule>
  </conditionalFormatting>
  <conditionalFormatting sqref="I67">
    <cfRule type="expression" dxfId="245" priority="235">
      <formula>ISTEXT($I$67)</formula>
    </cfRule>
  </conditionalFormatting>
  <conditionalFormatting sqref="I68">
    <cfRule type="expression" dxfId="244" priority="234">
      <formula>ISTEXT($I$68)</formula>
    </cfRule>
  </conditionalFormatting>
  <conditionalFormatting sqref="I69">
    <cfRule type="expression" dxfId="243" priority="233">
      <formula>ISTEXT($I$69)</formula>
    </cfRule>
  </conditionalFormatting>
  <conditionalFormatting sqref="I70">
    <cfRule type="expression" dxfId="242" priority="232">
      <formula>ISTEXT($I$70)</formula>
    </cfRule>
  </conditionalFormatting>
  <conditionalFormatting sqref="I71">
    <cfRule type="expression" dxfId="241" priority="231">
      <formula>ISTEXT($I$71)</formula>
    </cfRule>
  </conditionalFormatting>
  <conditionalFormatting sqref="I72">
    <cfRule type="expression" dxfId="240" priority="230">
      <formula>ISTEXT($I$72)</formula>
    </cfRule>
  </conditionalFormatting>
  <conditionalFormatting sqref="I73">
    <cfRule type="expression" dxfId="239" priority="229">
      <formula>ISTEXT($I$73)</formula>
    </cfRule>
  </conditionalFormatting>
  <conditionalFormatting sqref="I74">
    <cfRule type="expression" dxfId="238" priority="228">
      <formula>ISTEXT($I$74)</formula>
    </cfRule>
  </conditionalFormatting>
  <conditionalFormatting sqref="I75">
    <cfRule type="expression" dxfId="237" priority="227">
      <formula>ISTEXT($I$75)</formula>
    </cfRule>
  </conditionalFormatting>
  <conditionalFormatting sqref="I76">
    <cfRule type="expression" dxfId="236" priority="226">
      <formula>ISTEXT($I$76)</formula>
    </cfRule>
  </conditionalFormatting>
  <conditionalFormatting sqref="I81">
    <cfRule type="expression" dxfId="235" priority="225">
      <formula>ISTEXT($I$81)</formula>
    </cfRule>
  </conditionalFormatting>
  <conditionalFormatting sqref="I82">
    <cfRule type="expression" dxfId="234" priority="224">
      <formula>ISTEXT($I$82)</formula>
    </cfRule>
  </conditionalFormatting>
  <conditionalFormatting sqref="I83">
    <cfRule type="expression" dxfId="233" priority="223">
      <formula>ISTEXT($I$83)</formula>
    </cfRule>
  </conditionalFormatting>
  <conditionalFormatting sqref="I84">
    <cfRule type="expression" dxfId="232" priority="222">
      <formula>ISTEXT($I$84)</formula>
    </cfRule>
  </conditionalFormatting>
  <conditionalFormatting sqref="I85">
    <cfRule type="expression" dxfId="231" priority="221">
      <formula>ISTEXT($I$85)</formula>
    </cfRule>
  </conditionalFormatting>
  <conditionalFormatting sqref="I86">
    <cfRule type="expression" dxfId="230" priority="220">
      <formula>ISTEXT($I$86)</formula>
    </cfRule>
  </conditionalFormatting>
  <conditionalFormatting sqref="I87">
    <cfRule type="expression" dxfId="229" priority="219">
      <formula>ISTEXT($I$87)</formula>
    </cfRule>
  </conditionalFormatting>
  <conditionalFormatting sqref="I88">
    <cfRule type="expression" dxfId="228" priority="218">
      <formula>ISTEXT($I$88)</formula>
    </cfRule>
  </conditionalFormatting>
  <conditionalFormatting sqref="I89">
    <cfRule type="expression" dxfId="227" priority="217">
      <formula>ISTEXT($I$89)</formula>
    </cfRule>
  </conditionalFormatting>
  <conditionalFormatting sqref="I90">
    <cfRule type="expression" dxfId="226" priority="216">
      <formula>ISTEXT($I$90)</formula>
    </cfRule>
  </conditionalFormatting>
  <conditionalFormatting sqref="I91">
    <cfRule type="expression" dxfId="225" priority="215">
      <formula>ISTEXT($I$91)</formula>
    </cfRule>
  </conditionalFormatting>
  <conditionalFormatting sqref="I92">
    <cfRule type="expression" dxfId="224" priority="214">
      <formula>ISTEXT($I$92)</formula>
    </cfRule>
  </conditionalFormatting>
  <conditionalFormatting sqref="I93">
    <cfRule type="expression" dxfId="223" priority="213">
      <formula>ISTEXT($I$93)</formula>
    </cfRule>
  </conditionalFormatting>
  <conditionalFormatting sqref="I94">
    <cfRule type="expression" dxfId="222" priority="212">
      <formula>ISTEXT($I$94)</formula>
    </cfRule>
  </conditionalFormatting>
  <conditionalFormatting sqref="I95">
    <cfRule type="expression" dxfId="221" priority="211">
      <formula>ISTEXT($I$95)</formula>
    </cfRule>
  </conditionalFormatting>
  <conditionalFormatting sqref="I100">
    <cfRule type="expression" dxfId="220" priority="210">
      <formula>ISTEXT($I$100)</formula>
    </cfRule>
  </conditionalFormatting>
  <conditionalFormatting sqref="I101">
    <cfRule type="expression" dxfId="219" priority="209">
      <formula>ISTEXT($I$101)</formula>
    </cfRule>
  </conditionalFormatting>
  <conditionalFormatting sqref="I102">
    <cfRule type="expression" dxfId="218" priority="208">
      <formula>ISTEXT($I$102)</formula>
    </cfRule>
  </conditionalFormatting>
  <conditionalFormatting sqref="I103">
    <cfRule type="expression" dxfId="217" priority="207">
      <formula>ISTEXT($I$103)</formula>
    </cfRule>
  </conditionalFormatting>
  <conditionalFormatting sqref="I104">
    <cfRule type="expression" dxfId="216" priority="206">
      <formula>ISTEXT($I$104)</formula>
    </cfRule>
  </conditionalFormatting>
  <conditionalFormatting sqref="I105">
    <cfRule type="expression" dxfId="215" priority="205">
      <formula>ISTEXT($I$105)</formula>
    </cfRule>
  </conditionalFormatting>
  <conditionalFormatting sqref="I106">
    <cfRule type="expression" dxfId="214" priority="204">
      <formula>ISTEXT($I$106)</formula>
    </cfRule>
  </conditionalFormatting>
  <conditionalFormatting sqref="I107">
    <cfRule type="expression" dxfId="213" priority="203">
      <formula>ISTEXT($I$107)</formula>
    </cfRule>
  </conditionalFormatting>
  <conditionalFormatting sqref="I108">
    <cfRule type="expression" dxfId="212" priority="202">
      <formula>ISTEXT($I$108)</formula>
    </cfRule>
  </conditionalFormatting>
  <conditionalFormatting sqref="I109">
    <cfRule type="expression" dxfId="211" priority="201">
      <formula>ISTEXT($I$109)</formula>
    </cfRule>
  </conditionalFormatting>
  <conditionalFormatting sqref="I110">
    <cfRule type="expression" dxfId="210" priority="200">
      <formula>ISTEXT($I$110)</formula>
    </cfRule>
  </conditionalFormatting>
  <conditionalFormatting sqref="I111">
    <cfRule type="expression" dxfId="209" priority="199">
      <formula>ISTEXT($I$111)</formula>
    </cfRule>
  </conditionalFormatting>
  <conditionalFormatting sqref="I112">
    <cfRule type="expression" dxfId="208" priority="198">
      <formula>ISTEXT($I$112)</formula>
    </cfRule>
  </conditionalFormatting>
  <conditionalFormatting sqref="I113">
    <cfRule type="expression" dxfId="207" priority="197">
      <formula>ISTEXT($I$113)</formula>
    </cfRule>
  </conditionalFormatting>
  <conditionalFormatting sqref="I114">
    <cfRule type="expression" dxfId="206" priority="196">
      <formula>ISTEXT($I$114)</formula>
    </cfRule>
  </conditionalFormatting>
  <conditionalFormatting sqref="AA3">
    <cfRule type="expression" dxfId="205" priority="180">
      <formula>ISTEXT($AA$3)</formula>
    </cfRule>
  </conditionalFormatting>
  <conditionalFormatting sqref="AB3">
    <cfRule type="expression" dxfId="204" priority="179">
      <formula>ISTEXT($AB$3)</formula>
    </cfRule>
  </conditionalFormatting>
  <conditionalFormatting sqref="AC3">
    <cfRule type="expression" dxfId="203" priority="178">
      <formula>ISTEXT($AC$3)</formula>
    </cfRule>
  </conditionalFormatting>
  <conditionalFormatting sqref="AD3">
    <cfRule type="expression" dxfId="202" priority="177">
      <formula>ISTEXT($AD$3)</formula>
    </cfRule>
  </conditionalFormatting>
  <conditionalFormatting sqref="AA4">
    <cfRule type="expression" dxfId="201" priority="176">
      <formula>ISTEXT($AA$4)</formula>
    </cfRule>
  </conditionalFormatting>
  <conditionalFormatting sqref="AB4">
    <cfRule type="expression" dxfId="200" priority="175">
      <formula>ISTEXT($AB$4)</formula>
    </cfRule>
  </conditionalFormatting>
  <conditionalFormatting sqref="AC4">
    <cfRule type="expression" dxfId="199" priority="174">
      <formula>ISTEXT($AC$4)</formula>
    </cfRule>
  </conditionalFormatting>
  <conditionalFormatting sqref="AD4">
    <cfRule type="expression" dxfId="198" priority="173">
      <formula>ISTEXT($AD$4)</formula>
    </cfRule>
  </conditionalFormatting>
  <conditionalFormatting sqref="AA5">
    <cfRule type="expression" dxfId="197" priority="172">
      <formula>ISTEXT($AA$5)</formula>
    </cfRule>
  </conditionalFormatting>
  <conditionalFormatting sqref="AB5">
    <cfRule type="expression" dxfId="196" priority="171">
      <formula>ISTEXT($AB$5)</formula>
    </cfRule>
  </conditionalFormatting>
  <conditionalFormatting sqref="AC5">
    <cfRule type="expression" dxfId="195" priority="170">
      <formula>ISTEXT($AC$5)</formula>
    </cfRule>
  </conditionalFormatting>
  <conditionalFormatting sqref="AD5">
    <cfRule type="expression" dxfId="194" priority="169">
      <formula>ISTEXT($AD$5)</formula>
    </cfRule>
  </conditionalFormatting>
  <conditionalFormatting sqref="AA6">
    <cfRule type="expression" dxfId="193" priority="168">
      <formula>ISTEXT($AA$6)</formula>
    </cfRule>
  </conditionalFormatting>
  <conditionalFormatting sqref="AB6">
    <cfRule type="expression" dxfId="192" priority="167">
      <formula>ISTEXT($AB$6)</formula>
    </cfRule>
  </conditionalFormatting>
  <conditionalFormatting sqref="AC6">
    <cfRule type="expression" dxfId="191" priority="166">
      <formula>ISTEXT($AC$6)</formula>
    </cfRule>
  </conditionalFormatting>
  <conditionalFormatting sqref="AD6">
    <cfRule type="expression" dxfId="190" priority="165">
      <formula>ISTEXT($AD$6)</formula>
    </cfRule>
  </conditionalFormatting>
  <conditionalFormatting sqref="AA7">
    <cfRule type="expression" dxfId="189" priority="164">
      <formula>ISTEXT($AA$7)</formula>
    </cfRule>
  </conditionalFormatting>
  <conditionalFormatting sqref="AB7">
    <cfRule type="expression" dxfId="188" priority="163">
      <formula>ISTEXT($AB$7)</formula>
    </cfRule>
  </conditionalFormatting>
  <conditionalFormatting sqref="AC7">
    <cfRule type="expression" dxfId="187" priority="162">
      <formula>ISTEXT($AC$7)</formula>
    </cfRule>
  </conditionalFormatting>
  <conditionalFormatting sqref="AD7">
    <cfRule type="expression" dxfId="186" priority="161">
      <formula>ISTEXT($AD$7)</formula>
    </cfRule>
  </conditionalFormatting>
  <conditionalFormatting sqref="AA22">
    <cfRule type="expression" dxfId="185" priority="160">
      <formula>ISTEXT($AA$22)</formula>
    </cfRule>
  </conditionalFormatting>
  <conditionalFormatting sqref="AB22">
    <cfRule type="expression" dxfId="184" priority="159">
      <formula>ISTEXT($AB$22)</formula>
    </cfRule>
  </conditionalFormatting>
  <conditionalFormatting sqref="AC22">
    <cfRule type="expression" dxfId="183" priority="158">
      <formula>ISTEXT($AC$22)</formula>
    </cfRule>
  </conditionalFormatting>
  <conditionalFormatting sqref="AD22">
    <cfRule type="expression" dxfId="182" priority="157">
      <formula>ISTEXT($AD$22)</formula>
    </cfRule>
  </conditionalFormatting>
  <conditionalFormatting sqref="AA23">
    <cfRule type="expression" dxfId="181" priority="156">
      <formula>ISTEXT($AA$23)</formula>
    </cfRule>
  </conditionalFormatting>
  <conditionalFormatting sqref="AB23">
    <cfRule type="expression" dxfId="180" priority="155">
      <formula>ISTEXT($AB$23)</formula>
    </cfRule>
  </conditionalFormatting>
  <conditionalFormatting sqref="AC23">
    <cfRule type="expression" dxfId="179" priority="154">
      <formula>ISTEXT($AC$23)</formula>
    </cfRule>
  </conditionalFormatting>
  <conditionalFormatting sqref="AD23">
    <cfRule type="expression" dxfId="178" priority="153">
      <formula>ISTEXT($AD$23)</formula>
    </cfRule>
  </conditionalFormatting>
  <conditionalFormatting sqref="AA24">
    <cfRule type="expression" dxfId="177" priority="152">
      <formula>ISTEXT($AA$24)</formula>
    </cfRule>
  </conditionalFormatting>
  <conditionalFormatting sqref="AB24">
    <cfRule type="expression" dxfId="176" priority="151">
      <formula>ISTEXT($AB$24)</formula>
    </cfRule>
  </conditionalFormatting>
  <conditionalFormatting sqref="AC24">
    <cfRule type="expression" dxfId="175" priority="150">
      <formula>ISTEXT($AC$24)</formula>
    </cfRule>
  </conditionalFormatting>
  <conditionalFormatting sqref="AD24">
    <cfRule type="expression" dxfId="174" priority="149">
      <formula>ISTEXT($AD$24)</formula>
    </cfRule>
  </conditionalFormatting>
  <conditionalFormatting sqref="AA25">
    <cfRule type="expression" dxfId="173" priority="148">
      <formula>ISTEXT($AA$25)</formula>
    </cfRule>
  </conditionalFormatting>
  <conditionalFormatting sqref="AB25">
    <cfRule type="expression" dxfId="172" priority="147">
      <formula>ISTEXT($AB$25)</formula>
    </cfRule>
  </conditionalFormatting>
  <conditionalFormatting sqref="AC25">
    <cfRule type="expression" dxfId="171" priority="146">
      <formula>ISTEXT($AC$25)</formula>
    </cfRule>
  </conditionalFormatting>
  <conditionalFormatting sqref="AD25">
    <cfRule type="expression" dxfId="170" priority="145">
      <formula>ISTEXT($AD$25)</formula>
    </cfRule>
  </conditionalFormatting>
  <conditionalFormatting sqref="AA26">
    <cfRule type="expression" dxfId="169" priority="144">
      <formula>ISTEXT($AA$26)</formula>
    </cfRule>
  </conditionalFormatting>
  <conditionalFormatting sqref="AB26">
    <cfRule type="expression" dxfId="168" priority="143">
      <formula>ISTEXT($AB$26)</formula>
    </cfRule>
  </conditionalFormatting>
  <conditionalFormatting sqref="AC26">
    <cfRule type="expression" dxfId="167" priority="142">
      <formula>ISTEXT($AC$26)</formula>
    </cfRule>
  </conditionalFormatting>
  <conditionalFormatting sqref="AD26">
    <cfRule type="expression" dxfId="166" priority="141">
      <formula>ISTEXT($AD$26)</formula>
    </cfRule>
  </conditionalFormatting>
  <conditionalFormatting sqref="AA41">
    <cfRule type="expression" dxfId="165" priority="100">
      <formula>ISTEXT($AA$41)</formula>
    </cfRule>
  </conditionalFormatting>
  <conditionalFormatting sqref="AB41">
    <cfRule type="expression" dxfId="164" priority="99">
      <formula>ISTEXT($AB$41)</formula>
    </cfRule>
  </conditionalFormatting>
  <conditionalFormatting sqref="AC41">
    <cfRule type="expression" dxfId="163" priority="98">
      <formula>ISTEXT($AC$41)</formula>
    </cfRule>
  </conditionalFormatting>
  <conditionalFormatting sqref="AD41">
    <cfRule type="expression" dxfId="162" priority="97">
      <formula>ISTEXT($AD$41)</formula>
    </cfRule>
  </conditionalFormatting>
  <conditionalFormatting sqref="AA42">
    <cfRule type="expression" dxfId="161" priority="96">
      <formula>ISTEXT($AA$42)</formula>
    </cfRule>
  </conditionalFormatting>
  <conditionalFormatting sqref="AB42">
    <cfRule type="expression" dxfId="160" priority="95">
      <formula>ISTEXT($AB$42)</formula>
    </cfRule>
  </conditionalFormatting>
  <conditionalFormatting sqref="AC42">
    <cfRule type="expression" dxfId="159" priority="94">
      <formula>ISTEXT($AC$42)</formula>
    </cfRule>
  </conditionalFormatting>
  <conditionalFormatting sqref="AD42">
    <cfRule type="expression" dxfId="158" priority="93">
      <formula>ISTEXT($AD$42)</formula>
    </cfRule>
  </conditionalFormatting>
  <conditionalFormatting sqref="AA43">
    <cfRule type="expression" dxfId="157" priority="92">
      <formula>ISTEXT($AA$43)</formula>
    </cfRule>
  </conditionalFormatting>
  <conditionalFormatting sqref="AB43">
    <cfRule type="expression" dxfId="156" priority="91">
      <formula>ISTEXT($AB$43)</formula>
    </cfRule>
  </conditionalFormatting>
  <conditionalFormatting sqref="AC43">
    <cfRule type="expression" dxfId="155" priority="90">
      <formula>ISTEXT($AC$43)</formula>
    </cfRule>
  </conditionalFormatting>
  <conditionalFormatting sqref="AD43">
    <cfRule type="expression" dxfId="154" priority="89">
      <formula>ISTEXT($AD$43)</formula>
    </cfRule>
  </conditionalFormatting>
  <conditionalFormatting sqref="AA44">
    <cfRule type="expression" dxfId="153" priority="88">
      <formula>ISTEXT($AA$44)</formula>
    </cfRule>
  </conditionalFormatting>
  <conditionalFormatting sqref="AB44">
    <cfRule type="expression" dxfId="152" priority="87">
      <formula>ISTEXT($AB$44)</formula>
    </cfRule>
  </conditionalFormatting>
  <conditionalFormatting sqref="AC44">
    <cfRule type="expression" dxfId="151" priority="86">
      <formula>ISTEXT($AC$44)</formula>
    </cfRule>
  </conditionalFormatting>
  <conditionalFormatting sqref="AD44">
    <cfRule type="expression" dxfId="150" priority="85">
      <formula>ISTEXT($AD$44)</formula>
    </cfRule>
  </conditionalFormatting>
  <conditionalFormatting sqref="AA45">
    <cfRule type="expression" dxfId="149" priority="84">
      <formula>ISTEXT($AA$45)</formula>
    </cfRule>
  </conditionalFormatting>
  <conditionalFormatting sqref="AB45">
    <cfRule type="expression" dxfId="148" priority="83">
      <formula>ISTEXT($AB$45)</formula>
    </cfRule>
  </conditionalFormatting>
  <conditionalFormatting sqref="AC45">
    <cfRule type="expression" dxfId="147" priority="82">
      <formula>ISTEXT($AC$45)</formula>
    </cfRule>
  </conditionalFormatting>
  <conditionalFormatting sqref="AD45">
    <cfRule type="expression" dxfId="146" priority="81">
      <formula>ISTEXT($AD$45)</formula>
    </cfRule>
  </conditionalFormatting>
  <conditionalFormatting sqref="AA60">
    <cfRule type="expression" dxfId="145" priority="80">
      <formula>ISTEXT($AA$60)</formula>
    </cfRule>
  </conditionalFormatting>
  <conditionalFormatting sqref="AB60">
    <cfRule type="expression" dxfId="144" priority="79">
      <formula>ISTEXT($AB$60)</formula>
    </cfRule>
  </conditionalFormatting>
  <conditionalFormatting sqref="AC60">
    <cfRule type="expression" dxfId="143" priority="78">
      <formula>ISTEXT($AC$60)</formula>
    </cfRule>
  </conditionalFormatting>
  <conditionalFormatting sqref="AD60">
    <cfRule type="expression" dxfId="142" priority="77">
      <formula>ISTEXT($AD$60)</formula>
    </cfRule>
  </conditionalFormatting>
  <conditionalFormatting sqref="AA61">
    <cfRule type="expression" dxfId="141" priority="76">
      <formula>ISTEXT($AA$61)</formula>
    </cfRule>
  </conditionalFormatting>
  <conditionalFormatting sqref="AB61">
    <cfRule type="expression" dxfId="140" priority="75">
      <formula>ISTEXT($AB$61)</formula>
    </cfRule>
  </conditionalFormatting>
  <conditionalFormatting sqref="AC61">
    <cfRule type="expression" dxfId="139" priority="74">
      <formula>ISTEXT($AC$61)</formula>
    </cfRule>
  </conditionalFormatting>
  <conditionalFormatting sqref="AD61">
    <cfRule type="expression" dxfId="138" priority="73">
      <formula>ISTEXT($AD$61)</formula>
    </cfRule>
  </conditionalFormatting>
  <conditionalFormatting sqref="AA62">
    <cfRule type="expression" dxfId="137" priority="72">
      <formula>ISTEXT($AA$62)</formula>
    </cfRule>
  </conditionalFormatting>
  <conditionalFormatting sqref="AB62">
    <cfRule type="expression" dxfId="136" priority="71">
      <formula>ISTEXT($AB$62)</formula>
    </cfRule>
  </conditionalFormatting>
  <conditionalFormatting sqref="AC62">
    <cfRule type="expression" dxfId="135" priority="70">
      <formula>ISTEXT($AC$62)</formula>
    </cfRule>
  </conditionalFormatting>
  <conditionalFormatting sqref="AD62">
    <cfRule type="expression" dxfId="134" priority="69">
      <formula>ISTEXT($AD$62)</formula>
    </cfRule>
  </conditionalFormatting>
  <conditionalFormatting sqref="AA63">
    <cfRule type="expression" dxfId="133" priority="68">
      <formula>ISTEXT($AA$63)</formula>
    </cfRule>
  </conditionalFormatting>
  <conditionalFormatting sqref="AB63">
    <cfRule type="expression" dxfId="132" priority="67">
      <formula>ISTEXT($AB$63)</formula>
    </cfRule>
  </conditionalFormatting>
  <conditionalFormatting sqref="AC63">
    <cfRule type="expression" dxfId="131" priority="66">
      <formula>ISTEXT($AC$63)</formula>
    </cfRule>
  </conditionalFormatting>
  <conditionalFormatting sqref="AD63">
    <cfRule type="expression" dxfId="130" priority="65">
      <formula>ISTEXT($AD$63)</formula>
    </cfRule>
  </conditionalFormatting>
  <conditionalFormatting sqref="AA64">
    <cfRule type="expression" dxfId="129" priority="64">
      <formula>ISTEXT($AA$64)</formula>
    </cfRule>
  </conditionalFormatting>
  <conditionalFormatting sqref="AB64">
    <cfRule type="expression" dxfId="128" priority="63">
      <formula>ISTEXT($AB$64)</formula>
    </cfRule>
  </conditionalFormatting>
  <conditionalFormatting sqref="AC64">
    <cfRule type="expression" dxfId="127" priority="62">
      <formula>ISTEXT($AC$64)</formula>
    </cfRule>
  </conditionalFormatting>
  <conditionalFormatting sqref="AD64">
    <cfRule type="expression" dxfId="126" priority="61">
      <formula>ISTEXT($AD$64)</formula>
    </cfRule>
  </conditionalFormatting>
  <conditionalFormatting sqref="AA79">
    <cfRule type="expression" dxfId="125" priority="60">
      <formula>ISTEXT($AA$79)</formula>
    </cfRule>
  </conditionalFormatting>
  <conditionalFormatting sqref="AB79">
    <cfRule type="expression" dxfId="124" priority="59">
      <formula>ISTEXT($AB$79)</formula>
    </cfRule>
  </conditionalFormatting>
  <conditionalFormatting sqref="AC79">
    <cfRule type="expression" dxfId="123" priority="58">
      <formula>ISTEXT($AC$79)</formula>
    </cfRule>
  </conditionalFormatting>
  <conditionalFormatting sqref="AD79">
    <cfRule type="expression" dxfId="122" priority="57">
      <formula>ISTEXT($AD$79)</formula>
    </cfRule>
  </conditionalFormatting>
  <conditionalFormatting sqref="AA80">
    <cfRule type="expression" dxfId="121" priority="56">
      <formula>ISTEXT($AA$80)</formula>
    </cfRule>
  </conditionalFormatting>
  <conditionalFormatting sqref="AB80">
    <cfRule type="expression" dxfId="120" priority="55">
      <formula>ISTEXT($AB$80)</formula>
    </cfRule>
  </conditionalFormatting>
  <conditionalFormatting sqref="AC80">
    <cfRule type="expression" dxfId="119" priority="54">
      <formula>ISTEXT($AC$80)</formula>
    </cfRule>
  </conditionalFormatting>
  <conditionalFormatting sqref="AD80">
    <cfRule type="expression" dxfId="118" priority="53">
      <formula>ISTEXT($AD$80)</formula>
    </cfRule>
  </conditionalFormatting>
  <conditionalFormatting sqref="AA81">
    <cfRule type="expression" dxfId="117" priority="52">
      <formula>ISTEXT($AA$81)</formula>
    </cfRule>
  </conditionalFormatting>
  <conditionalFormatting sqref="AB81">
    <cfRule type="expression" dxfId="116" priority="51">
      <formula>ISTEXT($AB$81)</formula>
    </cfRule>
  </conditionalFormatting>
  <conditionalFormatting sqref="AC81">
    <cfRule type="expression" dxfId="115" priority="50">
      <formula>ISTEXT($AC$81)</formula>
    </cfRule>
  </conditionalFormatting>
  <conditionalFormatting sqref="AD81">
    <cfRule type="expression" dxfId="114" priority="49">
      <formula>ISTEXT($AD$81)</formula>
    </cfRule>
  </conditionalFormatting>
  <conditionalFormatting sqref="AA82">
    <cfRule type="expression" dxfId="113" priority="48">
      <formula>ISTEXT($AA$82)</formula>
    </cfRule>
  </conditionalFormatting>
  <conditionalFormatting sqref="AB82">
    <cfRule type="expression" dxfId="112" priority="47">
      <formula>ISTEXT($AB$82)</formula>
    </cfRule>
  </conditionalFormatting>
  <conditionalFormatting sqref="AC82">
    <cfRule type="expression" dxfId="111" priority="46">
      <formula>ISTEXT($AC$82)</formula>
    </cfRule>
  </conditionalFormatting>
  <conditionalFormatting sqref="AD82">
    <cfRule type="expression" dxfId="110" priority="45">
      <formula>ISTEXT($AD$82)</formula>
    </cfRule>
  </conditionalFormatting>
  <conditionalFormatting sqref="AA83">
    <cfRule type="expression" dxfId="109" priority="44">
      <formula>ISTEXT($AA$83)</formula>
    </cfRule>
  </conditionalFormatting>
  <conditionalFormatting sqref="AB83">
    <cfRule type="expression" dxfId="108" priority="43">
      <formula>ISTEXT($AB$83)</formula>
    </cfRule>
  </conditionalFormatting>
  <conditionalFormatting sqref="AC83">
    <cfRule type="expression" dxfId="107" priority="42">
      <formula>ISTEXT($AC$83)</formula>
    </cfRule>
  </conditionalFormatting>
  <conditionalFormatting sqref="AD83">
    <cfRule type="expression" dxfId="106" priority="41">
      <formula>ISTEXT($AD$83)</formula>
    </cfRule>
  </conditionalFormatting>
  <conditionalFormatting sqref="AA98">
    <cfRule type="expression" dxfId="105" priority="40">
      <formula>ISTEXT($AA$98)</formula>
    </cfRule>
  </conditionalFormatting>
  <conditionalFormatting sqref="AB98">
    <cfRule type="expression" dxfId="104" priority="39">
      <formula>ISTEXT($AB$98)</formula>
    </cfRule>
  </conditionalFormatting>
  <conditionalFormatting sqref="AC98">
    <cfRule type="expression" dxfId="103" priority="38">
      <formula>ISTEXT($AC$98)</formula>
    </cfRule>
  </conditionalFormatting>
  <conditionalFormatting sqref="AD98">
    <cfRule type="expression" dxfId="102" priority="37">
      <formula>ISTEXT($AD$98)</formula>
    </cfRule>
  </conditionalFormatting>
  <conditionalFormatting sqref="AA99">
    <cfRule type="expression" dxfId="101" priority="36">
      <formula>ISTEXT($AA$99)</formula>
    </cfRule>
  </conditionalFormatting>
  <conditionalFormatting sqref="AB99">
    <cfRule type="expression" dxfId="100" priority="35">
      <formula>ISTEXT($AB$99)</formula>
    </cfRule>
  </conditionalFormatting>
  <conditionalFormatting sqref="AC99">
    <cfRule type="expression" dxfId="99" priority="34">
      <formula>ISTEXT($AC$99)</formula>
    </cfRule>
  </conditionalFormatting>
  <conditionalFormatting sqref="AD99">
    <cfRule type="expression" dxfId="98" priority="33">
      <formula>ISTEXT($AD$99)</formula>
    </cfRule>
  </conditionalFormatting>
  <conditionalFormatting sqref="AA100">
    <cfRule type="expression" dxfId="97" priority="32">
      <formula>ISTEXT($AA$100)</formula>
    </cfRule>
  </conditionalFormatting>
  <conditionalFormatting sqref="AB100">
    <cfRule type="expression" dxfId="96" priority="31">
      <formula>ISTEXT($AB$100)</formula>
    </cfRule>
  </conditionalFormatting>
  <conditionalFormatting sqref="AC100">
    <cfRule type="expression" dxfId="95" priority="30">
      <formula>ISTEXT($AC$100)</formula>
    </cfRule>
  </conditionalFormatting>
  <conditionalFormatting sqref="AD100">
    <cfRule type="expression" dxfId="94" priority="29">
      <formula>ISTEXT($AD$100)</formula>
    </cfRule>
  </conditionalFormatting>
  <conditionalFormatting sqref="AA101">
    <cfRule type="expression" dxfId="93" priority="28">
      <formula>ISTEXT($AA$101)</formula>
    </cfRule>
  </conditionalFormatting>
  <conditionalFormatting sqref="AB101">
    <cfRule type="expression" dxfId="92" priority="27">
      <formula>ISTEXT($AB$101)</formula>
    </cfRule>
  </conditionalFormatting>
  <conditionalFormatting sqref="AC101">
    <cfRule type="expression" dxfId="91" priority="26">
      <formula>ISTEXT($AC$101)</formula>
    </cfRule>
  </conditionalFormatting>
  <conditionalFormatting sqref="AD101">
    <cfRule type="expression" dxfId="90" priority="25">
      <formula>ISTEXT($AD$101)</formula>
    </cfRule>
  </conditionalFormatting>
  <conditionalFormatting sqref="AA102">
    <cfRule type="expression" dxfId="89" priority="24">
      <formula>ISTEXT($AA$102)</formula>
    </cfRule>
  </conditionalFormatting>
  <conditionalFormatting sqref="AB102">
    <cfRule type="expression" dxfId="88" priority="23">
      <formula>ISTEXT($AB$102)</formula>
    </cfRule>
  </conditionalFormatting>
  <conditionalFormatting sqref="AC102">
    <cfRule type="expression" dxfId="87" priority="22">
      <formula>ISTEXT($AC$102)</formula>
    </cfRule>
  </conditionalFormatting>
  <conditionalFormatting sqref="AD102">
    <cfRule type="expression" dxfId="86" priority="21">
      <formula>ISTEXT($AD$102)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R131"/>
  <sheetViews>
    <sheetView workbookViewId="0">
      <pane ySplit="1" topLeftCell="A2" activePane="bottomLeft" state="frozenSplit"/>
      <selection pane="bottomLeft" activeCell="G15" sqref="G15"/>
    </sheetView>
  </sheetViews>
  <sheetFormatPr defaultRowHeight="15" x14ac:dyDescent="0.25"/>
  <cols>
    <col min="1" max="1" width="51.42578125" style="150" bestFit="1" customWidth="1"/>
    <col min="2" max="2" width="15.85546875" style="150" bestFit="1" customWidth="1"/>
    <col min="3" max="3" width="11.85546875" style="150" bestFit="1" customWidth="1"/>
    <col min="4" max="4" width="8" style="150" bestFit="1" customWidth="1"/>
    <col min="5" max="5" width="10.5703125" style="150" bestFit="1" customWidth="1"/>
    <col min="6" max="6" width="8.7109375" style="150" customWidth="1"/>
    <col min="7" max="7" width="12.42578125" style="150" bestFit="1" customWidth="1"/>
    <col min="8" max="8" width="11.5703125" style="150" bestFit="1" customWidth="1"/>
    <col min="9" max="9" width="14.7109375" style="150" bestFit="1" customWidth="1"/>
    <col min="10" max="10" width="8.7109375" style="153" customWidth="1"/>
    <col min="11" max="11" width="8.7109375" style="150" hidden="1" customWidth="1"/>
    <col min="12" max="17" width="8.7109375" style="150" customWidth="1"/>
    <col min="18" max="18" width="24.42578125" style="150" bestFit="1" customWidth="1"/>
    <col min="19" max="19" width="8.7109375" style="150" customWidth="1"/>
    <col min="20" max="25" width="8.7109375" style="150" hidden="1" customWidth="1"/>
    <col min="26" max="26" width="20.5703125" style="153" bestFit="1" customWidth="1"/>
    <col min="27" max="29" width="21" style="153" bestFit="1" customWidth="1"/>
    <col min="30" max="30" width="8.28515625" style="150" bestFit="1" customWidth="1"/>
    <col min="31" max="44" width="8.7109375" style="150" customWidth="1"/>
    <col min="45" max="16384" width="9.140625" style="150"/>
  </cols>
  <sheetData>
    <row r="1" spans="1:30" ht="15.75" thickBot="1" x14ac:dyDescent="0.3">
      <c r="A1" s="147" t="s">
        <v>0</v>
      </c>
      <c r="B1" s="147" t="s">
        <v>1</v>
      </c>
      <c r="C1" s="147" t="s">
        <v>2</v>
      </c>
      <c r="D1" s="147" t="s">
        <v>3</v>
      </c>
      <c r="E1" s="147" t="s">
        <v>4</v>
      </c>
      <c r="F1" s="147" t="s">
        <v>5</v>
      </c>
      <c r="G1" s="148" t="s">
        <v>120</v>
      </c>
      <c r="H1" s="148" t="s">
        <v>121</v>
      </c>
      <c r="I1" s="148" t="s">
        <v>122</v>
      </c>
      <c r="J1" s="149"/>
      <c r="K1" s="148"/>
      <c r="R1" s="151" t="s">
        <v>124</v>
      </c>
      <c r="Z1" s="152" t="s">
        <v>123</v>
      </c>
    </row>
    <row r="2" spans="1:30" ht="16.5" thickTop="1" thickBot="1" x14ac:dyDescent="0.3">
      <c r="A2" s="154" t="s">
        <v>392</v>
      </c>
      <c r="B2" s="154" t="s">
        <v>62</v>
      </c>
      <c r="C2" s="154" t="s">
        <v>63</v>
      </c>
      <c r="D2" s="154">
        <v>8.9779999999999998</v>
      </c>
      <c r="E2" s="154">
        <v>1595000</v>
      </c>
      <c r="F2" s="154">
        <v>5.6289999999999998E-6</v>
      </c>
      <c r="G2" s="154"/>
      <c r="H2" s="154"/>
      <c r="I2" s="154"/>
      <c r="J2" s="155"/>
      <c r="K2" s="154"/>
      <c r="L2" s="154"/>
      <c r="M2" s="154"/>
      <c r="N2" s="154"/>
      <c r="O2" s="154"/>
      <c r="P2" s="154"/>
      <c r="Q2" s="154"/>
      <c r="R2" s="154" t="s">
        <v>393</v>
      </c>
      <c r="S2" s="154"/>
      <c r="T2" s="154">
        <v>1</v>
      </c>
      <c r="U2" s="154"/>
      <c r="V2" s="154"/>
      <c r="W2" s="154"/>
      <c r="X2" s="154"/>
      <c r="Y2" s="154"/>
      <c r="Z2" s="156" t="s">
        <v>126</v>
      </c>
      <c r="AA2" s="156" t="s">
        <v>128</v>
      </c>
      <c r="AB2" s="156" t="s">
        <v>129</v>
      </c>
      <c r="AC2" s="156" t="s">
        <v>130</v>
      </c>
      <c r="AD2" s="156" t="s">
        <v>131</v>
      </c>
    </row>
    <row r="3" spans="1:30" ht="15.75" thickTop="1" x14ac:dyDescent="0.25">
      <c r="A3" s="157" t="s">
        <v>394</v>
      </c>
      <c r="B3" s="157" t="s">
        <v>62</v>
      </c>
      <c r="C3" s="157" t="s">
        <v>63</v>
      </c>
      <c r="D3" s="157">
        <v>7.6639999999999997</v>
      </c>
      <c r="E3" s="157">
        <v>1849000</v>
      </c>
      <c r="F3" s="157">
        <v>4.1450000000000001E-6</v>
      </c>
      <c r="G3" s="157"/>
      <c r="H3" s="157"/>
      <c r="I3" s="157"/>
      <c r="J3" s="158"/>
      <c r="K3" s="157"/>
      <c r="L3" s="157"/>
      <c r="M3" s="157"/>
      <c r="N3" s="157"/>
      <c r="O3" s="157"/>
      <c r="P3" s="157"/>
      <c r="Q3" s="157"/>
      <c r="R3" s="157" t="s">
        <v>126</v>
      </c>
      <c r="S3" s="157"/>
      <c r="T3" s="157">
        <v>5</v>
      </c>
      <c r="U3" s="157"/>
      <c r="V3" s="157"/>
      <c r="W3" s="157"/>
      <c r="X3" s="157"/>
      <c r="Y3" s="157"/>
      <c r="Z3" s="159">
        <v>120</v>
      </c>
      <c r="AA3" s="160">
        <v>0.38061443026197816</v>
      </c>
      <c r="AB3" s="160">
        <v>0.45074763557058661</v>
      </c>
      <c r="AC3" s="160">
        <v>0.33200068853880266</v>
      </c>
      <c r="AD3" s="160">
        <v>0.38778758479045577</v>
      </c>
    </row>
    <row r="4" spans="1:30" ht="15.75" thickBot="1" x14ac:dyDescent="0.3">
      <c r="A4" s="154" t="s">
        <v>395</v>
      </c>
      <c r="B4" s="154" t="s">
        <v>62</v>
      </c>
      <c r="C4" s="154" t="s">
        <v>63</v>
      </c>
      <c r="D4" s="154">
        <v>5.4169999999999998</v>
      </c>
      <c r="E4" s="154">
        <v>1853000</v>
      </c>
      <c r="F4" s="154">
        <v>2.9239999999999999E-6</v>
      </c>
      <c r="G4" s="154"/>
      <c r="H4" s="154"/>
      <c r="I4" s="154"/>
      <c r="J4" s="155"/>
      <c r="K4" s="154"/>
      <c r="L4" s="154"/>
      <c r="M4" s="154"/>
      <c r="N4" s="154"/>
      <c r="O4" s="154"/>
      <c r="P4" s="154"/>
      <c r="Q4" s="154"/>
      <c r="R4" s="154" t="s">
        <v>127</v>
      </c>
      <c r="S4" s="154"/>
      <c r="T4" s="154">
        <v>10</v>
      </c>
      <c r="U4" s="154"/>
      <c r="V4" s="154"/>
      <c r="W4" s="154"/>
      <c r="X4" s="154"/>
      <c r="Y4" s="154"/>
      <c r="Z4" s="161">
        <v>0</v>
      </c>
      <c r="AA4" s="162">
        <v>1</v>
      </c>
      <c r="AB4" s="162">
        <v>1</v>
      </c>
      <c r="AC4" s="162">
        <v>1</v>
      </c>
      <c r="AD4" s="162">
        <v>1</v>
      </c>
    </row>
    <row r="5" spans="1:30" ht="16.5" thickTop="1" thickBot="1" x14ac:dyDescent="0.3">
      <c r="A5" s="157" t="s">
        <v>453</v>
      </c>
      <c r="B5" s="157" t="s">
        <v>62</v>
      </c>
      <c r="C5" s="157" t="s">
        <v>63</v>
      </c>
      <c r="D5" s="157">
        <v>976200</v>
      </c>
      <c r="E5" s="157">
        <v>2260000</v>
      </c>
      <c r="F5" s="157">
        <v>0.432</v>
      </c>
      <c r="G5" s="157">
        <v>38.061443026197814</v>
      </c>
      <c r="H5" s="157">
        <v>120</v>
      </c>
      <c r="I5" s="163">
        <v>3.6392017756578796</v>
      </c>
      <c r="J5" s="158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>
        <v>1</v>
      </c>
      <c r="V5" s="157">
        <v>120</v>
      </c>
      <c r="W5" s="157">
        <v>3.6392017756578796</v>
      </c>
      <c r="X5" s="157"/>
      <c r="Y5" s="157"/>
    </row>
    <row r="6" spans="1:30" x14ac:dyDescent="0.25">
      <c r="A6" s="154" t="s">
        <v>454</v>
      </c>
      <c r="B6" s="154" t="s">
        <v>62</v>
      </c>
      <c r="C6" s="154" t="s">
        <v>63</v>
      </c>
      <c r="D6" s="154">
        <v>915900</v>
      </c>
      <c r="E6" s="154">
        <v>2209000</v>
      </c>
      <c r="F6" s="154">
        <v>0.41460000000000002</v>
      </c>
      <c r="G6" s="154">
        <v>45.07476355705866</v>
      </c>
      <c r="H6" s="154">
        <v>120</v>
      </c>
      <c r="I6" s="164">
        <v>3.8083225235306126</v>
      </c>
      <c r="J6" s="155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>
        <v>2</v>
      </c>
      <c r="V6" s="154">
        <v>120</v>
      </c>
      <c r="W6" s="154">
        <v>3.8083225235306126</v>
      </c>
      <c r="X6" s="154"/>
      <c r="Y6" s="154"/>
      <c r="Z6" s="165" t="s">
        <v>132</v>
      </c>
      <c r="AA6" s="166">
        <v>-7.9595397470650954E-3</v>
      </c>
    </row>
    <row r="7" spans="1:30" x14ac:dyDescent="0.25">
      <c r="A7" s="157" t="s">
        <v>455</v>
      </c>
      <c r="B7" s="157" t="s">
        <v>62</v>
      </c>
      <c r="C7" s="157" t="s">
        <v>63</v>
      </c>
      <c r="D7" s="157">
        <v>1228000</v>
      </c>
      <c r="E7" s="157">
        <v>2172000</v>
      </c>
      <c r="F7" s="157">
        <v>0.56540000000000001</v>
      </c>
      <c r="G7" s="157">
        <v>33.200068853880268</v>
      </c>
      <c r="H7" s="157">
        <v>120</v>
      </c>
      <c r="I7" s="163">
        <v>3.5025519498323487</v>
      </c>
      <c r="J7" s="158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>
        <v>3</v>
      </c>
      <c r="V7" s="157">
        <v>120</v>
      </c>
      <c r="W7" s="157">
        <v>3.5025519498323487</v>
      </c>
      <c r="X7" s="157"/>
      <c r="Y7" s="157"/>
      <c r="Z7" s="167" t="s">
        <v>133</v>
      </c>
      <c r="AA7" s="168">
        <v>4.6051701859880918</v>
      </c>
    </row>
    <row r="8" spans="1:30" ht="17.25" x14ac:dyDescent="0.25">
      <c r="A8" s="154" t="s">
        <v>456</v>
      </c>
      <c r="B8" s="154" t="s">
        <v>62</v>
      </c>
      <c r="C8" s="154" t="s">
        <v>63</v>
      </c>
      <c r="D8" s="154">
        <v>1399000</v>
      </c>
      <c r="E8" s="154">
        <v>1232000</v>
      </c>
      <c r="F8" s="154">
        <v>1.135</v>
      </c>
      <c r="G8" s="154">
        <v>100</v>
      </c>
      <c r="H8" s="154">
        <v>0</v>
      </c>
      <c r="I8" s="164">
        <v>4.6051701859880918</v>
      </c>
      <c r="J8" s="155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>
        <v>4</v>
      </c>
      <c r="V8" s="154">
        <v>0</v>
      </c>
      <c r="W8" s="154">
        <v>4.6051701859880918</v>
      </c>
      <c r="X8" s="154"/>
      <c r="Y8" s="154"/>
      <c r="Z8" s="167" t="s">
        <v>134</v>
      </c>
      <c r="AA8" s="169">
        <v>0.96684728736378922</v>
      </c>
    </row>
    <row r="9" spans="1:30" ht="18" x14ac:dyDescent="0.35">
      <c r="A9" s="157" t="s">
        <v>457</v>
      </c>
      <c r="B9" s="157" t="s">
        <v>62</v>
      </c>
      <c r="C9" s="157" t="s">
        <v>63</v>
      </c>
      <c r="D9" s="157">
        <v>1171000</v>
      </c>
      <c r="E9" s="157">
        <v>1273000</v>
      </c>
      <c r="F9" s="157">
        <v>0.91979999999999995</v>
      </c>
      <c r="G9" s="157">
        <v>100</v>
      </c>
      <c r="H9" s="157">
        <v>0</v>
      </c>
      <c r="I9" s="163">
        <v>4.6051701859880918</v>
      </c>
      <c r="J9" s="158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>
        <v>5</v>
      </c>
      <c r="V9" s="157">
        <v>0</v>
      </c>
      <c r="W9" s="157">
        <v>4.6051701859880918</v>
      </c>
      <c r="X9" s="157"/>
      <c r="Y9" s="157"/>
      <c r="Z9" s="167" t="s">
        <v>135</v>
      </c>
      <c r="AA9" s="170">
        <v>87.083826777236467</v>
      </c>
    </row>
    <row r="10" spans="1:30" ht="18.75" x14ac:dyDescent="0.35">
      <c r="A10" s="154" t="s">
        <v>458</v>
      </c>
      <c r="B10" s="154" t="s">
        <v>62</v>
      </c>
      <c r="C10" s="154" t="s">
        <v>63</v>
      </c>
      <c r="D10" s="154">
        <v>2104000</v>
      </c>
      <c r="E10" s="154">
        <v>1236000</v>
      </c>
      <c r="F10" s="154">
        <v>1.7030000000000001</v>
      </c>
      <c r="G10" s="154">
        <v>100</v>
      </c>
      <c r="H10" s="154">
        <v>0</v>
      </c>
      <c r="I10" s="164">
        <v>4.6051701859880918</v>
      </c>
      <c r="J10" s="155"/>
      <c r="K10" s="154"/>
      <c r="L10" s="154"/>
      <c r="M10" s="154"/>
      <c r="N10" s="154"/>
      <c r="O10" s="154"/>
      <c r="P10" s="154"/>
      <c r="Q10" s="154"/>
      <c r="R10" s="154"/>
      <c r="S10" s="154"/>
      <c r="T10" s="154"/>
      <c r="U10" s="154">
        <v>6</v>
      </c>
      <c r="V10" s="154">
        <v>0</v>
      </c>
      <c r="W10" s="154">
        <v>4.6051701859880918</v>
      </c>
      <c r="X10" s="154"/>
      <c r="Y10" s="154"/>
      <c r="Z10" s="167" t="s">
        <v>136</v>
      </c>
      <c r="AA10" s="170">
        <v>15.919079494130191</v>
      </c>
    </row>
    <row r="11" spans="1:30" ht="15.75" thickBot="1" x14ac:dyDescent="0.3">
      <c r="A11" s="157"/>
      <c r="B11" s="157"/>
      <c r="C11" s="157"/>
      <c r="D11" s="157"/>
      <c r="E11" s="157"/>
      <c r="F11" s="157"/>
      <c r="G11" s="157"/>
      <c r="H11" s="157"/>
      <c r="I11" s="163"/>
      <c r="J11" s="158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71" t="s">
        <v>118</v>
      </c>
      <c r="AA11" s="172" t="s">
        <v>137</v>
      </c>
    </row>
    <row r="12" spans="1:30" x14ac:dyDescent="0.25">
      <c r="A12" s="154"/>
      <c r="B12" s="154"/>
      <c r="C12" s="154"/>
      <c r="D12" s="154"/>
      <c r="E12" s="154"/>
      <c r="F12" s="154"/>
      <c r="G12" s="154"/>
      <c r="H12" s="154"/>
      <c r="I12" s="164"/>
      <c r="J12" s="155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</row>
    <row r="13" spans="1:30" x14ac:dyDescent="0.25">
      <c r="A13" s="157"/>
      <c r="B13" s="157"/>
      <c r="C13" s="157"/>
      <c r="D13" s="157"/>
      <c r="E13" s="157"/>
      <c r="F13" s="157"/>
      <c r="G13" s="157"/>
      <c r="H13" s="157"/>
      <c r="I13" s="163"/>
      <c r="J13" s="158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</row>
    <row r="14" spans="1:30" x14ac:dyDescent="0.25">
      <c r="A14" s="154"/>
      <c r="B14" s="154"/>
      <c r="C14" s="154"/>
      <c r="D14" s="154"/>
      <c r="E14" s="154"/>
      <c r="F14" s="154"/>
      <c r="G14" s="154"/>
      <c r="H14" s="154"/>
      <c r="I14" s="164"/>
      <c r="J14" s="155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</row>
    <row r="15" spans="1:30" x14ac:dyDescent="0.25">
      <c r="A15" s="157"/>
      <c r="B15" s="157"/>
      <c r="C15" s="157"/>
      <c r="D15" s="157"/>
      <c r="E15" s="157"/>
      <c r="F15" s="157"/>
      <c r="G15" s="157"/>
      <c r="H15" s="157"/>
      <c r="I15" s="163"/>
      <c r="J15" s="158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</row>
    <row r="16" spans="1:30" x14ac:dyDescent="0.25">
      <c r="A16" s="154"/>
      <c r="B16" s="154"/>
      <c r="C16" s="154"/>
      <c r="D16" s="154"/>
      <c r="E16" s="154"/>
      <c r="F16" s="154"/>
      <c r="G16" s="154"/>
      <c r="H16" s="154"/>
      <c r="I16" s="164"/>
      <c r="J16" s="155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</row>
    <row r="17" spans="1:30" x14ac:dyDescent="0.25">
      <c r="A17" s="157"/>
      <c r="B17" s="157"/>
      <c r="C17" s="157"/>
      <c r="D17" s="157"/>
      <c r="E17" s="157"/>
      <c r="F17" s="157"/>
      <c r="G17" s="157"/>
      <c r="H17" s="157"/>
      <c r="I17" s="163"/>
      <c r="J17" s="158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</row>
    <row r="18" spans="1:30" x14ac:dyDescent="0.25">
      <c r="A18" s="154"/>
      <c r="B18" s="154"/>
      <c r="C18" s="154"/>
      <c r="D18" s="154"/>
      <c r="E18" s="154"/>
      <c r="F18" s="154"/>
      <c r="G18" s="154"/>
      <c r="H18" s="154"/>
      <c r="I18" s="164"/>
      <c r="J18" s="155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</row>
    <row r="19" spans="1:30" x14ac:dyDescent="0.25">
      <c r="A19" s="157"/>
      <c r="B19" s="157"/>
      <c r="C19" s="157"/>
      <c r="D19" s="157"/>
      <c r="E19" s="157"/>
      <c r="F19" s="157"/>
      <c r="G19" s="157"/>
      <c r="H19" s="157"/>
      <c r="I19" s="163"/>
      <c r="J19" s="158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</row>
    <row r="20" spans="1:30" x14ac:dyDescent="0.25">
      <c r="A20" s="154"/>
      <c r="B20" s="154"/>
      <c r="C20" s="154"/>
      <c r="D20" s="154"/>
      <c r="E20" s="154"/>
      <c r="F20" s="154"/>
      <c r="G20" s="154"/>
      <c r="H20" s="154"/>
      <c r="I20" s="164"/>
      <c r="J20" s="155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</row>
    <row r="21" spans="1:30" ht="15.75" thickBot="1" x14ac:dyDescent="0.3">
      <c r="A21" s="157"/>
      <c r="B21" s="157"/>
      <c r="C21" s="157"/>
      <c r="D21" s="157"/>
      <c r="E21" s="157"/>
      <c r="F21" s="157"/>
      <c r="G21" s="157"/>
      <c r="H21" s="157"/>
      <c r="I21" s="157"/>
      <c r="J21" s="158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</row>
    <row r="22" spans="1:30" ht="16.5" thickTop="1" thickBot="1" x14ac:dyDescent="0.3">
      <c r="A22" s="154" t="s">
        <v>392</v>
      </c>
      <c r="B22" s="154" t="s">
        <v>11</v>
      </c>
      <c r="C22" s="154" t="s">
        <v>12</v>
      </c>
      <c r="D22" s="154">
        <v>2.5070000000000001</v>
      </c>
      <c r="E22" s="154">
        <v>1595000</v>
      </c>
      <c r="F22" s="154">
        <v>1.5719999999999999E-6</v>
      </c>
      <c r="G22" s="154"/>
      <c r="H22" s="154"/>
      <c r="I22" s="154"/>
      <c r="J22" s="155"/>
      <c r="K22" s="154"/>
      <c r="L22" s="154"/>
      <c r="M22" s="154"/>
      <c r="N22" s="154"/>
      <c r="O22" s="154"/>
      <c r="P22" s="154"/>
      <c r="Q22" s="154"/>
      <c r="R22" s="154" t="s">
        <v>402</v>
      </c>
      <c r="S22" s="154"/>
      <c r="T22" s="154">
        <v>2</v>
      </c>
      <c r="U22" s="154"/>
      <c r="V22" s="154"/>
      <c r="W22" s="154"/>
      <c r="X22" s="154"/>
      <c r="Y22" s="154"/>
      <c r="Z22" s="156" t="s">
        <v>126</v>
      </c>
      <c r="AA22" s="156" t="s">
        <v>128</v>
      </c>
      <c r="AB22" s="156" t="s">
        <v>129</v>
      </c>
      <c r="AC22" s="156" t="s">
        <v>130</v>
      </c>
      <c r="AD22" s="156" t="s">
        <v>131</v>
      </c>
    </row>
    <row r="23" spans="1:30" ht="15.75" thickTop="1" x14ac:dyDescent="0.25">
      <c r="A23" s="157" t="s">
        <v>394</v>
      </c>
      <c r="B23" s="157" t="s">
        <v>11</v>
      </c>
      <c r="C23" s="157" t="s">
        <v>12</v>
      </c>
      <c r="D23" s="157">
        <v>1.236</v>
      </c>
      <c r="E23" s="157">
        <v>1849000</v>
      </c>
      <c r="F23" s="157">
        <v>6.6820000000000001E-7</v>
      </c>
      <c r="G23" s="157"/>
      <c r="H23" s="157"/>
      <c r="I23" s="157"/>
      <c r="J23" s="158"/>
      <c r="K23" s="157"/>
      <c r="L23" s="157"/>
      <c r="M23" s="157"/>
      <c r="N23" s="157"/>
      <c r="O23" s="157"/>
      <c r="P23" s="157"/>
      <c r="Q23" s="157"/>
      <c r="R23" s="157" t="s">
        <v>126</v>
      </c>
      <c r="S23" s="157"/>
      <c r="T23" s="157">
        <v>25</v>
      </c>
      <c r="U23" s="157"/>
      <c r="V23" s="157"/>
      <c r="W23" s="157"/>
      <c r="X23" s="157"/>
      <c r="Y23" s="157"/>
      <c r="Z23" s="159">
        <v>120</v>
      </c>
      <c r="AA23" s="160">
        <v>0.59816899583299588</v>
      </c>
      <c r="AB23" s="160">
        <v>0.6264410803899656</v>
      </c>
      <c r="AC23" s="173">
        <v>1.7374267118774294</v>
      </c>
      <c r="AD23" s="160">
        <v>0.9873455960334635</v>
      </c>
    </row>
    <row r="24" spans="1:30" ht="15.75" thickBot="1" x14ac:dyDescent="0.3">
      <c r="A24" s="154" t="s">
        <v>395</v>
      </c>
      <c r="B24" s="154" t="s">
        <v>11</v>
      </c>
      <c r="C24" s="154" t="s">
        <v>12</v>
      </c>
      <c r="D24" s="154">
        <v>2.742</v>
      </c>
      <c r="E24" s="154">
        <v>1853000</v>
      </c>
      <c r="F24" s="154">
        <v>1.48E-6</v>
      </c>
      <c r="G24" s="154"/>
      <c r="H24" s="154"/>
      <c r="I24" s="154"/>
      <c r="J24" s="155"/>
      <c r="K24" s="154"/>
      <c r="L24" s="154"/>
      <c r="M24" s="154"/>
      <c r="N24" s="154"/>
      <c r="O24" s="154"/>
      <c r="P24" s="154"/>
      <c r="Q24" s="154"/>
      <c r="R24" s="154" t="s">
        <v>127</v>
      </c>
      <c r="S24" s="154"/>
      <c r="T24" s="154">
        <v>30</v>
      </c>
      <c r="U24" s="154"/>
      <c r="V24" s="154"/>
      <c r="W24" s="154"/>
      <c r="X24" s="154"/>
      <c r="Y24" s="154"/>
      <c r="Z24" s="161">
        <v>0</v>
      </c>
      <c r="AA24" s="162">
        <v>1</v>
      </c>
      <c r="AB24" s="162">
        <v>1</v>
      </c>
      <c r="AC24" s="162">
        <v>1</v>
      </c>
      <c r="AD24" s="162">
        <v>1</v>
      </c>
    </row>
    <row r="25" spans="1:30" ht="16.5" thickTop="1" thickBot="1" x14ac:dyDescent="0.3">
      <c r="A25" s="157" t="s">
        <v>459</v>
      </c>
      <c r="B25" s="157" t="s">
        <v>11</v>
      </c>
      <c r="C25" s="157" t="s">
        <v>12</v>
      </c>
      <c r="D25" s="157">
        <v>5777000</v>
      </c>
      <c r="E25" s="157">
        <v>2327000</v>
      </c>
      <c r="F25" s="157">
        <v>2.4830000000000001</v>
      </c>
      <c r="G25" s="157">
        <v>59.816899583299588</v>
      </c>
      <c r="H25" s="157">
        <v>120</v>
      </c>
      <c r="I25" s="163">
        <v>4.0912882227596574</v>
      </c>
      <c r="J25" s="158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>
        <v>1</v>
      </c>
      <c r="V25" s="157">
        <v>120</v>
      </c>
      <c r="W25" s="157">
        <v>4.0912882227596574</v>
      </c>
      <c r="X25" s="157"/>
      <c r="Y25" s="157"/>
    </row>
    <row r="26" spans="1:30" x14ac:dyDescent="0.25">
      <c r="A26" s="154" t="s">
        <v>460</v>
      </c>
      <c r="B26" s="154" t="s">
        <v>11</v>
      </c>
      <c r="C26" s="154" t="s">
        <v>12</v>
      </c>
      <c r="D26" s="154">
        <v>5667000</v>
      </c>
      <c r="E26" s="154">
        <v>2318000</v>
      </c>
      <c r="F26" s="154">
        <v>2.4449999999999998</v>
      </c>
      <c r="G26" s="154">
        <v>62.644108038996563</v>
      </c>
      <c r="H26" s="154">
        <v>120</v>
      </c>
      <c r="I26" s="164">
        <v>4.137469631253051</v>
      </c>
      <c r="J26" s="155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4">
        <v>2</v>
      </c>
      <c r="V26" s="154">
        <v>120</v>
      </c>
      <c r="W26" s="154">
        <v>4.137469631253051</v>
      </c>
      <c r="X26" s="154"/>
      <c r="Y26" s="154"/>
      <c r="Z26" s="165" t="s">
        <v>132</v>
      </c>
      <c r="AA26" s="166">
        <v>-1.1921594461408464E-3</v>
      </c>
    </row>
    <row r="27" spans="1:30" x14ac:dyDescent="0.25">
      <c r="A27" s="157" t="s">
        <v>461</v>
      </c>
      <c r="B27" s="157" t="s">
        <v>11</v>
      </c>
      <c r="C27" s="157" t="s">
        <v>12</v>
      </c>
      <c r="D27" s="157">
        <v>5296000</v>
      </c>
      <c r="E27" s="157">
        <v>2254000</v>
      </c>
      <c r="F27" s="157">
        <v>2.3490000000000002</v>
      </c>
      <c r="G27" s="157">
        <v>173.74267118774293</v>
      </c>
      <c r="H27" s="157">
        <v>120</v>
      </c>
      <c r="I27" s="163">
        <v>5.1575753033408622</v>
      </c>
      <c r="J27" s="158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>
        <v>3</v>
      </c>
      <c r="V27" s="157">
        <v>120</v>
      </c>
      <c r="W27" s="157">
        <v>5.1575753033408622</v>
      </c>
      <c r="X27" s="157"/>
      <c r="Y27" s="157"/>
      <c r="Z27" s="167" t="s">
        <v>133</v>
      </c>
      <c r="AA27" s="168">
        <v>4.6051701859880927</v>
      </c>
    </row>
    <row r="28" spans="1:30" ht="17.25" x14ac:dyDescent="0.25">
      <c r="A28" s="154" t="s">
        <v>462</v>
      </c>
      <c r="B28" s="154" t="s">
        <v>11</v>
      </c>
      <c r="C28" s="154" t="s">
        <v>12</v>
      </c>
      <c r="D28" s="154">
        <v>4035000</v>
      </c>
      <c r="E28" s="154">
        <v>972100</v>
      </c>
      <c r="F28" s="154">
        <v>4.1509999999999998</v>
      </c>
      <c r="G28" s="154">
        <v>100</v>
      </c>
      <c r="H28" s="154">
        <v>0</v>
      </c>
      <c r="I28" s="164">
        <v>4.6051701859880918</v>
      </c>
      <c r="J28" s="155"/>
      <c r="K28" s="154"/>
      <c r="L28" s="154"/>
      <c r="M28" s="154"/>
      <c r="N28" s="154"/>
      <c r="O28" s="154"/>
      <c r="P28" s="154"/>
      <c r="Q28" s="154"/>
      <c r="R28" s="154"/>
      <c r="S28" s="154"/>
      <c r="T28" s="154"/>
      <c r="U28" s="154">
        <v>4</v>
      </c>
      <c r="V28" s="154">
        <v>0</v>
      </c>
      <c r="W28" s="154">
        <v>4.6051701859880918</v>
      </c>
      <c r="X28" s="154"/>
      <c r="Y28" s="154"/>
      <c r="Z28" s="167" t="s">
        <v>134</v>
      </c>
      <c r="AA28" s="174">
        <v>4.0538819886200735E-2</v>
      </c>
    </row>
    <row r="29" spans="1:30" ht="18" x14ac:dyDescent="0.35">
      <c r="A29" s="157" t="s">
        <v>463</v>
      </c>
      <c r="B29" s="157" t="s">
        <v>11</v>
      </c>
      <c r="C29" s="157" t="s">
        <v>12</v>
      </c>
      <c r="D29" s="157">
        <v>4029000</v>
      </c>
      <c r="E29" s="157">
        <v>1032000</v>
      </c>
      <c r="F29" s="157">
        <v>3.903</v>
      </c>
      <c r="G29" s="157">
        <v>100</v>
      </c>
      <c r="H29" s="157">
        <v>0</v>
      </c>
      <c r="I29" s="163">
        <v>4.6051701859880918</v>
      </c>
      <c r="J29" s="158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>
        <v>5</v>
      </c>
      <c r="V29" s="157">
        <v>0</v>
      </c>
      <c r="W29" s="157">
        <v>4.6051701859880918</v>
      </c>
      <c r="X29" s="157"/>
      <c r="Y29" s="157"/>
      <c r="Z29" s="167" t="s">
        <v>135</v>
      </c>
      <c r="AA29" s="175">
        <v>581.42153954635876</v>
      </c>
    </row>
    <row r="30" spans="1:30" ht="18.75" x14ac:dyDescent="0.35">
      <c r="A30" s="154" t="s">
        <v>464</v>
      </c>
      <c r="B30" s="154" t="s">
        <v>11</v>
      </c>
      <c r="C30" s="154" t="s">
        <v>12</v>
      </c>
      <c r="D30" s="154">
        <v>1927000</v>
      </c>
      <c r="E30" s="154">
        <v>1425000</v>
      </c>
      <c r="F30" s="154">
        <v>1.3520000000000001</v>
      </c>
      <c r="G30" s="154">
        <v>100</v>
      </c>
      <c r="H30" s="154">
        <v>0</v>
      </c>
      <c r="I30" s="164">
        <v>4.6051701859880918</v>
      </c>
      <c r="J30" s="155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>
        <v>6</v>
      </c>
      <c r="V30" s="154">
        <v>0</v>
      </c>
      <c r="W30" s="154">
        <v>4.6051701859880918</v>
      </c>
      <c r="X30" s="154"/>
      <c r="Y30" s="154"/>
      <c r="Z30" s="167" t="s">
        <v>136</v>
      </c>
      <c r="AA30" s="168">
        <v>2.3843188922816929</v>
      </c>
    </row>
    <row r="31" spans="1:30" ht="15.75" thickBot="1" x14ac:dyDescent="0.3">
      <c r="A31" s="157"/>
      <c r="B31" s="157"/>
      <c r="C31" s="157"/>
      <c r="D31" s="157"/>
      <c r="E31" s="157"/>
      <c r="F31" s="157"/>
      <c r="G31" s="157"/>
      <c r="H31" s="157"/>
      <c r="I31" s="163"/>
      <c r="J31" s="158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71" t="s">
        <v>118</v>
      </c>
      <c r="AA31" s="172" t="s">
        <v>137</v>
      </c>
    </row>
    <row r="32" spans="1:30" x14ac:dyDescent="0.25">
      <c r="A32" s="154"/>
      <c r="B32" s="154"/>
      <c r="C32" s="154"/>
      <c r="D32" s="154"/>
      <c r="E32" s="154"/>
      <c r="F32" s="154"/>
      <c r="G32" s="154"/>
      <c r="H32" s="154"/>
      <c r="I32" s="164"/>
      <c r="J32" s="155"/>
      <c r="K32" s="154"/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</row>
    <row r="33" spans="1:44" x14ac:dyDescent="0.25">
      <c r="A33" s="157"/>
      <c r="B33" s="157"/>
      <c r="C33" s="157"/>
      <c r="D33" s="157"/>
      <c r="E33" s="157"/>
      <c r="F33" s="157"/>
      <c r="G33" s="157"/>
      <c r="H33" s="157"/>
      <c r="I33" s="163"/>
      <c r="J33" s="158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</row>
    <row r="34" spans="1:44" x14ac:dyDescent="0.25">
      <c r="A34" s="154"/>
      <c r="B34" s="154"/>
      <c r="C34" s="154"/>
      <c r="D34" s="154"/>
      <c r="E34" s="154"/>
      <c r="F34" s="154"/>
      <c r="G34" s="154"/>
      <c r="H34" s="154"/>
      <c r="I34" s="164"/>
      <c r="J34" s="155"/>
      <c r="K34" s="154"/>
      <c r="L34" s="154"/>
      <c r="M34" s="154"/>
      <c r="N34" s="154"/>
      <c r="O34" s="154"/>
      <c r="P34" s="154"/>
      <c r="Q34" s="154"/>
      <c r="R34" s="154"/>
      <c r="S34" s="154"/>
      <c r="T34" s="154"/>
      <c r="U34" s="154"/>
      <c r="V34" s="154"/>
      <c r="W34" s="154"/>
      <c r="X34" s="154"/>
      <c r="Y34" s="154"/>
    </row>
    <row r="35" spans="1:44" x14ac:dyDescent="0.25">
      <c r="A35" s="157"/>
      <c r="B35" s="157"/>
      <c r="C35" s="157"/>
      <c r="D35" s="157"/>
      <c r="E35" s="157"/>
      <c r="F35" s="157"/>
      <c r="G35" s="157"/>
      <c r="H35" s="157"/>
      <c r="I35" s="163"/>
      <c r="J35" s="158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</row>
    <row r="36" spans="1:44" x14ac:dyDescent="0.25">
      <c r="A36" s="154"/>
      <c r="B36" s="154"/>
      <c r="C36" s="154"/>
      <c r="D36" s="154"/>
      <c r="E36" s="154"/>
      <c r="F36" s="154"/>
      <c r="G36" s="154"/>
      <c r="H36" s="154"/>
      <c r="I36" s="164"/>
      <c r="J36" s="155"/>
      <c r="K36" s="154"/>
      <c r="L36" s="154"/>
      <c r="M36" s="154"/>
      <c r="N36" s="154"/>
      <c r="O36" s="154"/>
      <c r="P36" s="154"/>
      <c r="Q36" s="154"/>
      <c r="R36" s="154"/>
      <c r="S36" s="154"/>
      <c r="T36" s="154"/>
      <c r="U36" s="154"/>
      <c r="V36" s="154"/>
      <c r="W36" s="154"/>
      <c r="X36" s="154"/>
      <c r="Y36" s="154"/>
    </row>
    <row r="37" spans="1:44" x14ac:dyDescent="0.25">
      <c r="A37" s="157"/>
      <c r="B37" s="157"/>
      <c r="C37" s="157"/>
      <c r="D37" s="157"/>
      <c r="E37" s="157"/>
      <c r="F37" s="157"/>
      <c r="G37" s="157"/>
      <c r="H37" s="157"/>
      <c r="I37" s="163"/>
      <c r="J37" s="158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</row>
    <row r="38" spans="1:44" x14ac:dyDescent="0.25">
      <c r="A38" s="154"/>
      <c r="B38" s="154"/>
      <c r="C38" s="154"/>
      <c r="D38" s="154"/>
      <c r="E38" s="154"/>
      <c r="F38" s="154"/>
      <c r="G38" s="154"/>
      <c r="H38" s="154"/>
      <c r="I38" s="164"/>
      <c r="J38" s="155"/>
      <c r="K38" s="154"/>
      <c r="L38" s="154"/>
      <c r="M38" s="154"/>
      <c r="N38" s="154"/>
      <c r="O38" s="154"/>
      <c r="P38" s="154"/>
      <c r="Q38" s="154"/>
      <c r="R38" s="154"/>
      <c r="S38" s="154"/>
      <c r="T38" s="154"/>
      <c r="U38" s="154"/>
      <c r="V38" s="154"/>
      <c r="W38" s="154"/>
      <c r="X38" s="154"/>
      <c r="Y38" s="154"/>
    </row>
    <row r="39" spans="1:44" x14ac:dyDescent="0.25">
      <c r="A39" s="157"/>
      <c r="B39" s="157"/>
      <c r="C39" s="157"/>
      <c r="D39" s="157"/>
      <c r="E39" s="157"/>
      <c r="F39" s="157"/>
      <c r="G39" s="157"/>
      <c r="H39" s="157"/>
      <c r="I39" s="163"/>
      <c r="J39" s="158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</row>
    <row r="40" spans="1:44" x14ac:dyDescent="0.25">
      <c r="A40" s="154"/>
      <c r="B40" s="154"/>
      <c r="C40" s="154"/>
      <c r="D40" s="154"/>
      <c r="E40" s="154"/>
      <c r="F40" s="154"/>
      <c r="G40" s="154"/>
      <c r="H40" s="154"/>
      <c r="I40" s="164"/>
      <c r="J40" s="155"/>
      <c r="K40" s="154"/>
      <c r="L40" s="154"/>
      <c r="M40" s="154"/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</row>
    <row r="41" spans="1:44" s="153" customFormat="1" x14ac:dyDescent="0.25">
      <c r="A41" s="157"/>
      <c r="B41" s="157"/>
      <c r="C41" s="157"/>
      <c r="D41" s="157"/>
      <c r="E41" s="157"/>
      <c r="F41" s="157"/>
      <c r="G41" s="157"/>
      <c r="H41" s="157"/>
      <c r="I41" s="163"/>
      <c r="J41" s="158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AD41" s="150"/>
      <c r="AE41" s="150"/>
      <c r="AF41" s="150"/>
      <c r="AG41" s="150"/>
      <c r="AH41" s="150"/>
      <c r="AI41" s="150"/>
      <c r="AJ41" s="150"/>
      <c r="AK41" s="150"/>
      <c r="AL41" s="150"/>
      <c r="AM41" s="150"/>
      <c r="AN41" s="150"/>
      <c r="AO41" s="150"/>
      <c r="AP41" s="150"/>
      <c r="AQ41" s="150"/>
      <c r="AR41" s="150"/>
    </row>
    <row r="42" spans="1:44" s="153" customFormat="1" x14ac:dyDescent="0.25">
      <c r="A42" s="154"/>
      <c r="B42" s="154"/>
      <c r="C42" s="154"/>
      <c r="D42" s="154"/>
      <c r="E42" s="154"/>
      <c r="F42" s="154"/>
      <c r="G42" s="154"/>
      <c r="H42" s="154"/>
      <c r="I42" s="164"/>
      <c r="J42" s="155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AD42" s="150"/>
      <c r="AE42" s="150"/>
      <c r="AF42" s="150"/>
      <c r="AG42" s="150"/>
      <c r="AH42" s="150"/>
      <c r="AI42" s="150"/>
      <c r="AJ42" s="150"/>
      <c r="AK42" s="150"/>
      <c r="AL42" s="150"/>
      <c r="AM42" s="150"/>
      <c r="AN42" s="150"/>
      <c r="AO42" s="150"/>
      <c r="AP42" s="150"/>
      <c r="AQ42" s="150"/>
      <c r="AR42" s="150"/>
    </row>
    <row r="43" spans="1:44" ht="15.75" thickBot="1" x14ac:dyDescent="0.3">
      <c r="A43" s="157"/>
      <c r="B43" s="157"/>
      <c r="C43" s="157"/>
      <c r="D43" s="157"/>
      <c r="E43" s="157"/>
      <c r="F43" s="157"/>
      <c r="G43" s="157"/>
      <c r="H43" s="157"/>
      <c r="I43" s="157"/>
      <c r="J43" s="158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</row>
    <row r="44" spans="1:44" ht="16.5" thickTop="1" thickBot="1" x14ac:dyDescent="0.3">
      <c r="A44" s="154" t="s">
        <v>392</v>
      </c>
      <c r="B44" s="154" t="s">
        <v>45</v>
      </c>
      <c r="C44" s="154" t="s">
        <v>46</v>
      </c>
      <c r="D44" s="154">
        <v>38.82</v>
      </c>
      <c r="E44" s="154">
        <v>1595000</v>
      </c>
      <c r="F44" s="154">
        <v>2.4340000000000001E-5</v>
      </c>
      <c r="G44" s="154"/>
      <c r="H44" s="154"/>
      <c r="I44" s="154"/>
      <c r="J44" s="155"/>
      <c r="K44" s="154"/>
      <c r="L44" s="154"/>
      <c r="M44" s="154"/>
      <c r="N44" s="154"/>
      <c r="O44" s="154"/>
      <c r="P44" s="154"/>
      <c r="Q44" s="154"/>
      <c r="R44" s="154" t="s">
        <v>409</v>
      </c>
      <c r="S44" s="154"/>
      <c r="T44" s="154">
        <v>5</v>
      </c>
      <c r="U44" s="154"/>
      <c r="V44" s="154"/>
      <c r="W44" s="154"/>
      <c r="X44" s="154"/>
      <c r="Y44" s="154"/>
      <c r="Z44" s="156" t="s">
        <v>126</v>
      </c>
      <c r="AA44" s="156" t="s">
        <v>128</v>
      </c>
      <c r="AB44" s="156" t="s">
        <v>129</v>
      </c>
      <c r="AC44" s="156" t="s">
        <v>130</v>
      </c>
      <c r="AD44" s="156" t="s">
        <v>131</v>
      </c>
    </row>
    <row r="45" spans="1:44" ht="15.75" thickTop="1" x14ac:dyDescent="0.25">
      <c r="A45" s="157" t="s">
        <v>394</v>
      </c>
      <c r="B45" s="157" t="s">
        <v>45</v>
      </c>
      <c r="C45" s="157" t="s">
        <v>46</v>
      </c>
      <c r="D45" s="157">
        <v>26.26</v>
      </c>
      <c r="E45" s="157">
        <v>1849000</v>
      </c>
      <c r="F45" s="157">
        <v>1.42E-5</v>
      </c>
      <c r="G45" s="157"/>
      <c r="H45" s="157"/>
      <c r="I45" s="157"/>
      <c r="J45" s="158"/>
      <c r="K45" s="157"/>
      <c r="L45" s="157"/>
      <c r="M45" s="157"/>
      <c r="N45" s="157"/>
      <c r="O45" s="157"/>
      <c r="P45" s="157"/>
      <c r="Q45" s="157"/>
      <c r="R45" s="157" t="s">
        <v>126</v>
      </c>
      <c r="S45" s="157"/>
      <c r="T45" s="157">
        <v>85</v>
      </c>
      <c r="U45" s="157"/>
      <c r="V45" s="157"/>
      <c r="W45" s="157"/>
      <c r="X45" s="157"/>
      <c r="Y45" s="157"/>
      <c r="Z45" s="159">
        <v>120</v>
      </c>
      <c r="AA45" s="160">
        <v>0.29584094464553484</v>
      </c>
      <c r="AB45" s="160">
        <v>0.26625571674007925</v>
      </c>
      <c r="AC45" s="160">
        <v>0.28067878224637965</v>
      </c>
      <c r="AD45" s="160">
        <v>0.28092514787733125</v>
      </c>
    </row>
    <row r="46" spans="1:44" ht="15.75" thickBot="1" x14ac:dyDescent="0.3">
      <c r="A46" s="154" t="s">
        <v>395</v>
      </c>
      <c r="B46" s="154" t="s">
        <v>45</v>
      </c>
      <c r="C46" s="154" t="s">
        <v>46</v>
      </c>
      <c r="D46" s="154">
        <v>21.08</v>
      </c>
      <c r="E46" s="154">
        <v>1853000</v>
      </c>
      <c r="F46" s="154">
        <v>1.1379999999999999E-5</v>
      </c>
      <c r="G46" s="154"/>
      <c r="H46" s="154"/>
      <c r="I46" s="154"/>
      <c r="J46" s="155"/>
      <c r="K46" s="154"/>
      <c r="L46" s="154"/>
      <c r="M46" s="154"/>
      <c r="N46" s="154"/>
      <c r="O46" s="154"/>
      <c r="P46" s="154"/>
      <c r="Q46" s="154"/>
      <c r="R46" s="154" t="s">
        <v>127</v>
      </c>
      <c r="S46" s="154"/>
      <c r="T46" s="154">
        <v>90</v>
      </c>
      <c r="U46" s="154"/>
      <c r="V46" s="154"/>
      <c r="W46" s="154"/>
      <c r="X46" s="154"/>
      <c r="Y46" s="154"/>
      <c r="Z46" s="161">
        <v>0</v>
      </c>
      <c r="AA46" s="162">
        <v>1</v>
      </c>
      <c r="AB46" s="162">
        <v>1</v>
      </c>
      <c r="AC46" s="162">
        <v>1</v>
      </c>
      <c r="AD46" s="162">
        <v>1</v>
      </c>
    </row>
    <row r="47" spans="1:44" ht="16.5" thickTop="1" thickBot="1" x14ac:dyDescent="0.3">
      <c r="A47" s="157" t="s">
        <v>465</v>
      </c>
      <c r="B47" s="157" t="s">
        <v>45</v>
      </c>
      <c r="C47" s="157" t="s">
        <v>46</v>
      </c>
      <c r="D47" s="157">
        <v>1797000</v>
      </c>
      <c r="E47" s="157">
        <v>2139000</v>
      </c>
      <c r="F47" s="157">
        <v>0.84019999999999995</v>
      </c>
      <c r="G47" s="157">
        <v>29.584094464553484</v>
      </c>
      <c r="H47" s="157">
        <v>120</v>
      </c>
      <c r="I47" s="163">
        <v>3.387236867735719</v>
      </c>
      <c r="J47" s="158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>
        <v>1</v>
      </c>
      <c r="V47" s="157">
        <v>120</v>
      </c>
      <c r="W47" s="157">
        <v>3.387236867735719</v>
      </c>
      <c r="X47" s="157"/>
      <c r="Y47" s="157"/>
    </row>
    <row r="48" spans="1:44" x14ac:dyDescent="0.25">
      <c r="A48" s="154" t="s">
        <v>466</v>
      </c>
      <c r="B48" s="154" t="s">
        <v>45</v>
      </c>
      <c r="C48" s="154" t="s">
        <v>46</v>
      </c>
      <c r="D48" s="154">
        <v>1830000</v>
      </c>
      <c r="E48" s="154">
        <v>2209000</v>
      </c>
      <c r="F48" s="154">
        <v>0.8286</v>
      </c>
      <c r="G48" s="154">
        <v>26.625571674007926</v>
      </c>
      <c r="H48" s="154">
        <v>120</v>
      </c>
      <c r="I48" s="164">
        <v>3.2818720951233251</v>
      </c>
      <c r="J48" s="155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>
        <v>2</v>
      </c>
      <c r="V48" s="154">
        <v>120</v>
      </c>
      <c r="W48" s="154">
        <v>3.2818720951233251</v>
      </c>
      <c r="X48" s="154"/>
      <c r="Y48" s="154"/>
      <c r="Z48" s="165" t="s">
        <v>132</v>
      </c>
      <c r="AA48" s="176">
        <v>-1.0588266100855871E-2</v>
      </c>
    </row>
    <row r="49" spans="1:30" x14ac:dyDescent="0.25">
      <c r="A49" s="157" t="s">
        <v>467</v>
      </c>
      <c r="B49" s="157" t="s">
        <v>45</v>
      </c>
      <c r="C49" s="157" t="s">
        <v>46</v>
      </c>
      <c r="D49" s="157">
        <v>1974000</v>
      </c>
      <c r="E49" s="157">
        <v>2202000</v>
      </c>
      <c r="F49" s="157">
        <v>0.89649999999999996</v>
      </c>
      <c r="G49" s="157">
        <v>28.067878224637965</v>
      </c>
      <c r="H49" s="157">
        <v>120</v>
      </c>
      <c r="I49" s="163">
        <v>3.3346257987971177</v>
      </c>
      <c r="J49" s="158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>
        <v>3</v>
      </c>
      <c r="V49" s="157">
        <v>120</v>
      </c>
      <c r="W49" s="157">
        <v>3.3346257987971177</v>
      </c>
      <c r="X49" s="157"/>
      <c r="Y49" s="157"/>
      <c r="Z49" s="167" t="s">
        <v>133</v>
      </c>
      <c r="AA49" s="168">
        <v>4.6051701859880918</v>
      </c>
    </row>
    <row r="50" spans="1:30" ht="17.25" x14ac:dyDescent="0.25">
      <c r="A50" s="154" t="s">
        <v>468</v>
      </c>
      <c r="B50" s="154" t="s">
        <v>45</v>
      </c>
      <c r="C50" s="154" t="s">
        <v>46</v>
      </c>
      <c r="D50" s="154">
        <v>3445000</v>
      </c>
      <c r="E50" s="154">
        <v>1213000</v>
      </c>
      <c r="F50" s="154">
        <v>2.84</v>
      </c>
      <c r="G50" s="154">
        <v>100</v>
      </c>
      <c r="H50" s="154">
        <v>0</v>
      </c>
      <c r="I50" s="164">
        <v>4.6051701859880918</v>
      </c>
      <c r="J50" s="155"/>
      <c r="K50" s="154"/>
      <c r="L50" s="154"/>
      <c r="M50" s="154"/>
      <c r="N50" s="154"/>
      <c r="O50" s="154"/>
      <c r="P50" s="154"/>
      <c r="Q50" s="154"/>
      <c r="R50" s="154"/>
      <c r="S50" s="154"/>
      <c r="T50" s="154"/>
      <c r="U50" s="154">
        <v>4</v>
      </c>
      <c r="V50" s="154">
        <v>0</v>
      </c>
      <c r="W50" s="154">
        <v>4.6051701859880918</v>
      </c>
      <c r="X50" s="154"/>
      <c r="Y50" s="154"/>
      <c r="Z50" s="167" t="s">
        <v>134</v>
      </c>
      <c r="AA50" s="169">
        <v>0.9977130149277883</v>
      </c>
    </row>
    <row r="51" spans="1:30" ht="18" x14ac:dyDescent="0.35">
      <c r="A51" s="157" t="s">
        <v>469</v>
      </c>
      <c r="B51" s="157" t="s">
        <v>45</v>
      </c>
      <c r="C51" s="157" t="s">
        <v>46</v>
      </c>
      <c r="D51" s="157">
        <v>3808000</v>
      </c>
      <c r="E51" s="157">
        <v>1224000</v>
      </c>
      <c r="F51" s="157">
        <v>3.1120000000000001</v>
      </c>
      <c r="G51" s="157">
        <v>100</v>
      </c>
      <c r="H51" s="157">
        <v>0</v>
      </c>
      <c r="I51" s="163">
        <v>4.6051701859880918</v>
      </c>
      <c r="J51" s="158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>
        <v>5</v>
      </c>
      <c r="V51" s="157">
        <v>0</v>
      </c>
      <c r="W51" s="157">
        <v>4.6051701859880918</v>
      </c>
      <c r="X51" s="157"/>
      <c r="Y51" s="157"/>
      <c r="Z51" s="167" t="s">
        <v>135</v>
      </c>
      <c r="AA51" s="170">
        <v>65.463709917898342</v>
      </c>
    </row>
    <row r="52" spans="1:30" ht="18.75" x14ac:dyDescent="0.35">
      <c r="A52" s="154" t="s">
        <v>470</v>
      </c>
      <c r="B52" s="154" t="s">
        <v>45</v>
      </c>
      <c r="C52" s="154" t="s">
        <v>46</v>
      </c>
      <c r="D52" s="154">
        <v>3893000</v>
      </c>
      <c r="E52" s="154">
        <v>1219000</v>
      </c>
      <c r="F52" s="154">
        <v>3.194</v>
      </c>
      <c r="G52" s="154">
        <v>100</v>
      </c>
      <c r="H52" s="154">
        <v>0</v>
      </c>
      <c r="I52" s="164">
        <v>4.6051701859880918</v>
      </c>
      <c r="J52" s="155"/>
      <c r="K52" s="154"/>
      <c r="L52" s="154"/>
      <c r="M52" s="154"/>
      <c r="N52" s="154"/>
      <c r="O52" s="154"/>
      <c r="P52" s="154"/>
      <c r="Q52" s="154"/>
      <c r="R52" s="154"/>
      <c r="S52" s="154"/>
      <c r="T52" s="154"/>
      <c r="U52" s="154">
        <v>6</v>
      </c>
      <c r="V52" s="154">
        <v>0</v>
      </c>
      <c r="W52" s="154">
        <v>4.6051701859880918</v>
      </c>
      <c r="X52" s="154"/>
      <c r="Y52" s="154"/>
      <c r="Z52" s="167" t="s">
        <v>136</v>
      </c>
      <c r="AA52" s="170">
        <v>21.176532201711744</v>
      </c>
    </row>
    <row r="53" spans="1:30" ht="15.75" thickBot="1" x14ac:dyDescent="0.3">
      <c r="A53" s="157"/>
      <c r="B53" s="157"/>
      <c r="C53" s="157"/>
      <c r="D53" s="157"/>
      <c r="E53" s="157"/>
      <c r="F53" s="157"/>
      <c r="G53" s="157"/>
      <c r="H53" s="157"/>
      <c r="I53" s="163"/>
      <c r="J53" s="158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71" t="s">
        <v>118</v>
      </c>
      <c r="AA53" s="172" t="s">
        <v>137</v>
      </c>
    </row>
    <row r="54" spans="1:30" x14ac:dyDescent="0.25">
      <c r="A54" s="154"/>
      <c r="B54" s="154"/>
      <c r="C54" s="154"/>
      <c r="D54" s="154"/>
      <c r="E54" s="154"/>
      <c r="F54" s="154"/>
      <c r="G54" s="154"/>
      <c r="H54" s="154"/>
      <c r="I54" s="164"/>
      <c r="J54" s="155"/>
      <c r="K54" s="154"/>
      <c r="L54" s="154"/>
      <c r="M54" s="154"/>
      <c r="N54" s="154"/>
      <c r="O54" s="154"/>
      <c r="P54" s="154"/>
      <c r="Q54" s="154"/>
      <c r="R54" s="154"/>
      <c r="S54" s="154"/>
      <c r="T54" s="154"/>
      <c r="U54" s="154"/>
      <c r="V54" s="154"/>
      <c r="W54" s="154"/>
      <c r="X54" s="154"/>
      <c r="Y54" s="154"/>
    </row>
    <row r="55" spans="1:30" x14ac:dyDescent="0.25">
      <c r="A55" s="157"/>
      <c r="B55" s="157"/>
      <c r="C55" s="157"/>
      <c r="D55" s="157"/>
      <c r="E55" s="157"/>
      <c r="F55" s="157"/>
      <c r="G55" s="157"/>
      <c r="H55" s="157"/>
      <c r="I55" s="163"/>
      <c r="J55" s="158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</row>
    <row r="56" spans="1:30" x14ac:dyDescent="0.25">
      <c r="A56" s="154"/>
      <c r="B56" s="154"/>
      <c r="C56" s="154"/>
      <c r="D56" s="154"/>
      <c r="E56" s="154"/>
      <c r="F56" s="154"/>
      <c r="G56" s="154"/>
      <c r="H56" s="154"/>
      <c r="I56" s="164"/>
      <c r="J56" s="155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</row>
    <row r="57" spans="1:30" x14ac:dyDescent="0.25">
      <c r="A57" s="157"/>
      <c r="B57" s="157"/>
      <c r="C57" s="157"/>
      <c r="D57" s="157"/>
      <c r="E57" s="157"/>
      <c r="F57" s="157"/>
      <c r="G57" s="157"/>
      <c r="H57" s="157"/>
      <c r="I57" s="163"/>
      <c r="J57" s="158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</row>
    <row r="58" spans="1:30" x14ac:dyDescent="0.25">
      <c r="A58" s="154"/>
      <c r="B58" s="154"/>
      <c r="C58" s="154"/>
      <c r="D58" s="154"/>
      <c r="E58" s="154"/>
      <c r="F58" s="154"/>
      <c r="G58" s="154"/>
      <c r="H58" s="154"/>
      <c r="I58" s="164"/>
      <c r="J58" s="155"/>
      <c r="K58" s="154"/>
      <c r="L58" s="154"/>
      <c r="M58" s="154"/>
      <c r="N58" s="154"/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/>
    </row>
    <row r="59" spans="1:30" x14ac:dyDescent="0.25">
      <c r="A59" s="157"/>
      <c r="B59" s="157"/>
      <c r="C59" s="157"/>
      <c r="D59" s="157"/>
      <c r="E59" s="157"/>
      <c r="F59" s="157"/>
      <c r="G59" s="157"/>
      <c r="H59" s="157"/>
      <c r="I59" s="163"/>
      <c r="J59" s="158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</row>
    <row r="60" spans="1:30" x14ac:dyDescent="0.25">
      <c r="A60" s="154"/>
      <c r="B60" s="154"/>
      <c r="C60" s="154"/>
      <c r="D60" s="154"/>
      <c r="E60" s="154"/>
      <c r="F60" s="154"/>
      <c r="G60" s="154"/>
      <c r="H60" s="154"/>
      <c r="I60" s="164"/>
      <c r="J60" s="155"/>
      <c r="K60" s="154"/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</row>
    <row r="61" spans="1:30" x14ac:dyDescent="0.25">
      <c r="A61" s="157"/>
      <c r="B61" s="157"/>
      <c r="C61" s="157"/>
      <c r="D61" s="157"/>
      <c r="E61" s="157"/>
      <c r="F61" s="157"/>
      <c r="G61" s="157"/>
      <c r="H61" s="157"/>
      <c r="I61" s="163"/>
      <c r="J61" s="158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</row>
    <row r="62" spans="1:30" x14ac:dyDescent="0.25">
      <c r="A62" s="154"/>
      <c r="B62" s="154"/>
      <c r="C62" s="154"/>
      <c r="D62" s="154"/>
      <c r="E62" s="154"/>
      <c r="F62" s="154"/>
      <c r="G62" s="154"/>
      <c r="H62" s="154"/>
      <c r="I62" s="164"/>
      <c r="J62" s="155"/>
      <c r="K62" s="154"/>
      <c r="L62" s="154"/>
      <c r="M62" s="154"/>
      <c r="N62" s="154"/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/>
    </row>
    <row r="63" spans="1:30" ht="15.75" thickBot="1" x14ac:dyDescent="0.3">
      <c r="A63" s="157"/>
      <c r="B63" s="157"/>
      <c r="C63" s="157"/>
      <c r="D63" s="157"/>
      <c r="E63" s="157"/>
      <c r="F63" s="157"/>
      <c r="G63" s="157"/>
      <c r="H63" s="157"/>
      <c r="I63" s="157"/>
      <c r="J63" s="158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7"/>
      <c r="W63" s="157"/>
      <c r="X63" s="157"/>
      <c r="Y63" s="157"/>
    </row>
    <row r="64" spans="1:30" ht="16.5" thickTop="1" thickBot="1" x14ac:dyDescent="0.3">
      <c r="A64" s="154" t="s">
        <v>392</v>
      </c>
      <c r="B64" s="154" t="s">
        <v>79</v>
      </c>
      <c r="C64" s="154" t="s">
        <v>80</v>
      </c>
      <c r="D64" s="154">
        <v>727.1</v>
      </c>
      <c r="E64" s="154">
        <v>1595000</v>
      </c>
      <c r="F64" s="154">
        <v>4.5590000000000002E-4</v>
      </c>
      <c r="G64" s="154"/>
      <c r="H64" s="154"/>
      <c r="I64" s="154"/>
      <c r="J64" s="155"/>
      <c r="K64" s="154"/>
      <c r="L64" s="154"/>
      <c r="M64" s="154"/>
      <c r="N64" s="154"/>
      <c r="O64" s="154"/>
      <c r="P64" s="154"/>
      <c r="Q64" s="154"/>
      <c r="R64" s="154" t="s">
        <v>416</v>
      </c>
      <c r="S64" s="154"/>
      <c r="T64" s="154">
        <v>6</v>
      </c>
      <c r="U64" s="154"/>
      <c r="V64" s="154"/>
      <c r="W64" s="154"/>
      <c r="X64" s="154"/>
      <c r="Y64" s="154"/>
      <c r="Z64" s="156" t="s">
        <v>126</v>
      </c>
      <c r="AA64" s="156" t="s">
        <v>128</v>
      </c>
      <c r="AB64" s="156" t="s">
        <v>129</v>
      </c>
      <c r="AC64" s="156" t="s">
        <v>130</v>
      </c>
      <c r="AD64" s="156" t="s">
        <v>131</v>
      </c>
    </row>
    <row r="65" spans="1:30" ht="15.75" thickTop="1" x14ac:dyDescent="0.25">
      <c r="A65" s="157" t="s">
        <v>394</v>
      </c>
      <c r="B65" s="157" t="s">
        <v>79</v>
      </c>
      <c r="C65" s="157" t="s">
        <v>80</v>
      </c>
      <c r="D65" s="157">
        <v>60.61</v>
      </c>
      <c r="E65" s="157">
        <v>1849000</v>
      </c>
      <c r="F65" s="157">
        <v>3.2780000000000001E-5</v>
      </c>
      <c r="G65" s="157"/>
      <c r="H65" s="157"/>
      <c r="I65" s="157"/>
      <c r="J65" s="158"/>
      <c r="K65" s="157"/>
      <c r="L65" s="157"/>
      <c r="M65" s="157"/>
      <c r="N65" s="157"/>
      <c r="O65" s="157"/>
      <c r="P65" s="157"/>
      <c r="Q65" s="157"/>
      <c r="R65" s="157" t="s">
        <v>126</v>
      </c>
      <c r="S65" s="157"/>
      <c r="T65" s="157">
        <v>105</v>
      </c>
      <c r="U65" s="157"/>
      <c r="V65" s="157"/>
      <c r="W65" s="157"/>
      <c r="X65" s="157"/>
      <c r="Y65" s="157"/>
      <c r="Z65" s="159">
        <v>120</v>
      </c>
      <c r="AA65" s="160">
        <v>0.58188012098743458</v>
      </c>
      <c r="AB65" s="160">
        <v>0.29899351675761787</v>
      </c>
      <c r="AC65" s="160">
        <v>0.52554222248019744</v>
      </c>
      <c r="AD65" s="160">
        <v>0.46880528674174998</v>
      </c>
    </row>
    <row r="66" spans="1:30" ht="15.75" thickBot="1" x14ac:dyDescent="0.3">
      <c r="A66" s="154" t="s">
        <v>395</v>
      </c>
      <c r="B66" s="154" t="s">
        <v>79</v>
      </c>
      <c r="C66" s="154" t="s">
        <v>80</v>
      </c>
      <c r="D66" s="154">
        <v>57.34</v>
      </c>
      <c r="E66" s="154">
        <v>1853000</v>
      </c>
      <c r="F66" s="154">
        <v>3.095E-5</v>
      </c>
      <c r="G66" s="154"/>
      <c r="H66" s="154"/>
      <c r="I66" s="154"/>
      <c r="J66" s="155"/>
      <c r="K66" s="154"/>
      <c r="L66" s="154"/>
      <c r="M66" s="154"/>
      <c r="N66" s="154"/>
      <c r="O66" s="154"/>
      <c r="P66" s="154"/>
      <c r="Q66" s="154"/>
      <c r="R66" s="154" t="s">
        <v>127</v>
      </c>
      <c r="S66" s="154"/>
      <c r="T66" s="154">
        <v>110</v>
      </c>
      <c r="U66" s="154"/>
      <c r="V66" s="154"/>
      <c r="W66" s="154"/>
      <c r="X66" s="154"/>
      <c r="Y66" s="154"/>
      <c r="Z66" s="161">
        <v>0</v>
      </c>
      <c r="AA66" s="162">
        <v>1</v>
      </c>
      <c r="AB66" s="162">
        <v>1</v>
      </c>
      <c r="AC66" s="162">
        <v>1</v>
      </c>
      <c r="AD66" s="162">
        <v>1</v>
      </c>
    </row>
    <row r="67" spans="1:30" ht="16.5" thickTop="1" thickBot="1" x14ac:dyDescent="0.3">
      <c r="A67" s="157" t="s">
        <v>471</v>
      </c>
      <c r="B67" s="157" t="s">
        <v>79</v>
      </c>
      <c r="C67" s="157" t="s">
        <v>80</v>
      </c>
      <c r="D67" s="157">
        <v>290600</v>
      </c>
      <c r="E67" s="157">
        <v>2371000</v>
      </c>
      <c r="F67" s="157">
        <v>0.1225</v>
      </c>
      <c r="G67" s="157">
        <v>58.188012098743457</v>
      </c>
      <c r="H67" s="157">
        <v>120</v>
      </c>
      <c r="I67" s="163">
        <v>4.0636793558362552</v>
      </c>
      <c r="J67" s="158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>
        <v>1</v>
      </c>
      <c r="V67" s="157">
        <v>120</v>
      </c>
      <c r="W67" s="157">
        <v>4.0636793558362552</v>
      </c>
      <c r="X67" s="157"/>
      <c r="Y67" s="157"/>
    </row>
    <row r="68" spans="1:30" x14ac:dyDescent="0.25">
      <c r="A68" s="154" t="s">
        <v>472</v>
      </c>
      <c r="B68" s="154" t="s">
        <v>79</v>
      </c>
      <c r="C68" s="154" t="s">
        <v>80</v>
      </c>
      <c r="D68" s="154">
        <v>266400</v>
      </c>
      <c r="E68" s="154">
        <v>2289000</v>
      </c>
      <c r="F68" s="154">
        <v>0.1164</v>
      </c>
      <c r="G68" s="154">
        <v>29.899351675761785</v>
      </c>
      <c r="H68" s="154">
        <v>120</v>
      </c>
      <c r="I68" s="164">
        <v>3.397836797076669</v>
      </c>
      <c r="J68" s="155"/>
      <c r="K68" s="154"/>
      <c r="L68" s="154"/>
      <c r="M68" s="154"/>
      <c r="N68" s="154"/>
      <c r="O68" s="154"/>
      <c r="P68" s="154"/>
      <c r="Q68" s="154"/>
      <c r="R68" s="154"/>
      <c r="S68" s="154"/>
      <c r="T68" s="154"/>
      <c r="U68" s="154">
        <v>2</v>
      </c>
      <c r="V68" s="154">
        <v>120</v>
      </c>
      <c r="W68" s="154">
        <v>3.397836797076669</v>
      </c>
      <c r="X68" s="154"/>
      <c r="Y68" s="154"/>
      <c r="Z68" s="165" t="s">
        <v>132</v>
      </c>
      <c r="AA68" s="166">
        <v>-6.6448582325151252E-3</v>
      </c>
    </row>
    <row r="69" spans="1:30" x14ac:dyDescent="0.25">
      <c r="A69" s="157" t="s">
        <v>473</v>
      </c>
      <c r="B69" s="157" t="s">
        <v>79</v>
      </c>
      <c r="C69" s="157" t="s">
        <v>80</v>
      </c>
      <c r="D69" s="157">
        <v>288200</v>
      </c>
      <c r="E69" s="157">
        <v>2470000</v>
      </c>
      <c r="F69" s="157">
        <v>0.1167</v>
      </c>
      <c r="G69" s="157">
        <v>52.554222248019741</v>
      </c>
      <c r="H69" s="157">
        <v>120</v>
      </c>
      <c r="I69" s="163">
        <v>3.9618454413459063</v>
      </c>
      <c r="J69" s="158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>
        <v>3</v>
      </c>
      <c r="V69" s="157">
        <v>120</v>
      </c>
      <c r="W69" s="157">
        <v>3.9618454413459063</v>
      </c>
      <c r="X69" s="157"/>
      <c r="Y69" s="157"/>
      <c r="Z69" s="167" t="s">
        <v>133</v>
      </c>
      <c r="AA69" s="168">
        <v>4.6051701859880918</v>
      </c>
    </row>
    <row r="70" spans="1:30" ht="17.25" x14ac:dyDescent="0.25">
      <c r="A70" s="154" t="s">
        <v>474</v>
      </c>
      <c r="B70" s="154" t="s">
        <v>79</v>
      </c>
      <c r="C70" s="154" t="s">
        <v>80</v>
      </c>
      <c r="D70" s="154">
        <v>314800</v>
      </c>
      <c r="E70" s="154">
        <v>1496000</v>
      </c>
      <c r="F70" s="154">
        <v>0.2104</v>
      </c>
      <c r="G70" s="154">
        <v>100</v>
      </c>
      <c r="H70" s="154">
        <v>0</v>
      </c>
      <c r="I70" s="164">
        <v>4.6051701859880918</v>
      </c>
      <c r="J70" s="155"/>
      <c r="K70" s="154"/>
      <c r="L70" s="154"/>
      <c r="M70" s="154"/>
      <c r="N70" s="154"/>
      <c r="O70" s="154"/>
      <c r="P70" s="154"/>
      <c r="Q70" s="154"/>
      <c r="R70" s="154"/>
      <c r="S70" s="154"/>
      <c r="T70" s="154"/>
      <c r="U70" s="154">
        <v>4</v>
      </c>
      <c r="V70" s="154">
        <v>0</v>
      </c>
      <c r="W70" s="154">
        <v>4.6051701859880918</v>
      </c>
      <c r="X70" s="154"/>
      <c r="Y70" s="154"/>
      <c r="Z70" s="167" t="s">
        <v>134</v>
      </c>
      <c r="AA70" s="169">
        <v>0.78755299467946283</v>
      </c>
    </row>
    <row r="71" spans="1:30" ht="18" x14ac:dyDescent="0.35">
      <c r="A71" s="157" t="s">
        <v>475</v>
      </c>
      <c r="B71" s="157" t="s">
        <v>79</v>
      </c>
      <c r="C71" s="157" t="s">
        <v>80</v>
      </c>
      <c r="D71" s="157">
        <v>493500</v>
      </c>
      <c r="E71" s="157">
        <v>1269000</v>
      </c>
      <c r="F71" s="157">
        <v>0.38890000000000002</v>
      </c>
      <c r="G71" s="157">
        <v>100</v>
      </c>
      <c r="H71" s="157">
        <v>0</v>
      </c>
      <c r="I71" s="163">
        <v>4.6051701859880918</v>
      </c>
      <c r="J71" s="158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>
        <v>5</v>
      </c>
      <c r="V71" s="157">
        <v>0</v>
      </c>
      <c r="W71" s="157">
        <v>4.6051701859880918</v>
      </c>
      <c r="X71" s="157"/>
      <c r="Y71" s="157"/>
      <c r="Z71" s="167" t="s">
        <v>135</v>
      </c>
      <c r="AA71" s="175">
        <v>104.31331358857061</v>
      </c>
    </row>
    <row r="72" spans="1:30" ht="18.75" x14ac:dyDescent="0.35">
      <c r="A72" s="154" t="s">
        <v>476</v>
      </c>
      <c r="B72" s="154" t="s">
        <v>79</v>
      </c>
      <c r="C72" s="154" t="s">
        <v>80</v>
      </c>
      <c r="D72" s="154">
        <v>333500</v>
      </c>
      <c r="E72" s="154">
        <v>1503000</v>
      </c>
      <c r="F72" s="154">
        <v>0.22189999999999999</v>
      </c>
      <c r="G72" s="154">
        <v>100</v>
      </c>
      <c r="H72" s="154">
        <v>0</v>
      </c>
      <c r="I72" s="164">
        <v>4.6051701859880918</v>
      </c>
      <c r="J72" s="155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>
        <v>6</v>
      </c>
      <c r="V72" s="154">
        <v>0</v>
      </c>
      <c r="W72" s="154">
        <v>4.6051701859880918</v>
      </c>
      <c r="X72" s="154"/>
      <c r="Y72" s="154"/>
      <c r="Z72" s="167" t="s">
        <v>136</v>
      </c>
      <c r="AA72" s="170">
        <v>13.289716465030251</v>
      </c>
    </row>
    <row r="73" spans="1:30" ht="15.75" thickBot="1" x14ac:dyDescent="0.3">
      <c r="A73" s="157"/>
      <c r="B73" s="157"/>
      <c r="C73" s="157"/>
      <c r="D73" s="157"/>
      <c r="E73" s="157"/>
      <c r="F73" s="157"/>
      <c r="G73" s="157"/>
      <c r="H73" s="157"/>
      <c r="I73" s="163"/>
      <c r="J73" s="158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157"/>
      <c r="Y73" s="157"/>
      <c r="Z73" s="171" t="s">
        <v>118</v>
      </c>
      <c r="AA73" s="172" t="s">
        <v>137</v>
      </c>
    </row>
    <row r="74" spans="1:30" x14ac:dyDescent="0.25">
      <c r="A74" s="154"/>
      <c r="B74" s="154"/>
      <c r="C74" s="154"/>
      <c r="D74" s="154"/>
      <c r="E74" s="154"/>
      <c r="F74" s="154"/>
      <c r="G74" s="154"/>
      <c r="H74" s="154"/>
      <c r="I74" s="164"/>
      <c r="J74" s="155"/>
      <c r="K74" s="154"/>
      <c r="L74" s="154"/>
      <c r="M74" s="154"/>
      <c r="N74" s="154"/>
      <c r="O74" s="154"/>
      <c r="P74" s="154"/>
      <c r="Q74" s="154"/>
      <c r="R74" s="154"/>
      <c r="S74" s="154"/>
      <c r="T74" s="154"/>
      <c r="U74" s="154"/>
      <c r="V74" s="154"/>
      <c r="W74" s="154"/>
      <c r="X74" s="154"/>
      <c r="Y74" s="154"/>
    </row>
    <row r="75" spans="1:30" x14ac:dyDescent="0.25">
      <c r="A75" s="157"/>
      <c r="B75" s="157"/>
      <c r="C75" s="157"/>
      <c r="D75" s="157"/>
      <c r="E75" s="157"/>
      <c r="F75" s="157"/>
      <c r="G75" s="157"/>
      <c r="H75" s="157"/>
      <c r="I75" s="163"/>
      <c r="J75" s="158"/>
      <c r="K75" s="157"/>
      <c r="L75" s="157"/>
      <c r="M75" s="157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157"/>
      <c r="Y75" s="157"/>
    </row>
    <row r="76" spans="1:30" x14ac:dyDescent="0.25">
      <c r="A76" s="154"/>
      <c r="B76" s="154"/>
      <c r="C76" s="154"/>
      <c r="D76" s="154"/>
      <c r="E76" s="154"/>
      <c r="F76" s="154"/>
      <c r="G76" s="154"/>
      <c r="H76" s="154"/>
      <c r="I76" s="164"/>
      <c r="J76" s="155"/>
      <c r="K76" s="154"/>
      <c r="L76" s="154"/>
      <c r="M76" s="154"/>
      <c r="N76" s="154"/>
      <c r="O76" s="154"/>
      <c r="P76" s="154"/>
      <c r="Q76" s="154"/>
      <c r="R76" s="154"/>
      <c r="S76" s="154"/>
      <c r="T76" s="154"/>
      <c r="U76" s="154"/>
      <c r="V76" s="154"/>
      <c r="W76" s="154"/>
      <c r="X76" s="154"/>
      <c r="Y76" s="154"/>
    </row>
    <row r="77" spans="1:30" x14ac:dyDescent="0.25">
      <c r="A77" s="157"/>
      <c r="B77" s="157"/>
      <c r="C77" s="157"/>
      <c r="D77" s="157"/>
      <c r="E77" s="157"/>
      <c r="F77" s="157"/>
      <c r="G77" s="157"/>
      <c r="H77" s="157"/>
      <c r="I77" s="163"/>
      <c r="J77" s="158"/>
      <c r="K77" s="157"/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V77" s="157"/>
      <c r="W77" s="157"/>
      <c r="X77" s="157"/>
      <c r="Y77" s="157"/>
    </row>
    <row r="78" spans="1:30" x14ac:dyDescent="0.25">
      <c r="A78" s="154"/>
      <c r="B78" s="154"/>
      <c r="C78" s="154"/>
      <c r="D78" s="154"/>
      <c r="E78" s="154"/>
      <c r="F78" s="154"/>
      <c r="G78" s="154"/>
      <c r="H78" s="154"/>
      <c r="I78" s="164"/>
      <c r="J78" s="155"/>
      <c r="K78" s="154"/>
      <c r="L78" s="154"/>
      <c r="M78" s="154"/>
      <c r="N78" s="154"/>
      <c r="O78" s="154"/>
      <c r="P78" s="154"/>
      <c r="Q78" s="154"/>
      <c r="R78" s="154"/>
      <c r="S78" s="154"/>
      <c r="T78" s="154"/>
      <c r="U78" s="154"/>
      <c r="V78" s="154"/>
      <c r="W78" s="154"/>
      <c r="X78" s="154"/>
      <c r="Y78" s="154"/>
    </row>
    <row r="79" spans="1:30" x14ac:dyDescent="0.25">
      <c r="A79" s="157"/>
      <c r="B79" s="157"/>
      <c r="C79" s="157"/>
      <c r="D79" s="157"/>
      <c r="E79" s="157"/>
      <c r="F79" s="157"/>
      <c r="G79" s="157"/>
      <c r="H79" s="157"/>
      <c r="I79" s="163"/>
      <c r="J79" s="158"/>
      <c r="K79" s="157"/>
      <c r="L79" s="157"/>
      <c r="M79" s="157"/>
      <c r="N79" s="157"/>
      <c r="O79" s="157"/>
      <c r="P79" s="157"/>
      <c r="Q79" s="157"/>
      <c r="R79" s="157"/>
      <c r="S79" s="157"/>
      <c r="T79" s="157"/>
      <c r="U79" s="157"/>
      <c r="V79" s="157"/>
      <c r="W79" s="157"/>
      <c r="X79" s="157"/>
      <c r="Y79" s="157"/>
    </row>
    <row r="80" spans="1:30" x14ac:dyDescent="0.25">
      <c r="A80" s="154"/>
      <c r="B80" s="154"/>
      <c r="C80" s="154"/>
      <c r="D80" s="154"/>
      <c r="E80" s="154"/>
      <c r="F80" s="154"/>
      <c r="G80" s="154"/>
      <c r="H80" s="154"/>
      <c r="I80" s="164"/>
      <c r="J80" s="155"/>
      <c r="K80" s="154"/>
      <c r="L80" s="154"/>
      <c r="M80" s="154"/>
      <c r="N80" s="154"/>
      <c r="O80" s="154"/>
      <c r="P80" s="154"/>
      <c r="Q80" s="154"/>
      <c r="R80" s="154"/>
      <c r="S80" s="154"/>
      <c r="T80" s="154"/>
      <c r="U80" s="154"/>
      <c r="V80" s="154"/>
      <c r="W80" s="154"/>
      <c r="X80" s="154"/>
      <c r="Y80" s="154"/>
    </row>
    <row r="81" spans="1:30" x14ac:dyDescent="0.25">
      <c r="A81" s="157"/>
      <c r="B81" s="157"/>
      <c r="C81" s="157"/>
      <c r="D81" s="157"/>
      <c r="E81" s="157"/>
      <c r="F81" s="157"/>
      <c r="G81" s="157"/>
      <c r="H81" s="157"/>
      <c r="I81" s="163"/>
      <c r="J81" s="158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  <c r="W81" s="157"/>
      <c r="X81" s="157"/>
      <c r="Y81" s="157"/>
    </row>
    <row r="82" spans="1:30" x14ac:dyDescent="0.25">
      <c r="A82" s="154"/>
      <c r="B82" s="154"/>
      <c r="C82" s="154"/>
      <c r="D82" s="154"/>
      <c r="E82" s="154"/>
      <c r="F82" s="154"/>
      <c r="G82" s="154"/>
      <c r="H82" s="154"/>
      <c r="I82" s="164"/>
      <c r="J82" s="155"/>
      <c r="K82" s="154"/>
      <c r="L82" s="154"/>
      <c r="M82" s="154"/>
      <c r="N82" s="154"/>
      <c r="O82" s="154"/>
      <c r="P82" s="154"/>
      <c r="Q82" s="154"/>
      <c r="R82" s="154"/>
      <c r="S82" s="154"/>
      <c r="T82" s="154"/>
      <c r="U82" s="154"/>
      <c r="V82" s="154"/>
      <c r="W82" s="154"/>
      <c r="X82" s="154"/>
      <c r="Y82" s="154"/>
    </row>
    <row r="83" spans="1:30" ht="15.75" thickBot="1" x14ac:dyDescent="0.3">
      <c r="A83" s="157"/>
      <c r="B83" s="157"/>
      <c r="C83" s="157"/>
      <c r="D83" s="157"/>
      <c r="E83" s="157"/>
      <c r="F83" s="157"/>
      <c r="G83" s="157"/>
      <c r="H83" s="157"/>
      <c r="I83" s="157"/>
      <c r="J83" s="158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</row>
    <row r="84" spans="1:30" ht="16.5" thickTop="1" thickBot="1" x14ac:dyDescent="0.3">
      <c r="A84" s="154" t="s">
        <v>392</v>
      </c>
      <c r="B84" s="154" t="s">
        <v>96</v>
      </c>
      <c r="C84" s="154" t="s">
        <v>97</v>
      </c>
      <c r="D84" s="154">
        <v>40050</v>
      </c>
      <c r="E84" s="154">
        <v>1595000</v>
      </c>
      <c r="F84" s="154">
        <v>2.511E-2</v>
      </c>
      <c r="G84" s="154"/>
      <c r="H84" s="154"/>
      <c r="I84" s="154"/>
      <c r="J84" s="155"/>
      <c r="K84" s="154"/>
      <c r="L84" s="154"/>
      <c r="M84" s="154"/>
      <c r="N84" s="154"/>
      <c r="O84" s="154"/>
      <c r="P84" s="154"/>
      <c r="Q84" s="154"/>
      <c r="R84" s="154" t="s">
        <v>423</v>
      </c>
      <c r="S84" s="154"/>
      <c r="T84" s="154">
        <v>7</v>
      </c>
      <c r="U84" s="154"/>
      <c r="V84" s="154"/>
      <c r="W84" s="154"/>
      <c r="X84" s="154"/>
      <c r="Y84" s="154"/>
      <c r="Z84" s="156" t="s">
        <v>126</v>
      </c>
      <c r="AA84" s="156" t="s">
        <v>128</v>
      </c>
      <c r="AB84" s="156" t="s">
        <v>129</v>
      </c>
      <c r="AC84" s="156" t="s">
        <v>130</v>
      </c>
      <c r="AD84" s="156" t="s">
        <v>131</v>
      </c>
    </row>
    <row r="85" spans="1:30" ht="15.75" thickTop="1" x14ac:dyDescent="0.25">
      <c r="A85" s="157" t="s">
        <v>394</v>
      </c>
      <c r="B85" s="157" t="s">
        <v>96</v>
      </c>
      <c r="C85" s="157" t="s">
        <v>97</v>
      </c>
      <c r="D85" s="157">
        <v>6037</v>
      </c>
      <c r="E85" s="157">
        <v>1849000</v>
      </c>
      <c r="F85" s="157">
        <v>3.2650000000000001E-3</v>
      </c>
      <c r="G85" s="157"/>
      <c r="H85" s="157"/>
      <c r="I85" s="157"/>
      <c r="J85" s="158"/>
      <c r="K85" s="157"/>
      <c r="L85" s="157"/>
      <c r="M85" s="157"/>
      <c r="N85" s="157"/>
      <c r="O85" s="157"/>
      <c r="P85" s="157"/>
      <c r="Q85" s="157"/>
      <c r="R85" s="157" t="s">
        <v>126</v>
      </c>
      <c r="S85" s="157"/>
      <c r="T85" s="157">
        <v>125</v>
      </c>
      <c r="U85" s="157"/>
      <c r="V85" s="157"/>
      <c r="W85" s="157"/>
      <c r="X85" s="157"/>
      <c r="Y85" s="157"/>
      <c r="Z85" s="159">
        <v>120</v>
      </c>
      <c r="AA85" s="177">
        <v>3.8471047586171508E-2</v>
      </c>
      <c r="AB85" s="177">
        <v>6.1070263108392149E-2</v>
      </c>
      <c r="AC85" s="177">
        <v>5.0925414059217654E-2</v>
      </c>
      <c r="AD85" s="177">
        <v>5.0155574917927104E-2</v>
      </c>
    </row>
    <row r="86" spans="1:30" ht="15.75" thickBot="1" x14ac:dyDescent="0.3">
      <c r="A86" s="154" t="s">
        <v>395</v>
      </c>
      <c r="B86" s="154" t="s">
        <v>96</v>
      </c>
      <c r="C86" s="154" t="s">
        <v>97</v>
      </c>
      <c r="D86" s="154">
        <v>4733</v>
      </c>
      <c r="E86" s="154">
        <v>1853000</v>
      </c>
      <c r="F86" s="154">
        <v>2.555E-3</v>
      </c>
      <c r="G86" s="154"/>
      <c r="H86" s="154"/>
      <c r="I86" s="154"/>
      <c r="J86" s="155"/>
      <c r="K86" s="154"/>
      <c r="L86" s="154"/>
      <c r="M86" s="154"/>
      <c r="N86" s="154"/>
      <c r="O86" s="154"/>
      <c r="P86" s="154"/>
      <c r="Q86" s="154"/>
      <c r="R86" s="154" t="s">
        <v>127</v>
      </c>
      <c r="S86" s="154"/>
      <c r="T86" s="154">
        <v>130</v>
      </c>
      <c r="U86" s="154"/>
      <c r="V86" s="154"/>
      <c r="W86" s="154"/>
      <c r="X86" s="154"/>
      <c r="Y86" s="154"/>
      <c r="Z86" s="161">
        <v>0</v>
      </c>
      <c r="AA86" s="162">
        <v>1</v>
      </c>
      <c r="AB86" s="162">
        <v>1</v>
      </c>
      <c r="AC86" s="162">
        <v>1</v>
      </c>
      <c r="AD86" s="162">
        <v>1</v>
      </c>
    </row>
    <row r="87" spans="1:30" ht="16.5" thickTop="1" thickBot="1" x14ac:dyDescent="0.3">
      <c r="A87" s="157" t="s">
        <v>477</v>
      </c>
      <c r="B87" s="157" t="s">
        <v>96</v>
      </c>
      <c r="C87" s="157" t="s">
        <v>97</v>
      </c>
      <c r="D87" s="157">
        <v>231300</v>
      </c>
      <c r="E87" s="157">
        <v>2493000</v>
      </c>
      <c r="F87" s="157">
        <v>9.2780000000000001E-2</v>
      </c>
      <c r="G87" s="157">
        <v>3.8471047586171507</v>
      </c>
      <c r="H87" s="157">
        <v>120</v>
      </c>
      <c r="I87" s="163">
        <v>1.3473208546489785</v>
      </c>
      <c r="J87" s="158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>
        <v>1</v>
      </c>
      <c r="V87" s="157">
        <v>120</v>
      </c>
      <c r="W87" s="157">
        <v>1.3473208546489785</v>
      </c>
      <c r="X87" s="157"/>
      <c r="Y87" s="157"/>
    </row>
    <row r="88" spans="1:30" x14ac:dyDescent="0.25">
      <c r="A88" s="154" t="s">
        <v>478</v>
      </c>
      <c r="B88" s="154" t="s">
        <v>96</v>
      </c>
      <c r="C88" s="154" t="s">
        <v>97</v>
      </c>
      <c r="D88" s="154">
        <v>204100</v>
      </c>
      <c r="E88" s="154">
        <v>2401000</v>
      </c>
      <c r="F88" s="154">
        <v>8.498E-2</v>
      </c>
      <c r="G88" s="154">
        <v>6.1070263108392151</v>
      </c>
      <c r="H88" s="154">
        <v>120</v>
      </c>
      <c r="I88" s="164">
        <v>1.809439962540087</v>
      </c>
      <c r="J88" s="155"/>
      <c r="K88" s="154"/>
      <c r="L88" s="154"/>
      <c r="M88" s="154"/>
      <c r="N88" s="154"/>
      <c r="O88" s="154"/>
      <c r="P88" s="154"/>
      <c r="Q88" s="154"/>
      <c r="R88" s="154"/>
      <c r="S88" s="154"/>
      <c r="T88" s="154"/>
      <c r="U88" s="154">
        <v>2</v>
      </c>
      <c r="V88" s="154">
        <v>120</v>
      </c>
      <c r="W88" s="154">
        <v>1.809439962540087</v>
      </c>
      <c r="X88" s="154"/>
      <c r="Y88" s="154"/>
      <c r="Z88" s="165" t="s">
        <v>132</v>
      </c>
      <c r="AA88" s="176">
        <v>-2.5086035391456235E-2</v>
      </c>
    </row>
    <row r="89" spans="1:30" x14ac:dyDescent="0.25">
      <c r="A89" s="157" t="s">
        <v>479</v>
      </c>
      <c r="B89" s="157" t="s">
        <v>96</v>
      </c>
      <c r="C89" s="157" t="s">
        <v>97</v>
      </c>
      <c r="D89" s="157">
        <v>223100</v>
      </c>
      <c r="E89" s="157">
        <v>2809000</v>
      </c>
      <c r="F89" s="157">
        <v>7.9399999999999998E-2</v>
      </c>
      <c r="G89" s="157">
        <v>5.0925414059217653</v>
      </c>
      <c r="H89" s="157">
        <v>120</v>
      </c>
      <c r="I89" s="163">
        <v>1.6277769998509664</v>
      </c>
      <c r="J89" s="158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>
        <v>3</v>
      </c>
      <c r="V89" s="157">
        <v>120</v>
      </c>
      <c r="W89" s="157">
        <v>1.6277769998509664</v>
      </c>
      <c r="X89" s="157"/>
      <c r="Y89" s="157"/>
      <c r="Z89" s="167" t="s">
        <v>133</v>
      </c>
      <c r="AA89" s="168">
        <v>4.6051701859880918</v>
      </c>
    </row>
    <row r="90" spans="1:30" ht="17.25" x14ac:dyDescent="0.25">
      <c r="A90" s="154" t="s">
        <v>480</v>
      </c>
      <c r="B90" s="154" t="s">
        <v>96</v>
      </c>
      <c r="C90" s="154" t="s">
        <v>97</v>
      </c>
      <c r="D90" s="154">
        <v>2770000</v>
      </c>
      <c r="E90" s="154">
        <v>1286000</v>
      </c>
      <c r="F90" s="154">
        <v>2.1539999999999999</v>
      </c>
      <c r="G90" s="154">
        <v>100</v>
      </c>
      <c r="H90" s="154">
        <v>0</v>
      </c>
      <c r="I90" s="164">
        <v>4.6051701859880918</v>
      </c>
      <c r="J90" s="155"/>
      <c r="K90" s="154"/>
      <c r="L90" s="154"/>
      <c r="M90" s="154"/>
      <c r="N90" s="154"/>
      <c r="O90" s="154"/>
      <c r="P90" s="154"/>
      <c r="Q90" s="154"/>
      <c r="R90" s="154"/>
      <c r="S90" s="154"/>
      <c r="T90" s="154"/>
      <c r="U90" s="154">
        <v>4</v>
      </c>
      <c r="V90" s="154">
        <v>0</v>
      </c>
      <c r="W90" s="154">
        <v>4.6051701859880918</v>
      </c>
      <c r="X90" s="154"/>
      <c r="Y90" s="154"/>
      <c r="Z90" s="167" t="s">
        <v>134</v>
      </c>
      <c r="AA90" s="169">
        <v>0.99208817568233698</v>
      </c>
    </row>
    <row r="91" spans="1:30" ht="18" x14ac:dyDescent="0.35">
      <c r="A91" s="157" t="s">
        <v>481</v>
      </c>
      <c r="B91" s="157" t="s">
        <v>96</v>
      </c>
      <c r="C91" s="157" t="s">
        <v>97</v>
      </c>
      <c r="D91" s="157">
        <v>1458000</v>
      </c>
      <c r="E91" s="157">
        <v>1182000</v>
      </c>
      <c r="F91" s="157">
        <v>1.2330000000000001</v>
      </c>
      <c r="G91" s="157">
        <v>100</v>
      </c>
      <c r="H91" s="157">
        <v>0</v>
      </c>
      <c r="I91" s="163">
        <v>4.6051701859880918</v>
      </c>
      <c r="J91" s="158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>
        <v>5</v>
      </c>
      <c r="V91" s="157">
        <v>0</v>
      </c>
      <c r="W91" s="157">
        <v>4.6051701859880918</v>
      </c>
      <c r="X91" s="157"/>
      <c r="Y91" s="157"/>
      <c r="Z91" s="167" t="s">
        <v>135</v>
      </c>
      <c r="AA91" s="170">
        <v>27.630798160956765</v>
      </c>
    </row>
    <row r="92" spans="1:30" ht="18.75" x14ac:dyDescent="0.35">
      <c r="A92" s="154" t="s">
        <v>482</v>
      </c>
      <c r="B92" s="154" t="s">
        <v>96</v>
      </c>
      <c r="C92" s="154" t="s">
        <v>97</v>
      </c>
      <c r="D92" s="154">
        <v>2019000</v>
      </c>
      <c r="E92" s="154">
        <v>1477000</v>
      </c>
      <c r="F92" s="154">
        <v>1.367</v>
      </c>
      <c r="G92" s="154">
        <v>100</v>
      </c>
      <c r="H92" s="154">
        <v>0</v>
      </c>
      <c r="I92" s="164">
        <v>4.6051701859880918</v>
      </c>
      <c r="J92" s="155"/>
      <c r="K92" s="154"/>
      <c r="L92" s="154"/>
      <c r="M92" s="154"/>
      <c r="N92" s="154"/>
      <c r="O92" s="154"/>
      <c r="P92" s="154"/>
      <c r="Q92" s="154"/>
      <c r="R92" s="154"/>
      <c r="S92" s="154"/>
      <c r="T92" s="154"/>
      <c r="U92" s="154">
        <v>6</v>
      </c>
      <c r="V92" s="154">
        <v>0</v>
      </c>
      <c r="W92" s="154">
        <v>4.6051701859880918</v>
      </c>
      <c r="X92" s="154"/>
      <c r="Y92" s="154"/>
      <c r="Z92" s="167" t="s">
        <v>136</v>
      </c>
      <c r="AA92" s="170">
        <v>50.172070782912471</v>
      </c>
    </row>
    <row r="93" spans="1:30" ht="15.75" thickBot="1" x14ac:dyDescent="0.3">
      <c r="A93" s="157"/>
      <c r="B93" s="157"/>
      <c r="C93" s="157"/>
      <c r="D93" s="157"/>
      <c r="E93" s="157"/>
      <c r="F93" s="157"/>
      <c r="G93" s="157"/>
      <c r="H93" s="157"/>
      <c r="I93" s="163"/>
      <c r="J93" s="158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157"/>
      <c r="Y93" s="157"/>
      <c r="Z93" s="171" t="s">
        <v>118</v>
      </c>
      <c r="AA93" s="172" t="s">
        <v>137</v>
      </c>
    </row>
    <row r="94" spans="1:30" x14ac:dyDescent="0.25">
      <c r="A94" s="154"/>
      <c r="B94" s="154"/>
      <c r="C94" s="154"/>
      <c r="D94" s="154"/>
      <c r="E94" s="154"/>
      <c r="F94" s="154"/>
      <c r="G94" s="154"/>
      <c r="H94" s="154"/>
      <c r="I94" s="164"/>
      <c r="J94" s="155"/>
      <c r="K94" s="154"/>
      <c r="L94" s="154"/>
      <c r="M94" s="154"/>
      <c r="N94" s="154"/>
      <c r="O94" s="154"/>
      <c r="P94" s="154"/>
      <c r="Q94" s="154"/>
      <c r="R94" s="154"/>
      <c r="S94" s="154"/>
      <c r="T94" s="154"/>
      <c r="U94" s="154"/>
      <c r="V94" s="154"/>
      <c r="W94" s="154"/>
      <c r="X94" s="154"/>
      <c r="Y94" s="154"/>
    </row>
    <row r="95" spans="1:30" x14ac:dyDescent="0.25">
      <c r="A95" s="157"/>
      <c r="B95" s="157"/>
      <c r="C95" s="157"/>
      <c r="D95" s="157"/>
      <c r="E95" s="157"/>
      <c r="F95" s="157"/>
      <c r="G95" s="157"/>
      <c r="H95" s="157"/>
      <c r="I95" s="163"/>
      <c r="J95" s="158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157"/>
      <c r="Y95" s="157"/>
    </row>
    <row r="96" spans="1:30" x14ac:dyDescent="0.25">
      <c r="A96" s="154"/>
      <c r="B96" s="154"/>
      <c r="C96" s="154"/>
      <c r="D96" s="154"/>
      <c r="E96" s="154"/>
      <c r="F96" s="154"/>
      <c r="G96" s="154"/>
      <c r="H96" s="154"/>
      <c r="I96" s="164"/>
      <c r="J96" s="155"/>
      <c r="K96" s="154"/>
      <c r="L96" s="154"/>
      <c r="M96" s="154"/>
      <c r="N96" s="154"/>
      <c r="O96" s="154"/>
      <c r="P96" s="154"/>
      <c r="Q96" s="154"/>
      <c r="R96" s="154"/>
      <c r="S96" s="154"/>
      <c r="T96" s="154"/>
      <c r="U96" s="154"/>
      <c r="V96" s="154"/>
      <c r="W96" s="154"/>
      <c r="X96" s="154"/>
      <c r="Y96" s="154"/>
    </row>
    <row r="97" spans="1:44" x14ac:dyDescent="0.25">
      <c r="A97" s="157"/>
      <c r="B97" s="157"/>
      <c r="C97" s="157"/>
      <c r="D97" s="157"/>
      <c r="E97" s="157"/>
      <c r="F97" s="157"/>
      <c r="G97" s="157"/>
      <c r="H97" s="157"/>
      <c r="I97" s="163"/>
      <c r="J97" s="158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157"/>
      <c r="Y97" s="157"/>
    </row>
    <row r="98" spans="1:44" x14ac:dyDescent="0.25">
      <c r="A98" s="154"/>
      <c r="B98" s="154"/>
      <c r="C98" s="154"/>
      <c r="D98" s="154"/>
      <c r="E98" s="154"/>
      <c r="F98" s="154"/>
      <c r="G98" s="154"/>
      <c r="H98" s="154"/>
      <c r="I98" s="164"/>
      <c r="J98" s="155"/>
      <c r="K98" s="154"/>
      <c r="L98" s="154"/>
      <c r="M98" s="154"/>
      <c r="N98" s="154"/>
      <c r="O98" s="154"/>
      <c r="P98" s="154"/>
      <c r="Q98" s="154"/>
      <c r="R98" s="154"/>
      <c r="S98" s="154"/>
      <c r="T98" s="154"/>
      <c r="U98" s="154"/>
      <c r="V98" s="154"/>
      <c r="W98" s="154"/>
      <c r="X98" s="154"/>
      <c r="Y98" s="154"/>
    </row>
    <row r="99" spans="1:44" x14ac:dyDescent="0.25">
      <c r="A99" s="157"/>
      <c r="B99" s="157"/>
      <c r="C99" s="157"/>
      <c r="D99" s="157"/>
      <c r="E99" s="157"/>
      <c r="F99" s="157"/>
      <c r="G99" s="157"/>
      <c r="H99" s="157"/>
      <c r="I99" s="163"/>
      <c r="J99" s="158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157"/>
      <c r="Y99" s="157"/>
    </row>
    <row r="100" spans="1:44" x14ac:dyDescent="0.25">
      <c r="A100" s="154"/>
      <c r="B100" s="154"/>
      <c r="C100" s="154"/>
      <c r="D100" s="154"/>
      <c r="E100" s="154"/>
      <c r="F100" s="154"/>
      <c r="G100" s="154"/>
      <c r="H100" s="154"/>
      <c r="I100" s="164"/>
      <c r="J100" s="155"/>
      <c r="K100" s="154"/>
      <c r="L100" s="154"/>
      <c r="M100" s="154"/>
      <c r="N100" s="154"/>
      <c r="O100" s="154"/>
      <c r="P100" s="154"/>
      <c r="Q100" s="154"/>
      <c r="R100" s="154"/>
      <c r="S100" s="154"/>
      <c r="T100" s="154"/>
      <c r="U100" s="154"/>
      <c r="V100" s="154"/>
      <c r="W100" s="154"/>
      <c r="X100" s="154"/>
      <c r="Y100" s="154"/>
    </row>
    <row r="101" spans="1:44" x14ac:dyDescent="0.25">
      <c r="A101" s="157"/>
      <c r="B101" s="157"/>
      <c r="C101" s="157"/>
      <c r="D101" s="157"/>
      <c r="E101" s="157"/>
      <c r="F101" s="157"/>
      <c r="G101" s="157"/>
      <c r="H101" s="157"/>
      <c r="I101" s="163"/>
      <c r="J101" s="158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157"/>
      <c r="Y101" s="157"/>
    </row>
    <row r="102" spans="1:44" x14ac:dyDescent="0.25">
      <c r="A102" s="154"/>
      <c r="B102" s="154"/>
      <c r="C102" s="154"/>
      <c r="D102" s="154"/>
      <c r="E102" s="154"/>
      <c r="F102" s="154"/>
      <c r="G102" s="154"/>
      <c r="H102" s="154"/>
      <c r="I102" s="164"/>
      <c r="J102" s="155"/>
      <c r="K102" s="154"/>
      <c r="L102" s="154"/>
      <c r="M102" s="154"/>
      <c r="N102" s="154"/>
      <c r="O102" s="154"/>
      <c r="P102" s="154"/>
      <c r="Q102" s="154"/>
      <c r="R102" s="154"/>
      <c r="S102" s="154"/>
      <c r="T102" s="154"/>
      <c r="U102" s="154"/>
      <c r="V102" s="154"/>
      <c r="W102" s="154"/>
      <c r="X102" s="154"/>
      <c r="Y102" s="154"/>
    </row>
    <row r="103" spans="1:44" ht="15.75" thickBot="1" x14ac:dyDescent="0.3">
      <c r="A103" s="157"/>
      <c r="B103" s="157"/>
      <c r="C103" s="157"/>
      <c r="D103" s="157"/>
      <c r="E103" s="157"/>
      <c r="F103" s="157"/>
      <c r="G103" s="157"/>
      <c r="H103" s="157"/>
      <c r="I103" s="157"/>
      <c r="J103" s="158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157"/>
      <c r="Y103" s="157"/>
    </row>
    <row r="104" spans="1:44" ht="16.5" thickTop="1" thickBot="1" x14ac:dyDescent="0.3">
      <c r="A104" s="154" t="s">
        <v>392</v>
      </c>
      <c r="B104" s="154" t="s">
        <v>28</v>
      </c>
      <c r="C104" s="154" t="s">
        <v>29</v>
      </c>
      <c r="D104" s="154">
        <v>2591</v>
      </c>
      <c r="E104" s="154">
        <v>1595000</v>
      </c>
      <c r="F104" s="154">
        <v>1.624E-3</v>
      </c>
      <c r="G104" s="154"/>
      <c r="H104" s="154"/>
      <c r="I104" s="154"/>
      <c r="J104" s="155"/>
      <c r="K104" s="154"/>
      <c r="L104" s="154"/>
      <c r="M104" s="154"/>
      <c r="N104" s="154"/>
      <c r="O104" s="154"/>
      <c r="P104" s="154"/>
      <c r="Q104" s="154"/>
      <c r="R104" s="154" t="s">
        <v>430</v>
      </c>
      <c r="S104" s="154"/>
      <c r="T104" s="154">
        <v>8</v>
      </c>
      <c r="U104" s="154"/>
      <c r="V104" s="154"/>
      <c r="W104" s="154"/>
      <c r="X104" s="154"/>
      <c r="Y104" s="154"/>
      <c r="Z104" s="156" t="s">
        <v>126</v>
      </c>
      <c r="AA104" s="156" t="s">
        <v>128</v>
      </c>
      <c r="AB104" s="156" t="s">
        <v>129</v>
      </c>
      <c r="AC104" s="156" t="s">
        <v>130</v>
      </c>
      <c r="AD104" s="156" t="s">
        <v>131</v>
      </c>
    </row>
    <row r="105" spans="1:44" ht="15.75" thickTop="1" x14ac:dyDescent="0.25">
      <c r="A105" s="157" t="s">
        <v>394</v>
      </c>
      <c r="B105" s="157" t="s">
        <v>28</v>
      </c>
      <c r="C105" s="157" t="s">
        <v>29</v>
      </c>
      <c r="D105" s="157">
        <v>124</v>
      </c>
      <c r="E105" s="157">
        <v>1849000</v>
      </c>
      <c r="F105" s="157">
        <v>6.7039999999999995E-5</v>
      </c>
      <c r="G105" s="157"/>
      <c r="H105" s="157"/>
      <c r="I105" s="157"/>
      <c r="J105" s="158"/>
      <c r="K105" s="157"/>
      <c r="L105" s="157"/>
      <c r="M105" s="157"/>
      <c r="N105" s="157"/>
      <c r="O105" s="157"/>
      <c r="P105" s="157"/>
      <c r="Q105" s="157"/>
      <c r="R105" s="157" t="s">
        <v>126</v>
      </c>
      <c r="S105" s="157"/>
      <c r="T105" s="157">
        <v>145</v>
      </c>
      <c r="U105" s="157"/>
      <c r="V105" s="157"/>
      <c r="W105" s="157"/>
      <c r="X105" s="157"/>
      <c r="Y105" s="157"/>
      <c r="Z105" s="159">
        <v>120</v>
      </c>
      <c r="AA105" s="160">
        <v>0.21285580974924809</v>
      </c>
      <c r="AB105" s="160">
        <v>0.58442747522655292</v>
      </c>
      <c r="AC105" s="160">
        <v>0.27309098263892201</v>
      </c>
      <c r="AD105" s="160">
        <v>0.35679142253824098</v>
      </c>
    </row>
    <row r="106" spans="1:44" ht="15.75" thickBot="1" x14ac:dyDescent="0.3">
      <c r="A106" s="154" t="s">
        <v>395</v>
      </c>
      <c r="B106" s="154" t="s">
        <v>28</v>
      </c>
      <c r="C106" s="154" t="s">
        <v>29</v>
      </c>
      <c r="D106" s="154">
        <v>16.5</v>
      </c>
      <c r="E106" s="154">
        <v>1853000</v>
      </c>
      <c r="F106" s="154">
        <v>8.9029999999999993E-6</v>
      </c>
      <c r="G106" s="154"/>
      <c r="H106" s="154"/>
      <c r="I106" s="154"/>
      <c r="J106" s="155"/>
      <c r="K106" s="154"/>
      <c r="L106" s="154"/>
      <c r="M106" s="154"/>
      <c r="N106" s="154"/>
      <c r="O106" s="154"/>
      <c r="P106" s="154"/>
      <c r="Q106" s="154"/>
      <c r="R106" s="154" t="s">
        <v>127</v>
      </c>
      <c r="S106" s="154"/>
      <c r="T106" s="154">
        <v>150</v>
      </c>
      <c r="U106" s="154"/>
      <c r="V106" s="154"/>
      <c r="W106" s="154"/>
      <c r="X106" s="154"/>
      <c r="Y106" s="154"/>
      <c r="Z106" s="161">
        <v>0</v>
      </c>
      <c r="AA106" s="162">
        <v>1</v>
      </c>
      <c r="AB106" s="162">
        <v>1</v>
      </c>
      <c r="AC106" s="162">
        <v>1</v>
      </c>
      <c r="AD106" s="162">
        <v>1</v>
      </c>
    </row>
    <row r="107" spans="1:44" s="153" customFormat="1" ht="16.5" thickTop="1" thickBot="1" x14ac:dyDescent="0.3">
      <c r="A107" s="157" t="s">
        <v>483</v>
      </c>
      <c r="B107" s="157" t="s">
        <v>28</v>
      </c>
      <c r="C107" s="157" t="s">
        <v>29</v>
      </c>
      <c r="D107" s="157">
        <v>599500</v>
      </c>
      <c r="E107" s="157">
        <v>2145000</v>
      </c>
      <c r="F107" s="157">
        <v>0.27950000000000003</v>
      </c>
      <c r="G107" s="157">
        <v>21.285580974924809</v>
      </c>
      <c r="H107" s="157">
        <v>120</v>
      </c>
      <c r="I107" s="163">
        <v>3.0580298939475381</v>
      </c>
      <c r="J107" s="158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>
        <v>1</v>
      </c>
      <c r="V107" s="157">
        <v>120</v>
      </c>
      <c r="W107" s="157">
        <v>3.0580298939475381</v>
      </c>
      <c r="X107" s="157"/>
      <c r="Y107" s="157"/>
      <c r="AD107" s="150"/>
      <c r="AE107" s="150"/>
      <c r="AF107" s="150"/>
      <c r="AG107" s="150"/>
      <c r="AH107" s="150"/>
      <c r="AI107" s="150"/>
      <c r="AJ107" s="150"/>
      <c r="AK107" s="150"/>
      <c r="AL107" s="150"/>
      <c r="AM107" s="150"/>
      <c r="AN107" s="150"/>
      <c r="AO107" s="150"/>
      <c r="AP107" s="150"/>
      <c r="AQ107" s="150"/>
      <c r="AR107" s="150"/>
    </row>
    <row r="108" spans="1:44" s="153" customFormat="1" x14ac:dyDescent="0.25">
      <c r="A108" s="154" t="s">
        <v>484</v>
      </c>
      <c r="B108" s="154" t="s">
        <v>28</v>
      </c>
      <c r="C108" s="154" t="s">
        <v>29</v>
      </c>
      <c r="D108" s="154">
        <v>531100</v>
      </c>
      <c r="E108" s="154">
        <v>2260000</v>
      </c>
      <c r="F108" s="154">
        <v>0.23499999999999999</v>
      </c>
      <c r="G108" s="154">
        <v>58.442747522655289</v>
      </c>
      <c r="H108" s="154">
        <v>120</v>
      </c>
      <c r="I108" s="164">
        <v>4.0680476001965085</v>
      </c>
      <c r="J108" s="155"/>
      <c r="K108" s="154"/>
      <c r="L108" s="154"/>
      <c r="M108" s="154"/>
      <c r="N108" s="154"/>
      <c r="O108" s="154"/>
      <c r="P108" s="154"/>
      <c r="Q108" s="154"/>
      <c r="R108" s="154"/>
      <c r="S108" s="154"/>
      <c r="T108" s="154"/>
      <c r="U108" s="154">
        <v>2</v>
      </c>
      <c r="V108" s="154">
        <v>120</v>
      </c>
      <c r="W108" s="154">
        <v>4.0680476001965085</v>
      </c>
      <c r="X108" s="154"/>
      <c r="Y108" s="154"/>
      <c r="Z108" s="165" t="s">
        <v>132</v>
      </c>
      <c r="AA108" s="166">
        <v>-9.3950365205880525E-3</v>
      </c>
      <c r="AD108" s="150"/>
      <c r="AE108" s="150"/>
      <c r="AF108" s="150"/>
      <c r="AG108" s="150"/>
      <c r="AH108" s="150"/>
      <c r="AI108" s="150"/>
      <c r="AJ108" s="150"/>
      <c r="AK108" s="150"/>
      <c r="AL108" s="150"/>
      <c r="AM108" s="150"/>
      <c r="AN108" s="150"/>
      <c r="AO108" s="150"/>
      <c r="AP108" s="150"/>
      <c r="AQ108" s="150"/>
      <c r="AR108" s="150"/>
    </row>
    <row r="109" spans="1:44" s="153" customFormat="1" x14ac:dyDescent="0.25">
      <c r="A109" s="157" t="s">
        <v>485</v>
      </c>
      <c r="B109" s="157" t="s">
        <v>28</v>
      </c>
      <c r="C109" s="157" t="s">
        <v>29</v>
      </c>
      <c r="D109" s="157">
        <v>838800</v>
      </c>
      <c r="E109" s="157">
        <v>2286000</v>
      </c>
      <c r="F109" s="157">
        <v>0.3669</v>
      </c>
      <c r="G109" s="157">
        <v>27.309098263892199</v>
      </c>
      <c r="H109" s="157">
        <v>120</v>
      </c>
      <c r="I109" s="163">
        <v>3.3072199164085307</v>
      </c>
      <c r="J109" s="158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>
        <v>3</v>
      </c>
      <c r="V109" s="157">
        <v>120</v>
      </c>
      <c r="W109" s="157">
        <v>3.3072199164085307</v>
      </c>
      <c r="X109" s="157"/>
      <c r="Y109" s="157"/>
      <c r="Z109" s="167" t="s">
        <v>133</v>
      </c>
      <c r="AA109" s="168">
        <v>4.6051701859880927</v>
      </c>
      <c r="AD109" s="150"/>
      <c r="AE109" s="150"/>
      <c r="AF109" s="150"/>
      <c r="AG109" s="150"/>
      <c r="AH109" s="150"/>
      <c r="AI109" s="150"/>
      <c r="AJ109" s="150"/>
      <c r="AK109" s="150"/>
      <c r="AL109" s="150"/>
      <c r="AM109" s="150"/>
      <c r="AN109" s="150"/>
      <c r="AO109" s="150"/>
      <c r="AP109" s="150"/>
      <c r="AQ109" s="150"/>
      <c r="AR109" s="150"/>
    </row>
    <row r="110" spans="1:44" s="153" customFormat="1" ht="17.25" x14ac:dyDescent="0.25">
      <c r="A110" s="154" t="s">
        <v>486</v>
      </c>
      <c r="B110" s="154" t="s">
        <v>28</v>
      </c>
      <c r="C110" s="154" t="s">
        <v>29</v>
      </c>
      <c r="D110" s="154">
        <v>1308000</v>
      </c>
      <c r="E110" s="154">
        <v>997300</v>
      </c>
      <c r="F110" s="154">
        <v>1.3109999999999999</v>
      </c>
      <c r="G110" s="154">
        <v>100</v>
      </c>
      <c r="H110" s="154">
        <v>0</v>
      </c>
      <c r="I110" s="164">
        <v>4.6051701859880918</v>
      </c>
      <c r="J110" s="155"/>
      <c r="K110" s="154"/>
      <c r="L110" s="154"/>
      <c r="M110" s="154"/>
      <c r="N110" s="154"/>
      <c r="O110" s="154"/>
      <c r="P110" s="154"/>
      <c r="Q110" s="154"/>
      <c r="R110" s="154"/>
      <c r="S110" s="154"/>
      <c r="T110" s="154"/>
      <c r="U110" s="154">
        <v>4</v>
      </c>
      <c r="V110" s="154">
        <v>0</v>
      </c>
      <c r="W110" s="154">
        <v>4.6051701859880918</v>
      </c>
      <c r="X110" s="154"/>
      <c r="Y110" s="154"/>
      <c r="Z110" s="167" t="s">
        <v>134</v>
      </c>
      <c r="AA110" s="169">
        <v>0.77494360288361397</v>
      </c>
      <c r="AD110" s="150"/>
      <c r="AE110" s="150"/>
      <c r="AF110" s="150"/>
      <c r="AG110" s="150"/>
      <c r="AH110" s="150"/>
      <c r="AI110" s="150"/>
      <c r="AJ110" s="150"/>
      <c r="AK110" s="150"/>
      <c r="AL110" s="150"/>
      <c r="AM110" s="150"/>
      <c r="AN110" s="150"/>
      <c r="AO110" s="150"/>
      <c r="AP110" s="150"/>
      <c r="AQ110" s="150"/>
      <c r="AR110" s="150"/>
    </row>
    <row r="111" spans="1:44" s="153" customFormat="1" ht="18" x14ac:dyDescent="0.35">
      <c r="A111" s="157" t="s">
        <v>487</v>
      </c>
      <c r="B111" s="157" t="s">
        <v>28</v>
      </c>
      <c r="C111" s="157" t="s">
        <v>29</v>
      </c>
      <c r="D111" s="157">
        <v>516100</v>
      </c>
      <c r="E111" s="157">
        <v>1285000</v>
      </c>
      <c r="F111" s="157">
        <v>0.4017</v>
      </c>
      <c r="G111" s="157">
        <v>100</v>
      </c>
      <c r="H111" s="157">
        <v>0</v>
      </c>
      <c r="I111" s="163">
        <v>4.6051701859880918</v>
      </c>
      <c r="J111" s="158"/>
      <c r="K111" s="157"/>
      <c r="L111" s="157"/>
      <c r="M111" s="157"/>
      <c r="N111" s="157"/>
      <c r="O111" s="157"/>
      <c r="P111" s="157"/>
      <c r="Q111" s="157"/>
      <c r="R111" s="157"/>
      <c r="S111" s="157"/>
      <c r="T111" s="157"/>
      <c r="U111" s="157">
        <v>5</v>
      </c>
      <c r="V111" s="157">
        <v>0</v>
      </c>
      <c r="W111" s="157">
        <v>4.6051701859880918</v>
      </c>
      <c r="X111" s="157"/>
      <c r="Y111" s="157"/>
      <c r="Z111" s="167" t="s">
        <v>135</v>
      </c>
      <c r="AA111" s="170">
        <v>73.778018748623225</v>
      </c>
      <c r="AD111" s="150"/>
      <c r="AE111" s="150"/>
      <c r="AF111" s="150"/>
      <c r="AG111" s="150"/>
      <c r="AH111" s="150"/>
      <c r="AI111" s="150"/>
      <c r="AJ111" s="150"/>
      <c r="AK111" s="150"/>
      <c r="AL111" s="150"/>
      <c r="AM111" s="150"/>
      <c r="AN111" s="150"/>
      <c r="AO111" s="150"/>
      <c r="AP111" s="150"/>
      <c r="AQ111" s="150"/>
      <c r="AR111" s="150"/>
    </row>
    <row r="112" spans="1:44" s="153" customFormat="1" ht="18.75" x14ac:dyDescent="0.35">
      <c r="A112" s="154" t="s">
        <v>488</v>
      </c>
      <c r="B112" s="154" t="s">
        <v>28</v>
      </c>
      <c r="C112" s="154" t="s">
        <v>29</v>
      </c>
      <c r="D112" s="154">
        <v>1344000</v>
      </c>
      <c r="E112" s="154">
        <v>1001000</v>
      </c>
      <c r="F112" s="154">
        <v>1.3420000000000001</v>
      </c>
      <c r="G112" s="154">
        <v>100</v>
      </c>
      <c r="H112" s="154">
        <v>0</v>
      </c>
      <c r="I112" s="164">
        <v>4.6051701859880918</v>
      </c>
      <c r="J112" s="155"/>
      <c r="K112" s="154"/>
      <c r="L112" s="154"/>
      <c r="M112" s="154"/>
      <c r="N112" s="154"/>
      <c r="O112" s="154"/>
      <c r="P112" s="154"/>
      <c r="Q112" s="154"/>
      <c r="R112" s="154"/>
      <c r="S112" s="154"/>
      <c r="T112" s="154"/>
      <c r="U112" s="154">
        <v>6</v>
      </c>
      <c r="V112" s="154">
        <v>0</v>
      </c>
      <c r="W112" s="154">
        <v>4.6051701859880918</v>
      </c>
      <c r="X112" s="154"/>
      <c r="Y112" s="154"/>
      <c r="Z112" s="167" t="s">
        <v>136</v>
      </c>
      <c r="AA112" s="170">
        <v>18.790073041176104</v>
      </c>
      <c r="AD112" s="150"/>
      <c r="AE112" s="150"/>
      <c r="AF112" s="150"/>
      <c r="AG112" s="150"/>
      <c r="AH112" s="150"/>
      <c r="AI112" s="150"/>
      <c r="AJ112" s="150"/>
      <c r="AK112" s="150"/>
      <c r="AL112" s="150"/>
      <c r="AM112" s="150"/>
      <c r="AN112" s="150"/>
      <c r="AO112" s="150"/>
      <c r="AP112" s="150"/>
      <c r="AQ112" s="150"/>
      <c r="AR112" s="150"/>
    </row>
    <row r="113" spans="1:44" s="153" customFormat="1" ht="15.75" thickBot="1" x14ac:dyDescent="0.3">
      <c r="A113" s="157"/>
      <c r="B113" s="157"/>
      <c r="C113" s="157"/>
      <c r="D113" s="157"/>
      <c r="E113" s="157"/>
      <c r="F113" s="157"/>
      <c r="G113" s="157"/>
      <c r="H113" s="157"/>
      <c r="I113" s="163"/>
      <c r="J113" s="158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  <c r="Y113" s="157"/>
      <c r="Z113" s="171" t="s">
        <v>118</v>
      </c>
      <c r="AA113" s="172" t="s">
        <v>137</v>
      </c>
      <c r="AD113" s="150"/>
      <c r="AE113" s="150"/>
      <c r="AF113" s="150"/>
      <c r="AG113" s="150"/>
      <c r="AH113" s="150"/>
      <c r="AI113" s="150"/>
      <c r="AJ113" s="150"/>
      <c r="AK113" s="150"/>
      <c r="AL113" s="150"/>
      <c r="AM113" s="150"/>
      <c r="AN113" s="150"/>
      <c r="AO113" s="150"/>
      <c r="AP113" s="150"/>
      <c r="AQ113" s="150"/>
      <c r="AR113" s="150"/>
    </row>
    <row r="114" spans="1:44" s="153" customFormat="1" x14ac:dyDescent="0.25">
      <c r="A114" s="154"/>
      <c r="B114" s="154"/>
      <c r="C114" s="154"/>
      <c r="D114" s="154"/>
      <c r="E114" s="154"/>
      <c r="F114" s="154"/>
      <c r="G114" s="154"/>
      <c r="H114" s="154"/>
      <c r="I114" s="164"/>
      <c r="J114" s="155"/>
      <c r="K114" s="154"/>
      <c r="L114" s="154"/>
      <c r="M114" s="154"/>
      <c r="N114" s="154"/>
      <c r="O114" s="154"/>
      <c r="P114" s="154"/>
      <c r="Q114" s="154"/>
      <c r="R114" s="154"/>
      <c r="S114" s="154"/>
      <c r="T114" s="154"/>
      <c r="U114" s="154"/>
      <c r="V114" s="154"/>
      <c r="W114" s="154"/>
      <c r="X114" s="154"/>
      <c r="Y114" s="154"/>
      <c r="AD114" s="150"/>
      <c r="AE114" s="150"/>
      <c r="AF114" s="150"/>
      <c r="AG114" s="150"/>
      <c r="AH114" s="150"/>
      <c r="AI114" s="150"/>
      <c r="AJ114" s="150"/>
      <c r="AK114" s="150"/>
      <c r="AL114" s="150"/>
      <c r="AM114" s="150"/>
      <c r="AN114" s="150"/>
      <c r="AO114" s="150"/>
      <c r="AP114" s="150"/>
      <c r="AQ114" s="150"/>
      <c r="AR114" s="150"/>
    </row>
    <row r="115" spans="1:44" s="153" customFormat="1" x14ac:dyDescent="0.25">
      <c r="A115" s="157"/>
      <c r="B115" s="157"/>
      <c r="C115" s="157"/>
      <c r="D115" s="157"/>
      <c r="E115" s="157"/>
      <c r="F115" s="157"/>
      <c r="G115" s="157"/>
      <c r="H115" s="157"/>
      <c r="I115" s="163"/>
      <c r="J115" s="158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157"/>
      <c r="Y115" s="157"/>
      <c r="AD115" s="150"/>
      <c r="AE115" s="150"/>
      <c r="AF115" s="150"/>
      <c r="AG115" s="150"/>
      <c r="AH115" s="150"/>
      <c r="AI115" s="150"/>
      <c r="AJ115" s="150"/>
      <c r="AK115" s="150"/>
      <c r="AL115" s="150"/>
      <c r="AM115" s="150"/>
      <c r="AN115" s="150"/>
      <c r="AO115" s="150"/>
      <c r="AP115" s="150"/>
      <c r="AQ115" s="150"/>
      <c r="AR115" s="150"/>
    </row>
    <row r="116" spans="1:44" s="153" customFormat="1" x14ac:dyDescent="0.25">
      <c r="A116" s="154"/>
      <c r="B116" s="154"/>
      <c r="C116" s="154"/>
      <c r="D116" s="154"/>
      <c r="E116" s="154"/>
      <c r="F116" s="154"/>
      <c r="G116" s="154"/>
      <c r="H116" s="154"/>
      <c r="I116" s="164"/>
      <c r="J116" s="155"/>
      <c r="K116" s="154"/>
      <c r="L116" s="154"/>
      <c r="M116" s="154"/>
      <c r="N116" s="154"/>
      <c r="O116" s="154"/>
      <c r="P116" s="154"/>
      <c r="Q116" s="154"/>
      <c r="R116" s="154"/>
      <c r="S116" s="154"/>
      <c r="T116" s="154"/>
      <c r="U116" s="154"/>
      <c r="V116" s="154"/>
      <c r="W116" s="154"/>
      <c r="X116" s="154"/>
      <c r="Y116" s="154"/>
      <c r="AD116" s="150"/>
      <c r="AE116" s="150"/>
      <c r="AF116" s="150"/>
      <c r="AG116" s="150"/>
      <c r="AH116" s="150"/>
      <c r="AI116" s="150"/>
      <c r="AJ116" s="150"/>
      <c r="AK116" s="150"/>
      <c r="AL116" s="150"/>
      <c r="AM116" s="150"/>
      <c r="AN116" s="150"/>
      <c r="AO116" s="150"/>
      <c r="AP116" s="150"/>
      <c r="AQ116" s="150"/>
      <c r="AR116" s="150"/>
    </row>
    <row r="117" spans="1:44" s="153" customFormat="1" x14ac:dyDescent="0.25">
      <c r="A117" s="157"/>
      <c r="B117" s="157"/>
      <c r="C117" s="157"/>
      <c r="D117" s="157"/>
      <c r="E117" s="157"/>
      <c r="F117" s="157"/>
      <c r="G117" s="157"/>
      <c r="H117" s="157"/>
      <c r="I117" s="163"/>
      <c r="J117" s="158"/>
      <c r="K117" s="157"/>
      <c r="L117" s="157"/>
      <c r="M117" s="157"/>
      <c r="N117" s="157"/>
      <c r="O117" s="157"/>
      <c r="P117" s="157"/>
      <c r="Q117" s="157"/>
      <c r="R117" s="157"/>
      <c r="S117" s="157"/>
      <c r="T117" s="157"/>
      <c r="U117" s="157"/>
      <c r="V117" s="157"/>
      <c r="W117" s="157"/>
      <c r="X117" s="157"/>
      <c r="Y117" s="157"/>
      <c r="AD117" s="150"/>
      <c r="AE117" s="150"/>
      <c r="AF117" s="150"/>
      <c r="AG117" s="150"/>
      <c r="AH117" s="150"/>
      <c r="AI117" s="150"/>
      <c r="AJ117" s="150"/>
      <c r="AK117" s="150"/>
      <c r="AL117" s="150"/>
      <c r="AM117" s="150"/>
      <c r="AN117" s="150"/>
      <c r="AO117" s="150"/>
      <c r="AP117" s="150"/>
      <c r="AQ117" s="150"/>
      <c r="AR117" s="150"/>
    </row>
    <row r="118" spans="1:44" s="153" customFormat="1" x14ac:dyDescent="0.25">
      <c r="A118" s="154"/>
      <c r="B118" s="154"/>
      <c r="C118" s="154"/>
      <c r="D118" s="154"/>
      <c r="E118" s="154"/>
      <c r="F118" s="154"/>
      <c r="G118" s="154"/>
      <c r="H118" s="154"/>
      <c r="I118" s="164"/>
      <c r="J118" s="155"/>
      <c r="K118" s="154"/>
      <c r="L118" s="154"/>
      <c r="M118" s="154"/>
      <c r="N118" s="154"/>
      <c r="O118" s="154"/>
      <c r="P118" s="154"/>
      <c r="Q118" s="154"/>
      <c r="R118" s="154"/>
      <c r="S118" s="154"/>
      <c r="T118" s="154"/>
      <c r="U118" s="154"/>
      <c r="V118" s="154"/>
      <c r="W118" s="154"/>
      <c r="X118" s="154"/>
      <c r="Y118" s="154"/>
      <c r="AD118" s="150"/>
      <c r="AE118" s="150"/>
      <c r="AF118" s="150"/>
      <c r="AG118" s="150"/>
      <c r="AH118" s="150"/>
      <c r="AI118" s="150"/>
      <c r="AJ118" s="150"/>
      <c r="AK118" s="150"/>
      <c r="AL118" s="150"/>
      <c r="AM118" s="150"/>
      <c r="AN118" s="150"/>
      <c r="AO118" s="150"/>
      <c r="AP118" s="150"/>
      <c r="AQ118" s="150"/>
      <c r="AR118" s="150"/>
    </row>
    <row r="119" spans="1:44" s="153" customFormat="1" x14ac:dyDescent="0.25">
      <c r="A119" s="157"/>
      <c r="B119" s="157"/>
      <c r="C119" s="157"/>
      <c r="D119" s="157"/>
      <c r="E119" s="157"/>
      <c r="F119" s="157"/>
      <c r="G119" s="157"/>
      <c r="H119" s="157"/>
      <c r="I119" s="163"/>
      <c r="J119" s="158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157"/>
      <c r="Y119" s="157"/>
      <c r="AD119" s="150"/>
      <c r="AE119" s="150"/>
      <c r="AF119" s="150"/>
      <c r="AG119" s="150"/>
      <c r="AH119" s="150"/>
      <c r="AI119" s="150"/>
      <c r="AJ119" s="150"/>
      <c r="AK119" s="150"/>
      <c r="AL119" s="150"/>
      <c r="AM119" s="150"/>
      <c r="AN119" s="150"/>
      <c r="AO119" s="150"/>
      <c r="AP119" s="150"/>
      <c r="AQ119" s="150"/>
      <c r="AR119" s="150"/>
    </row>
    <row r="120" spans="1:44" s="153" customFormat="1" x14ac:dyDescent="0.25">
      <c r="A120" s="154"/>
      <c r="B120" s="154"/>
      <c r="C120" s="154"/>
      <c r="D120" s="154"/>
      <c r="E120" s="154"/>
      <c r="F120" s="154"/>
      <c r="G120" s="154"/>
      <c r="H120" s="154"/>
      <c r="I120" s="164"/>
      <c r="J120" s="155"/>
      <c r="K120" s="154"/>
      <c r="L120" s="154"/>
      <c r="M120" s="154"/>
      <c r="N120" s="154"/>
      <c r="O120" s="154"/>
      <c r="P120" s="154"/>
      <c r="Q120" s="154"/>
      <c r="R120" s="154"/>
      <c r="S120" s="154"/>
      <c r="T120" s="154"/>
      <c r="U120" s="154"/>
      <c r="V120" s="154"/>
      <c r="W120" s="154"/>
      <c r="X120" s="154"/>
      <c r="Y120" s="154"/>
      <c r="AD120" s="150"/>
      <c r="AE120" s="150"/>
      <c r="AF120" s="150"/>
      <c r="AG120" s="150"/>
      <c r="AH120" s="150"/>
      <c r="AI120" s="150"/>
      <c r="AJ120" s="150"/>
      <c r="AK120" s="150"/>
      <c r="AL120" s="150"/>
      <c r="AM120" s="150"/>
      <c r="AN120" s="150"/>
      <c r="AO120" s="150"/>
      <c r="AP120" s="150"/>
      <c r="AQ120" s="150"/>
      <c r="AR120" s="150"/>
    </row>
    <row r="121" spans="1:44" s="153" customFormat="1" x14ac:dyDescent="0.25">
      <c r="A121" s="157"/>
      <c r="B121" s="157"/>
      <c r="C121" s="157"/>
      <c r="D121" s="157"/>
      <c r="E121" s="157"/>
      <c r="F121" s="157"/>
      <c r="G121" s="157"/>
      <c r="H121" s="157"/>
      <c r="I121" s="163"/>
      <c r="J121" s="158"/>
      <c r="K121" s="157"/>
      <c r="L121" s="157"/>
      <c r="M121" s="157"/>
      <c r="N121" s="157"/>
      <c r="O121" s="157"/>
      <c r="P121" s="157"/>
      <c r="Q121" s="157"/>
      <c r="R121" s="157"/>
      <c r="S121" s="157"/>
      <c r="T121" s="157"/>
      <c r="U121" s="157"/>
      <c r="V121" s="157"/>
      <c r="W121" s="157"/>
      <c r="X121" s="157"/>
      <c r="Y121" s="157"/>
      <c r="AD121" s="150"/>
      <c r="AE121" s="150"/>
      <c r="AF121" s="150"/>
      <c r="AG121" s="150"/>
      <c r="AH121" s="150"/>
      <c r="AI121" s="150"/>
      <c r="AJ121" s="150"/>
      <c r="AK121" s="150"/>
      <c r="AL121" s="150"/>
      <c r="AM121" s="150"/>
      <c r="AN121" s="150"/>
      <c r="AO121" s="150"/>
      <c r="AP121" s="150"/>
      <c r="AQ121" s="150"/>
      <c r="AR121" s="150"/>
    </row>
    <row r="122" spans="1:44" s="153" customFormat="1" x14ac:dyDescent="0.25">
      <c r="A122" s="154"/>
      <c r="B122" s="154"/>
      <c r="C122" s="154"/>
      <c r="D122" s="154"/>
      <c r="E122" s="154"/>
      <c r="F122" s="154"/>
      <c r="G122" s="154"/>
      <c r="H122" s="154"/>
      <c r="I122" s="164"/>
      <c r="J122" s="155"/>
      <c r="K122" s="154"/>
      <c r="L122" s="154"/>
      <c r="M122" s="154"/>
      <c r="N122" s="154"/>
      <c r="O122" s="154"/>
      <c r="P122" s="154"/>
      <c r="Q122" s="154"/>
      <c r="R122" s="154"/>
      <c r="S122" s="154"/>
      <c r="T122" s="154"/>
      <c r="U122" s="154"/>
      <c r="V122" s="154"/>
      <c r="W122" s="154"/>
      <c r="X122" s="154"/>
      <c r="Y122" s="154"/>
      <c r="AD122" s="150"/>
      <c r="AE122" s="150"/>
      <c r="AF122" s="150"/>
      <c r="AG122" s="150"/>
      <c r="AH122" s="150"/>
      <c r="AI122" s="150"/>
      <c r="AJ122" s="150"/>
      <c r="AK122" s="150"/>
      <c r="AL122" s="150"/>
      <c r="AM122" s="150"/>
      <c r="AN122" s="150"/>
      <c r="AO122" s="150"/>
      <c r="AP122" s="150"/>
      <c r="AQ122" s="150"/>
      <c r="AR122" s="150"/>
    </row>
    <row r="123" spans="1:44" x14ac:dyDescent="0.25">
      <c r="A123" s="157"/>
      <c r="B123" s="157"/>
      <c r="C123" s="157"/>
      <c r="D123" s="157"/>
      <c r="E123" s="157"/>
      <c r="F123" s="157"/>
      <c r="G123" s="157"/>
      <c r="H123" s="157"/>
      <c r="I123" s="157"/>
      <c r="J123" s="158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157"/>
      <c r="Y123" s="157"/>
    </row>
    <row r="124" spans="1:44" x14ac:dyDescent="0.25">
      <c r="A124" s="147"/>
      <c r="B124" s="147"/>
      <c r="C124" s="147"/>
      <c r="D124" s="147"/>
      <c r="E124" s="147"/>
      <c r="F124" s="147"/>
      <c r="I124" s="148"/>
    </row>
    <row r="125" spans="1:44" x14ac:dyDescent="0.25">
      <c r="A125" s="147"/>
      <c r="B125" s="147"/>
      <c r="C125" s="147"/>
      <c r="D125" s="147"/>
      <c r="E125" s="147"/>
      <c r="F125" s="147"/>
      <c r="I125" s="148"/>
    </row>
    <row r="126" spans="1:44" x14ac:dyDescent="0.25">
      <c r="A126" s="147"/>
      <c r="B126" s="147"/>
      <c r="C126" s="147"/>
      <c r="D126" s="147"/>
      <c r="E126" s="147"/>
      <c r="F126" s="147"/>
      <c r="I126" s="148"/>
    </row>
    <row r="127" spans="1:44" x14ac:dyDescent="0.25">
      <c r="A127" s="147"/>
      <c r="B127" s="147"/>
      <c r="C127" s="147"/>
      <c r="D127" s="147"/>
      <c r="E127" s="147"/>
      <c r="F127" s="147"/>
      <c r="I127" s="148"/>
    </row>
    <row r="128" spans="1:44" s="153" customFormat="1" x14ac:dyDescent="0.25">
      <c r="A128" s="147"/>
      <c r="B128" s="147"/>
      <c r="C128" s="147"/>
      <c r="D128" s="147"/>
      <c r="E128" s="147"/>
      <c r="F128" s="147"/>
      <c r="G128" s="150"/>
      <c r="H128" s="150"/>
      <c r="I128" s="148"/>
      <c r="K128" s="150"/>
      <c r="L128" s="150"/>
      <c r="M128" s="150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AD128" s="150"/>
      <c r="AE128" s="150"/>
      <c r="AF128" s="150"/>
      <c r="AG128" s="150"/>
      <c r="AH128" s="150"/>
      <c r="AI128" s="150"/>
      <c r="AJ128" s="150"/>
      <c r="AK128" s="150"/>
      <c r="AL128" s="150"/>
      <c r="AM128" s="150"/>
      <c r="AN128" s="150"/>
      <c r="AO128" s="150"/>
      <c r="AP128" s="150"/>
      <c r="AQ128" s="150"/>
      <c r="AR128" s="150"/>
    </row>
    <row r="129" spans="1:44" s="153" customFormat="1" x14ac:dyDescent="0.25">
      <c r="A129" s="147"/>
      <c r="B129" s="147"/>
      <c r="C129" s="147"/>
      <c r="D129" s="147"/>
      <c r="E129" s="147"/>
      <c r="F129" s="147"/>
      <c r="G129" s="150"/>
      <c r="H129" s="150"/>
      <c r="I129" s="148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AD129" s="150"/>
      <c r="AE129" s="150"/>
      <c r="AF129" s="150"/>
      <c r="AG129" s="150"/>
      <c r="AH129" s="150"/>
      <c r="AI129" s="150"/>
      <c r="AJ129" s="150"/>
      <c r="AK129" s="150"/>
      <c r="AL129" s="150"/>
      <c r="AM129" s="150"/>
      <c r="AN129" s="150"/>
      <c r="AO129" s="150"/>
      <c r="AP129" s="150"/>
      <c r="AQ129" s="150"/>
      <c r="AR129" s="150"/>
    </row>
    <row r="130" spans="1:44" s="153" customFormat="1" x14ac:dyDescent="0.25">
      <c r="A130" s="147"/>
      <c r="B130" s="147"/>
      <c r="C130" s="147"/>
      <c r="D130" s="147"/>
      <c r="E130" s="147"/>
      <c r="F130" s="147"/>
      <c r="G130" s="150"/>
      <c r="H130" s="150"/>
      <c r="I130" s="148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AD130" s="150"/>
      <c r="AE130" s="150"/>
      <c r="AF130" s="150"/>
      <c r="AG130" s="150"/>
      <c r="AH130" s="150"/>
      <c r="AI130" s="150"/>
      <c r="AJ130" s="150"/>
      <c r="AK130" s="150"/>
      <c r="AL130" s="150"/>
      <c r="AM130" s="150"/>
      <c r="AN130" s="150"/>
      <c r="AO130" s="150"/>
      <c r="AP130" s="150"/>
      <c r="AQ130" s="150"/>
      <c r="AR130" s="150"/>
    </row>
    <row r="131" spans="1:44" s="153" customFormat="1" x14ac:dyDescent="0.25">
      <c r="A131" s="147"/>
      <c r="B131" s="147"/>
      <c r="C131" s="147"/>
      <c r="D131" s="147"/>
      <c r="E131" s="147"/>
      <c r="F131" s="147"/>
      <c r="G131" s="150"/>
      <c r="H131" s="150"/>
      <c r="I131" s="148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50"/>
      <c r="AN131" s="150"/>
      <c r="AO131" s="150"/>
      <c r="AP131" s="150"/>
      <c r="AQ131" s="150"/>
      <c r="AR131" s="150"/>
    </row>
  </sheetData>
  <conditionalFormatting sqref="I5">
    <cfRule type="expression" dxfId="85" priority="126">
      <formula>ISTEXT($I$5)</formula>
    </cfRule>
  </conditionalFormatting>
  <conditionalFormatting sqref="I6">
    <cfRule type="expression" dxfId="84" priority="125">
      <formula>ISTEXT($I$6)</formula>
    </cfRule>
  </conditionalFormatting>
  <conditionalFormatting sqref="I7">
    <cfRule type="expression" dxfId="83" priority="124">
      <formula>ISTEXT($I$7)</formula>
    </cfRule>
  </conditionalFormatting>
  <conditionalFormatting sqref="I8">
    <cfRule type="expression" dxfId="82" priority="123">
      <formula>ISTEXT($I$8)</formula>
    </cfRule>
  </conditionalFormatting>
  <conditionalFormatting sqref="I9">
    <cfRule type="expression" dxfId="81" priority="122">
      <formula>ISTEXT($I$9)</formula>
    </cfRule>
  </conditionalFormatting>
  <conditionalFormatting sqref="I10:I20">
    <cfRule type="expression" dxfId="80" priority="121">
      <formula>ISTEXT($I$10)</formula>
    </cfRule>
  </conditionalFormatting>
  <conditionalFormatting sqref="I25">
    <cfRule type="expression" dxfId="79" priority="120">
      <formula>ISTEXT($I$25)</formula>
    </cfRule>
  </conditionalFormatting>
  <conditionalFormatting sqref="I26">
    <cfRule type="expression" dxfId="78" priority="119">
      <formula>ISTEXT($I$26)</formula>
    </cfRule>
  </conditionalFormatting>
  <conditionalFormatting sqref="I27">
    <cfRule type="expression" dxfId="77" priority="118">
      <formula>ISTEXT($I$27)</formula>
    </cfRule>
  </conditionalFormatting>
  <conditionalFormatting sqref="I28">
    <cfRule type="expression" dxfId="76" priority="117">
      <formula>ISTEXT($I$28)</formula>
    </cfRule>
  </conditionalFormatting>
  <conditionalFormatting sqref="I29">
    <cfRule type="expression" dxfId="75" priority="116">
      <formula>ISTEXT($I$29)</formula>
    </cfRule>
  </conditionalFormatting>
  <conditionalFormatting sqref="I30:I40">
    <cfRule type="expression" dxfId="74" priority="115">
      <formula>ISTEXT($I$30)</formula>
    </cfRule>
  </conditionalFormatting>
  <conditionalFormatting sqref="I47">
    <cfRule type="expression" dxfId="73" priority="102">
      <formula>ISTEXT($I$47)</formula>
    </cfRule>
  </conditionalFormatting>
  <conditionalFormatting sqref="I48">
    <cfRule type="expression" dxfId="72" priority="101">
      <formula>ISTEXT($I$48)</formula>
    </cfRule>
  </conditionalFormatting>
  <conditionalFormatting sqref="I49">
    <cfRule type="expression" dxfId="71" priority="100">
      <formula>ISTEXT($I$49)</formula>
    </cfRule>
  </conditionalFormatting>
  <conditionalFormatting sqref="I50">
    <cfRule type="expression" dxfId="70" priority="99">
      <formula>ISTEXT($I$50)</formula>
    </cfRule>
  </conditionalFormatting>
  <conditionalFormatting sqref="I51">
    <cfRule type="expression" dxfId="69" priority="98">
      <formula>ISTEXT($I$51)</formula>
    </cfRule>
  </conditionalFormatting>
  <conditionalFormatting sqref="I52:I62">
    <cfRule type="expression" dxfId="68" priority="97">
      <formula>ISTEXT($I$52)</formula>
    </cfRule>
  </conditionalFormatting>
  <conditionalFormatting sqref="I67">
    <cfRule type="expression" dxfId="67" priority="96">
      <formula>ISTEXT($I$67)</formula>
    </cfRule>
  </conditionalFormatting>
  <conditionalFormatting sqref="I68">
    <cfRule type="expression" dxfId="66" priority="95">
      <formula>ISTEXT($I$68)</formula>
    </cfRule>
  </conditionalFormatting>
  <conditionalFormatting sqref="I69">
    <cfRule type="expression" dxfId="65" priority="94">
      <formula>ISTEXT($I$69)</formula>
    </cfRule>
  </conditionalFormatting>
  <conditionalFormatting sqref="I70">
    <cfRule type="expression" dxfId="64" priority="93">
      <formula>ISTEXT($I$70)</formula>
    </cfRule>
  </conditionalFormatting>
  <conditionalFormatting sqref="I71">
    <cfRule type="expression" dxfId="63" priority="92">
      <formula>ISTEXT($I$71)</formula>
    </cfRule>
  </conditionalFormatting>
  <conditionalFormatting sqref="I72:I82">
    <cfRule type="expression" dxfId="62" priority="91">
      <formula>ISTEXT($I$72)</formula>
    </cfRule>
  </conditionalFormatting>
  <conditionalFormatting sqref="I87">
    <cfRule type="expression" dxfId="61" priority="90">
      <formula>ISTEXT($I$87)</formula>
    </cfRule>
  </conditionalFormatting>
  <conditionalFormatting sqref="I88">
    <cfRule type="expression" dxfId="60" priority="89">
      <formula>ISTEXT($I$88)</formula>
    </cfRule>
  </conditionalFormatting>
  <conditionalFormatting sqref="I89">
    <cfRule type="expression" dxfId="59" priority="88">
      <formula>ISTEXT($I$89)</formula>
    </cfRule>
  </conditionalFormatting>
  <conditionalFormatting sqref="I90">
    <cfRule type="expression" dxfId="58" priority="87">
      <formula>ISTEXT($I$90)</formula>
    </cfRule>
  </conditionalFormatting>
  <conditionalFormatting sqref="I91">
    <cfRule type="expression" dxfId="57" priority="86">
      <formula>ISTEXT($I$91)</formula>
    </cfRule>
  </conditionalFormatting>
  <conditionalFormatting sqref="I92:I102">
    <cfRule type="expression" dxfId="56" priority="85">
      <formula>ISTEXT($I$92)</formula>
    </cfRule>
  </conditionalFormatting>
  <conditionalFormatting sqref="I107">
    <cfRule type="expression" dxfId="55" priority="84">
      <formula>ISTEXT($I$107)</formula>
    </cfRule>
  </conditionalFormatting>
  <conditionalFormatting sqref="I108">
    <cfRule type="expression" dxfId="54" priority="83">
      <formula>ISTEXT($I$108)</formula>
    </cfRule>
  </conditionalFormatting>
  <conditionalFormatting sqref="I109">
    <cfRule type="expression" dxfId="53" priority="82">
      <formula>ISTEXT($I$109)</formula>
    </cfRule>
  </conditionalFormatting>
  <conditionalFormatting sqref="I110">
    <cfRule type="expression" dxfId="52" priority="81">
      <formula>ISTEXT($I$110)</formula>
    </cfRule>
  </conditionalFormatting>
  <conditionalFormatting sqref="I111">
    <cfRule type="expression" dxfId="51" priority="80">
      <formula>ISTEXT($I$111)</formula>
    </cfRule>
  </conditionalFormatting>
  <conditionalFormatting sqref="I112:I122">
    <cfRule type="expression" dxfId="50" priority="79">
      <formula>ISTEXT($I$112)</formula>
    </cfRule>
  </conditionalFormatting>
  <conditionalFormatting sqref="AA3">
    <cfRule type="expression" dxfId="49" priority="72">
      <formula>ISTEXT($AA$3)</formula>
    </cfRule>
  </conditionalFormatting>
  <conditionalFormatting sqref="AB3">
    <cfRule type="expression" dxfId="48" priority="71">
      <formula>ISTEXT($AB$3)</formula>
    </cfRule>
  </conditionalFormatting>
  <conditionalFormatting sqref="AC3">
    <cfRule type="expression" dxfId="47" priority="70">
      <formula>ISTEXT($AC$3)</formula>
    </cfRule>
  </conditionalFormatting>
  <conditionalFormatting sqref="AD3">
    <cfRule type="expression" dxfId="46" priority="69">
      <formula>ISTEXT($AD$3)</formula>
    </cfRule>
  </conditionalFormatting>
  <conditionalFormatting sqref="AA4">
    <cfRule type="expression" dxfId="45" priority="68">
      <formula>ISTEXT($AA$4)</formula>
    </cfRule>
  </conditionalFormatting>
  <conditionalFormatting sqref="AB4">
    <cfRule type="expression" dxfId="44" priority="67">
      <formula>ISTEXT($AB$4)</formula>
    </cfRule>
  </conditionalFormatting>
  <conditionalFormatting sqref="AC4">
    <cfRule type="expression" dxfId="43" priority="66">
      <formula>ISTEXT($AC$4)</formula>
    </cfRule>
  </conditionalFormatting>
  <conditionalFormatting sqref="AD4">
    <cfRule type="expression" dxfId="42" priority="65">
      <formula>ISTEXT($AD$4)</formula>
    </cfRule>
  </conditionalFormatting>
  <conditionalFormatting sqref="AA23">
    <cfRule type="expression" dxfId="41" priority="64">
      <formula>ISTEXT($AA$23)</formula>
    </cfRule>
  </conditionalFormatting>
  <conditionalFormatting sqref="AB23">
    <cfRule type="expression" dxfId="40" priority="63">
      <formula>ISTEXT($AB$23)</formula>
    </cfRule>
  </conditionalFormatting>
  <conditionalFormatting sqref="AC23">
    <cfRule type="expression" dxfId="39" priority="62">
      <formula>ISTEXT($AC$23)</formula>
    </cfRule>
  </conditionalFormatting>
  <conditionalFormatting sqref="AD23">
    <cfRule type="expression" dxfId="38" priority="61">
      <formula>ISTEXT($AD$23)</formula>
    </cfRule>
  </conditionalFormatting>
  <conditionalFormatting sqref="AA24">
    <cfRule type="expression" dxfId="37" priority="60">
      <formula>ISTEXT($AA$24)</formula>
    </cfRule>
  </conditionalFormatting>
  <conditionalFormatting sqref="AB24">
    <cfRule type="expression" dxfId="36" priority="59">
      <formula>ISTEXT($AB$24)</formula>
    </cfRule>
  </conditionalFormatting>
  <conditionalFormatting sqref="AC24">
    <cfRule type="expression" dxfId="35" priority="58">
      <formula>ISTEXT($AC$24)</formula>
    </cfRule>
  </conditionalFormatting>
  <conditionalFormatting sqref="AD24">
    <cfRule type="expression" dxfId="34" priority="57">
      <formula>ISTEXT($AD$24)</formula>
    </cfRule>
  </conditionalFormatting>
  <conditionalFormatting sqref="AA45">
    <cfRule type="expression" dxfId="33" priority="40">
      <formula>ISTEXT($AA$45)</formula>
    </cfRule>
  </conditionalFormatting>
  <conditionalFormatting sqref="AB45">
    <cfRule type="expression" dxfId="32" priority="39">
      <formula>ISTEXT($AB$45)</formula>
    </cfRule>
  </conditionalFormatting>
  <conditionalFormatting sqref="AC45">
    <cfRule type="expression" dxfId="31" priority="38">
      <formula>ISTEXT($AC$45)</formula>
    </cfRule>
  </conditionalFormatting>
  <conditionalFormatting sqref="AD45">
    <cfRule type="expression" dxfId="30" priority="37">
      <formula>ISTEXT($AD$45)</formula>
    </cfRule>
  </conditionalFormatting>
  <conditionalFormatting sqref="AA46">
    <cfRule type="expression" dxfId="29" priority="36">
      <formula>ISTEXT($AA$46)</formula>
    </cfRule>
  </conditionalFormatting>
  <conditionalFormatting sqref="AB46">
    <cfRule type="expression" dxfId="28" priority="35">
      <formula>ISTEXT($AB$46)</formula>
    </cfRule>
  </conditionalFormatting>
  <conditionalFormatting sqref="AC46">
    <cfRule type="expression" dxfId="27" priority="34">
      <formula>ISTEXT($AC$46)</formula>
    </cfRule>
  </conditionalFormatting>
  <conditionalFormatting sqref="AD46">
    <cfRule type="expression" dxfId="26" priority="33">
      <formula>ISTEXT($AD$46)</formula>
    </cfRule>
  </conditionalFormatting>
  <conditionalFormatting sqref="AA65">
    <cfRule type="expression" dxfId="25" priority="32">
      <formula>ISTEXT($AA$65)</formula>
    </cfRule>
  </conditionalFormatting>
  <conditionalFormatting sqref="AB65">
    <cfRule type="expression" dxfId="24" priority="31">
      <formula>ISTEXT($AB$65)</formula>
    </cfRule>
  </conditionalFormatting>
  <conditionalFormatting sqref="AC65">
    <cfRule type="expression" dxfId="23" priority="30">
      <formula>ISTEXT($AC$65)</formula>
    </cfRule>
  </conditionalFormatting>
  <conditionalFormatting sqref="AD65">
    <cfRule type="expression" dxfId="22" priority="29">
      <formula>ISTEXT($AD$65)</formula>
    </cfRule>
  </conditionalFormatting>
  <conditionalFormatting sqref="AA66">
    <cfRule type="expression" dxfId="21" priority="28">
      <formula>ISTEXT($AA$66)</formula>
    </cfRule>
  </conditionalFormatting>
  <conditionalFormatting sqref="AB66">
    <cfRule type="expression" dxfId="20" priority="27">
      <formula>ISTEXT($AB$66)</formula>
    </cfRule>
  </conditionalFormatting>
  <conditionalFormatting sqref="AC66">
    <cfRule type="expression" dxfId="19" priority="26">
      <formula>ISTEXT($AC$66)</formula>
    </cfRule>
  </conditionalFormatting>
  <conditionalFormatting sqref="AD66">
    <cfRule type="expression" dxfId="18" priority="25">
      <formula>ISTEXT($AD$66)</formula>
    </cfRule>
  </conditionalFormatting>
  <conditionalFormatting sqref="AA85">
    <cfRule type="expression" dxfId="17" priority="24">
      <formula>ISTEXT($AA$85)</formula>
    </cfRule>
  </conditionalFormatting>
  <conditionalFormatting sqref="AB85">
    <cfRule type="expression" dxfId="16" priority="23">
      <formula>ISTEXT($AB$85)</formula>
    </cfRule>
  </conditionalFormatting>
  <conditionalFormatting sqref="AC85">
    <cfRule type="expression" dxfId="15" priority="22">
      <formula>ISTEXT($AC$85)</formula>
    </cfRule>
  </conditionalFormatting>
  <conditionalFormatting sqref="AD85">
    <cfRule type="expression" dxfId="14" priority="21">
      <formula>ISTEXT($AD$85)</formula>
    </cfRule>
  </conditionalFormatting>
  <conditionalFormatting sqref="AA86">
    <cfRule type="expression" dxfId="13" priority="20">
      <formula>ISTEXT($AA$86)</formula>
    </cfRule>
  </conditionalFormatting>
  <conditionalFormatting sqref="AB86">
    <cfRule type="expression" dxfId="12" priority="19">
      <formula>ISTEXT($AB$86)</formula>
    </cfRule>
  </conditionalFormatting>
  <conditionalFormatting sqref="AC86">
    <cfRule type="expression" dxfId="11" priority="18">
      <formula>ISTEXT($AC$86)</formula>
    </cfRule>
  </conditionalFormatting>
  <conditionalFormatting sqref="AD86">
    <cfRule type="expression" dxfId="10" priority="17">
      <formula>ISTEXT($AD$86)</formula>
    </cfRule>
  </conditionalFormatting>
  <conditionalFormatting sqref="AA105">
    <cfRule type="expression" dxfId="9" priority="16">
      <formula>ISTEXT($AA$105)</formula>
    </cfRule>
  </conditionalFormatting>
  <conditionalFormatting sqref="AB105">
    <cfRule type="expression" dxfId="8" priority="15">
      <formula>ISTEXT($AB$105)</formula>
    </cfRule>
  </conditionalFormatting>
  <conditionalFormatting sqref="AC105">
    <cfRule type="expression" dxfId="7" priority="14">
      <formula>ISTEXT($AC$105)</formula>
    </cfRule>
  </conditionalFormatting>
  <conditionalFormatting sqref="AD105">
    <cfRule type="expression" dxfId="6" priority="13">
      <formula>ISTEXT($AD$105)</formula>
    </cfRule>
  </conditionalFormatting>
  <conditionalFormatting sqref="AA106">
    <cfRule type="expression" dxfId="5" priority="12">
      <formula>ISTEXT($AA$106)</formula>
    </cfRule>
  </conditionalFormatting>
  <conditionalFormatting sqref="AB106">
    <cfRule type="expression" dxfId="4" priority="11">
      <formula>ISTEXT($AB$106)</formula>
    </cfRule>
  </conditionalFormatting>
  <conditionalFormatting sqref="AC106">
    <cfRule type="expression" dxfId="3" priority="10">
      <formula>ISTEXT($AC$106)</formula>
    </cfRule>
  </conditionalFormatting>
  <conditionalFormatting sqref="AD106">
    <cfRule type="expression" dxfId="2" priority="9">
      <formula>ISTEXT($AD$106)</formula>
    </cfRule>
  </conditionalFormatting>
  <conditionalFormatting sqref="I124:I131">
    <cfRule type="expression" dxfId="1" priority="359">
      <formula>ISTEXT(#REF!)</formula>
    </cfRule>
  </conditionalFormatting>
  <conditionalFormatting sqref="I41:I42">
    <cfRule type="expression" dxfId="0" priority="360">
      <formula>ISTEXT(#REF!)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Summary</vt:lpstr>
      <vt:lpstr>1 uM active</vt:lpstr>
      <vt:lpstr>1 uM control</vt:lpstr>
      <vt:lpstr>10 uM active</vt:lpstr>
      <vt:lpstr>10 uM control</vt:lpstr>
      <vt:lpstr>Summary1</vt:lpstr>
      <vt:lpstr>'1 uM active'!Table1</vt:lpstr>
      <vt:lpstr>'1 uM control'!Table1</vt:lpstr>
      <vt:lpstr>'10 uM control'!Table1</vt:lpstr>
      <vt:lpstr>Table1</vt:lpstr>
      <vt:lpstr>'1 uM active'!Table2</vt:lpstr>
      <vt:lpstr>'1 uM control'!Table2</vt:lpstr>
      <vt:lpstr>'10 uM control'!Table2</vt:lpstr>
      <vt:lpstr>Table2</vt:lpstr>
      <vt:lpstr>'1 uM active'!Table5</vt:lpstr>
      <vt:lpstr>'1 uM control'!Table5</vt:lpstr>
      <vt:lpstr>'10 uM control'!Table5</vt:lpstr>
      <vt:lpstr>Table5</vt:lpstr>
      <vt:lpstr>'1 uM active'!Table6</vt:lpstr>
      <vt:lpstr>'1 uM control'!Table6</vt:lpstr>
      <vt:lpstr>'10 uM control'!Table6</vt:lpstr>
      <vt:lpstr>Table6</vt:lpstr>
      <vt:lpstr>'1 uM active'!Table7</vt:lpstr>
      <vt:lpstr>'1 uM control'!Table7</vt:lpstr>
      <vt:lpstr>'10 uM control'!Table7</vt:lpstr>
      <vt:lpstr>Table7</vt:lpstr>
      <vt:lpstr>'1 uM active'!Table8</vt:lpstr>
      <vt:lpstr>'1 uM control'!Table8</vt:lpstr>
      <vt:lpstr>'10 uM control'!Table8</vt:lpstr>
      <vt:lpstr>Table8</vt:lpstr>
      <vt:lpstr>'1 uM active'!Table9</vt:lpstr>
      <vt:lpstr>'1 uM control'!Table9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Sandhya Pola</dc:creator>
  <cp:lastModifiedBy>Lau, Janice</cp:lastModifiedBy>
  <dcterms:created xsi:type="dcterms:W3CDTF">2020-09-09T20:12:35Z</dcterms:created>
  <dcterms:modified xsi:type="dcterms:W3CDTF">2020-09-30T23:40:49Z</dcterms:modified>
</cp:coreProperties>
</file>