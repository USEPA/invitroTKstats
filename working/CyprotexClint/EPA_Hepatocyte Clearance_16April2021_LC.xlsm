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April 2021\"/>
    </mc:Choice>
  </mc:AlternateContent>
  <bookViews>
    <workbookView xWindow="0" yWindow="0" windowWidth="28800" windowHeight="12300" activeTab="1"/>
  </bookViews>
  <sheets>
    <sheet name="Summary" sheetId="1" r:id="rId1"/>
    <sheet name="Data 1uM" sheetId="2" r:id="rId2"/>
    <sheet name="Data 10 uM" sheetId="8" r:id="rId3"/>
    <sheet name="XevoW01.PRO 1uM" sheetId="3" r:id="rId4"/>
    <sheet name="XevoW01.PRO 10 uM" sheetId="9" r:id="rId5"/>
  </sheets>
  <functionGroups builtInGroupCount="18"/>
  <externalReferences>
    <externalReference r:id="rId6"/>
  </externalReferences>
  <definedNames>
    <definedName name="Summary1">Summary!$A$4:$H$7</definedName>
    <definedName name="Table1" localSheetId="2">'Data 10 uM'!$Z$2:$AD$7</definedName>
    <definedName name="Table1">'Data 1uM'!$Z$2:$AD$7</definedName>
    <definedName name="Table10" localSheetId="2">'Data 10 uM'!#REF!</definedName>
    <definedName name="Table10">'Data 1uM'!#REF!</definedName>
    <definedName name="Table11" localSheetId="2">'Data 10 uM'!#REF!</definedName>
    <definedName name="Table11">'Data 1uM'!#REF!</definedName>
    <definedName name="Table12" localSheetId="2">'Data 10 uM'!#REF!</definedName>
    <definedName name="Table12">'Data 1uM'!#REF!</definedName>
    <definedName name="Table13" localSheetId="2">'Data 10 uM'!$Z$22:$AD$27</definedName>
    <definedName name="Table13">'Data 1uM'!$Z$23:$AD$28</definedName>
    <definedName name="Table2" localSheetId="2">'Data 10 uM'!#REF!</definedName>
    <definedName name="Table2">'Data 1uM'!#REF!</definedName>
    <definedName name="Table3" localSheetId="2">'Data 10 uM'!#REF!</definedName>
    <definedName name="Table3">'Data 1uM'!#REF!</definedName>
    <definedName name="Table4" localSheetId="2">'Data 10 uM'!#REF!</definedName>
    <definedName name="Table4">'Data 1uM'!#REF!</definedName>
    <definedName name="Table5" localSheetId="2">'Data 10 uM'!#REF!</definedName>
    <definedName name="Table5">'Data 1uM'!#REF!</definedName>
    <definedName name="Table6" localSheetId="2">'Data 10 uM'!#REF!</definedName>
    <definedName name="Table6">'Data 1uM'!#REF!</definedName>
    <definedName name="Table7" localSheetId="2">'Data 10 uM'!#REF!</definedName>
    <definedName name="Table7">'Data 1uM'!#REF!</definedName>
    <definedName name="Table8" localSheetId="2">'Data 10 uM'!#REF!</definedName>
    <definedName name="Table8">'Data 1uM'!#REF!</definedName>
    <definedName name="Table9" localSheetId="2">'Data 10 uM'!#REF!</definedName>
    <definedName name="Table9">'Data 1uM'!#REF!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I19" i="2"/>
</calcChain>
</file>

<file path=xl/comments1.xml><?xml version="1.0" encoding="utf-8"?>
<comments xmlns="http://schemas.openxmlformats.org/spreadsheetml/2006/main">
  <authors>
    <author>Lau, Janice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Data!AA12 = 669.424535030172</t>
        </r>
      </text>
    </comment>
  </commentList>
</comments>
</file>

<file path=xl/sharedStrings.xml><?xml version="1.0" encoding="utf-8"?>
<sst xmlns="http://schemas.openxmlformats.org/spreadsheetml/2006/main" count="1472" uniqueCount="308">
  <si>
    <t>Source File:J:\CLIENT_DATA\EPA\EPA 2021\HepStab\EPA HepStab 16April2021\XevoW01.PRO\Quant_Report_1206211_short_dilution_format_filter.xlsx</t>
  </si>
  <si>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</si>
  <si>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</si>
  <si>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</si>
  <si>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</si>
  <si>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</si>
  <si>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</si>
  <si>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</si>
  <si>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</si>
  <si>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</si>
  <si>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</si>
  <si>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</si>
  <si>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</si>
  <si>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</si>
  <si>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</si>
  <si>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</si>
  <si>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</si>
  <si>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</si>
  <si>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</si>
  <si>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</si>
  <si>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Blank_Human_1_____5P1_Inj 2021April16_EPA_3_1 uM</t>
  </si>
  <si>
    <t>Midazolam</t>
  </si>
  <si>
    <t>326.121 &gt; 291.203</t>
  </si>
  <si>
    <t>MM</t>
  </si>
  <si>
    <t>Blank_Human_2_____5P1_Inj 2021April16_EPA_4_1 uM</t>
  </si>
  <si>
    <t>bb</t>
  </si>
  <si>
    <t>Blank_Human_3_____5P1_Inj 2021April16_EPA_5_1 uM</t>
  </si>
  <si>
    <t>Midazolam_Human_0_1_____5P5_Inj 2021April16_EPA_28_1 uM</t>
  </si>
  <si>
    <t>Midazolam_Human_0_2_____5P5_Inj 2021April16_EPA_29_1 uM</t>
  </si>
  <si>
    <t>Midazolam_Human_0_3_____5P5_Inj 2021April16_EPA_30_1 uM</t>
  </si>
  <si>
    <t>Midazolam_Human_120_1_____5P1_Inj 2021April16_EPA_16_1 uM</t>
  </si>
  <si>
    <t>Midazolam_Human_120_2_____5P1_Inj 2021April16_EPA_17_1 uM</t>
  </si>
  <si>
    <t>Midazolam_Human_120_3_____5P1_Inj 2021April16_EPA_18_1 uM</t>
  </si>
  <si>
    <t>Midazolam_Human_15_1_____5P4_Inj 2021April16_EPA_25_1 uM</t>
  </si>
  <si>
    <t>Midazolam_Human_15_2_____5P4_Inj 2021April16_EPA_26_1 uM</t>
  </si>
  <si>
    <t>Midazolam_Human_15_3_____5P4_Inj 2021April16_EPA_27_1 uM</t>
  </si>
  <si>
    <t>Midazolam_Human_30_1_____5P3_Inj 2021April16_EPA_22_1 uM</t>
  </si>
  <si>
    <t>Midazolam_Human_30_2_____5P3_Inj 2021April16_EPA_23_1 uM</t>
  </si>
  <si>
    <t>Midazolam_Human_30_3_____5P3_Inj 2021April16_EPA_24_1 uM</t>
  </si>
  <si>
    <t>Midazolam_Human_60_1_____5P2_Inj 2021April16_EPA_19_1 uM</t>
  </si>
  <si>
    <t>Midazolam_Human_60_2_____5P2_Inj 2021April16_EPA_20_1 uM</t>
  </si>
  <si>
    <t>Midazolam_Human_60_3_____5P2_Inj 2021April16_EPA_21_1 uM</t>
  </si>
  <si>
    <t>Blank_Human__120_1_____5P1_Inj 2021April16_EPA_3</t>
  </si>
  <si>
    <t>DTXSID2040731</t>
  </si>
  <si>
    <t>251.08 &gt; 148.896</t>
  </si>
  <si>
    <t>Blank_Human__120_2_____5P1_Inj 2021April16_EPA_4</t>
  </si>
  <si>
    <t>Blank_Human__120_3_____5P1_Inj 2021April16_EPA_5</t>
  </si>
  <si>
    <t>Blank_Human__120_1_____5P1_Inj 2021April16_EPA_3_1uM</t>
  </si>
  <si>
    <t>DTXSID4021971</t>
  </si>
  <si>
    <t>157.969 &gt; 79.863</t>
  </si>
  <si>
    <t>Blank_Human__120_2_____5P1_Inj 2021April16_EPA_4_1uM</t>
  </si>
  <si>
    <t>Blank_Human__120_3_____5P1_Inj 2021April16_EPA_5_1uM</t>
  </si>
  <si>
    <t>DTXSID3034531</t>
  </si>
  <si>
    <t>371.02 &gt; 150.902</t>
  </si>
  <si>
    <t>DTXSID5021415</t>
  </si>
  <si>
    <t>192.105 &gt; 97.969</t>
  </si>
  <si>
    <t>DTXSID4034601</t>
  </si>
  <si>
    <t>304.206 &gt; 146.954</t>
  </si>
  <si>
    <t>DTXSID4034497</t>
  </si>
  <si>
    <t>320.112 &gt; 69.824</t>
  </si>
  <si>
    <t>Blank_Human__30_1_____5P3_Inj 2021April16_EPA_9_1uM</t>
  </si>
  <si>
    <t>DTXSID3034614</t>
  </si>
  <si>
    <t>418.955 &gt; 151.899</t>
  </si>
  <si>
    <t>Blank_Human__30_2_____5P3_Inj 2021April16_EPA_10_1uM</t>
  </si>
  <si>
    <t>Blank_Human__30_3_____5P3_Inj 2021April16_EPA_11_1uM</t>
  </si>
  <si>
    <t>DTXSID3032412</t>
  </si>
  <si>
    <t>289.105 &gt; 143.915</t>
  </si>
  <si>
    <t>DTXSID1024124</t>
  </si>
  <si>
    <t>387.951 &gt; 166.924</t>
  </si>
  <si>
    <t>DTXSID1024124_Human__0_1_____5P5_Inj 2021April16_EPA_508_1uM</t>
  </si>
  <si>
    <t>DTXSID1024124_Human__0_2_____5P5_Inj 2021April16_EPA_509_1uM</t>
  </si>
  <si>
    <t>DTXSID1024124_Human__0_3_____5P5_Inj 2021April16_EPA_510_1uM</t>
  </si>
  <si>
    <t>DTXSID1024124_Human__120_1_____5P1_Inj 2021April16_EPA_496_1uM</t>
  </si>
  <si>
    <t>DTXSID1024124_Human__120_2_____5P1_Inj 2021April16_EPA_497_1uM</t>
  </si>
  <si>
    <t>DTXSID1024124_Human__120_3_____5P1_Inj 2021April16_EPA_498_1uM</t>
  </si>
  <si>
    <t>DTXSID1024124_Human__15_1_____5P4_Inj 2021April16_EPA_505_1uM</t>
  </si>
  <si>
    <t>DTXSID1024124_Human__15_2_____5P4_Inj 2021April16_EPA_506_1uM</t>
  </si>
  <si>
    <t>DTXSID1024124_Human__15_3_____5P4_Inj 2021April16_EPA_507_1uM</t>
  </si>
  <si>
    <t>DTXSID1024124_Human__30_1_____5P3_Inj 2021April16_EPA_502_1uM</t>
  </si>
  <si>
    <t>DTXSID1024124_Human__30_2_____5P3_Inj 2021April16_EPA_503_1uM</t>
  </si>
  <si>
    <t>DTXSID1024124_Human__30_3_____5P3_Inj 2021April16_EPA_504_1uM</t>
  </si>
  <si>
    <t>DTXSID1024124_Human__60_1_____5P2_Inj 2021April16_EPA_499_1uM</t>
  </si>
  <si>
    <t>DTXSID1024124_Human__60_2_____5P2_Inj 2021April16_EPA_500_1uM</t>
  </si>
  <si>
    <t>DTXSID1024124_Human__60_3_____5P2_Inj 2021April16_EPA_501_1uM</t>
  </si>
  <si>
    <t>DTXSID1037565</t>
  </si>
  <si>
    <t>270.04 &gt; 118.939</t>
  </si>
  <si>
    <t>DTXSID3041794</t>
  </si>
  <si>
    <t>336.065 &gt; 237.88</t>
  </si>
  <si>
    <t>DTXSID1033161</t>
  </si>
  <si>
    <t>206.994 &gt; 88.913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</si>
  <si>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</si>
  <si>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</si>
  <si>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</si>
  <si>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</si>
  <si>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</si>
  <si>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</si>
  <si>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</si>
  <si>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</si>
  <si>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</si>
  <si>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</si>
  <si>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</si>
  <si>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DTXSID1024124 - Human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</si>
  <si>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</si>
  <si>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</si>
  <si>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</si>
  <si>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</si>
  <si>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</si>
  <si>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</si>
  <si>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</si>
  <si>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</si>
  <si>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</si>
  <si>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</si>
  <si>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</si>
  <si>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</si>
  <si>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</si>
  <si>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 xml:space="preserve"> &gt; 480</t>
  </si>
  <si>
    <t>Midazolam - Human</t>
  </si>
  <si>
    <t xml:space="preserve">Points Deleted: (120,-0.3820) (120,-0.7560) (120,-0.6390) </t>
  </si>
  <si>
    <t/>
  </si>
  <si>
    <t>0.53%</t>
  </si>
  <si>
    <t>0.68%</t>
  </si>
  <si>
    <t>0.47%</t>
  </si>
  <si>
    <t>-0.382</t>
  </si>
  <si>
    <t>-0.756</t>
  </si>
  <si>
    <t>-0.639</t>
  </si>
  <si>
    <t xml:space="preserve">Concentration </t>
  </si>
  <si>
    <t>1 uM</t>
  </si>
  <si>
    <t>10 uM</t>
  </si>
  <si>
    <t>DTXSID1024124_Human__120_1_____5P1_Inj 2021April16_EPA_516_10uM</t>
  </si>
  <si>
    <t>DTXSID1024124_Human__120_2_____5P1_Inj 2021April16_EPA_517_10uM</t>
  </si>
  <si>
    <t>DTXSID1024124_Human__120_3_____5P1_Inj 2021April16_EPA_518_10uM</t>
  </si>
  <si>
    <t>DTXSID1024124_Human__60_1_____5P2_Inj 2021April16_EPA_519_10uM</t>
  </si>
  <si>
    <t>DTXSID1024124_Human__60_2_____5P2_Inj 2021April16_EPA_520_10uM</t>
  </si>
  <si>
    <t>DTXSID1024124_Human__60_3_____5P2_Inj 2021April16_EPA_521_10uM</t>
  </si>
  <si>
    <t>DTXSID1024124_Human__30_1_____5P3_Inj 2021April16_EPA_522_10uM</t>
  </si>
  <si>
    <t>DTXSID1024124_Human__30_2_____5P3_Inj 2021April16_EPA_523_10uM</t>
  </si>
  <si>
    <t>DTXSID1024124_Human__30_3_____5P3_Inj 2021April16_EPA_524_10uM</t>
  </si>
  <si>
    <t>DTXSID1024124_Human__15_1_____5P4_Inj 2021April16_EPA_525_10uM</t>
  </si>
  <si>
    <t>DTXSID1024124_Human__15_2_____5P4_Inj 2021April16_EPA_526_10uM</t>
  </si>
  <si>
    <t>DTXSID1024124_Human__15_3_____5P4_Inj 2021April16_EPA_527_10uM</t>
  </si>
  <si>
    <t>DTXSID1024124_Human__0_1_____5P5_Inj 2021April16_EPA_528_10uM</t>
  </si>
  <si>
    <t>DTXSID1024124_Human__0_2_____5P5_Inj 2021April16_EPA_529_10uM</t>
  </si>
  <si>
    <t>DTXSID1024124_Human__0_3_____5P5_Inj 2021April16_EPA_530_10uM</t>
  </si>
  <si>
    <t>DTXSID1033161_Human__120_1_____5P1_Inj 2021April16_EPA_636_10uM</t>
  </si>
  <si>
    <t>DTXSID1033161_Human__120_2_____5P1_Inj 2021April16_EPA_637_10uM</t>
  </si>
  <si>
    <t>DTXSID1033161_Human__120_3_____5P1_Inj 2021April16_EPA_638_10uM</t>
  </si>
  <si>
    <t>DTXSID1033161_Human__60_1_____5P2_Inj 2021April16_EPA_639_10uM</t>
  </si>
  <si>
    <t>DTXSID1033161_Human__60_2_____5P2_Inj 2021April16_EPA_640_10uM</t>
  </si>
  <si>
    <t>DTXSID1033161_Human__60_3_____5P2_Inj 2021April16_EPA_641_10uM</t>
  </si>
  <si>
    <t>DTXSID1033161_Human__30_1_____5P3_Inj 2021April16_EPA_642_10uM</t>
  </si>
  <si>
    <t>DTXSID1033161_Human__30_2_____5P3_Inj 2021April16_EPA_643_10uM</t>
  </si>
  <si>
    <t>DTXSID1033161_Human__30_3_____5P3_Inj 2021April16_EPA_644_10uM</t>
  </si>
  <si>
    <t>DTXSID1033161_Human__15_1_____5P4_Inj 2021April16_EPA_645_10uM</t>
  </si>
  <si>
    <t>DTXSID1033161_Human__15_2_____5P4_Inj 2021April16_EPA_646_10uM</t>
  </si>
  <si>
    <t>DTXSID1033161_Human__15_3_____5P4_Inj 2021April16_EPA_647_10uM</t>
  </si>
  <si>
    <t>DTXSID1033161_Human__0_1_____5P5_Inj 2021April16_EPA_648_10uM</t>
  </si>
  <si>
    <t>DTXSID1033161_Human__0_2_____5P5_Inj 2021April16_EPA_649_10uM</t>
  </si>
  <si>
    <t>DTXSID1033161_Human__0_3_____5P5_Inj 2021April16_EPA_650_10uM</t>
  </si>
  <si>
    <t>DTXSID1037565_Human__120_1_____5P1_Inj 2021April16_EPA_556_10uM</t>
  </si>
  <si>
    <t>DTXSID1037565_Human__120_2_____5P1_Inj 2021April16_EPA_557_10uM</t>
  </si>
  <si>
    <t>DTXSID1037565_Human__120_3_____5P1_Inj 2021April16_EPA_558_10uM</t>
  </si>
  <si>
    <t>DTXSID1037565_Human__60_1_____5P2_Inj 2021April16_EPA_559_10uM</t>
  </si>
  <si>
    <t>DTXSID1037565_Human__60_2_____5P2_Inj 2021April16_EPA_560_10uM</t>
  </si>
  <si>
    <t>DTXSID1037565_Human__60_3_____5P2_Inj 2021April16_EPA_561_10uM</t>
  </si>
  <si>
    <t>DTXSID1037565_Human__30_1_____5P3_Inj 2021April16_EPA_562_10uM</t>
  </si>
  <si>
    <t>DTXSID1037565_Human__30_2_____5P3_Inj 2021April16_EPA_563_10uM</t>
  </si>
  <si>
    <t>DTXSID1037565_Human__30_3_____5P3_Inj 2021April16_EPA_564_10uM</t>
  </si>
  <si>
    <t>DTXSID1037565_Human__15_1_____5P4_Inj 2021April16_EPA_565_10uM</t>
  </si>
  <si>
    <t>DTXSID1037565_Human__15_2_____5P4_Inj 2021April16_EPA_566_10uM</t>
  </si>
  <si>
    <t>DTXSID1037565_Human__15_3_____5P4_Inj 2021April16_EPA_567_10uM</t>
  </si>
  <si>
    <t>DTXSID1037565_Human__0_1_____5P5_Inj 2021April16_EPA_568_10uM</t>
  </si>
  <si>
    <t>DTXSID1037565_Human__0_2_____5P5_Inj 2021April16_EPA_569_10uM</t>
  </si>
  <si>
    <t>DTXSID1037565_Human__0_3_____5P5_Inj 2021April16_EPA_570_10uM</t>
  </si>
  <si>
    <t>DTXSID2040731_Human__120_1_____5P1_Inj 2021April16_EPA_76_10uM</t>
  </si>
  <si>
    <t>DTXSID2040731_Human__120_2_____5P1_Inj 2021April16_EPA_77_10uM</t>
  </si>
  <si>
    <t>DTXSID2040731_Human__120_3_____5P1_Inj 2021April16_EPA_78_10uM</t>
  </si>
  <si>
    <t>DTXSID2040731_Human__60_1_____5P2_Inj 2021April16_EPA_79_10uM</t>
  </si>
  <si>
    <t>DTXSID2040731_Human__60_2_____5P2_Inj 2021April16_EPA_80_10uM</t>
  </si>
  <si>
    <t>DTXSID2040731_Human__60_3_____5P2_Inj 2021April16_EPA_81_10uM</t>
  </si>
  <si>
    <t>DTXSID2040731_Human__30_1_____5P3_Inj 2021April16_EPA_82_10uM</t>
  </si>
  <si>
    <t>DTXSID2040731_Human__30_2_____5P3_Inj 2021April16_EPA_83_10uM</t>
  </si>
  <si>
    <t>DTXSID2040731_Human__30_3_____5P3_Inj 2021April16_EPA_84_10uM</t>
  </si>
  <si>
    <t>DTXSID2040731_Human__15_1_____5P4_Inj 2021April16_EPA_85_10uM</t>
  </si>
  <si>
    <t>DTXSID2040731_Human__15_2_____5P4_Inj 2021April16_EPA_86_10uM</t>
  </si>
  <si>
    <t>DTXSID2040731_Human__15_3_____5P4_Inj 2021April16_EPA_87_10uM</t>
  </si>
  <si>
    <t>DTXSID2040731_Human__0_1_____5P5_Inj 2021April16_EPA_88_10uM</t>
  </si>
  <si>
    <t>DTXSID2040731_Human__0_2_____5P5_Inj 2021April16_EPA_89_10uM</t>
  </si>
  <si>
    <t>DTXSID2040731_Human__0_3_____5P5_Inj 2021April16_EPA_90_10uM</t>
  </si>
  <si>
    <t>DTXSID3032412_Human__120_1_____5P1_Inj 2021April16_EPA_436_10uM</t>
  </si>
  <si>
    <t>DTXSID3032412_Human__120_2_____5P1_Inj 2021April16_EPA_437_10uM</t>
  </si>
  <si>
    <t>DTXSID3032412_Human__120_3_____5P1_Inj 2021April16_EPA_438_10uM</t>
  </si>
  <si>
    <t>DTXSID3032412_Human__60_1_____5P2_Inj 2021April16_EPA_439_10uM</t>
  </si>
  <si>
    <t>DTXSID3032412_Human__60_2_____5P2_Inj 2021April16_EPA_440_10uM</t>
  </si>
  <si>
    <t>DTXSID3032412_Human__60_3_____5P2_Inj 2021April16_EPA_441_10uM</t>
  </si>
  <si>
    <t>DTXSID3032412_Human__30_1_____5P3_Inj 2021April16_EPA_442_10uM</t>
  </si>
  <si>
    <t>DTXSID3032412_Human__30_2_____5P3_Inj 2021April16_EPA_443_10uM</t>
  </si>
  <si>
    <t>DTXSID3032412_Human__30_3_____5P3_Inj 2021April16_EPA_444_10uM</t>
  </si>
  <si>
    <t>DTXSID3032412_Human__15_1_____5P4_Inj 2021April16_EPA_445_10uM</t>
  </si>
  <si>
    <t>DTXSID3032412_Human__15_2_____5P4_Inj 2021April16_EPA_446_10uM</t>
  </si>
  <si>
    <t>DTXSID3032412_Human__15_3_____5P4_Inj 2021April16_EPA_447_10uM</t>
  </si>
  <si>
    <t>DTXSID3032412_Human__0_1_____5P5_Inj 2021April16_EPA_448_10uM</t>
  </si>
  <si>
    <t>DTXSID3032412_Human__0_2_____5P5_Inj 2021April16_EPA_449_10uM</t>
  </si>
  <si>
    <t>DTXSID3032412_Human__0_3_____5P5_Inj 2021April16_EPA_450_10uM</t>
  </si>
  <si>
    <t>DTXSID3034531_Human__120_1_____5P1_Inj 2021April16_EPA_196_10uM</t>
  </si>
  <si>
    <t>DTXSID3034531_Human__120_2_____5P1_Inj 2021April16_EPA_197_10uM</t>
  </si>
  <si>
    <t>DTXSID3034531_Human__120_3_____5P1_Inj 2021April16_EPA_198_10uM</t>
  </si>
  <si>
    <t>DTXSID3034531_Human__60_1_____5P2_Inj 2021April16_EPA_199_10uM</t>
  </si>
  <si>
    <t>DTXSID3034531_Human__60_2_____5P2_Inj 2021April16_EPA_200_10uM</t>
  </si>
  <si>
    <t>DTXSID3034531_Human__60_3_____5P2_Inj 2021April16_EPA_201_10uM</t>
  </si>
  <si>
    <t>DTXSID3034531_Human__30_1_____5P3_Inj 2021April16_EPA_202_10uM</t>
  </si>
  <si>
    <t>DTXSID3034531_Human__30_2_____5P3_Inj 2021April16_EPA_203_10uM</t>
  </si>
  <si>
    <t>DTXSID3034531_Human__30_3_____5P3_Inj 2021April16_EPA_204_10uM</t>
  </si>
  <si>
    <t>DTXSID3034531_Human__15_1_____5P4_Inj 2021April16_EPA_205_10uM</t>
  </si>
  <si>
    <t>DTXSID3034531_Human__15_2_____5P4_Inj 2021April16_EPA_206_10uM</t>
  </si>
  <si>
    <t>DTXSID3034531_Human__15_3_____5P4_Inj 2021April16_EPA_207_10uM</t>
  </si>
  <si>
    <t>DTXSID3034531_Human__0_1_____5P5_Inj 2021April16_EPA_208_10uM</t>
  </si>
  <si>
    <t>DTXSID3034531_Human__0_2_____5P5_Inj 2021April16_EPA_209_10uM</t>
  </si>
  <si>
    <t>DTXSID3034531_Human__0_3_____5P5_Inj 2021April16_EPA_210_10uM</t>
  </si>
  <si>
    <t>DTXSID3034614_Human__120_1_____5P1_Inj 2021April16_EPA_396_10uM</t>
  </si>
  <si>
    <t>DTXSID3034614_Human__120_2_____5P1_Inj 2021April16_EPA_397_10uM</t>
  </si>
  <si>
    <t>DTXSID3034614_Human__120_3_____5P1_Inj 2021April16_EPA_398_10uM</t>
  </si>
  <si>
    <t>DTXSID3034614_Human__60_1_____5P2_Inj 2021April16_EPA_399_10uM</t>
  </si>
  <si>
    <t>DTXSID3034614_Human__60_2_____5P2_Inj 2021April16_EPA_400_10uM</t>
  </si>
  <si>
    <t>DTXSID3034614_Human__60_3_____5P2_Inj 2021April16_EPA_401_10uM</t>
  </si>
  <si>
    <t>DTXSID3034614_Human__30_1_____5P3_Inj 2021April16_EPA_402_10uM</t>
  </si>
  <si>
    <t>DTXSID3034614_Human__30_2_____5P3_Inj 2021April16_EPA_403_10uM</t>
  </si>
  <si>
    <t>DTXSID3034614_Human__30_3_____5P3_Inj 2021April16_EPA_404_10uM</t>
  </si>
  <si>
    <t>DTXSID3034614_Human__15_1_____5P4_Inj 2021April16_EPA_405_10uM</t>
  </si>
  <si>
    <t>DTXSID3034614_Human__15_2_____5P4_Inj 2021April16_EPA_406_10uM</t>
  </si>
  <si>
    <t>DTXSID3034614_Human__15_3_____5P4_Inj 2021April16_EPA_407_10uM</t>
  </si>
  <si>
    <t>DTXSID3034614_Human__0_1_____5P5_Inj 2021April16_EPA_408_10uM</t>
  </si>
  <si>
    <t>DTXSID3034614_Human__0_2_____5P5_Inj 2021April16_EPA_409_10uM</t>
  </si>
  <si>
    <t>DTXSID3034614_Human__0_3_____5P5_Inj 2021April16_EPA_410_10uM</t>
  </si>
  <si>
    <t>DTXSID3041794_Human__120_1_____5P1_Inj 2021April16_EPA_596_10uM</t>
  </si>
  <si>
    <t>DTXSID3041794_Human__120_2_____5P1_Inj 2021April16_EPA_597_10uM</t>
  </si>
  <si>
    <t>DTXSID3041794_Human__120_3_____5P1_Inj 2021April16_EPA_598_10uM</t>
  </si>
  <si>
    <t>DTXSID3041794_Human__60_1_____5P2_Inj 2021April16_EPA_599_10uM</t>
  </si>
  <si>
    <t>DTXSID3041794_Human__60_2_____5P2_Inj 2021April16_EPA_600_10uM</t>
  </si>
  <si>
    <t>DTXSID3041794_Human__60_3_____5P2_Inj 2021April16_EPA_601_10uM</t>
  </si>
  <si>
    <t>DTXSID3041794_Human__30_1_____5P3_Inj 2021April16_EPA_602_10uM</t>
  </si>
  <si>
    <t>DTXSID3041794_Human__30_2_____5P3_Inj 2021April16_EPA_603_10uM</t>
  </si>
  <si>
    <t>DTXSID3041794_Human__30_3_____5P3_Inj 2021April16_EPA_604_10uM</t>
  </si>
  <si>
    <t>DTXSID3041794_Human__15_1_____5P4_Inj 2021April16_EPA_605_10uM</t>
  </si>
  <si>
    <t>DTXSID3041794_Human__15_2_____5P4_Inj 2021April16_EPA_606_10uM</t>
  </si>
  <si>
    <t>DTXSID3041794_Human__15_3_____5P4_Inj 2021April16_EPA_607_10uM</t>
  </si>
  <si>
    <t>DTXSID3041794_Human__0_1_____5P5_Inj 2021April16_EPA_608_10uM</t>
  </si>
  <si>
    <t>DTXSID3041794_Human__0_2_____5P5_Inj 2021April16_EPA_609_10uM</t>
  </si>
  <si>
    <t>DTXSID3041794_Human__0_3_____5P5_Inj 2021April16_EPA_610_10uM</t>
  </si>
  <si>
    <t>DTXSID4021971_Human__120_1_____5P1_Inj 2021April16_EPA_116_10uM</t>
  </si>
  <si>
    <t>DTXSID4021971_Human__120_2_____5P1_Inj 2021April16_EPA_117_10uM</t>
  </si>
  <si>
    <t>DTXSID4021971_Human__120_3_____5P1_Inj 2021April16_EPA_118_10uM</t>
  </si>
  <si>
    <t>DTXSID4021971_Human__60_1_____5P2_Inj 2021April16_EPA_119_10uM</t>
  </si>
  <si>
    <t>DTXSID4021971_Human__60_2_____5P2_Inj 2021April16_EPA_120_10uM</t>
  </si>
  <si>
    <t>DTXSID4021971_Human__60_3_____5P2_Inj 2021April16_EPA_121_10uM</t>
  </si>
  <si>
    <t>DTXSID4021971_Human__30_1_____5P3_Inj 2021April16_EPA_122_10uM</t>
  </si>
  <si>
    <t>DTXSID4021971_Human__30_2_____5P3_Inj 2021April16_EPA_123_10uM</t>
  </si>
  <si>
    <t>DTXSID4021971_Human__30_3_____5P3_Inj 2021April16_EPA_124_10uM</t>
  </si>
  <si>
    <t>DTXSID4021971_Human__15_1_____5P4_Inj 2021April16_EPA_125_10uM</t>
  </si>
  <si>
    <t>DTXSID4021971_Human__15_2_____5P4_Inj 2021April16_EPA_126_10uM</t>
  </si>
  <si>
    <t>DTXSID4021971_Human__15_3_____5P4_Inj 2021April16_EPA_127_10uM</t>
  </si>
  <si>
    <t>DTXSID4021971_Human__0_1_____5P5_Inj 2021April16_EPA_128_10uM</t>
  </si>
  <si>
    <t>DTXSID4021971_Human__0_2_____5P5_Inj 2021April16_EPA_129_10uM</t>
  </si>
  <si>
    <t>DTXSID4021971_Human__0_3_____5P5_Inj 2021April16_EPA_130_10uM</t>
  </si>
  <si>
    <t>DTXSID4034497_Human__120_1_____5P1_Inj 2021April16_EPA_356_10uM</t>
  </si>
  <si>
    <t>DTXSID4034497_Human__120_2_____5P1_Inj 2021April16_EPA_357_10uM</t>
  </si>
  <si>
    <t>DTXSID4034497_Human__120_3_____5P1_Inj 2021April16_EPA_358_10uM</t>
  </si>
  <si>
    <t>DTXSID4034497_Human__60_1_____5P2_Inj 2021April16_EPA_359_10uM</t>
  </si>
  <si>
    <t>DTXSID4034497_Human__60_2_____5P2_Inj 2021April16_EPA_360_10uM</t>
  </si>
  <si>
    <t>DTXSID4034497_Human__60_3_____5P2_Inj 2021April16_EPA_361_10uM</t>
  </si>
  <si>
    <t>DTXSID4034497_Human__30_1_____5P3_Inj 2021April16_EPA_362_10uM</t>
  </si>
  <si>
    <t>DTXSID4034497_Human__30_2_____5P3_Inj 2021April16_EPA_363_10uM</t>
  </si>
  <si>
    <t>DTXSID4034497_Human__30_3_____5P3_Inj 2021April16_EPA_364_10uM</t>
  </si>
  <si>
    <t>DTXSID4034497_Human__15_1_____5P4_Inj 2021April16_EPA_365_10uM</t>
  </si>
  <si>
    <t>DTXSID4034497_Human__15_2_____5P4_Inj 2021April16_EPA_366_10uM</t>
  </si>
  <si>
    <t>DTXSID4034497_Human__15_3_____5P4_Inj 2021April16_EPA_367_10uM</t>
  </si>
  <si>
    <t>DTXSID4034497_Human__0_1_____5P5_Inj 2021April16_EPA_368_10uM</t>
  </si>
  <si>
    <t>DTXSID4034497_Human__0_2_____5P5_Inj 2021April16_EPA_369_10uM</t>
  </si>
  <si>
    <t>DTXSID4034497_Human__0_3_____5P5_Inj 2021April16_EPA_370_10uM</t>
  </si>
  <si>
    <t>DTXSID4034601_Human__120_1_____5P1_Inj 2021April16_EPA_316_10uM</t>
  </si>
  <si>
    <t>DTXSID4034601_Human__120_2_____5P1_Inj 2021April16_EPA_317_10uM</t>
  </si>
  <si>
    <t>DTXSID4034601_Human__120_3_____5P1_Inj 2021April16_EPA_318_10uM</t>
  </si>
  <si>
    <t>DTXSID4034601_Human__60_1_____5P2_Inj 2021April16_EPA_319_10uM</t>
  </si>
  <si>
    <t>DTXSID4034601_Human__60_2_____5P2_Inj 2021April16_EPA_320_10uM</t>
  </si>
  <si>
    <t>DTXSID4034601_Human__60_3_____5P2_Inj 2021April16_EPA_321_10uM</t>
  </si>
  <si>
    <t>DTXSID4034601_Human__30_1_____5P3_Inj 2021April16_EPA_322_10uM</t>
  </si>
  <si>
    <t>DTXSID4034601_Human__30_2_____5P3_Inj 2021April16_EPA_323_10uM</t>
  </si>
  <si>
    <t>DTXSID4034601_Human__30_3_____5P3_Inj 2021April16_EPA_324_10uM</t>
  </si>
  <si>
    <t>DTXSID4034601_Human__15_1_____5P4_Inj 2021April16_EPA_325_10uM</t>
  </si>
  <si>
    <t>DTXSID4034601_Human__15_2_____5P4_Inj 2021April16_EPA_326_10uM</t>
  </si>
  <si>
    <t>DTXSID4034601_Human__15_3_____5P4_Inj 2021April16_EPA_327_10uM</t>
  </si>
  <si>
    <t>DTXSID4034601_Human__0_1_____5P5_Inj 2021April16_EPA_328_10uM</t>
  </si>
  <si>
    <t>DTXSID4034601_Human__0_2_____5P5_Inj 2021April16_EPA_329_10uM</t>
  </si>
  <si>
    <t>DTXSID4034601_Human__0_3_____5P5_Inj 2021April16_EPA_330_10uM</t>
  </si>
  <si>
    <t>DTXSID5021415_Human__120_1_____5P1_Inj 2021April16_EPA_236_10uM</t>
  </si>
  <si>
    <t>DTXSID5021415_Human__120_2_____5P1_Inj 2021April16_EPA_237_10uM</t>
  </si>
  <si>
    <t>DTXSID5021415_Human__120_3_____5P1_Inj 2021April16_EPA_238_10uM</t>
  </si>
  <si>
    <t>DTXSID5021415_Human__60_1_____5P2_Inj 2021April16_EPA_239_10uM</t>
  </si>
  <si>
    <t>DTXSID5021415_Human__60_2_____5P2_Inj 2021April16_EPA_240_10uM</t>
  </si>
  <si>
    <t>DTXSID5021415_Human__60_3_____5P2_Inj 2021April16_EPA_241_10uM</t>
  </si>
  <si>
    <t>DTXSID5021415_Human__30_1_____5P3_Inj 2021April16_EPA_242_10uM</t>
  </si>
  <si>
    <t>DTXSID5021415_Human__30_2_____5P3_Inj 2021April16_EPA_243_10uM</t>
  </si>
  <si>
    <t>DTXSID5021415_Human__30_3_____5P3_Inj 2021April16_EPA_244_10uM</t>
  </si>
  <si>
    <t>DTXSID5021415_Human__15_1_____5P4_Inj 2021April16_EPA_245_10uM</t>
  </si>
  <si>
    <t>DTXSID5021415_Human__15_2_____5P4_Inj 2021April16_EPA_246_10uM</t>
  </si>
  <si>
    <t>DTXSID5021415_Human__15_3_____5P4_Inj 2021April16_EPA_247_10uM</t>
  </si>
  <si>
    <t>DTXSID5021415_Human__0_1_____5P5_Inj 2021April16_EPA_248_10uM</t>
  </si>
  <si>
    <t>DTXSID5021415_Human__0_2_____5P5_Inj 2021April16_EPA_249_10uM</t>
  </si>
  <si>
    <t>DTXSID5021415_Human__0_3_____5P5_Inj 2021April16_EPA_250_10uM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</si>
</sst>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0" formatCode="0.000%"/>
  </numFmts>
  <fonts count="12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2" fillId="0" borderId="0" xfId="1"/>
    <xf numFmtId="0" fontId="4" fillId="0" borderId="0" xfId="1" applyFont="1"/>
    <xf numFmtId="0" fontId="0" fillId="2" borderId="0" xfId="0" applyFill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165" fontId="2" fillId="3" borderId="0" xfId="1" applyNumberFormat="1" applyFill="1" applyAlignment="1">
      <alignment horizontal="center"/>
    </xf>
    <xf numFmtId="9" fontId="2" fillId="3" borderId="0" xfId="1" applyNumberFormat="1" applyFill="1" applyAlignment="1">
      <alignment horizontal="center"/>
    </xf>
    <xf numFmtId="0" fontId="3" fillId="3" borderId="1" xfId="1" applyFont="1" applyFill="1" applyBorder="1" applyAlignment="1">
      <alignment horizontal="center"/>
    </xf>
    <xf numFmtId="9" fontId="2" fillId="3" borderId="1" xfId="1" applyNumberFormat="1" applyFill="1" applyBorder="1" applyAlignment="1">
      <alignment horizontal="center"/>
    </xf>
    <xf numFmtId="10" fontId="2" fillId="3" borderId="0" xfId="1" applyNumberFormat="1" applyFill="1" applyAlignment="1">
      <alignment horizontal="center"/>
    </xf>
    <xf numFmtId="170" fontId="2" fillId="3" borderId="0" xfId="1" applyNumberForma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0" fontId="4" fillId="4" borderId="0" xfId="1" applyFont="1" applyFill="1"/>
    <xf numFmtId="0" fontId="4" fillId="5" borderId="0" xfId="1" applyFont="1" applyFill="1"/>
    <xf numFmtId="0" fontId="4" fillId="4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5" fillId="5" borderId="0" xfId="1" applyFont="1" applyFill="1"/>
    <xf numFmtId="0" fontId="5" fillId="4" borderId="0" xfId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4" fillId="0" borderId="0" xfId="2" applyFont="1"/>
    <xf numFmtId="0" fontId="3" fillId="0" borderId="0" xfId="2" applyFont="1"/>
    <xf numFmtId="0" fontId="3" fillId="0" borderId="0" xfId="2" applyFont="1" applyAlignment="1">
      <alignment horizontal="center"/>
    </xf>
    <xf numFmtId="0" fontId="1" fillId="0" borderId="0" xfId="2"/>
    <xf numFmtId="0" fontId="8" fillId="0" borderId="0" xfId="2" applyFont="1"/>
    <xf numFmtId="0" fontId="8" fillId="0" borderId="0" xfId="2" applyFont="1" applyAlignment="1">
      <alignment horizontal="center"/>
    </xf>
    <xf numFmtId="0" fontId="1" fillId="0" borderId="0" xfId="2" applyAlignment="1">
      <alignment horizontal="center"/>
    </xf>
    <xf numFmtId="0" fontId="4" fillId="4" borderId="0" xfId="2" applyFont="1" applyFill="1"/>
    <xf numFmtId="0" fontId="4" fillId="4" borderId="0" xfId="2" applyFont="1" applyFill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4" fillId="5" borderId="0" xfId="2" applyFont="1" applyFill="1"/>
    <xf numFmtId="0" fontId="4" fillId="5" borderId="0" xfId="2" applyFont="1" applyFill="1" applyAlignment="1">
      <alignment horizontal="center"/>
    </xf>
    <xf numFmtId="0" fontId="3" fillId="3" borderId="0" xfId="2" applyFont="1" applyFill="1" applyAlignment="1">
      <alignment horizontal="center"/>
    </xf>
    <xf numFmtId="165" fontId="1" fillId="3" borderId="0" xfId="2" applyNumberFormat="1" applyFill="1" applyAlignment="1">
      <alignment horizontal="center"/>
    </xf>
    <xf numFmtId="9" fontId="1" fillId="3" borderId="0" xfId="2" applyNumberFormat="1" applyFill="1" applyAlignment="1">
      <alignment horizontal="center"/>
    </xf>
    <xf numFmtId="0" fontId="5" fillId="5" borderId="0" xfId="2" applyFont="1" applyFill="1"/>
    <xf numFmtId="0" fontId="5" fillId="4" borderId="0" xfId="2" applyFont="1" applyFill="1"/>
    <xf numFmtId="0" fontId="3" fillId="3" borderId="1" xfId="2" applyFont="1" applyFill="1" applyBorder="1" applyAlignment="1">
      <alignment horizontal="center"/>
    </xf>
    <xf numFmtId="9" fontId="1" fillId="3" borderId="1" xfId="2" applyNumberFormat="1" applyFill="1" applyBorder="1" applyAlignment="1">
      <alignment horizontal="center"/>
    </xf>
    <xf numFmtId="0" fontId="3" fillId="0" borderId="8" xfId="2" applyFont="1" applyBorder="1" applyAlignment="1">
      <alignment horizontal="center"/>
    </xf>
    <xf numFmtId="166" fontId="1" fillId="0" borderId="5" xfId="2" applyNumberFormat="1" applyBorder="1" applyAlignment="1">
      <alignment horizontal="center"/>
    </xf>
    <xf numFmtId="0" fontId="3" fillId="0" borderId="9" xfId="2" applyFont="1" applyBorder="1" applyAlignment="1">
      <alignment horizontal="center"/>
    </xf>
    <xf numFmtId="2" fontId="1" fillId="0" borderId="6" xfId="2" applyNumberFormat="1" applyBorder="1" applyAlignment="1">
      <alignment horizontal="center"/>
    </xf>
    <xf numFmtId="167" fontId="1" fillId="0" borderId="6" xfId="2" applyNumberFormat="1" applyBorder="1" applyAlignment="1">
      <alignment horizontal="center"/>
    </xf>
    <xf numFmtId="1" fontId="1" fillId="0" borderId="6" xfId="2" applyNumberFormat="1" applyBorder="1" applyAlignment="1">
      <alignment horizontal="center"/>
    </xf>
    <xf numFmtId="168" fontId="1" fillId="0" borderId="6" xfId="2" applyNumberFormat="1" applyBorder="1" applyAlignment="1">
      <alignment horizontal="center"/>
    </xf>
    <xf numFmtId="0" fontId="3" fillId="0" borderId="10" xfId="2" applyFont="1" applyBorder="1" applyAlignment="1">
      <alignment horizontal="center"/>
    </xf>
    <xf numFmtId="0" fontId="1" fillId="0" borderId="7" xfId="2" applyBorder="1" applyAlignment="1">
      <alignment horizontal="center"/>
    </xf>
    <xf numFmtId="169" fontId="1" fillId="0" borderId="5" xfId="2" applyNumberFormat="1" applyBorder="1" applyAlignment="1">
      <alignment horizontal="center"/>
    </xf>
    <xf numFmtId="170" fontId="1" fillId="3" borderId="0" xfId="2" applyNumberFormat="1" applyFill="1" applyAlignment="1">
      <alignment horizontal="center"/>
    </xf>
    <xf numFmtId="10" fontId="1" fillId="3" borderId="0" xfId="2" applyNumberFormat="1" applyFill="1" applyAlignment="1">
      <alignment horizontal="center"/>
    </xf>
  </cellXfs>
  <cellStyles count="3">
    <cellStyle name="Normal" xfId="0" builtinId="0" customBuiltin="1"/>
    <cellStyle name="Normal 2" xfId="1"/>
    <cellStyle name="Normal 2 2" xfId="2"/>
  </cellStyles>
  <dxfs count="526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15539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7700" y="190500"/>
          <a:ext cx="4078577" cy="344453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17</xdr:col>
      <xdr:colOff>11402</xdr:colOff>
      <xdr:row>40</xdr:row>
      <xdr:rowOff>9442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7700" y="4191000"/>
          <a:ext cx="4078577" cy="34384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37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17</xdr:col>
      <xdr:colOff>11402</xdr:colOff>
      <xdr:row>39</xdr:row>
      <xdr:rowOff>11363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4375" y="48034575"/>
          <a:ext cx="4078577" cy="362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-wtn-san01\wtn_data\CLIENT_DATA\EPA\EPA%202021\HepStab\EPA%20HepStab%2016April2021\XevoW01.PRO\Results\-%20Hepatocyte%20Clearance_10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XevoW01.PRO"/>
      <sheetName val="Log"/>
      <sheetName val="Criteria"/>
    </sheetNames>
    <sheetDataSet>
      <sheetData sheetId="0"/>
      <sheetData sheetId="1">
        <row r="2">
          <cell r="R2" t="str">
            <v>DTXSID1024124 -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3.9211367654227289</v>
          </cell>
        </row>
        <row r="6">
          <cell r="V6">
            <v>120</v>
          </cell>
          <cell r="W6">
            <v>4.0708693449663427</v>
          </cell>
        </row>
        <row r="7">
          <cell r="V7">
            <v>120</v>
          </cell>
          <cell r="W7">
            <v>4.0969331109854377</v>
          </cell>
        </row>
        <row r="8">
          <cell r="V8">
            <v>60</v>
          </cell>
          <cell r="W8">
            <v>4.7109694210857205</v>
          </cell>
        </row>
        <row r="9">
          <cell r="V9">
            <v>60</v>
          </cell>
          <cell r="W9">
            <v>4.6779595077946476</v>
          </cell>
        </row>
        <row r="10">
          <cell r="V10">
            <v>60</v>
          </cell>
          <cell r="W10">
            <v>4.9162367518958243</v>
          </cell>
        </row>
        <row r="11">
          <cell r="V11">
            <v>30</v>
          </cell>
          <cell r="W11">
            <v>4.4639187696083598</v>
          </cell>
        </row>
        <row r="12">
          <cell r="V12">
            <v>30</v>
          </cell>
          <cell r="W12">
            <v>4.6450358017542319</v>
          </cell>
        </row>
        <row r="13">
          <cell r="V13">
            <v>30</v>
          </cell>
          <cell r="W13">
            <v>5.0441798150972366</v>
          </cell>
        </row>
        <row r="14">
          <cell r="V14">
            <v>15</v>
          </cell>
          <cell r="W14">
            <v>4.9201826603621495</v>
          </cell>
        </row>
        <row r="15">
          <cell r="V15">
            <v>15</v>
          </cell>
          <cell r="W15">
            <v>4.8567913455946172</v>
          </cell>
        </row>
        <row r="16">
          <cell r="V16">
            <v>15</v>
          </cell>
          <cell r="W16">
            <v>4.8633942318089316</v>
          </cell>
        </row>
        <row r="17">
          <cell r="V17">
            <v>0</v>
          </cell>
          <cell r="W17">
            <v>4.6051701859880918</v>
          </cell>
        </row>
        <row r="18">
          <cell r="V18">
            <v>0</v>
          </cell>
          <cell r="W18">
            <v>4.6051701859880918</v>
          </cell>
        </row>
        <row r="19">
          <cell r="V19">
            <v>0</v>
          </cell>
          <cell r="W19">
            <v>4.6051701859880918</v>
          </cell>
        </row>
        <row r="21">
          <cell r="R21" t="str">
            <v>DTXSID1033161 - Human</v>
          </cell>
        </row>
        <row r="22">
          <cell r="R22" t="str">
            <v>Time (Mins)</v>
          </cell>
        </row>
        <row r="23">
          <cell r="R23" t="str">
            <v>ln Percent Remaining</v>
          </cell>
        </row>
        <row r="24">
          <cell r="V24">
            <v>120</v>
          </cell>
          <cell r="W24">
            <v>5.2484129552720837</v>
          </cell>
        </row>
        <row r="25">
          <cell r="V25">
            <v>120</v>
          </cell>
          <cell r="W25">
            <v>4.4417190558266384</v>
          </cell>
        </row>
        <row r="26">
          <cell r="V26">
            <v>120</v>
          </cell>
          <cell r="W26">
            <v>4.2529648096865165</v>
          </cell>
        </row>
        <row r="27">
          <cell r="V27">
            <v>60</v>
          </cell>
          <cell r="W27">
            <v>5.6606147893223628</v>
          </cell>
        </row>
        <row r="28">
          <cell r="V28">
            <v>60</v>
          </cell>
          <cell r="W28">
            <v>5.6117745750256782</v>
          </cell>
        </row>
        <row r="29">
          <cell r="V29">
            <v>60</v>
          </cell>
          <cell r="W29">
            <v>5.0657464505967233</v>
          </cell>
        </row>
        <row r="30">
          <cell r="V30">
            <v>30</v>
          </cell>
          <cell r="W30">
            <v>4.8918490417392277</v>
          </cell>
        </row>
        <row r="31">
          <cell r="V31">
            <v>30</v>
          </cell>
          <cell r="W31">
            <v>4.152310016539535</v>
          </cell>
        </row>
        <row r="32">
          <cell r="V32">
            <v>30</v>
          </cell>
          <cell r="W32">
            <v>4.258560334581448</v>
          </cell>
        </row>
        <row r="33">
          <cell r="V33">
            <v>15</v>
          </cell>
          <cell r="W33">
            <v>4.6675192988201415</v>
          </cell>
        </row>
        <row r="34">
          <cell r="V34">
            <v>15</v>
          </cell>
          <cell r="W34">
            <v>4.8029862503377752</v>
          </cell>
        </row>
        <row r="35">
          <cell r="V35">
            <v>15</v>
          </cell>
          <cell r="W35">
            <v>5.0630976519083681</v>
          </cell>
        </row>
        <row r="36">
          <cell r="V36">
            <v>0</v>
          </cell>
          <cell r="W36">
            <v>4.6051701859880918</v>
          </cell>
        </row>
        <row r="37">
          <cell r="V37">
            <v>0</v>
          </cell>
          <cell r="W37">
            <v>4.6051701859880918</v>
          </cell>
        </row>
        <row r="38">
          <cell r="V38">
            <v>0</v>
          </cell>
          <cell r="W38">
            <v>4.6051701859880918</v>
          </cell>
        </row>
        <row r="41">
          <cell r="R41" t="str">
            <v>DTXSID1037565 - Human</v>
          </cell>
        </row>
        <row r="42">
          <cell r="R42" t="str">
            <v>Time (Mins)</v>
          </cell>
        </row>
        <row r="43">
          <cell r="R43" t="str">
            <v>ln Percent Remaining</v>
          </cell>
        </row>
        <row r="44">
          <cell r="V44">
            <v>120</v>
          </cell>
          <cell r="W44">
            <v>2.9879721527943</v>
          </cell>
        </row>
        <row r="45">
          <cell r="V45">
            <v>120</v>
          </cell>
          <cell r="W45">
            <v>3.3166945115439046</v>
          </cell>
        </row>
        <row r="46">
          <cell r="V46">
            <v>120</v>
          </cell>
          <cell r="W46">
            <v>3.1574566977351548</v>
          </cell>
        </row>
        <row r="47">
          <cell r="V47">
            <v>60</v>
          </cell>
          <cell r="W47">
            <v>4.0946949665917272</v>
          </cell>
        </row>
        <row r="48">
          <cell r="V48">
            <v>60</v>
          </cell>
          <cell r="W48">
            <v>4.2837873407927107</v>
          </cell>
        </row>
        <row r="49">
          <cell r="V49">
            <v>60</v>
          </cell>
          <cell r="W49">
            <v>4.1630813475931356</v>
          </cell>
        </row>
        <row r="50">
          <cell r="V50">
            <v>30</v>
          </cell>
          <cell r="W50">
            <v>4.5608321916147831</v>
          </cell>
        </row>
        <row r="51">
          <cell r="V51">
            <v>30</v>
          </cell>
          <cell r="W51">
            <v>4.2705222494746868</v>
          </cell>
        </row>
        <row r="52">
          <cell r="V52">
            <v>30</v>
          </cell>
          <cell r="W52">
            <v>4.3843492661726637</v>
          </cell>
        </row>
        <row r="53">
          <cell r="V53">
            <v>15</v>
          </cell>
          <cell r="W53">
            <v>4.3759314138950023</v>
          </cell>
        </row>
        <row r="54">
          <cell r="V54">
            <v>15</v>
          </cell>
          <cell r="W54">
            <v>4.5070522183304362</v>
          </cell>
        </row>
        <row r="55">
          <cell r="V55">
            <v>15</v>
          </cell>
          <cell r="W55">
            <v>4.5495155424807523</v>
          </cell>
        </row>
        <row r="56">
          <cell r="V56">
            <v>0</v>
          </cell>
          <cell r="W56">
            <v>4.6051701859880918</v>
          </cell>
        </row>
        <row r="57">
          <cell r="V57">
            <v>0</v>
          </cell>
          <cell r="W57">
            <v>4.6051701859880918</v>
          </cell>
        </row>
        <row r="58">
          <cell r="V58">
            <v>0</v>
          </cell>
          <cell r="W58">
            <v>4.6051701859880918</v>
          </cell>
        </row>
        <row r="61">
          <cell r="R61" t="str">
            <v>DTXSID2040731 - Human</v>
          </cell>
        </row>
        <row r="62">
          <cell r="R62" t="str">
            <v>Time (Mins)</v>
          </cell>
        </row>
        <row r="63">
          <cell r="R63" t="str">
            <v>ln Percent Remaining</v>
          </cell>
        </row>
        <row r="64">
          <cell r="V64">
            <v>30</v>
          </cell>
          <cell r="W64">
            <v>1.6494839856040047</v>
          </cell>
        </row>
        <row r="65">
          <cell r="V65">
            <v>30</v>
          </cell>
          <cell r="W65">
            <v>1.4360781629100359</v>
          </cell>
        </row>
        <row r="66">
          <cell r="V66">
            <v>30</v>
          </cell>
          <cell r="W66">
            <v>1.2466395297458699</v>
          </cell>
        </row>
        <row r="67">
          <cell r="V67">
            <v>15</v>
          </cell>
          <cell r="W67">
            <v>3.6727370338166279</v>
          </cell>
        </row>
        <row r="68">
          <cell r="V68">
            <v>15</v>
          </cell>
          <cell r="W68">
            <v>3.4620538898948556</v>
          </cell>
        </row>
        <row r="69">
          <cell r="V69">
            <v>15</v>
          </cell>
          <cell r="W69">
            <v>3.5626373545053562</v>
          </cell>
        </row>
        <row r="70">
          <cell r="V70">
            <v>0</v>
          </cell>
          <cell r="W70">
            <v>4.6051701859880918</v>
          </cell>
        </row>
        <row r="71">
          <cell r="V71">
            <v>0</v>
          </cell>
          <cell r="W71">
            <v>4.6051701859880918</v>
          </cell>
        </row>
        <row r="72">
          <cell r="V72">
            <v>0</v>
          </cell>
          <cell r="W72">
            <v>4.6051701859880918</v>
          </cell>
        </row>
        <row r="82">
          <cell r="R82" t="str">
            <v>DTXSID3032412 - Human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2.6161212025501968</v>
          </cell>
        </row>
        <row r="86">
          <cell r="V86">
            <v>120</v>
          </cell>
          <cell r="W86">
            <v>2.3789018930439569</v>
          </cell>
        </row>
        <row r="87">
          <cell r="V87">
            <v>120</v>
          </cell>
          <cell r="W87">
            <v>2.6564596991902989</v>
          </cell>
        </row>
        <row r="88">
          <cell r="V88">
            <v>60</v>
          </cell>
          <cell r="W88">
            <v>3.9872239596021188</v>
          </cell>
        </row>
        <row r="89">
          <cell r="V89">
            <v>60</v>
          </cell>
          <cell r="W89">
            <v>3.6726373343484893</v>
          </cell>
        </row>
        <row r="90">
          <cell r="V90">
            <v>60</v>
          </cell>
          <cell r="W90">
            <v>3.6636170991437909</v>
          </cell>
        </row>
        <row r="91">
          <cell r="V91">
            <v>30</v>
          </cell>
          <cell r="W91">
            <v>4.158499681724777</v>
          </cell>
        </row>
        <row r="92">
          <cell r="V92">
            <v>30</v>
          </cell>
          <cell r="W92">
            <v>4.2358487214669838</v>
          </cell>
        </row>
        <row r="93">
          <cell r="V93">
            <v>30</v>
          </cell>
          <cell r="W93">
            <v>4.1965711379439874</v>
          </cell>
        </row>
        <row r="94">
          <cell r="V94">
            <v>15</v>
          </cell>
          <cell r="W94">
            <v>4.6272963684309758</v>
          </cell>
        </row>
        <row r="95">
          <cell r="V95">
            <v>15</v>
          </cell>
          <cell r="W95">
            <v>4.4422018914528349</v>
          </cell>
        </row>
        <row r="96">
          <cell r="V96">
            <v>15</v>
          </cell>
          <cell r="W96">
            <v>4.5217863869570394</v>
          </cell>
        </row>
        <row r="97">
          <cell r="V97">
            <v>0</v>
          </cell>
          <cell r="W97">
            <v>4.6051701859880918</v>
          </cell>
        </row>
        <row r="98">
          <cell r="V98">
            <v>0</v>
          </cell>
          <cell r="W98">
            <v>4.6051701859880918</v>
          </cell>
        </row>
        <row r="99">
          <cell r="V99">
            <v>0</v>
          </cell>
          <cell r="W99">
            <v>4.6051701859880918</v>
          </cell>
        </row>
        <row r="102">
          <cell r="R102" t="str">
            <v>DTXSID3034531 - Human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3.8818161784304506</v>
          </cell>
        </row>
        <row r="106">
          <cell r="V106">
            <v>120</v>
          </cell>
          <cell r="W106">
            <v>3.8907041446634021</v>
          </cell>
        </row>
        <row r="107">
          <cell r="V107">
            <v>120</v>
          </cell>
          <cell r="W107">
            <v>4.0061301668612384</v>
          </cell>
        </row>
        <row r="108">
          <cell r="V108">
            <v>60</v>
          </cell>
          <cell r="W108">
            <v>4.5641282912243364</v>
          </cell>
        </row>
        <row r="109">
          <cell r="V109">
            <v>60</v>
          </cell>
          <cell r="W109">
            <v>4.6589596790973351</v>
          </cell>
        </row>
        <row r="110">
          <cell r="V110">
            <v>60</v>
          </cell>
          <cell r="W110">
            <v>4.727378918928288</v>
          </cell>
        </row>
        <row r="111">
          <cell r="V111">
            <v>30</v>
          </cell>
          <cell r="W111">
            <v>4.6000778256531802</v>
          </cell>
        </row>
        <row r="112">
          <cell r="V112">
            <v>30</v>
          </cell>
          <cell r="W112">
            <v>4.4433586094448279</v>
          </cell>
        </row>
        <row r="113">
          <cell r="V113">
            <v>30</v>
          </cell>
          <cell r="W113">
            <v>4.5492775210440666</v>
          </cell>
        </row>
        <row r="114">
          <cell r="V114">
            <v>15</v>
          </cell>
          <cell r="W114">
            <v>4.2309573248568038</v>
          </cell>
        </row>
        <row r="115">
          <cell r="V115">
            <v>15</v>
          </cell>
          <cell r="W115">
            <v>4.2967097719915222</v>
          </cell>
        </row>
        <row r="116">
          <cell r="V116">
            <v>15</v>
          </cell>
          <cell r="W116">
            <v>4.6399234383625316</v>
          </cell>
        </row>
        <row r="117">
          <cell r="V117">
            <v>0</v>
          </cell>
          <cell r="W117">
            <v>4.6051701859880918</v>
          </cell>
        </row>
        <row r="118">
          <cell r="V118">
            <v>0</v>
          </cell>
          <cell r="W118">
            <v>4.6051701859880918</v>
          </cell>
        </row>
        <row r="119">
          <cell r="V119">
            <v>0</v>
          </cell>
          <cell r="W119">
            <v>4.6051701859880918</v>
          </cell>
        </row>
        <row r="122">
          <cell r="R122" t="str">
            <v>DTXSID3034614 - Human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120</v>
          </cell>
          <cell r="W125">
            <v>4.752421769085565</v>
          </cell>
        </row>
        <row r="126">
          <cell r="V126">
            <v>120</v>
          </cell>
          <cell r="W126">
            <v>4.9824100084583378</v>
          </cell>
        </row>
        <row r="127">
          <cell r="V127">
            <v>120</v>
          </cell>
          <cell r="W127">
            <v>4.6060359624163754</v>
          </cell>
        </row>
        <row r="128">
          <cell r="V128">
            <v>60</v>
          </cell>
          <cell r="W128">
            <v>4.9397731190727487</v>
          </cell>
        </row>
        <row r="129">
          <cell r="V129">
            <v>60</v>
          </cell>
          <cell r="W129">
            <v>4.759275882728863</v>
          </cell>
        </row>
        <row r="130">
          <cell r="V130">
            <v>60</v>
          </cell>
          <cell r="W130">
            <v>4.10839677754067</v>
          </cell>
        </row>
        <row r="131">
          <cell r="V131">
            <v>30</v>
          </cell>
          <cell r="W131">
            <v>4.3891992305518244</v>
          </cell>
        </row>
        <row r="132">
          <cell r="V132">
            <v>30</v>
          </cell>
          <cell r="W132">
            <v>4.8467488314717384</v>
          </cell>
        </row>
        <row r="133">
          <cell r="V133">
            <v>30</v>
          </cell>
          <cell r="W133">
            <v>4.5492057284983733</v>
          </cell>
        </row>
        <row r="134">
          <cell r="V134">
            <v>15</v>
          </cell>
          <cell r="W134">
            <v>4.866795906139683</v>
          </cell>
        </row>
        <row r="135">
          <cell r="V135">
            <v>15</v>
          </cell>
          <cell r="W135">
            <v>4.7068916227056175</v>
          </cell>
        </row>
        <row r="136">
          <cell r="V136">
            <v>15</v>
          </cell>
          <cell r="W136">
            <v>4.5201756471517642</v>
          </cell>
        </row>
        <row r="137">
          <cell r="V137">
            <v>0</v>
          </cell>
          <cell r="W137">
            <v>4.6051701859880918</v>
          </cell>
        </row>
        <row r="138">
          <cell r="V138">
            <v>0</v>
          </cell>
          <cell r="W138">
            <v>4.6051701859880918</v>
          </cell>
        </row>
        <row r="139">
          <cell r="V139">
            <v>0</v>
          </cell>
          <cell r="W139">
            <v>4.6051701859880918</v>
          </cell>
        </row>
        <row r="141">
          <cell r="R141" t="str">
            <v>DTXSID3041794 - Human</v>
          </cell>
        </row>
        <row r="142">
          <cell r="R142" t="str">
            <v>Time (Mins)</v>
          </cell>
        </row>
        <row r="143">
          <cell r="R143" t="str">
            <v>ln Percent Remaining</v>
          </cell>
        </row>
        <row r="144">
          <cell r="V144">
            <v>120</v>
          </cell>
          <cell r="W144">
            <v>-7.032604174402123</v>
          </cell>
        </row>
        <row r="145">
          <cell r="V145">
            <v>120</v>
          </cell>
          <cell r="W145">
            <v>-8.4693173393057304</v>
          </cell>
        </row>
        <row r="146">
          <cell r="V146">
            <v>30</v>
          </cell>
          <cell r="W146">
            <v>-8.7627460712917635</v>
          </cell>
        </row>
        <row r="147">
          <cell r="V147">
            <v>30</v>
          </cell>
          <cell r="W147">
            <v>-5.4257692625187426</v>
          </cell>
        </row>
        <row r="148">
          <cell r="V148">
            <v>30</v>
          </cell>
          <cell r="W148">
            <v>-8.8775640052171596</v>
          </cell>
        </row>
        <row r="149">
          <cell r="V149">
            <v>15</v>
          </cell>
          <cell r="W149">
            <v>-1.8150789088612977</v>
          </cell>
        </row>
        <row r="150">
          <cell r="V150">
            <v>15</v>
          </cell>
          <cell r="W150">
            <v>-6.712323683568953</v>
          </cell>
        </row>
        <row r="151">
          <cell r="V151">
            <v>0</v>
          </cell>
          <cell r="W151">
            <v>4.6051701859880918</v>
          </cell>
        </row>
        <row r="152">
          <cell r="V152">
            <v>0</v>
          </cell>
          <cell r="W152">
            <v>4.6051701859880918</v>
          </cell>
        </row>
        <row r="153">
          <cell r="V153">
            <v>0</v>
          </cell>
          <cell r="W153">
            <v>4.6051701859880918</v>
          </cell>
        </row>
        <row r="161">
          <cell r="R161" t="str">
            <v>DTXSID4021971 - Human</v>
          </cell>
        </row>
        <row r="162">
          <cell r="R162" t="str">
            <v>Time (Mins)</v>
          </cell>
        </row>
        <row r="163">
          <cell r="R163" t="str">
            <v>ln Percent Remaining</v>
          </cell>
        </row>
        <row r="164">
          <cell r="V164">
            <v>120</v>
          </cell>
          <cell r="W164">
            <v>4.6102243127200735</v>
          </cell>
        </row>
        <row r="165">
          <cell r="V165">
            <v>120</v>
          </cell>
          <cell r="W165">
            <v>4.8691231836596325</v>
          </cell>
        </row>
        <row r="166">
          <cell r="V166">
            <v>120</v>
          </cell>
          <cell r="W166">
            <v>4.4664229626730902</v>
          </cell>
        </row>
        <row r="167">
          <cell r="V167">
            <v>60</v>
          </cell>
          <cell r="W167">
            <v>5.2642393367999265</v>
          </cell>
        </row>
        <row r="168">
          <cell r="V168">
            <v>60</v>
          </cell>
          <cell r="W168">
            <v>5.1461856389442397</v>
          </cell>
        </row>
        <row r="169">
          <cell r="V169">
            <v>60</v>
          </cell>
          <cell r="W169">
            <v>5.2738721620008908</v>
          </cell>
        </row>
        <row r="170">
          <cell r="V170">
            <v>30</v>
          </cell>
          <cell r="W170">
            <v>5.0396108916814581</v>
          </cell>
        </row>
        <row r="171">
          <cell r="V171">
            <v>30</v>
          </cell>
          <cell r="W171">
            <v>4.9668817503219902</v>
          </cell>
        </row>
        <row r="172">
          <cell r="V172">
            <v>30</v>
          </cell>
          <cell r="W172">
            <v>5.2182157676736303</v>
          </cell>
        </row>
        <row r="173">
          <cell r="V173">
            <v>15</v>
          </cell>
          <cell r="W173">
            <v>4.8268159093217653</v>
          </cell>
        </row>
        <row r="174">
          <cell r="V174">
            <v>15</v>
          </cell>
          <cell r="W174">
            <v>4.877723752225366</v>
          </cell>
        </row>
        <row r="175">
          <cell r="V175">
            <v>15</v>
          </cell>
          <cell r="W175">
            <v>5.2660968770877137</v>
          </cell>
        </row>
        <row r="176">
          <cell r="V176">
            <v>0</v>
          </cell>
          <cell r="W176">
            <v>4.6051701859880918</v>
          </cell>
        </row>
        <row r="177">
          <cell r="V177">
            <v>0</v>
          </cell>
          <cell r="W177">
            <v>4.6051701859880918</v>
          </cell>
        </row>
        <row r="178">
          <cell r="V178">
            <v>0</v>
          </cell>
          <cell r="W178">
            <v>4.6051701859880918</v>
          </cell>
        </row>
        <row r="181">
          <cell r="R181" t="str">
            <v>DTXSID4034497 - Human</v>
          </cell>
        </row>
        <row r="182">
          <cell r="R182" t="str">
            <v>Time (Mins)</v>
          </cell>
        </row>
        <row r="183">
          <cell r="R183" t="str">
            <v>ln Percent Remaining</v>
          </cell>
        </row>
        <row r="184">
          <cell r="V184">
            <v>120</v>
          </cell>
          <cell r="W184">
            <v>3.5879161254366974</v>
          </cell>
        </row>
        <row r="185">
          <cell r="V185">
            <v>120</v>
          </cell>
          <cell r="W185">
            <v>3.6829656739648162</v>
          </cell>
        </row>
        <row r="186">
          <cell r="V186">
            <v>120</v>
          </cell>
          <cell r="W186">
            <v>3.6820642545566487</v>
          </cell>
        </row>
        <row r="187">
          <cell r="V187">
            <v>60</v>
          </cell>
          <cell r="W187">
            <v>4.1178200436856365</v>
          </cell>
        </row>
        <row r="188">
          <cell r="V188">
            <v>60</v>
          </cell>
          <cell r="W188">
            <v>4.3446940003095689</v>
          </cell>
        </row>
        <row r="189">
          <cell r="V189">
            <v>60</v>
          </cell>
          <cell r="W189">
            <v>4.3243553151676029</v>
          </cell>
        </row>
        <row r="190">
          <cell r="V190">
            <v>30</v>
          </cell>
          <cell r="W190">
            <v>4.3434709068679833</v>
          </cell>
        </row>
        <row r="191">
          <cell r="V191">
            <v>30</v>
          </cell>
          <cell r="W191">
            <v>4.3606516936362061</v>
          </cell>
        </row>
        <row r="192">
          <cell r="V192">
            <v>30</v>
          </cell>
          <cell r="W192">
            <v>4.6048094752688371</v>
          </cell>
        </row>
        <row r="193">
          <cell r="V193">
            <v>15</v>
          </cell>
          <cell r="W193">
            <v>4.1864947016856497</v>
          </cell>
        </row>
        <row r="194">
          <cell r="V194">
            <v>15</v>
          </cell>
          <cell r="W194">
            <v>4.4905900289033225</v>
          </cell>
        </row>
        <row r="195">
          <cell r="V195">
            <v>15</v>
          </cell>
          <cell r="W195">
            <v>4.8375610487080349</v>
          </cell>
        </row>
        <row r="196">
          <cell r="V196">
            <v>0</v>
          </cell>
          <cell r="W196">
            <v>4.6051701859880918</v>
          </cell>
        </row>
        <row r="197">
          <cell r="V197">
            <v>0</v>
          </cell>
          <cell r="W197">
            <v>4.6051701859880918</v>
          </cell>
        </row>
        <row r="198">
          <cell r="V198">
            <v>0</v>
          </cell>
          <cell r="W198">
            <v>4.6051701859880918</v>
          </cell>
        </row>
        <row r="201">
          <cell r="R201" t="str">
            <v>DTXSID4034601 - Human</v>
          </cell>
        </row>
        <row r="202">
          <cell r="R202" t="str">
            <v>Time (Mins)</v>
          </cell>
        </row>
        <row r="203">
          <cell r="R203" t="str">
            <v>ln Percent Remaining</v>
          </cell>
        </row>
        <row r="204">
          <cell r="V204">
            <v>60</v>
          </cell>
          <cell r="W204">
            <v>2.4014776509769926</v>
          </cell>
        </row>
        <row r="205">
          <cell r="V205">
            <v>60</v>
          </cell>
          <cell r="W205">
            <v>2.2944878847542469</v>
          </cell>
        </row>
        <row r="206">
          <cell r="V206">
            <v>60</v>
          </cell>
          <cell r="W206">
            <v>2.4166504309865924</v>
          </cell>
        </row>
        <row r="207">
          <cell r="V207">
            <v>30</v>
          </cell>
          <cell r="W207">
            <v>3.3965973086115504</v>
          </cell>
        </row>
        <row r="208">
          <cell r="V208">
            <v>30</v>
          </cell>
          <cell r="W208">
            <v>3.242950435118432</v>
          </cell>
        </row>
        <row r="209">
          <cell r="V209">
            <v>30</v>
          </cell>
          <cell r="W209">
            <v>3.3326822012331592</v>
          </cell>
        </row>
        <row r="210">
          <cell r="V210">
            <v>15</v>
          </cell>
          <cell r="W210">
            <v>3.7366710121664357</v>
          </cell>
        </row>
        <row r="211">
          <cell r="V211">
            <v>15</v>
          </cell>
          <cell r="W211">
            <v>3.8755887110897871</v>
          </cell>
        </row>
        <row r="212">
          <cell r="V212">
            <v>15</v>
          </cell>
          <cell r="W212">
            <v>3.7869506218525975</v>
          </cell>
        </row>
        <row r="213">
          <cell r="V213">
            <v>0</v>
          </cell>
          <cell r="W213">
            <v>4.6051701859880918</v>
          </cell>
        </row>
        <row r="214">
          <cell r="V214">
            <v>0</v>
          </cell>
          <cell r="W214">
            <v>4.6051701859880918</v>
          </cell>
        </row>
        <row r="215">
          <cell r="V215">
            <v>0</v>
          </cell>
          <cell r="W215">
            <v>4.6051701859880918</v>
          </cell>
        </row>
        <row r="221">
          <cell r="R221" t="str">
            <v>DTXSID5021415 - Human</v>
          </cell>
        </row>
        <row r="222">
          <cell r="R222" t="str">
            <v>Time (Mins)</v>
          </cell>
        </row>
        <row r="223">
          <cell r="R223" t="str">
            <v>ln Percent Remaining</v>
          </cell>
        </row>
        <row r="224">
          <cell r="V224">
            <v>120</v>
          </cell>
          <cell r="W224">
            <v>4.3273525586797934</v>
          </cell>
        </row>
        <row r="225">
          <cell r="V225">
            <v>120</v>
          </cell>
          <cell r="W225">
            <v>4.4976789306360088</v>
          </cell>
        </row>
        <row r="226">
          <cell r="V226">
            <v>120</v>
          </cell>
          <cell r="W226">
            <v>4.4665144721054428</v>
          </cell>
        </row>
        <row r="227">
          <cell r="V227">
            <v>60</v>
          </cell>
          <cell r="W227">
            <v>4.857821356953651</v>
          </cell>
        </row>
        <row r="228">
          <cell r="V228">
            <v>60</v>
          </cell>
          <cell r="W228">
            <v>5.084813617867411</v>
          </cell>
        </row>
        <row r="229">
          <cell r="V229">
            <v>60</v>
          </cell>
          <cell r="W229">
            <v>5.0121740137468223</v>
          </cell>
        </row>
        <row r="230">
          <cell r="V230">
            <v>30</v>
          </cell>
          <cell r="W230">
            <v>4.7717057763413147</v>
          </cell>
        </row>
        <row r="231">
          <cell r="V231">
            <v>30</v>
          </cell>
          <cell r="W231">
            <v>4.8358455258150048</v>
          </cell>
        </row>
        <row r="232">
          <cell r="V232">
            <v>30</v>
          </cell>
          <cell r="W232">
            <v>4.7946684081509021</v>
          </cell>
        </row>
        <row r="233">
          <cell r="V233">
            <v>15</v>
          </cell>
          <cell r="W233">
            <v>4.7534526310447616</v>
          </cell>
        </row>
        <row r="234">
          <cell r="V234">
            <v>15</v>
          </cell>
          <cell r="W234">
            <v>4.6086690618840871</v>
          </cell>
        </row>
        <row r="235">
          <cell r="V235">
            <v>15</v>
          </cell>
          <cell r="W235">
            <v>4.6770762578928675</v>
          </cell>
        </row>
        <row r="236">
          <cell r="V236">
            <v>0</v>
          </cell>
          <cell r="W236">
            <v>4.6051701859880918</v>
          </cell>
        </row>
        <row r="237">
          <cell r="V237">
            <v>0</v>
          </cell>
          <cell r="W237">
            <v>4.6051701859880918</v>
          </cell>
        </row>
        <row r="238">
          <cell r="V238">
            <v>0</v>
          </cell>
          <cell r="W238">
            <v>4.6051701859880918</v>
          </cell>
        </row>
        <row r="241">
          <cell r="R241" t="str">
            <v>Midazolam - Human</v>
          </cell>
        </row>
        <row r="242">
          <cell r="R242" t="str">
            <v>Time (Mins)</v>
          </cell>
        </row>
        <row r="243">
          <cell r="R243" t="str">
            <v>ln Percent Remaining</v>
          </cell>
        </row>
        <row r="244">
          <cell r="V244">
            <v>60</v>
          </cell>
          <cell r="W244">
            <v>1.6362154697091582</v>
          </cell>
        </row>
        <row r="245">
          <cell r="V245">
            <v>60</v>
          </cell>
          <cell r="W245">
            <v>1.5739513163987877</v>
          </cell>
        </row>
        <row r="246">
          <cell r="V246">
            <v>60</v>
          </cell>
          <cell r="W246">
            <v>1.4534320485999113</v>
          </cell>
        </row>
        <row r="247">
          <cell r="V247">
            <v>30</v>
          </cell>
          <cell r="W247">
            <v>2.901200063651602</v>
          </cell>
        </row>
        <row r="248">
          <cell r="V248">
            <v>30</v>
          </cell>
          <cell r="W248">
            <v>3.0107864693695667</v>
          </cell>
        </row>
        <row r="249">
          <cell r="V249">
            <v>30</v>
          </cell>
          <cell r="W249">
            <v>2.9480709895879733</v>
          </cell>
        </row>
        <row r="250">
          <cell r="V250">
            <v>15</v>
          </cell>
          <cell r="W250">
            <v>4.2225525992352244</v>
          </cell>
        </row>
        <row r="251">
          <cell r="V251">
            <v>15</v>
          </cell>
          <cell r="W251">
            <v>4.2186746777531967</v>
          </cell>
        </row>
        <row r="252">
          <cell r="V252">
            <v>15</v>
          </cell>
          <cell r="W252">
            <v>4.0374582080149137</v>
          </cell>
        </row>
        <row r="253">
          <cell r="V253">
            <v>0</v>
          </cell>
          <cell r="W253">
            <v>4.6051701859880918</v>
          </cell>
        </row>
        <row r="254">
          <cell r="V254">
            <v>0</v>
          </cell>
          <cell r="W254">
            <v>4.6051701859880918</v>
          </cell>
        </row>
        <row r="255">
          <cell r="V255">
            <v>0</v>
          </cell>
          <cell r="W255">
            <v>4.6051701859880918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workbookViewId="0">
      <selection activeCell="F5" sqref="F5"/>
    </sheetView>
  </sheetViews>
  <sheetFormatPr defaultRowHeight="15" x14ac:dyDescent="0.25"/>
  <cols>
    <col min="1" max="1" width="15.85546875" style="6" bestFit="1" customWidth="1"/>
    <col min="2" max="2" width="9.5703125" style="6" bestFit="1" customWidth="1"/>
    <col min="3" max="3" width="15" style="50" bestFit="1" customWidth="1"/>
    <col min="4" max="4" width="30.7109375" style="6" bestFit="1" customWidth="1"/>
    <col min="5" max="5" width="15.7109375" style="6" bestFit="1" customWidth="1"/>
    <col min="6" max="6" width="16.5703125" style="6" bestFit="1" customWidth="1"/>
    <col min="7" max="7" width="31.28515625" style="6" bestFit="1" customWidth="1"/>
    <col min="8" max="8" width="11.140625" style="20" bestFit="1" customWidth="1"/>
  </cols>
  <sheetData>
    <row r="1" spans="1:8" ht="15.75" x14ac:dyDescent="0.25">
      <c r="A1" s="51"/>
      <c r="B1" s="4"/>
      <c r="C1" s="4"/>
    </row>
    <row r="2" spans="1:8" x14ac:dyDescent="0.25">
      <c r="A2" s="51"/>
      <c r="B2" s="5">
        <v>44313.665694444448</v>
      </c>
      <c r="C2" s="5"/>
    </row>
    <row r="3" spans="1:8" ht="15.75" thickBot="1" x14ac:dyDescent="0.3"/>
    <row r="4" spans="1:8" ht="16.5" thickTop="1" thickBot="1" x14ac:dyDescent="0.3">
      <c r="A4" s="21" t="s">
        <v>90</v>
      </c>
      <c r="B4" s="21" t="s">
        <v>91</v>
      </c>
      <c r="C4" s="21" t="s">
        <v>125</v>
      </c>
      <c r="D4" s="21" t="s">
        <v>92</v>
      </c>
      <c r="E4" s="21" t="s">
        <v>93</v>
      </c>
      <c r="F4" s="21" t="s">
        <v>10</v>
      </c>
      <c r="G4" s="21" t="s">
        <v>94</v>
      </c>
      <c r="H4" s="22" t="s">
        <v>95</v>
      </c>
    </row>
    <row r="5" spans="1:8" x14ac:dyDescent="0.25">
      <c r="A5" s="23" t="s">
        <v>67</v>
      </c>
      <c r="B5" s="23" t="s">
        <v>114</v>
      </c>
      <c r="C5" s="24" t="s">
        <v>126</v>
      </c>
      <c r="D5" s="24">
        <v>2.0708747417771427</v>
      </c>
      <c r="E5" s="23" t="s">
        <v>115</v>
      </c>
      <c r="F5" s="23" t="s">
        <v>68</v>
      </c>
      <c r="G5" s="25">
        <v>90.984646803107509</v>
      </c>
      <c r="H5" s="26" t="s">
        <v>113</v>
      </c>
    </row>
    <row r="6" spans="1:8" ht="15.75" thickBot="1" x14ac:dyDescent="0.3">
      <c r="A6" s="27" t="s">
        <v>67</v>
      </c>
      <c r="B6" s="27" t="s">
        <v>114</v>
      </c>
      <c r="C6" s="52" t="s">
        <v>127</v>
      </c>
      <c r="D6" s="52">
        <v>11.25615638692812</v>
      </c>
      <c r="E6" s="54">
        <v>123.15876871876149</v>
      </c>
      <c r="F6" s="27" t="s">
        <v>68</v>
      </c>
      <c r="G6" s="53">
        <v>56.407058627117685</v>
      </c>
      <c r="H6" s="28"/>
    </row>
    <row r="7" spans="1:8" ht="15.75" thickBot="1" x14ac:dyDescent="0.3">
      <c r="A7" s="6" t="s">
        <v>21</v>
      </c>
      <c r="B7" s="6" t="s">
        <v>114</v>
      </c>
      <c r="C7" s="29"/>
      <c r="D7" s="29">
        <v>105.79324866765727</v>
      </c>
      <c r="E7" s="29">
        <v>13.103807460104054</v>
      </c>
      <c r="F7" s="30" t="s">
        <v>22</v>
      </c>
      <c r="G7" s="31">
        <v>0.55994735955509134</v>
      </c>
      <c r="H7" s="32" t="s">
        <v>117</v>
      </c>
    </row>
    <row r="8" spans="1:8" ht="15.75" thickTop="1" x14ac:dyDescent="0.25">
      <c r="A8" s="19"/>
      <c r="B8" s="19"/>
      <c r="C8" s="27"/>
      <c r="D8" s="27"/>
      <c r="E8" s="27"/>
      <c r="F8" s="27"/>
      <c r="G8" s="27"/>
      <c r="H8" s="28"/>
    </row>
  </sheetData>
  <mergeCells count="1">
    <mergeCell ref="A1:A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45"/>
  <sheetViews>
    <sheetView tabSelected="1" workbookViewId="0">
      <pane ySplit="1" topLeftCell="A2" activePane="bottomLeft" state="frozenSplit"/>
      <selection pane="bottomLeft" activeCell="J23" sqref="J23"/>
    </sheetView>
  </sheetViews>
  <sheetFormatPr defaultRowHeight="15" customHeight="1" x14ac:dyDescent="0.25"/>
  <cols>
    <col min="1" max="1" width="69.85546875" style="1" bestFit="1" customWidth="1"/>
    <col min="2" max="2" width="15.8554687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18.5703125" style="1" bestFit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2.5703125" style="1" bestFit="1" customWidth="1"/>
    <col min="19" max="19" width="8.7109375" style="1" customWidth="1"/>
    <col min="20" max="25" width="8.7109375" style="1" hidden="1" customWidth="1"/>
    <col min="26" max="26" width="20.5703125" style="10" bestFit="1" customWidth="1"/>
    <col min="27" max="29" width="21" style="10" bestFit="1" customWidth="1"/>
    <col min="30" max="30" width="9.140625" style="1" bestFit="1" customWidth="1"/>
    <col min="31" max="44" width="8.7109375" style="1" customWidth="1"/>
    <col min="45" max="16384" width="9.140625" style="1"/>
  </cols>
  <sheetData>
    <row r="1" spans="1:30" ht="15" customHeight="1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96</v>
      </c>
      <c r="H1" s="7" t="s">
        <v>97</v>
      </c>
      <c r="I1" s="7" t="s">
        <v>98</v>
      </c>
      <c r="J1" s="9"/>
      <c r="K1" s="7"/>
      <c r="R1" s="8" t="s">
        <v>100</v>
      </c>
      <c r="Z1" s="33" t="s">
        <v>99</v>
      </c>
    </row>
    <row r="2" spans="1:30" ht="15" customHeight="1" thickTop="1" thickBot="1" x14ac:dyDescent="0.3">
      <c r="A2" s="44" t="s">
        <v>60</v>
      </c>
      <c r="B2" s="44" t="s">
        <v>67</v>
      </c>
      <c r="C2" s="44" t="s">
        <v>68</v>
      </c>
      <c r="D2" s="44">
        <v>0.36599999999999999</v>
      </c>
      <c r="E2" s="44">
        <v>12948.120999999999</v>
      </c>
      <c r="F2" s="44">
        <v>2.8266649655189352E-5</v>
      </c>
      <c r="G2" s="44"/>
      <c r="H2" s="44"/>
      <c r="I2" s="44"/>
      <c r="J2" s="46"/>
      <c r="K2" s="44"/>
      <c r="L2" s="44"/>
      <c r="M2" s="44"/>
      <c r="N2" s="44"/>
      <c r="O2" s="44"/>
      <c r="P2" s="44"/>
      <c r="Q2" s="44"/>
      <c r="R2" s="44" t="s">
        <v>101</v>
      </c>
      <c r="S2" s="44"/>
      <c r="T2" s="44">
        <v>1</v>
      </c>
      <c r="U2" s="44"/>
      <c r="V2" s="44"/>
      <c r="W2" s="44"/>
      <c r="X2" s="44"/>
      <c r="Y2" s="44"/>
      <c r="Z2" s="11" t="s">
        <v>102</v>
      </c>
      <c r="AA2" s="11" t="s">
        <v>104</v>
      </c>
      <c r="AB2" s="11" t="s">
        <v>105</v>
      </c>
      <c r="AC2" s="11" t="s">
        <v>106</v>
      </c>
      <c r="AD2" s="11" t="s">
        <v>107</v>
      </c>
    </row>
    <row r="3" spans="1:30" ht="15" customHeight="1" thickTop="1" x14ac:dyDescent="0.25">
      <c r="A3" s="45" t="s">
        <v>63</v>
      </c>
      <c r="B3" s="45" t="s">
        <v>67</v>
      </c>
      <c r="C3" s="45" t="s">
        <v>68</v>
      </c>
      <c r="D3" s="45">
        <v>6.4530000000000003</v>
      </c>
      <c r="E3" s="45">
        <v>14433.352999999999</v>
      </c>
      <c r="F3" s="45">
        <v>4.4708946008595513E-4</v>
      </c>
      <c r="G3" s="45"/>
      <c r="H3" s="45"/>
      <c r="I3" s="45"/>
      <c r="J3" s="47"/>
      <c r="K3" s="45"/>
      <c r="L3" s="45"/>
      <c r="M3" s="45"/>
      <c r="N3" s="45"/>
      <c r="O3" s="45"/>
      <c r="P3" s="45"/>
      <c r="Q3" s="45"/>
      <c r="R3" s="45" t="s">
        <v>102</v>
      </c>
      <c r="S3" s="45"/>
      <c r="T3" s="45">
        <v>5</v>
      </c>
      <c r="U3" s="45"/>
      <c r="V3" s="45"/>
      <c r="W3" s="45"/>
      <c r="X3" s="45"/>
      <c r="Y3" s="45"/>
      <c r="Z3" s="12">
        <v>120</v>
      </c>
      <c r="AA3" s="13">
        <v>0.87078969085041569</v>
      </c>
      <c r="AB3" s="13">
        <v>0.80468494152252346</v>
      </c>
      <c r="AC3" s="14">
        <v>1.054064771720286</v>
      </c>
      <c r="AD3" s="13">
        <v>0.90984646803107516</v>
      </c>
    </row>
    <row r="4" spans="1:30" ht="15" customHeight="1" x14ac:dyDescent="0.25">
      <c r="A4" s="44" t="s">
        <v>64</v>
      </c>
      <c r="B4" s="44" t="s">
        <v>67</v>
      </c>
      <c r="C4" s="44" t="s">
        <v>68</v>
      </c>
      <c r="D4" s="44">
        <v>4.2999999999999997E-2</v>
      </c>
      <c r="E4" s="44">
        <v>13537.442999999999</v>
      </c>
      <c r="F4" s="44">
        <v>3.1763753317373153E-6</v>
      </c>
      <c r="G4" s="44"/>
      <c r="H4" s="44"/>
      <c r="I4" s="44"/>
      <c r="J4" s="46"/>
      <c r="K4" s="44"/>
      <c r="L4" s="44"/>
      <c r="M4" s="44"/>
      <c r="N4" s="44"/>
      <c r="O4" s="44"/>
      <c r="P4" s="44"/>
      <c r="Q4" s="44"/>
      <c r="R4" s="44" t="s">
        <v>103</v>
      </c>
      <c r="S4" s="44"/>
      <c r="T4" s="44">
        <v>19</v>
      </c>
      <c r="U4" s="44"/>
      <c r="V4" s="44"/>
      <c r="W4" s="44"/>
      <c r="X4" s="44"/>
      <c r="Y4" s="44"/>
      <c r="Z4" s="12">
        <v>60</v>
      </c>
      <c r="AA4" s="14">
        <v>1.0026603309442621</v>
      </c>
      <c r="AB4" s="13">
        <v>0.88228492393661273</v>
      </c>
      <c r="AC4" s="14">
        <v>1.2163422382163394</v>
      </c>
      <c r="AD4" s="14">
        <v>1.0337624976990714</v>
      </c>
    </row>
    <row r="5" spans="1:30" ht="15" customHeight="1" x14ac:dyDescent="0.25">
      <c r="A5" s="45" t="s">
        <v>72</v>
      </c>
      <c r="B5" s="45" t="s">
        <v>67</v>
      </c>
      <c r="C5" s="45" t="s">
        <v>68</v>
      </c>
      <c r="D5" s="45">
        <v>3387.93</v>
      </c>
      <c r="E5" s="45">
        <v>2620.3429999999998</v>
      </c>
      <c r="F5" s="45">
        <v>1.2929337876758882</v>
      </c>
      <c r="G5" s="45">
        <v>87.078969085041564</v>
      </c>
      <c r="H5" s="45">
        <v>120</v>
      </c>
      <c r="I5" s="48">
        <v>4.4668153975852158</v>
      </c>
      <c r="J5" s="47"/>
      <c r="K5" s="45"/>
      <c r="L5" s="45"/>
      <c r="M5" s="45"/>
      <c r="N5" s="45"/>
      <c r="O5" s="45"/>
      <c r="P5" s="45"/>
      <c r="Q5" s="45"/>
      <c r="R5" s="45"/>
      <c r="S5" s="45"/>
      <c r="T5" s="45"/>
      <c r="U5" s="45">
        <v>1</v>
      </c>
      <c r="V5" s="45">
        <v>120</v>
      </c>
      <c r="W5" s="45">
        <v>4.4668153975852158</v>
      </c>
      <c r="X5" s="45"/>
      <c r="Y5" s="45"/>
      <c r="Z5" s="12">
        <v>30</v>
      </c>
      <c r="AA5" s="14">
        <v>1.0503336514960016</v>
      </c>
      <c r="AB5" s="13">
        <v>0.98796180363196617</v>
      </c>
      <c r="AC5" s="14">
        <v>1.1140655354400171</v>
      </c>
      <c r="AD5" s="14">
        <v>1.0507869968559949</v>
      </c>
    </row>
    <row r="6" spans="1:30" ht="15" customHeight="1" x14ac:dyDescent="0.25">
      <c r="A6" s="44" t="s">
        <v>73</v>
      </c>
      <c r="B6" s="44" t="s">
        <v>67</v>
      </c>
      <c r="C6" s="44" t="s">
        <v>68</v>
      </c>
      <c r="D6" s="44">
        <v>3545.991</v>
      </c>
      <c r="E6" s="44">
        <v>2578.3719999999998</v>
      </c>
      <c r="F6" s="44">
        <v>1.3752829304693039</v>
      </c>
      <c r="G6" s="44">
        <v>80.468494152252347</v>
      </c>
      <c r="H6" s="44">
        <v>120</v>
      </c>
      <c r="I6" s="49">
        <v>4.3878657308258999</v>
      </c>
      <c r="J6" s="46"/>
      <c r="K6" s="44"/>
      <c r="L6" s="44"/>
      <c r="M6" s="44"/>
      <c r="N6" s="44"/>
      <c r="O6" s="44"/>
      <c r="P6" s="44"/>
      <c r="Q6" s="44"/>
      <c r="R6" s="44"/>
      <c r="S6" s="44"/>
      <c r="T6" s="44"/>
      <c r="U6" s="44">
        <v>2</v>
      </c>
      <c r="V6" s="44">
        <v>120</v>
      </c>
      <c r="W6" s="44">
        <v>4.3878657308258999</v>
      </c>
      <c r="X6" s="44"/>
      <c r="Y6" s="44"/>
      <c r="Z6" s="12">
        <v>15</v>
      </c>
      <c r="AA6" s="14">
        <v>1.2027660501176556</v>
      </c>
      <c r="AB6" s="13">
        <v>0.85801148592815324</v>
      </c>
      <c r="AC6" s="14">
        <v>1.1129567378285652</v>
      </c>
      <c r="AD6" s="14">
        <v>1.0579114246247914</v>
      </c>
    </row>
    <row r="7" spans="1:30" ht="15" customHeight="1" thickBot="1" x14ac:dyDescent="0.3">
      <c r="A7" s="45" t="s">
        <v>74</v>
      </c>
      <c r="B7" s="45" t="s">
        <v>67</v>
      </c>
      <c r="C7" s="45" t="s">
        <v>68</v>
      </c>
      <c r="D7" s="45">
        <v>3627.61</v>
      </c>
      <c r="E7" s="45">
        <v>2599.0520000000001</v>
      </c>
      <c r="F7" s="45">
        <v>1.3957435249467882</v>
      </c>
      <c r="G7" s="45">
        <v>105.4064771720286</v>
      </c>
      <c r="H7" s="45">
        <v>120</v>
      </c>
      <c r="I7" s="48">
        <v>4.6578240874641414</v>
      </c>
      <c r="J7" s="47"/>
      <c r="K7" s="45"/>
      <c r="L7" s="45"/>
      <c r="M7" s="45"/>
      <c r="N7" s="45"/>
      <c r="O7" s="45"/>
      <c r="P7" s="45"/>
      <c r="Q7" s="45"/>
      <c r="R7" s="45"/>
      <c r="S7" s="45"/>
      <c r="T7" s="45"/>
      <c r="U7" s="45">
        <v>3</v>
      </c>
      <c r="V7" s="45">
        <v>120</v>
      </c>
      <c r="W7" s="45">
        <v>4.6578240874641414</v>
      </c>
      <c r="X7" s="45"/>
      <c r="Y7" s="45"/>
      <c r="Z7" s="15">
        <v>0</v>
      </c>
      <c r="AA7" s="16">
        <v>1</v>
      </c>
      <c r="AB7" s="16">
        <v>1</v>
      </c>
      <c r="AC7" s="16">
        <v>1</v>
      </c>
      <c r="AD7" s="16">
        <v>1</v>
      </c>
    </row>
    <row r="8" spans="1:30" ht="15" customHeight="1" thickTop="1" thickBot="1" x14ac:dyDescent="0.3">
      <c r="A8" s="44" t="s">
        <v>81</v>
      </c>
      <c r="B8" s="44" t="s">
        <v>67</v>
      </c>
      <c r="C8" s="44" t="s">
        <v>68</v>
      </c>
      <c r="D8" s="44">
        <v>3721.4180000000001</v>
      </c>
      <c r="E8" s="44">
        <v>2499.7620000000002</v>
      </c>
      <c r="F8" s="44">
        <v>1.4887089250896686</v>
      </c>
      <c r="G8" s="44">
        <v>100.26603309442621</v>
      </c>
      <c r="H8" s="44">
        <v>60</v>
      </c>
      <c r="I8" s="49">
        <v>4.6078269845155315</v>
      </c>
      <c r="J8" s="46"/>
      <c r="K8" s="44"/>
      <c r="L8" s="44"/>
      <c r="M8" s="44"/>
      <c r="N8" s="44"/>
      <c r="O8" s="44"/>
      <c r="P8" s="44"/>
      <c r="Q8" s="44"/>
      <c r="R8" s="44"/>
      <c r="S8" s="44"/>
      <c r="T8" s="44"/>
      <c r="U8" s="44">
        <v>4</v>
      </c>
      <c r="V8" s="44">
        <v>60</v>
      </c>
      <c r="W8" s="44">
        <v>4.6078269845155315</v>
      </c>
      <c r="X8" s="44"/>
      <c r="Y8" s="44"/>
    </row>
    <row r="9" spans="1:30" ht="15" customHeight="1" x14ac:dyDescent="0.25">
      <c r="A9" s="45" t="s">
        <v>82</v>
      </c>
      <c r="B9" s="45" t="s">
        <v>67</v>
      </c>
      <c r="C9" s="45" t="s">
        <v>68</v>
      </c>
      <c r="D9" s="45">
        <v>3464.6109999999999</v>
      </c>
      <c r="E9" s="45">
        <v>2297.65</v>
      </c>
      <c r="F9" s="45">
        <v>1.5078932822666637</v>
      </c>
      <c r="G9" s="45">
        <v>88.22849239366127</v>
      </c>
      <c r="H9" s="45">
        <v>60</v>
      </c>
      <c r="I9" s="48">
        <v>4.4799299538576189</v>
      </c>
      <c r="J9" s="47"/>
      <c r="K9" s="45"/>
      <c r="L9" s="45"/>
      <c r="M9" s="45"/>
      <c r="N9" s="45"/>
      <c r="O9" s="45"/>
      <c r="P9" s="45"/>
      <c r="Q9" s="45"/>
      <c r="R9" s="45"/>
      <c r="S9" s="45"/>
      <c r="T9" s="45"/>
      <c r="U9" s="45">
        <v>5</v>
      </c>
      <c r="V9" s="45">
        <v>60</v>
      </c>
      <c r="W9" s="45">
        <v>4.4799299538576189</v>
      </c>
      <c r="X9" s="45"/>
      <c r="Y9" s="45"/>
      <c r="Z9" s="34" t="s">
        <v>108</v>
      </c>
      <c r="AA9" s="35">
        <v>-1.0354373708885713E-3</v>
      </c>
    </row>
    <row r="10" spans="1:30" ht="15" customHeight="1" x14ac:dyDescent="0.25">
      <c r="A10" s="44" t="s">
        <v>83</v>
      </c>
      <c r="B10" s="44" t="s">
        <v>67</v>
      </c>
      <c r="C10" s="44" t="s">
        <v>68</v>
      </c>
      <c r="D10" s="44">
        <v>3975.5790000000002</v>
      </c>
      <c r="E10" s="44">
        <v>2468.3850000000002</v>
      </c>
      <c r="F10" s="44">
        <v>1.6105992379632836</v>
      </c>
      <c r="G10" s="44">
        <v>121.63422382163394</v>
      </c>
      <c r="H10" s="44">
        <v>60</v>
      </c>
      <c r="I10" s="49">
        <v>0.80101837583518998</v>
      </c>
      <c r="J10" s="46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>
        <v>6</v>
      </c>
      <c r="V10" s="44">
        <v>60</v>
      </c>
      <c r="W10" s="44">
        <v>4.8010183758351932</v>
      </c>
      <c r="X10" s="44"/>
      <c r="Y10" s="44"/>
      <c r="Z10" s="36" t="s">
        <v>109</v>
      </c>
      <c r="AA10" s="37">
        <v>4.6553500925172031</v>
      </c>
    </row>
    <row r="11" spans="1:30" ht="15" customHeight="1" x14ac:dyDescent="0.25">
      <c r="A11" s="45" t="s">
        <v>78</v>
      </c>
      <c r="B11" s="45" t="s">
        <v>67</v>
      </c>
      <c r="C11" s="45" t="s">
        <v>68</v>
      </c>
      <c r="D11" s="45">
        <v>4047.22</v>
      </c>
      <c r="E11" s="45">
        <v>2595.2289999999998</v>
      </c>
      <c r="F11" s="45">
        <v>1.5594847314052056</v>
      </c>
      <c r="G11" s="45">
        <v>105.03336514960016</v>
      </c>
      <c r="H11" s="45">
        <v>30</v>
      </c>
      <c r="I11" s="48">
        <v>0.65427806301097002</v>
      </c>
      <c r="J11" s="4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>
        <v>7</v>
      </c>
      <c r="V11" s="45">
        <v>30</v>
      </c>
      <c r="W11" s="45">
        <v>4.6542780630109748</v>
      </c>
      <c r="X11" s="45"/>
      <c r="Y11" s="45"/>
      <c r="Z11" s="36" t="s">
        <v>110</v>
      </c>
      <c r="AA11" s="38">
        <v>0.14038035061051493</v>
      </c>
    </row>
    <row r="12" spans="1:30" ht="15" customHeight="1" x14ac:dyDescent="0.35">
      <c r="A12" s="44" t="s">
        <v>79</v>
      </c>
      <c r="B12" s="44" t="s">
        <v>67</v>
      </c>
      <c r="C12" s="44" t="s">
        <v>68</v>
      </c>
      <c r="D12" s="44">
        <v>4034.3069999999998</v>
      </c>
      <c r="E12" s="44">
        <v>2389.3069999999998</v>
      </c>
      <c r="F12" s="44">
        <v>1.6884841504252071</v>
      </c>
      <c r="G12" s="44">
        <v>98.796180363196612</v>
      </c>
      <c r="H12" s="44">
        <v>30</v>
      </c>
      <c r="I12" s="49">
        <v>4.5930589437149614</v>
      </c>
      <c r="J12" s="46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>
        <v>8</v>
      </c>
      <c r="V12" s="44">
        <v>30</v>
      </c>
      <c r="W12" s="44">
        <v>4.5930589437149614</v>
      </c>
      <c r="X12" s="44"/>
      <c r="Y12" s="44"/>
      <c r="Z12" s="36" t="s">
        <v>111</v>
      </c>
      <c r="AA12" s="39">
        <v>669.42453503017168</v>
      </c>
    </row>
    <row r="13" spans="1:30" ht="15" customHeight="1" x14ac:dyDescent="0.35">
      <c r="A13" s="45" t="s">
        <v>80</v>
      </c>
      <c r="B13" s="45" t="s">
        <v>67</v>
      </c>
      <c r="C13" s="45" t="s">
        <v>68</v>
      </c>
      <c r="D13" s="45">
        <v>3691.8649999999998</v>
      </c>
      <c r="E13" s="45">
        <v>2502.6460000000002</v>
      </c>
      <c r="F13" s="45">
        <v>1.4751846645510389</v>
      </c>
      <c r="G13" s="45">
        <v>111.40655354400171</v>
      </c>
      <c r="H13" s="45">
        <v>30</v>
      </c>
      <c r="I13" s="48">
        <v>4.7131861547035987</v>
      </c>
      <c r="J13" s="47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>
        <v>9</v>
      </c>
      <c r="V13" s="45">
        <v>30</v>
      </c>
      <c r="W13" s="45">
        <v>4.7131861547035987</v>
      </c>
      <c r="X13" s="45"/>
      <c r="Y13" s="45"/>
      <c r="Z13" s="36" t="s">
        <v>112</v>
      </c>
      <c r="AA13" s="37">
        <v>2.0708747417771427</v>
      </c>
    </row>
    <row r="14" spans="1:30" ht="15" customHeight="1" thickBot="1" x14ac:dyDescent="0.3">
      <c r="A14" s="44" t="s">
        <v>75</v>
      </c>
      <c r="B14" s="44" t="s">
        <v>67</v>
      </c>
      <c r="C14" s="44" t="s">
        <v>68</v>
      </c>
      <c r="D14" s="44">
        <v>4666.1120000000001</v>
      </c>
      <c r="E14" s="44">
        <v>2612.9180000000001</v>
      </c>
      <c r="F14" s="44">
        <v>1.7857858532108546</v>
      </c>
      <c r="G14" s="44">
        <v>120.27660501176555</v>
      </c>
      <c r="H14" s="44">
        <v>15</v>
      </c>
      <c r="I14" s="49">
        <v>4.7897941320133421</v>
      </c>
      <c r="J14" s="46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>
        <v>10</v>
      </c>
      <c r="V14" s="44">
        <v>15</v>
      </c>
      <c r="W14" s="44">
        <v>4.7897941320133421</v>
      </c>
      <c r="X14" s="44"/>
      <c r="Y14" s="44"/>
      <c r="Z14" s="40" t="s">
        <v>95</v>
      </c>
      <c r="AA14" s="41" t="s">
        <v>113</v>
      </c>
    </row>
    <row r="15" spans="1:30" ht="15" customHeight="1" x14ac:dyDescent="0.25">
      <c r="A15" s="45" t="s">
        <v>76</v>
      </c>
      <c r="B15" s="45" t="s">
        <v>67</v>
      </c>
      <c r="C15" s="45" t="s">
        <v>68</v>
      </c>
      <c r="D15" s="45">
        <v>4133.7860000000001</v>
      </c>
      <c r="E15" s="45">
        <v>2818.9789999999998</v>
      </c>
      <c r="F15" s="45">
        <v>1.4664124848038955</v>
      </c>
      <c r="G15" s="45">
        <v>85.801148592815323</v>
      </c>
      <c r="H15" s="45">
        <v>15</v>
      </c>
      <c r="I15" s="48">
        <v>4.452032393266963</v>
      </c>
      <c r="J15" s="47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>
        <v>11</v>
      </c>
      <c r="V15" s="45">
        <v>15</v>
      </c>
      <c r="W15" s="45">
        <v>4.452032393266963</v>
      </c>
      <c r="X15" s="45"/>
      <c r="Y15" s="45"/>
    </row>
    <row r="16" spans="1:30" ht="15" customHeight="1" x14ac:dyDescent="0.25">
      <c r="A16" s="44" t="s">
        <v>77</v>
      </c>
      <c r="B16" s="44" t="s">
        <v>67</v>
      </c>
      <c r="C16" s="44" t="s">
        <v>68</v>
      </c>
      <c r="D16" s="44">
        <v>4083.6260000000002</v>
      </c>
      <c r="E16" s="44">
        <v>2770.971</v>
      </c>
      <c r="F16" s="44">
        <v>1.4737166141399531</v>
      </c>
      <c r="G16" s="44">
        <v>111.29567378285653</v>
      </c>
      <c r="H16" s="44">
        <v>15</v>
      </c>
      <c r="I16" s="49">
        <v>4.7121903876505433</v>
      </c>
      <c r="J16" s="46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>
        <v>12</v>
      </c>
      <c r="V16" s="44">
        <v>15</v>
      </c>
      <c r="W16" s="44">
        <v>4.7121903876505433</v>
      </c>
      <c r="X16" s="44"/>
      <c r="Y16" s="44"/>
    </row>
    <row r="17" spans="1:30" ht="15" customHeight="1" x14ac:dyDescent="0.25">
      <c r="A17" s="45" t="s">
        <v>69</v>
      </c>
      <c r="B17" s="45" t="s">
        <v>67</v>
      </c>
      <c r="C17" s="45" t="s">
        <v>68</v>
      </c>
      <c r="D17" s="45">
        <v>3612.5770000000002</v>
      </c>
      <c r="E17" s="45">
        <v>2433.1060000000002</v>
      </c>
      <c r="F17" s="45">
        <v>1.4847593980697922</v>
      </c>
      <c r="G17" s="45">
        <v>100</v>
      </c>
      <c r="H17" s="45">
        <v>0</v>
      </c>
      <c r="I17" s="48">
        <v>4.6051701859880918</v>
      </c>
      <c r="J17" s="47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>
        <v>13</v>
      </c>
      <c r="V17" s="45">
        <v>0</v>
      </c>
      <c r="W17" s="45">
        <v>4.6051701859880918</v>
      </c>
      <c r="X17" s="45"/>
      <c r="Y17" s="45"/>
    </row>
    <row r="18" spans="1:30" ht="15" customHeight="1" x14ac:dyDescent="0.25">
      <c r="A18" s="44" t="s">
        <v>70</v>
      </c>
      <c r="B18" s="44" t="s">
        <v>67</v>
      </c>
      <c r="C18" s="44" t="s">
        <v>68</v>
      </c>
      <c r="D18" s="44">
        <v>4423.2629999999999</v>
      </c>
      <c r="E18" s="44">
        <v>2588.1320000000001</v>
      </c>
      <c r="F18" s="44">
        <v>1.7090561841513492</v>
      </c>
      <c r="G18" s="44">
        <v>100</v>
      </c>
      <c r="H18" s="44">
        <v>0</v>
      </c>
      <c r="I18" s="49">
        <f>0.60517018598809</f>
        <v>0.60517018598809003</v>
      </c>
      <c r="J18" s="46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>
        <v>14</v>
      </c>
      <c r="V18" s="44">
        <v>0</v>
      </c>
      <c r="W18" s="44">
        <v>4.6051701859880918</v>
      </c>
      <c r="X18" s="44"/>
      <c r="Y18" s="44"/>
    </row>
    <row r="19" spans="1:30" ht="15" customHeight="1" x14ac:dyDescent="0.25">
      <c r="A19" s="45" t="s">
        <v>71</v>
      </c>
      <c r="B19" s="45" t="s">
        <v>67</v>
      </c>
      <c r="C19" s="45" t="s">
        <v>68</v>
      </c>
      <c r="D19" s="45">
        <v>4112.4740000000002</v>
      </c>
      <c r="E19" s="45">
        <v>3105.7190000000001</v>
      </c>
      <c r="F19" s="45">
        <v>1.3241616514565548</v>
      </c>
      <c r="G19" s="45">
        <v>100</v>
      </c>
      <c r="H19" s="45">
        <v>0</v>
      </c>
      <c r="I19" s="48">
        <f>0.60517018598809</f>
        <v>0.60517018598809003</v>
      </c>
      <c r="J19" s="47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>
        <v>15</v>
      </c>
      <c r="V19" s="45">
        <v>0</v>
      </c>
      <c r="W19" s="45">
        <v>4.6051701859880918</v>
      </c>
      <c r="X19" s="45"/>
      <c r="Y19" s="45"/>
    </row>
    <row r="20" spans="1:30" ht="15" customHeight="1" x14ac:dyDescent="0.25">
      <c r="A20" s="45"/>
      <c r="B20" s="45"/>
      <c r="C20" s="45"/>
      <c r="D20" s="45"/>
      <c r="E20" s="45"/>
      <c r="F20" s="45"/>
      <c r="G20" s="45"/>
      <c r="H20" s="45"/>
      <c r="I20" s="48"/>
      <c r="J20" s="47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</row>
    <row r="21" spans="1:30" ht="15" customHeight="1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6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</row>
    <row r="22" spans="1:30" ht="15" customHeight="1" thickBot="1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7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</row>
    <row r="23" spans="1:30" ht="15" customHeight="1" thickTop="1" thickBot="1" x14ac:dyDescent="0.3">
      <c r="A23" s="44" t="s">
        <v>20</v>
      </c>
      <c r="B23" s="44" t="s">
        <v>21</v>
      </c>
      <c r="C23" s="44" t="s">
        <v>22</v>
      </c>
      <c r="D23" s="44">
        <v>1.9E-2</v>
      </c>
      <c r="E23" s="44">
        <v>23900.384999999998</v>
      </c>
      <c r="F23" s="44">
        <v>7.9496627355584447E-7</v>
      </c>
      <c r="G23" s="44"/>
      <c r="H23" s="44"/>
      <c r="I23" s="44"/>
      <c r="J23" s="46"/>
      <c r="K23" s="44"/>
      <c r="L23" s="44"/>
      <c r="M23" s="44"/>
      <c r="N23" s="44"/>
      <c r="O23" s="44"/>
      <c r="P23" s="44"/>
      <c r="Q23" s="44"/>
      <c r="R23" s="44" t="s">
        <v>116</v>
      </c>
      <c r="S23" s="44"/>
      <c r="T23" s="44">
        <v>13</v>
      </c>
      <c r="U23" s="44"/>
      <c r="V23" s="44"/>
      <c r="W23" s="44"/>
      <c r="X23" s="44"/>
      <c r="Y23" s="44"/>
      <c r="Z23" s="11" t="s">
        <v>102</v>
      </c>
      <c r="AA23" s="11" t="s">
        <v>104</v>
      </c>
      <c r="AB23" s="11" t="s">
        <v>105</v>
      </c>
      <c r="AC23" s="11" t="s">
        <v>106</v>
      </c>
      <c r="AD23" s="11" t="s">
        <v>107</v>
      </c>
    </row>
    <row r="24" spans="1:30" ht="15" customHeight="1" thickTop="1" x14ac:dyDescent="0.25">
      <c r="A24" s="45" t="s">
        <v>24</v>
      </c>
      <c r="B24" s="45" t="s">
        <v>21</v>
      </c>
      <c r="C24" s="45" t="s">
        <v>22</v>
      </c>
      <c r="D24" s="45">
        <v>0.77200000000000002</v>
      </c>
      <c r="E24" s="45">
        <v>22970.811000000002</v>
      </c>
      <c r="F24" s="45">
        <v>3.3607868699106876E-5</v>
      </c>
      <c r="G24" s="45"/>
      <c r="H24" s="45"/>
      <c r="I24" s="45"/>
      <c r="J24" s="47"/>
      <c r="K24" s="45"/>
      <c r="L24" s="45"/>
      <c r="M24" s="45"/>
      <c r="N24" s="45"/>
      <c r="O24" s="45"/>
      <c r="P24" s="45"/>
      <c r="Q24" s="45"/>
      <c r="R24" s="45" t="s">
        <v>102</v>
      </c>
      <c r="S24" s="45"/>
      <c r="T24" s="45">
        <v>233</v>
      </c>
      <c r="U24" s="45"/>
      <c r="V24" s="45"/>
      <c r="W24" s="45"/>
      <c r="X24" s="45"/>
      <c r="Y24" s="45"/>
      <c r="Z24" s="12">
        <v>120</v>
      </c>
      <c r="AA24" s="18" t="s">
        <v>120</v>
      </c>
      <c r="AB24" s="18" t="s">
        <v>121</v>
      </c>
      <c r="AC24" s="18" t="s">
        <v>119</v>
      </c>
      <c r="AD24" s="18" t="s">
        <v>118</v>
      </c>
    </row>
    <row r="25" spans="1:30" ht="15" customHeight="1" x14ac:dyDescent="0.25">
      <c r="A25" s="44" t="s">
        <v>26</v>
      </c>
      <c r="B25" s="44" t="s">
        <v>21</v>
      </c>
      <c r="C25" s="44" t="s">
        <v>22</v>
      </c>
      <c r="D25" s="44">
        <v>2.4E-2</v>
      </c>
      <c r="E25" s="44">
        <v>23638.438999999998</v>
      </c>
      <c r="F25" s="44">
        <v>1.0152954685374953E-6</v>
      </c>
      <c r="G25" s="44"/>
      <c r="H25" s="44"/>
      <c r="I25" s="44"/>
      <c r="J25" s="46"/>
      <c r="K25" s="44"/>
      <c r="L25" s="44"/>
      <c r="M25" s="44"/>
      <c r="N25" s="44"/>
      <c r="O25" s="44"/>
      <c r="P25" s="44"/>
      <c r="Q25" s="44"/>
      <c r="R25" s="44" t="s">
        <v>103</v>
      </c>
      <c r="S25" s="44"/>
      <c r="T25" s="44">
        <v>247</v>
      </c>
      <c r="U25" s="44"/>
      <c r="V25" s="44"/>
      <c r="W25" s="44"/>
      <c r="X25" s="44"/>
      <c r="Y25" s="44"/>
      <c r="Z25" s="12">
        <v>60</v>
      </c>
      <c r="AA25" s="17">
        <v>5.1356964884275651E-2</v>
      </c>
      <c r="AB25" s="17">
        <v>4.8256783539387477E-2</v>
      </c>
      <c r="AC25" s="17">
        <v>4.277770867642481E-2</v>
      </c>
      <c r="AD25" s="17">
        <v>4.7463819033362643E-2</v>
      </c>
    </row>
    <row r="26" spans="1:30" ht="15" customHeight="1" x14ac:dyDescent="0.25">
      <c r="A26" s="45" t="s">
        <v>30</v>
      </c>
      <c r="B26" s="45" t="s">
        <v>21</v>
      </c>
      <c r="C26" s="45" t="s">
        <v>22</v>
      </c>
      <c r="D26" s="45">
        <v>380.04399999999998</v>
      </c>
      <c r="E26" s="45">
        <v>22322.879000000001</v>
      </c>
      <c r="F26" s="45">
        <v>1.7024864937896227E-2</v>
      </c>
      <c r="G26" s="45">
        <v>0.68226359096191902</v>
      </c>
      <c r="H26" s="45">
        <v>120</v>
      </c>
      <c r="I26" s="48" t="s">
        <v>122</v>
      </c>
      <c r="J26" s="47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 t="s">
        <v>118</v>
      </c>
      <c r="V26" s="45">
        <v>60</v>
      </c>
      <c r="W26" s="45">
        <v>1.6362154697091582</v>
      </c>
      <c r="X26" s="45"/>
      <c r="Y26" s="45"/>
      <c r="Z26" s="12">
        <v>30</v>
      </c>
      <c r="AA26" s="13">
        <v>0.18195968592709297</v>
      </c>
      <c r="AB26" s="13">
        <v>0.20303361619739452</v>
      </c>
      <c r="AC26" s="13">
        <v>0.1906913366911443</v>
      </c>
      <c r="AD26" s="13">
        <v>0.19189487960521059</v>
      </c>
    </row>
    <row r="27" spans="1:30" ht="15" customHeight="1" x14ac:dyDescent="0.25">
      <c r="A27" s="44" t="s">
        <v>31</v>
      </c>
      <c r="B27" s="44" t="s">
        <v>21</v>
      </c>
      <c r="C27" s="44" t="s">
        <v>22</v>
      </c>
      <c r="D27" s="44">
        <v>256.50200000000001</v>
      </c>
      <c r="E27" s="44">
        <v>21369.228999999999</v>
      </c>
      <c r="F27" s="44">
        <v>1.2003334327129913E-2</v>
      </c>
      <c r="G27" s="44">
        <v>0.46973770544608617</v>
      </c>
      <c r="H27" s="44">
        <v>120</v>
      </c>
      <c r="I27" s="49" t="s">
        <v>123</v>
      </c>
      <c r="J27" s="46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 t="s">
        <v>118</v>
      </c>
      <c r="V27" s="44">
        <v>60</v>
      </c>
      <c r="W27" s="44">
        <v>1.5739513163987877</v>
      </c>
      <c r="X27" s="44"/>
      <c r="Y27" s="44"/>
      <c r="Z27" s="12">
        <v>15</v>
      </c>
      <c r="AA27" s="13">
        <v>0.68207368343122166</v>
      </c>
      <c r="AB27" s="13">
        <v>0.6794337772247141</v>
      </c>
      <c r="AC27" s="13">
        <v>0.566820854765126</v>
      </c>
      <c r="AD27" s="13">
        <v>0.64277610514035388</v>
      </c>
    </row>
    <row r="28" spans="1:30" ht="15" customHeight="1" thickBot="1" x14ac:dyDescent="0.3">
      <c r="A28" s="45" t="s">
        <v>32</v>
      </c>
      <c r="B28" s="45" t="s">
        <v>21</v>
      </c>
      <c r="C28" s="45" t="s">
        <v>22</v>
      </c>
      <c r="D28" s="45">
        <v>334.47699999999998</v>
      </c>
      <c r="E28" s="45">
        <v>23001.601999999999</v>
      </c>
      <c r="F28" s="45">
        <v>1.4541465416191446E-2</v>
      </c>
      <c r="G28" s="45">
        <v>0.52784078225726883</v>
      </c>
      <c r="H28" s="45">
        <v>120</v>
      </c>
      <c r="I28" s="48" t="s">
        <v>124</v>
      </c>
      <c r="J28" s="47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 t="s">
        <v>118</v>
      </c>
      <c r="V28" s="45">
        <v>60</v>
      </c>
      <c r="W28" s="45">
        <v>1.4534320485999113</v>
      </c>
      <c r="X28" s="45"/>
      <c r="Y28" s="45"/>
      <c r="Z28" s="15">
        <v>0</v>
      </c>
      <c r="AA28" s="16">
        <v>1</v>
      </c>
      <c r="AB28" s="16">
        <v>1</v>
      </c>
      <c r="AC28" s="16">
        <v>1</v>
      </c>
      <c r="AD28" s="16">
        <v>1</v>
      </c>
    </row>
    <row r="29" spans="1:30" ht="15" customHeight="1" thickTop="1" thickBot="1" x14ac:dyDescent="0.3">
      <c r="A29" s="44" t="s">
        <v>39</v>
      </c>
      <c r="B29" s="44" t="s">
        <v>21</v>
      </c>
      <c r="C29" s="44" t="s">
        <v>22</v>
      </c>
      <c r="D29" s="44">
        <v>2009.1120000000001</v>
      </c>
      <c r="E29" s="44">
        <v>15686.807000000001</v>
      </c>
      <c r="F29" s="44">
        <v>0.12807654228167656</v>
      </c>
      <c r="G29" s="44">
        <v>5.1356964884275653</v>
      </c>
      <c r="H29" s="44">
        <v>60</v>
      </c>
      <c r="I29" s="49">
        <v>1.6362154697091582</v>
      </c>
      <c r="J29" s="46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>
        <v>4</v>
      </c>
      <c r="V29" s="44">
        <v>30</v>
      </c>
      <c r="W29" s="44">
        <v>2.901200063651602</v>
      </c>
      <c r="X29" s="44"/>
      <c r="Y29" s="44"/>
    </row>
    <row r="30" spans="1:30" ht="15" customHeight="1" x14ac:dyDescent="0.25">
      <c r="A30" s="45" t="s">
        <v>40</v>
      </c>
      <c r="B30" s="45" t="s">
        <v>21</v>
      </c>
      <c r="C30" s="45" t="s">
        <v>22</v>
      </c>
      <c r="D30" s="45">
        <v>2378.7550000000001</v>
      </c>
      <c r="E30" s="45">
        <v>19307.703000000001</v>
      </c>
      <c r="F30" s="45">
        <v>0.12320238197158927</v>
      </c>
      <c r="G30" s="45">
        <v>4.8256783539387476</v>
      </c>
      <c r="H30" s="45">
        <v>60</v>
      </c>
      <c r="I30" s="48">
        <v>1.5739513163987877</v>
      </c>
      <c r="J30" s="47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>
        <v>5</v>
      </c>
      <c r="V30" s="45">
        <v>30</v>
      </c>
      <c r="W30" s="45">
        <v>3.0107864693695667</v>
      </c>
      <c r="X30" s="45"/>
      <c r="Y30" s="45"/>
      <c r="Z30" s="34" t="s">
        <v>108</v>
      </c>
      <c r="AA30" s="43">
        <v>-5.2896624333828635E-2</v>
      </c>
    </row>
    <row r="31" spans="1:30" ht="15" customHeight="1" x14ac:dyDescent="0.25">
      <c r="A31" s="44" t="s">
        <v>41</v>
      </c>
      <c r="B31" s="44" t="s">
        <v>21</v>
      </c>
      <c r="C31" s="44" t="s">
        <v>22</v>
      </c>
      <c r="D31" s="44">
        <v>2090.4349999999999</v>
      </c>
      <c r="E31" s="44">
        <v>17751.011999999999</v>
      </c>
      <c r="F31" s="44">
        <v>0.11776427169335472</v>
      </c>
      <c r="G31" s="44">
        <v>4.2777708676424808</v>
      </c>
      <c r="H31" s="44">
        <v>60</v>
      </c>
      <c r="I31" s="49">
        <v>1.4534320485999113</v>
      </c>
      <c r="J31" s="46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>
        <v>6</v>
      </c>
      <c r="V31" s="44">
        <v>30</v>
      </c>
      <c r="W31" s="44">
        <v>2.9480709895879733</v>
      </c>
      <c r="X31" s="44"/>
      <c r="Y31" s="44"/>
      <c r="Z31" s="36" t="s">
        <v>109</v>
      </c>
      <c r="AA31" s="37">
        <v>4.7066907554533861</v>
      </c>
    </row>
    <row r="32" spans="1:30" ht="15" customHeight="1" x14ac:dyDescent="0.25">
      <c r="A32" s="45" t="s">
        <v>36</v>
      </c>
      <c r="B32" s="45" t="s">
        <v>21</v>
      </c>
      <c r="C32" s="45" t="s">
        <v>22</v>
      </c>
      <c r="D32" s="45">
        <v>8780.2009999999991</v>
      </c>
      <c r="E32" s="45">
        <v>19350.303</v>
      </c>
      <c r="F32" s="45">
        <v>0.45375005238936045</v>
      </c>
      <c r="G32" s="45">
        <v>18.195968592709296</v>
      </c>
      <c r="H32" s="45">
        <v>30</v>
      </c>
      <c r="I32" s="48">
        <v>2.901200063651602</v>
      </c>
      <c r="J32" s="47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>
        <v>7</v>
      </c>
      <c r="V32" s="45">
        <v>15</v>
      </c>
      <c r="W32" s="45">
        <v>4.2225525992352244</v>
      </c>
      <c r="X32" s="45"/>
      <c r="Y32" s="45"/>
      <c r="Z32" s="36" t="s">
        <v>110</v>
      </c>
      <c r="AA32" s="38">
        <v>0.97965870758352658</v>
      </c>
    </row>
    <row r="33" spans="1:27" ht="15" customHeight="1" x14ac:dyDescent="0.35">
      <c r="A33" s="44" t="s">
        <v>37</v>
      </c>
      <c r="B33" s="44" t="s">
        <v>21</v>
      </c>
      <c r="C33" s="44" t="s">
        <v>22</v>
      </c>
      <c r="D33" s="44">
        <v>10967.168</v>
      </c>
      <c r="E33" s="44">
        <v>21159.116999999998</v>
      </c>
      <c r="F33" s="44">
        <v>0.51831879373794287</v>
      </c>
      <c r="G33" s="44">
        <v>20.303361619739452</v>
      </c>
      <c r="H33" s="44">
        <v>30</v>
      </c>
      <c r="I33" s="49">
        <v>3.0107864693695667</v>
      </c>
      <c r="J33" s="46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>
        <v>8</v>
      </c>
      <c r="V33" s="44">
        <v>15</v>
      </c>
      <c r="W33" s="44">
        <v>4.2186746777531967</v>
      </c>
      <c r="X33" s="44"/>
      <c r="Y33" s="44"/>
      <c r="Z33" s="36" t="s">
        <v>111</v>
      </c>
      <c r="AA33" s="42">
        <v>13.103807460104054</v>
      </c>
    </row>
    <row r="34" spans="1:27" ht="15" customHeight="1" x14ac:dyDescent="0.35">
      <c r="A34" s="45" t="s">
        <v>38</v>
      </c>
      <c r="B34" s="45" t="s">
        <v>21</v>
      </c>
      <c r="C34" s="45" t="s">
        <v>22</v>
      </c>
      <c r="D34" s="45">
        <v>9831.64</v>
      </c>
      <c r="E34" s="45">
        <v>18729.782999999999</v>
      </c>
      <c r="F34" s="45">
        <v>0.52492012320698</v>
      </c>
      <c r="G34" s="45">
        <v>19.069133669114429</v>
      </c>
      <c r="H34" s="45">
        <v>30</v>
      </c>
      <c r="I34" s="48">
        <v>2.9480709895879733</v>
      </c>
      <c r="J34" s="47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>
        <v>9</v>
      </c>
      <c r="V34" s="45">
        <v>15</v>
      </c>
      <c r="W34" s="45">
        <v>4.0374582080149137</v>
      </c>
      <c r="X34" s="45"/>
      <c r="Y34" s="45"/>
      <c r="Z34" s="36" t="s">
        <v>112</v>
      </c>
      <c r="AA34" s="42">
        <v>105.79324866765727</v>
      </c>
    </row>
    <row r="35" spans="1:27" ht="15" customHeight="1" thickBot="1" x14ac:dyDescent="0.3">
      <c r="A35" s="44" t="s">
        <v>33</v>
      </c>
      <c r="B35" s="44" t="s">
        <v>21</v>
      </c>
      <c r="C35" s="44" t="s">
        <v>22</v>
      </c>
      <c r="D35" s="44">
        <v>40368.078000000001</v>
      </c>
      <c r="E35" s="44">
        <v>23734.143</v>
      </c>
      <c r="F35" s="44">
        <v>1.7008441383369099</v>
      </c>
      <c r="G35" s="44">
        <v>68.20736834312217</v>
      </c>
      <c r="H35" s="44">
        <v>15</v>
      </c>
      <c r="I35" s="49">
        <v>4.2225525992352244</v>
      </c>
      <c r="J35" s="46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>
        <v>10</v>
      </c>
      <c r="V35" s="44">
        <v>0</v>
      </c>
      <c r="W35" s="44">
        <v>4.6051701859880918</v>
      </c>
      <c r="X35" s="44"/>
      <c r="Y35" s="44"/>
      <c r="Z35" s="40" t="s">
        <v>95</v>
      </c>
      <c r="AA35" s="41" t="s">
        <v>117</v>
      </c>
    </row>
    <row r="36" spans="1:27" ht="15" customHeight="1" x14ac:dyDescent="0.25">
      <c r="A36" s="45" t="s">
        <v>34</v>
      </c>
      <c r="B36" s="45" t="s">
        <v>21</v>
      </c>
      <c r="C36" s="45" t="s">
        <v>22</v>
      </c>
      <c r="D36" s="45">
        <v>36113.949000000001</v>
      </c>
      <c r="E36" s="45">
        <v>20821.201000000001</v>
      </c>
      <c r="F36" s="45">
        <v>1.7344796296813041</v>
      </c>
      <c r="G36" s="45">
        <v>67.943377722471411</v>
      </c>
      <c r="H36" s="45">
        <v>15</v>
      </c>
      <c r="I36" s="48">
        <v>4.2186746777531967</v>
      </c>
      <c r="J36" s="47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>
        <v>11</v>
      </c>
      <c r="V36" s="45">
        <v>0</v>
      </c>
      <c r="W36" s="45">
        <v>4.6051701859880918</v>
      </c>
      <c r="X36" s="45"/>
      <c r="Y36" s="45"/>
    </row>
    <row r="37" spans="1:27" ht="15" customHeight="1" x14ac:dyDescent="0.25">
      <c r="A37" s="44" t="s">
        <v>35</v>
      </c>
      <c r="B37" s="44" t="s">
        <v>21</v>
      </c>
      <c r="C37" s="44" t="s">
        <v>22</v>
      </c>
      <c r="D37" s="44">
        <v>33559.093999999997</v>
      </c>
      <c r="E37" s="44">
        <v>21508.425999999999</v>
      </c>
      <c r="F37" s="44">
        <v>1.5602766097342502</v>
      </c>
      <c r="G37" s="44">
        <v>56.682085476512597</v>
      </c>
      <c r="H37" s="44">
        <v>15</v>
      </c>
      <c r="I37" s="49">
        <v>4.0374582080149137</v>
      </c>
      <c r="J37" s="46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>
        <v>12</v>
      </c>
      <c r="V37" s="44">
        <v>0</v>
      </c>
      <c r="W37" s="44">
        <v>4.6051701859880918</v>
      </c>
      <c r="X37" s="44"/>
      <c r="Y37" s="44"/>
    </row>
    <row r="38" spans="1:27" ht="15" customHeight="1" x14ac:dyDescent="0.25">
      <c r="A38" s="45" t="s">
        <v>27</v>
      </c>
      <c r="B38" s="45" t="s">
        <v>21</v>
      </c>
      <c r="C38" s="45" t="s">
        <v>22</v>
      </c>
      <c r="D38" s="45">
        <v>58095.218999999997</v>
      </c>
      <c r="E38" s="45">
        <v>23297.436000000002</v>
      </c>
      <c r="F38" s="45">
        <v>2.4936314451083801</v>
      </c>
      <c r="G38" s="45">
        <v>100</v>
      </c>
      <c r="H38" s="45">
        <v>0</v>
      </c>
      <c r="I38" s="48">
        <v>4.6051701859880918</v>
      </c>
      <c r="J38" s="47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>
        <v>13</v>
      </c>
      <c r="V38" s="45" t="s">
        <v>118</v>
      </c>
      <c r="W38" s="45" t="s">
        <v>118</v>
      </c>
      <c r="X38" s="45"/>
      <c r="Y38" s="45"/>
    </row>
    <row r="39" spans="1:27" ht="15" customHeight="1" x14ac:dyDescent="0.25">
      <c r="A39" s="44" t="s">
        <v>28</v>
      </c>
      <c r="B39" s="44" t="s">
        <v>21</v>
      </c>
      <c r="C39" s="44" t="s">
        <v>22</v>
      </c>
      <c r="D39" s="44">
        <v>53600.917999999998</v>
      </c>
      <c r="E39" s="44">
        <v>20996.703000000001</v>
      </c>
      <c r="F39" s="44">
        <v>2.5528254602639278</v>
      </c>
      <c r="G39" s="44">
        <v>100</v>
      </c>
      <c r="H39" s="44">
        <v>0</v>
      </c>
      <c r="I39" s="49">
        <v>4.6051701859880918</v>
      </c>
      <c r="J39" s="46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>
        <v>14</v>
      </c>
      <c r="V39" s="44" t="s">
        <v>118</v>
      </c>
      <c r="W39" s="44" t="s">
        <v>118</v>
      </c>
      <c r="X39" s="44"/>
      <c r="Y39" s="44"/>
    </row>
    <row r="40" spans="1:27" ht="15" customHeight="1" x14ac:dyDescent="0.25">
      <c r="A40" s="45" t="s">
        <v>29</v>
      </c>
      <c r="B40" s="45" t="s">
        <v>21</v>
      </c>
      <c r="C40" s="45" t="s">
        <v>22</v>
      </c>
      <c r="D40" s="45">
        <v>56835.741999999998</v>
      </c>
      <c r="E40" s="45">
        <v>20647.486000000001</v>
      </c>
      <c r="F40" s="45">
        <v>2.7526712937352276</v>
      </c>
      <c r="G40" s="45">
        <v>100</v>
      </c>
      <c r="H40" s="45">
        <v>0</v>
      </c>
      <c r="I40" s="48">
        <v>4.6051701859880918</v>
      </c>
      <c r="J40" s="47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>
        <v>15</v>
      </c>
      <c r="V40" s="45" t="s">
        <v>118</v>
      </c>
      <c r="W40" s="45" t="s">
        <v>118</v>
      </c>
      <c r="X40" s="45"/>
      <c r="Y40" s="45"/>
    </row>
    <row r="43" spans="1:27" ht="15" customHeight="1" x14ac:dyDescent="0.25">
      <c r="D43"/>
      <c r="E43"/>
      <c r="F43"/>
    </row>
    <row r="44" spans="1:27" ht="15" customHeight="1" x14ac:dyDescent="0.25">
      <c r="D44"/>
      <c r="E44"/>
      <c r="F44"/>
    </row>
    <row r="45" spans="1:27" ht="15" customHeight="1" x14ac:dyDescent="0.25">
      <c r="D45"/>
    </row>
  </sheetData>
  <sortState ref="A2:L235">
    <sortCondition ref="H2:H235"/>
    <sortCondition ref="L2:L235"/>
    <sortCondition ref="B2:B235"/>
    <sortCondition ref="G2:G235"/>
    <sortCondition descending="1" ref="J2:J235"/>
    <sortCondition ref="K2:K235"/>
  </sortState>
  <conditionalFormatting sqref="I5">
    <cfRule type="expression" dxfId="525" priority="455">
      <formula>ISTEXT($I$5)</formula>
    </cfRule>
  </conditionalFormatting>
  <conditionalFormatting sqref="I6">
    <cfRule type="expression" dxfId="524" priority="454">
      <formula>ISTEXT($I$6)</formula>
    </cfRule>
  </conditionalFormatting>
  <conditionalFormatting sqref="I7">
    <cfRule type="expression" dxfId="523" priority="453">
      <formula>ISTEXT($I$7)</formula>
    </cfRule>
  </conditionalFormatting>
  <conditionalFormatting sqref="I8">
    <cfRule type="expression" dxfId="522" priority="452">
      <formula>ISTEXT($I$8)</formula>
    </cfRule>
  </conditionalFormatting>
  <conditionalFormatting sqref="I9">
    <cfRule type="expression" dxfId="521" priority="451">
      <formula>ISTEXT($I$9)</formula>
    </cfRule>
  </conditionalFormatting>
  <conditionalFormatting sqref="I10">
    <cfRule type="expression" dxfId="520" priority="450">
      <formula>ISTEXT($I$10)</formula>
    </cfRule>
  </conditionalFormatting>
  <conditionalFormatting sqref="I11">
    <cfRule type="expression" dxfId="519" priority="449">
      <formula>ISTEXT($I$11)</formula>
    </cfRule>
  </conditionalFormatting>
  <conditionalFormatting sqref="I12">
    <cfRule type="expression" dxfId="518" priority="448">
      <formula>ISTEXT($I$12)</formula>
    </cfRule>
  </conditionalFormatting>
  <conditionalFormatting sqref="I13">
    <cfRule type="expression" dxfId="517" priority="447">
      <formula>ISTEXT($I$13)</formula>
    </cfRule>
  </conditionalFormatting>
  <conditionalFormatting sqref="I14">
    <cfRule type="expression" dxfId="516" priority="446">
      <formula>ISTEXT($I$14)</formula>
    </cfRule>
  </conditionalFormatting>
  <conditionalFormatting sqref="I15">
    <cfRule type="expression" dxfId="515" priority="445">
      <formula>ISTEXT($I$15)</formula>
    </cfRule>
  </conditionalFormatting>
  <conditionalFormatting sqref="I16">
    <cfRule type="expression" dxfId="514" priority="444">
      <formula>ISTEXT($I$16)</formula>
    </cfRule>
  </conditionalFormatting>
  <conditionalFormatting sqref="I17">
    <cfRule type="expression" dxfId="513" priority="443">
      <formula>ISTEXT($I$17)</formula>
    </cfRule>
  </conditionalFormatting>
  <conditionalFormatting sqref="I18">
    <cfRule type="expression" dxfId="512" priority="442">
      <formula>ISTEXT($I$18)</formula>
    </cfRule>
  </conditionalFormatting>
  <conditionalFormatting sqref="I19:I20">
    <cfRule type="expression" dxfId="511" priority="441">
      <formula>ISTEXT($I$19)</formula>
    </cfRule>
  </conditionalFormatting>
  <conditionalFormatting sqref="I26">
    <cfRule type="expression" dxfId="510" priority="275">
      <formula>ISTEXT($I$26)</formula>
    </cfRule>
  </conditionalFormatting>
  <conditionalFormatting sqref="I27">
    <cfRule type="expression" dxfId="509" priority="274">
      <formula>ISTEXT($I$27)</formula>
    </cfRule>
  </conditionalFormatting>
  <conditionalFormatting sqref="I28">
    <cfRule type="expression" dxfId="508" priority="273">
      <formula>ISTEXT($I$28)</formula>
    </cfRule>
  </conditionalFormatting>
  <conditionalFormatting sqref="I29">
    <cfRule type="expression" dxfId="507" priority="272">
      <formula>ISTEXT($I$29)</formula>
    </cfRule>
  </conditionalFormatting>
  <conditionalFormatting sqref="I30">
    <cfRule type="expression" dxfId="506" priority="271">
      <formula>ISTEXT($I$30)</formula>
    </cfRule>
  </conditionalFormatting>
  <conditionalFormatting sqref="I31">
    <cfRule type="expression" dxfId="505" priority="270">
      <formula>ISTEXT($I$31)</formula>
    </cfRule>
  </conditionalFormatting>
  <conditionalFormatting sqref="I32">
    <cfRule type="expression" dxfId="504" priority="269">
      <formula>ISTEXT($I$32)</formula>
    </cfRule>
  </conditionalFormatting>
  <conditionalFormatting sqref="I33">
    <cfRule type="expression" dxfId="503" priority="268">
      <formula>ISTEXT($I$33)</formula>
    </cfRule>
  </conditionalFormatting>
  <conditionalFormatting sqref="I34">
    <cfRule type="expression" dxfId="502" priority="267">
      <formula>ISTEXT($I$34)</formula>
    </cfRule>
  </conditionalFormatting>
  <conditionalFormatting sqref="I35">
    <cfRule type="expression" dxfId="501" priority="266">
      <formula>ISTEXT($I$35)</formula>
    </cfRule>
  </conditionalFormatting>
  <conditionalFormatting sqref="I36">
    <cfRule type="expression" dxfId="500" priority="265">
      <formula>ISTEXT($I$36)</formula>
    </cfRule>
  </conditionalFormatting>
  <conditionalFormatting sqref="I37">
    <cfRule type="expression" dxfId="499" priority="264">
      <formula>ISTEXT($I$37)</formula>
    </cfRule>
  </conditionalFormatting>
  <conditionalFormatting sqref="I38">
    <cfRule type="expression" dxfId="498" priority="263">
      <formula>ISTEXT($I$38)</formula>
    </cfRule>
  </conditionalFormatting>
  <conditionalFormatting sqref="I39">
    <cfRule type="expression" dxfId="497" priority="262">
      <formula>ISTEXT($I$39)</formula>
    </cfRule>
  </conditionalFormatting>
  <conditionalFormatting sqref="I40">
    <cfRule type="expression" dxfId="496" priority="261">
      <formula>ISTEXT($I$40)</formula>
    </cfRule>
  </conditionalFormatting>
  <conditionalFormatting sqref="AA3">
    <cfRule type="expression" dxfId="495" priority="260">
      <formula>ISTEXT($AA$3)</formula>
    </cfRule>
  </conditionalFormatting>
  <conditionalFormatting sqref="AB3">
    <cfRule type="expression" dxfId="494" priority="259">
      <formula>ISTEXT($AB$3)</formula>
    </cfRule>
  </conditionalFormatting>
  <conditionalFormatting sqref="AC3">
    <cfRule type="expression" dxfId="493" priority="258">
      <formula>ISTEXT($AC$3)</formula>
    </cfRule>
  </conditionalFormatting>
  <conditionalFormatting sqref="AD3">
    <cfRule type="expression" dxfId="492" priority="257">
      <formula>ISTEXT($AD$3)</formula>
    </cfRule>
  </conditionalFormatting>
  <conditionalFormatting sqref="AA4">
    <cfRule type="expression" dxfId="491" priority="256">
      <formula>ISTEXT($AA$4)</formula>
    </cfRule>
  </conditionalFormatting>
  <conditionalFormatting sqref="AB4">
    <cfRule type="expression" dxfId="490" priority="255">
      <formula>ISTEXT($AB$4)</formula>
    </cfRule>
  </conditionalFormatting>
  <conditionalFormatting sqref="AC4">
    <cfRule type="expression" dxfId="489" priority="254">
      <formula>ISTEXT($AC$4)</formula>
    </cfRule>
  </conditionalFormatting>
  <conditionalFormatting sqref="AD4">
    <cfRule type="expression" dxfId="488" priority="253">
      <formula>ISTEXT($AD$4)</formula>
    </cfRule>
  </conditionalFormatting>
  <conditionalFormatting sqref="AA5">
    <cfRule type="expression" dxfId="487" priority="252">
      <formula>ISTEXT($AA$5)</formula>
    </cfRule>
  </conditionalFormatting>
  <conditionalFormatting sqref="AB5">
    <cfRule type="expression" dxfId="486" priority="251">
      <formula>ISTEXT($AB$5)</formula>
    </cfRule>
  </conditionalFormatting>
  <conditionalFormatting sqref="AC5">
    <cfRule type="expression" dxfId="485" priority="250">
      <formula>ISTEXT($AC$5)</formula>
    </cfRule>
  </conditionalFormatting>
  <conditionalFormatting sqref="AD5">
    <cfRule type="expression" dxfId="484" priority="249">
      <formula>ISTEXT($AD$5)</formula>
    </cfRule>
  </conditionalFormatting>
  <conditionalFormatting sqref="AA6">
    <cfRule type="expression" dxfId="483" priority="248">
      <formula>ISTEXT($AA$6)</formula>
    </cfRule>
  </conditionalFormatting>
  <conditionalFormatting sqref="AB6">
    <cfRule type="expression" dxfId="482" priority="247">
      <formula>ISTEXT($AB$6)</formula>
    </cfRule>
  </conditionalFormatting>
  <conditionalFormatting sqref="AC6">
    <cfRule type="expression" dxfId="481" priority="246">
      <formula>ISTEXT($AC$6)</formula>
    </cfRule>
  </conditionalFormatting>
  <conditionalFormatting sqref="AD6">
    <cfRule type="expression" dxfId="480" priority="245">
      <formula>ISTEXT($AD$6)</formula>
    </cfRule>
  </conditionalFormatting>
  <conditionalFormatting sqref="AA7">
    <cfRule type="expression" dxfId="479" priority="244">
      <formula>ISTEXT($AA$7)</formula>
    </cfRule>
  </conditionalFormatting>
  <conditionalFormatting sqref="AB7">
    <cfRule type="expression" dxfId="478" priority="243">
      <formula>ISTEXT($AB$7)</formula>
    </cfRule>
  </conditionalFormatting>
  <conditionalFormatting sqref="AC7">
    <cfRule type="expression" dxfId="477" priority="242">
      <formula>ISTEXT($AC$7)</formula>
    </cfRule>
  </conditionalFormatting>
  <conditionalFormatting sqref="AD7">
    <cfRule type="expression" dxfId="476" priority="241">
      <formula>ISTEXT($AD$7)</formula>
    </cfRule>
  </conditionalFormatting>
  <conditionalFormatting sqref="AA24">
    <cfRule type="expression" dxfId="475" priority="20">
      <formula>ISTEXT($AA$24)</formula>
    </cfRule>
  </conditionalFormatting>
  <conditionalFormatting sqref="AB24">
    <cfRule type="expression" dxfId="474" priority="19">
      <formula>ISTEXT($AB$24)</formula>
    </cfRule>
  </conditionalFormatting>
  <conditionalFormatting sqref="AC24">
    <cfRule type="expression" dxfId="473" priority="18">
      <formula>ISTEXT($AC$24)</formula>
    </cfRule>
  </conditionalFormatting>
  <conditionalFormatting sqref="AD24">
    <cfRule type="expression" dxfId="472" priority="17">
      <formula>ISTEXT($AD$24)</formula>
    </cfRule>
  </conditionalFormatting>
  <conditionalFormatting sqref="AA25">
    <cfRule type="expression" dxfId="471" priority="16">
      <formula>ISTEXT($AA$25)</formula>
    </cfRule>
  </conditionalFormatting>
  <conditionalFormatting sqref="AB25">
    <cfRule type="expression" dxfId="470" priority="15">
      <formula>ISTEXT($AB$25)</formula>
    </cfRule>
  </conditionalFormatting>
  <conditionalFormatting sqref="AC25">
    <cfRule type="expression" dxfId="469" priority="14">
      <formula>ISTEXT($AC$25)</formula>
    </cfRule>
  </conditionalFormatting>
  <conditionalFormatting sqref="AD25">
    <cfRule type="expression" dxfId="468" priority="13">
      <formula>ISTEXT($AD$25)</formula>
    </cfRule>
  </conditionalFormatting>
  <conditionalFormatting sqref="AA26">
    <cfRule type="expression" dxfId="467" priority="12">
      <formula>ISTEXT($AA$26)</formula>
    </cfRule>
  </conditionalFormatting>
  <conditionalFormatting sqref="AB26">
    <cfRule type="expression" dxfId="466" priority="11">
      <formula>ISTEXT($AB$26)</formula>
    </cfRule>
  </conditionalFormatting>
  <conditionalFormatting sqref="AC26">
    <cfRule type="expression" dxfId="465" priority="10">
      <formula>ISTEXT($AC$26)</formula>
    </cfRule>
  </conditionalFormatting>
  <conditionalFormatting sqref="AD26">
    <cfRule type="expression" dxfId="464" priority="9">
      <formula>ISTEXT($AD$26)</formula>
    </cfRule>
  </conditionalFormatting>
  <conditionalFormatting sqref="AA27">
    <cfRule type="expression" dxfId="463" priority="8">
      <formula>ISTEXT($AA$27)</formula>
    </cfRule>
  </conditionalFormatting>
  <conditionalFormatting sqref="AB27">
    <cfRule type="expression" dxfId="462" priority="7">
      <formula>ISTEXT($AB$27)</formula>
    </cfRule>
  </conditionalFormatting>
  <conditionalFormatting sqref="AC27">
    <cfRule type="expression" dxfId="461" priority="6">
      <formula>ISTEXT($AC$27)</formula>
    </cfRule>
  </conditionalFormatting>
  <conditionalFormatting sqref="AD27">
    <cfRule type="expression" dxfId="460" priority="5">
      <formula>ISTEXT($AD$27)</formula>
    </cfRule>
  </conditionalFormatting>
  <conditionalFormatting sqref="AA28">
    <cfRule type="expression" dxfId="459" priority="4">
      <formula>ISTEXT($AA$28)</formula>
    </cfRule>
  </conditionalFormatting>
  <conditionalFormatting sqref="AB28">
    <cfRule type="expression" dxfId="458" priority="3">
      <formula>ISTEXT($AB$28)</formula>
    </cfRule>
  </conditionalFormatting>
  <conditionalFormatting sqref="AC28">
    <cfRule type="expression" dxfId="457" priority="2">
      <formula>ISTEXT($AC$28)</formula>
    </cfRule>
  </conditionalFormatting>
  <conditionalFormatting sqref="AD28">
    <cfRule type="expression" dxfId="456" priority="1">
      <formula>ISTEXT($AD$28)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9"/>
  <sheetViews>
    <sheetView workbookViewId="0">
      <pane ySplit="1" topLeftCell="A2" activePane="bottomLeft" state="frozenSplit"/>
      <selection pane="bottomLeft" activeCell="G20" sqref="G20"/>
    </sheetView>
  </sheetViews>
  <sheetFormatPr defaultRowHeight="15" x14ac:dyDescent="0.25"/>
  <cols>
    <col min="1" max="1" width="70.85546875" style="58" bestFit="1" customWidth="1"/>
    <col min="2" max="2" width="15.85546875" style="58" bestFit="1" customWidth="1"/>
    <col min="3" max="3" width="16.5703125" style="58" bestFit="1" customWidth="1"/>
    <col min="4" max="4" width="11" style="58" bestFit="1" customWidth="1"/>
    <col min="5" max="5" width="10.5703125" style="58" bestFit="1" customWidth="1"/>
    <col min="6" max="6" width="18.5703125" style="58" bestFit="1" customWidth="1"/>
    <col min="7" max="7" width="12.42578125" style="58" bestFit="1" customWidth="1"/>
    <col min="8" max="8" width="11.5703125" style="58" bestFit="1" customWidth="1"/>
    <col min="9" max="9" width="14.7109375" style="58" bestFit="1" customWidth="1"/>
    <col min="10" max="10" width="8.7109375" style="61" customWidth="1"/>
    <col min="11" max="11" width="8.7109375" style="58" hidden="1" customWidth="1"/>
    <col min="12" max="17" width="8.7109375" style="58" customWidth="1"/>
    <col min="18" max="18" width="22.5703125" style="58" bestFit="1" customWidth="1"/>
    <col min="19" max="19" width="8.7109375" style="58" customWidth="1"/>
    <col min="20" max="20" width="8.7109375" style="58" hidden="1" customWidth="1"/>
    <col min="21" max="21" width="3" style="58" hidden="1" customWidth="1"/>
    <col min="22" max="22" width="4" style="58" hidden="1" customWidth="1"/>
    <col min="23" max="23" width="12.7109375" style="58" hidden="1" customWidth="1"/>
    <col min="24" max="25" width="8.7109375" style="58" hidden="1" customWidth="1"/>
    <col min="26" max="26" width="20.5703125" style="61" bestFit="1" customWidth="1"/>
    <col min="27" max="29" width="21" style="61" bestFit="1" customWidth="1"/>
    <col min="30" max="30" width="10.140625" style="58" bestFit="1" customWidth="1"/>
    <col min="31" max="44" width="8.7109375" style="58" customWidth="1"/>
    <col min="45" max="16384" width="9.140625" style="58"/>
  </cols>
  <sheetData>
    <row r="1" spans="1:30" ht="15.75" thickBot="1" x14ac:dyDescent="0.3">
      <c r="A1" s="55" t="s">
        <v>1</v>
      </c>
      <c r="B1" s="55" t="s">
        <v>7</v>
      </c>
      <c r="C1" s="55" t="s">
        <v>10</v>
      </c>
      <c r="D1" s="55" t="s">
        <v>12</v>
      </c>
      <c r="E1" s="55" t="s">
        <v>14</v>
      </c>
      <c r="F1" s="55" t="s">
        <v>15</v>
      </c>
      <c r="G1" s="56" t="s">
        <v>96</v>
      </c>
      <c r="H1" s="56" t="s">
        <v>97</v>
      </c>
      <c r="I1" s="56" t="s">
        <v>98</v>
      </c>
      <c r="J1" s="57"/>
      <c r="K1" s="56"/>
      <c r="R1" s="59" t="s">
        <v>100</v>
      </c>
      <c r="Z1" s="60" t="s">
        <v>99</v>
      </c>
    </row>
    <row r="2" spans="1:30" ht="16.5" thickTop="1" thickBot="1" x14ac:dyDescent="0.3">
      <c r="A2" s="62" t="s">
        <v>60</v>
      </c>
      <c r="B2" s="62" t="s">
        <v>67</v>
      </c>
      <c r="C2" s="62" t="s">
        <v>68</v>
      </c>
      <c r="D2" s="62">
        <v>0.36599999999999999</v>
      </c>
      <c r="E2" s="62">
        <v>12948.120999999999</v>
      </c>
      <c r="F2" s="62">
        <v>2.8266649655189352E-5</v>
      </c>
      <c r="G2" s="62"/>
      <c r="H2" s="62"/>
      <c r="I2" s="62"/>
      <c r="J2" s="63"/>
      <c r="K2" s="62"/>
      <c r="L2" s="62"/>
      <c r="M2" s="62"/>
      <c r="N2" s="62"/>
      <c r="O2" s="62"/>
      <c r="P2" s="62"/>
      <c r="Q2" s="62"/>
      <c r="R2" s="62" t="s">
        <v>101</v>
      </c>
      <c r="S2" s="62"/>
      <c r="T2" s="62">
        <v>1</v>
      </c>
      <c r="U2" s="62"/>
      <c r="V2" s="62"/>
      <c r="W2" s="62"/>
      <c r="X2" s="62"/>
      <c r="Y2" s="62"/>
      <c r="Z2" s="64" t="s">
        <v>102</v>
      </c>
      <c r="AA2" s="64" t="s">
        <v>104</v>
      </c>
      <c r="AB2" s="64" t="s">
        <v>105</v>
      </c>
      <c r="AC2" s="64" t="s">
        <v>106</v>
      </c>
      <c r="AD2" s="64" t="s">
        <v>107</v>
      </c>
    </row>
    <row r="3" spans="1:30" ht="15.75" thickTop="1" x14ac:dyDescent="0.25">
      <c r="A3" s="65" t="s">
        <v>63</v>
      </c>
      <c r="B3" s="65" t="s">
        <v>67</v>
      </c>
      <c r="C3" s="65" t="s">
        <v>68</v>
      </c>
      <c r="D3" s="65">
        <v>6.4530000000000003</v>
      </c>
      <c r="E3" s="65">
        <v>14433.352999999999</v>
      </c>
      <c r="F3" s="65">
        <v>4.4708946008595513E-4</v>
      </c>
      <c r="G3" s="65"/>
      <c r="H3" s="65"/>
      <c r="I3" s="65"/>
      <c r="J3" s="66"/>
      <c r="K3" s="65"/>
      <c r="L3" s="65"/>
      <c r="M3" s="65"/>
      <c r="N3" s="65"/>
      <c r="O3" s="65"/>
      <c r="P3" s="65"/>
      <c r="Q3" s="65"/>
      <c r="R3" s="65" t="s">
        <v>102</v>
      </c>
      <c r="S3" s="65"/>
      <c r="T3" s="65">
        <v>5</v>
      </c>
      <c r="U3" s="65"/>
      <c r="V3" s="65"/>
      <c r="W3" s="65"/>
      <c r="X3" s="65"/>
      <c r="Y3" s="65"/>
      <c r="Z3" s="67">
        <v>120</v>
      </c>
      <c r="AA3" s="68">
        <v>0.50457770837947458</v>
      </c>
      <c r="AB3" s="68">
        <v>0.58607890926504169</v>
      </c>
      <c r="AC3" s="68">
        <v>0.60155514116901432</v>
      </c>
      <c r="AD3" s="68">
        <v>0.5640705862711769</v>
      </c>
    </row>
    <row r="4" spans="1:30" x14ac:dyDescent="0.25">
      <c r="A4" s="62" t="s">
        <v>64</v>
      </c>
      <c r="B4" s="62" t="s">
        <v>67</v>
      </c>
      <c r="C4" s="62" t="s">
        <v>68</v>
      </c>
      <c r="D4" s="62">
        <v>4.2999999999999997E-2</v>
      </c>
      <c r="E4" s="62">
        <v>13537.442999999999</v>
      </c>
      <c r="F4" s="62">
        <v>3.1763753317373153E-6</v>
      </c>
      <c r="G4" s="62"/>
      <c r="H4" s="62"/>
      <c r="I4" s="62"/>
      <c r="J4" s="63"/>
      <c r="K4" s="62"/>
      <c r="L4" s="62"/>
      <c r="M4" s="62"/>
      <c r="N4" s="62"/>
      <c r="O4" s="62"/>
      <c r="P4" s="62"/>
      <c r="Q4" s="62"/>
      <c r="R4" s="62" t="s">
        <v>103</v>
      </c>
      <c r="S4" s="62"/>
      <c r="T4" s="62">
        <v>19</v>
      </c>
      <c r="U4" s="62"/>
      <c r="V4" s="62"/>
      <c r="W4" s="62"/>
      <c r="X4" s="62"/>
      <c r="Y4" s="62"/>
      <c r="Z4" s="67">
        <v>60</v>
      </c>
      <c r="AA4" s="69">
        <v>1.1115986841013903</v>
      </c>
      <c r="AB4" s="69">
        <v>1.0755039278201899</v>
      </c>
      <c r="AC4" s="69">
        <v>1.3648800726433046</v>
      </c>
      <c r="AD4" s="69">
        <v>1.1839942281882949</v>
      </c>
    </row>
    <row r="5" spans="1:30" x14ac:dyDescent="0.25">
      <c r="A5" s="65" t="s">
        <v>128</v>
      </c>
      <c r="B5" s="65" t="s">
        <v>67</v>
      </c>
      <c r="C5" s="65" t="s">
        <v>68</v>
      </c>
      <c r="D5" s="65">
        <v>22516.565999999999</v>
      </c>
      <c r="E5" s="65">
        <v>3648.9180000000001</v>
      </c>
      <c r="F5" s="65">
        <v>6.1707514391937552</v>
      </c>
      <c r="G5" s="65">
        <v>50.457770837947457</v>
      </c>
      <c r="H5" s="65">
        <v>120</v>
      </c>
      <c r="I5" s="70">
        <v>3.9211367654227289</v>
      </c>
      <c r="J5" s="66"/>
      <c r="K5" s="65"/>
      <c r="L5" s="65"/>
      <c r="M5" s="65"/>
      <c r="N5" s="65"/>
      <c r="O5" s="65"/>
      <c r="P5" s="65"/>
      <c r="Q5" s="65"/>
      <c r="R5" s="65"/>
      <c r="S5" s="65"/>
      <c r="T5" s="65"/>
      <c r="U5" s="65">
        <v>1</v>
      </c>
      <c r="V5" s="65">
        <v>120</v>
      </c>
      <c r="W5" s="65">
        <v>3.9211367654227289</v>
      </c>
      <c r="X5" s="65"/>
      <c r="Y5" s="65"/>
      <c r="Z5" s="67">
        <v>30</v>
      </c>
      <c r="AA5" s="68">
        <v>0.86827098670547476</v>
      </c>
      <c r="AB5" s="69">
        <v>1.0406709150315492</v>
      </c>
      <c r="AC5" s="69">
        <v>1.5511702237031892</v>
      </c>
      <c r="AD5" s="69">
        <v>1.1533707084800711</v>
      </c>
    </row>
    <row r="6" spans="1:30" x14ac:dyDescent="0.25">
      <c r="A6" s="62" t="s">
        <v>129</v>
      </c>
      <c r="B6" s="62" t="s">
        <v>67</v>
      </c>
      <c r="C6" s="62" t="s">
        <v>68</v>
      </c>
      <c r="D6" s="62">
        <v>28688.414000000001</v>
      </c>
      <c r="E6" s="62">
        <v>3551.3069999999998</v>
      </c>
      <c r="F6" s="62">
        <v>8.0782692118704471</v>
      </c>
      <c r="G6" s="62">
        <v>58.607890926504169</v>
      </c>
      <c r="H6" s="62">
        <v>120</v>
      </c>
      <c r="I6" s="71">
        <v>4.0708693449663427</v>
      </c>
      <c r="J6" s="63"/>
      <c r="K6" s="62"/>
      <c r="L6" s="62"/>
      <c r="M6" s="62"/>
      <c r="N6" s="62"/>
      <c r="O6" s="62"/>
      <c r="P6" s="62"/>
      <c r="Q6" s="62"/>
      <c r="R6" s="62"/>
      <c r="S6" s="62"/>
      <c r="T6" s="62"/>
      <c r="U6" s="62">
        <v>2</v>
      </c>
      <c r="V6" s="62">
        <v>120</v>
      </c>
      <c r="W6" s="62">
        <v>4.0708693449663427</v>
      </c>
      <c r="X6" s="62"/>
      <c r="Y6" s="62"/>
      <c r="Z6" s="67">
        <v>15</v>
      </c>
      <c r="AA6" s="69">
        <v>1.3702764041908118</v>
      </c>
      <c r="AB6" s="69">
        <v>1.2861087150503356</v>
      </c>
      <c r="AC6" s="69">
        <v>1.2946288423153869</v>
      </c>
      <c r="AD6" s="69">
        <v>1.3170046538521782</v>
      </c>
    </row>
    <row r="7" spans="1:30" ht="15.75" thickBot="1" x14ac:dyDescent="0.3">
      <c r="A7" s="65" t="s">
        <v>130</v>
      </c>
      <c r="B7" s="65" t="s">
        <v>67</v>
      </c>
      <c r="C7" s="65" t="s">
        <v>68</v>
      </c>
      <c r="D7" s="65">
        <v>23698.49</v>
      </c>
      <c r="E7" s="65">
        <v>3723.431</v>
      </c>
      <c r="F7" s="65">
        <v>6.3646915976152103</v>
      </c>
      <c r="G7" s="65">
        <v>60.155514116901429</v>
      </c>
      <c r="H7" s="65">
        <v>120</v>
      </c>
      <c r="I7" s="70">
        <v>4.0969331109854377</v>
      </c>
      <c r="J7" s="66"/>
      <c r="K7" s="65"/>
      <c r="L7" s="65"/>
      <c r="M7" s="65"/>
      <c r="N7" s="65"/>
      <c r="O7" s="65"/>
      <c r="P7" s="65"/>
      <c r="Q7" s="65"/>
      <c r="R7" s="65"/>
      <c r="S7" s="65"/>
      <c r="T7" s="65"/>
      <c r="U7" s="65">
        <v>3</v>
      </c>
      <c r="V7" s="65">
        <v>120</v>
      </c>
      <c r="W7" s="65">
        <v>4.0969331109854377</v>
      </c>
      <c r="X7" s="65"/>
      <c r="Y7" s="65"/>
      <c r="Z7" s="72">
        <v>0</v>
      </c>
      <c r="AA7" s="73">
        <v>1</v>
      </c>
      <c r="AB7" s="73">
        <v>1</v>
      </c>
      <c r="AC7" s="73">
        <v>1</v>
      </c>
      <c r="AD7" s="73">
        <v>1</v>
      </c>
    </row>
    <row r="8" spans="1:30" ht="16.5" thickTop="1" thickBot="1" x14ac:dyDescent="0.3">
      <c r="A8" s="62" t="s">
        <v>131</v>
      </c>
      <c r="B8" s="62" t="s">
        <v>67</v>
      </c>
      <c r="C8" s="62" t="s">
        <v>68</v>
      </c>
      <c r="D8" s="62">
        <v>41668.241999999998</v>
      </c>
      <c r="E8" s="62">
        <v>3065.1610000000001</v>
      </c>
      <c r="F8" s="62">
        <v>13.594144646888042</v>
      </c>
      <c r="G8" s="62">
        <v>111.15986841013903</v>
      </c>
      <c r="H8" s="62">
        <v>60</v>
      </c>
      <c r="I8" s="71">
        <v>4.7109694210857205</v>
      </c>
      <c r="J8" s="63"/>
      <c r="K8" s="62"/>
      <c r="L8" s="62"/>
      <c r="M8" s="62"/>
      <c r="N8" s="62"/>
      <c r="O8" s="62"/>
      <c r="P8" s="62"/>
      <c r="Q8" s="62"/>
      <c r="R8" s="62"/>
      <c r="S8" s="62"/>
      <c r="T8" s="62"/>
      <c r="U8" s="62">
        <v>4</v>
      </c>
      <c r="V8" s="62">
        <v>60</v>
      </c>
      <c r="W8" s="62">
        <v>4.7109694210857205</v>
      </c>
      <c r="X8" s="62"/>
      <c r="Y8" s="62"/>
    </row>
    <row r="9" spans="1:30" x14ac:dyDescent="0.25">
      <c r="A9" s="65" t="s">
        <v>132</v>
      </c>
      <c r="B9" s="65" t="s">
        <v>67</v>
      </c>
      <c r="C9" s="65" t="s">
        <v>68</v>
      </c>
      <c r="D9" s="65">
        <v>47456.52</v>
      </c>
      <c r="E9" s="65">
        <v>3201.2939999999999</v>
      </c>
      <c r="F9" s="65">
        <v>14.82416797707427</v>
      </c>
      <c r="G9" s="65">
        <v>107.55039278201899</v>
      </c>
      <c r="H9" s="65">
        <v>60</v>
      </c>
      <c r="I9" s="70">
        <v>4.6779595077946476</v>
      </c>
      <c r="J9" s="66"/>
      <c r="K9" s="65"/>
      <c r="L9" s="65"/>
      <c r="M9" s="65"/>
      <c r="N9" s="65"/>
      <c r="O9" s="65"/>
      <c r="P9" s="65"/>
      <c r="Q9" s="65"/>
      <c r="R9" s="65"/>
      <c r="S9" s="65"/>
      <c r="T9" s="65"/>
      <c r="U9" s="65">
        <v>5</v>
      </c>
      <c r="V9" s="65">
        <v>60</v>
      </c>
      <c r="W9" s="65">
        <v>4.6779595077946476</v>
      </c>
      <c r="X9" s="65"/>
      <c r="Y9" s="65"/>
      <c r="Z9" s="74" t="s">
        <v>108</v>
      </c>
      <c r="AA9" s="75">
        <v>-5.6280781934640606E-3</v>
      </c>
    </row>
    <row r="10" spans="1:30" x14ac:dyDescent="0.25">
      <c r="A10" s="62" t="s">
        <v>133</v>
      </c>
      <c r="B10" s="62" t="s">
        <v>67</v>
      </c>
      <c r="C10" s="62" t="s">
        <v>68</v>
      </c>
      <c r="D10" s="62">
        <v>43458.152000000002</v>
      </c>
      <c r="E10" s="62">
        <v>3009.4070000000002</v>
      </c>
      <c r="F10" s="62">
        <v>14.440769227957535</v>
      </c>
      <c r="G10" s="62">
        <v>136.48800726433046</v>
      </c>
      <c r="H10" s="62">
        <v>60</v>
      </c>
      <c r="I10" s="71">
        <v>4.9162367518958243</v>
      </c>
      <c r="J10" s="63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>
        <v>6</v>
      </c>
      <c r="V10" s="62">
        <v>60</v>
      </c>
      <c r="W10" s="62">
        <v>4.9162367518958243</v>
      </c>
      <c r="X10" s="62"/>
      <c r="Y10" s="62"/>
      <c r="Z10" s="76" t="s">
        <v>109</v>
      </c>
      <c r="AA10" s="77">
        <v>4.8534713909952494</v>
      </c>
    </row>
    <row r="11" spans="1:30" ht="17.25" x14ac:dyDescent="0.25">
      <c r="A11" s="65" t="s">
        <v>134</v>
      </c>
      <c r="B11" s="65" t="s">
        <v>67</v>
      </c>
      <c r="C11" s="65" t="s">
        <v>68</v>
      </c>
      <c r="D11" s="65">
        <v>39826.273000000001</v>
      </c>
      <c r="E11" s="65">
        <v>3750.672</v>
      </c>
      <c r="F11" s="65">
        <v>10.618436642820274</v>
      </c>
      <c r="G11" s="65">
        <v>86.827098670547471</v>
      </c>
      <c r="H11" s="65">
        <v>30</v>
      </c>
      <c r="I11" s="70">
        <v>4.4639187696083598</v>
      </c>
      <c r="J11" s="66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>
        <v>7</v>
      </c>
      <c r="V11" s="65">
        <v>30</v>
      </c>
      <c r="W11" s="65">
        <v>4.4639187696083598</v>
      </c>
      <c r="X11" s="65"/>
      <c r="Y11" s="65"/>
      <c r="Z11" s="76" t="s">
        <v>110</v>
      </c>
      <c r="AA11" s="78">
        <v>0.54540596067450209</v>
      </c>
    </row>
    <row r="12" spans="1:30" ht="18" x14ac:dyDescent="0.35">
      <c r="A12" s="62" t="s">
        <v>135</v>
      </c>
      <c r="B12" s="62" t="s">
        <v>67</v>
      </c>
      <c r="C12" s="62" t="s">
        <v>68</v>
      </c>
      <c r="D12" s="62">
        <v>47578.523000000001</v>
      </c>
      <c r="E12" s="62">
        <v>3316.951</v>
      </c>
      <c r="F12" s="62">
        <v>14.344053620327825</v>
      </c>
      <c r="G12" s="62">
        <v>104.06709150315491</v>
      </c>
      <c r="H12" s="62">
        <v>30</v>
      </c>
      <c r="I12" s="71">
        <v>4.6450358017542319</v>
      </c>
      <c r="J12" s="63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>
        <v>8</v>
      </c>
      <c r="V12" s="62">
        <v>30</v>
      </c>
      <c r="W12" s="62">
        <v>4.6450358017542319</v>
      </c>
      <c r="X12" s="62"/>
      <c r="Y12" s="62"/>
      <c r="Z12" s="76" t="s">
        <v>111</v>
      </c>
      <c r="AA12" s="79">
        <v>123.15876871876149</v>
      </c>
    </row>
    <row r="13" spans="1:30" ht="18.75" x14ac:dyDescent="0.35">
      <c r="A13" s="65" t="s">
        <v>136</v>
      </c>
      <c r="B13" s="65" t="s">
        <v>67</v>
      </c>
      <c r="C13" s="65" t="s">
        <v>68</v>
      </c>
      <c r="D13" s="65">
        <v>44577.84</v>
      </c>
      <c r="E13" s="65">
        <v>2716.2159999999999</v>
      </c>
      <c r="F13" s="65">
        <v>16.411743395959672</v>
      </c>
      <c r="G13" s="65">
        <v>155.11702237031892</v>
      </c>
      <c r="H13" s="65">
        <v>30</v>
      </c>
      <c r="I13" s="70">
        <v>5.0441798150972366</v>
      </c>
      <c r="J13" s="66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>
        <v>9</v>
      </c>
      <c r="V13" s="65">
        <v>30</v>
      </c>
      <c r="W13" s="65">
        <v>5.0441798150972366</v>
      </c>
      <c r="X13" s="65"/>
      <c r="Y13" s="65"/>
      <c r="Z13" s="76" t="s">
        <v>112</v>
      </c>
      <c r="AA13" s="80">
        <v>11.25615638692812</v>
      </c>
    </row>
    <row r="14" spans="1:30" ht="15.75" thickBot="1" x14ac:dyDescent="0.3">
      <c r="A14" s="62" t="s">
        <v>137</v>
      </c>
      <c r="B14" s="62" t="s">
        <v>67</v>
      </c>
      <c r="C14" s="62" t="s">
        <v>68</v>
      </c>
      <c r="D14" s="62">
        <v>54226.964999999997</v>
      </c>
      <c r="E14" s="62">
        <v>3235.9679999999998</v>
      </c>
      <c r="F14" s="62">
        <v>16.757571459297495</v>
      </c>
      <c r="G14" s="62">
        <v>137.02764041908117</v>
      </c>
      <c r="H14" s="62">
        <v>15</v>
      </c>
      <c r="I14" s="71">
        <v>4.9201826603621495</v>
      </c>
      <c r="J14" s="63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>
        <v>10</v>
      </c>
      <c r="V14" s="62">
        <v>15</v>
      </c>
      <c r="W14" s="62">
        <v>4.9201826603621495</v>
      </c>
      <c r="X14" s="62"/>
      <c r="Y14" s="62"/>
      <c r="Z14" s="81" t="s">
        <v>95</v>
      </c>
      <c r="AA14" s="82" t="s">
        <v>113</v>
      </c>
    </row>
    <row r="15" spans="1:30" x14ac:dyDescent="0.25">
      <c r="A15" s="65" t="s">
        <v>138</v>
      </c>
      <c r="B15" s="65" t="s">
        <v>67</v>
      </c>
      <c r="C15" s="65" t="s">
        <v>68</v>
      </c>
      <c r="D15" s="65">
        <v>56058.535000000003</v>
      </c>
      <c r="E15" s="65">
        <v>3162.3249999999998</v>
      </c>
      <c r="F15" s="65">
        <v>17.726999913038668</v>
      </c>
      <c r="G15" s="65">
        <v>128.61087150503357</v>
      </c>
      <c r="H15" s="65">
        <v>15</v>
      </c>
      <c r="I15" s="70">
        <v>4.8567913455946172</v>
      </c>
      <c r="J15" s="66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>
        <v>11</v>
      </c>
      <c r="V15" s="65">
        <v>15</v>
      </c>
      <c r="W15" s="65">
        <v>4.8567913455946172</v>
      </c>
      <c r="X15" s="65"/>
      <c r="Y15" s="65"/>
    </row>
    <row r="16" spans="1:30" x14ac:dyDescent="0.25">
      <c r="A16" s="62" t="s">
        <v>139</v>
      </c>
      <c r="B16" s="62" t="s">
        <v>67</v>
      </c>
      <c r="C16" s="62" t="s">
        <v>68</v>
      </c>
      <c r="D16" s="62">
        <v>43628.940999999999</v>
      </c>
      <c r="E16" s="62">
        <v>3185.1750000000002</v>
      </c>
      <c r="F16" s="62">
        <v>13.697502021082043</v>
      </c>
      <c r="G16" s="62">
        <v>129.46288423153868</v>
      </c>
      <c r="H16" s="62">
        <v>15</v>
      </c>
      <c r="I16" s="71">
        <v>4.8633942318089316</v>
      </c>
      <c r="J16" s="63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>
        <v>12</v>
      </c>
      <c r="V16" s="62">
        <v>15</v>
      </c>
      <c r="W16" s="62">
        <v>4.8633942318089316</v>
      </c>
      <c r="X16" s="62"/>
      <c r="Y16" s="62"/>
    </row>
    <row r="17" spans="1:30" x14ac:dyDescent="0.25">
      <c r="A17" s="65" t="s">
        <v>140</v>
      </c>
      <c r="B17" s="65" t="s">
        <v>67</v>
      </c>
      <c r="C17" s="65" t="s">
        <v>68</v>
      </c>
      <c r="D17" s="65">
        <v>37513.866999999998</v>
      </c>
      <c r="E17" s="65">
        <v>3067.52</v>
      </c>
      <c r="F17" s="65">
        <v>12.22937975954517</v>
      </c>
      <c r="G17" s="65">
        <v>100</v>
      </c>
      <c r="H17" s="65">
        <v>0</v>
      </c>
      <c r="I17" s="70">
        <v>4.6051701859880918</v>
      </c>
      <c r="J17" s="66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>
        <v>13</v>
      </c>
      <c r="V17" s="65">
        <v>0</v>
      </c>
      <c r="W17" s="65">
        <v>4.6051701859880918</v>
      </c>
      <c r="X17" s="65"/>
      <c r="Y17" s="65"/>
    </row>
    <row r="18" spans="1:30" x14ac:dyDescent="0.25">
      <c r="A18" s="62" t="s">
        <v>141</v>
      </c>
      <c r="B18" s="62" t="s">
        <v>67</v>
      </c>
      <c r="C18" s="62" t="s">
        <v>68</v>
      </c>
      <c r="D18" s="62">
        <v>45881.09</v>
      </c>
      <c r="E18" s="62">
        <v>3328.703</v>
      </c>
      <c r="F18" s="62">
        <v>13.78347362321</v>
      </c>
      <c r="G18" s="62">
        <v>100</v>
      </c>
      <c r="H18" s="62">
        <v>0</v>
      </c>
      <c r="I18" s="71">
        <v>4.6051701859880918</v>
      </c>
      <c r="J18" s="63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>
        <v>14</v>
      </c>
      <c r="V18" s="62">
        <v>0</v>
      </c>
      <c r="W18" s="62">
        <v>4.6051701859880918</v>
      </c>
      <c r="X18" s="62"/>
      <c r="Y18" s="62"/>
    </row>
    <row r="19" spans="1:30" x14ac:dyDescent="0.25">
      <c r="A19" s="65" t="s">
        <v>142</v>
      </c>
      <c r="B19" s="65" t="s">
        <v>67</v>
      </c>
      <c r="C19" s="65" t="s">
        <v>68</v>
      </c>
      <c r="D19" s="65">
        <v>37212.32</v>
      </c>
      <c r="E19" s="65">
        <v>3517.136</v>
      </c>
      <c r="F19" s="65">
        <v>10.5802903271298</v>
      </c>
      <c r="G19" s="65">
        <v>100</v>
      </c>
      <c r="H19" s="65">
        <v>0</v>
      </c>
      <c r="I19" s="70">
        <v>4.6051701859880918</v>
      </c>
      <c r="J19" s="66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>
        <v>15</v>
      </c>
      <c r="V19" s="65">
        <v>0</v>
      </c>
      <c r="W19" s="65">
        <v>4.6051701859880918</v>
      </c>
      <c r="X19" s="65"/>
      <c r="Y19" s="65"/>
    </row>
    <row r="20" spans="1:30" x14ac:dyDescent="0.25">
      <c r="A20" s="62"/>
      <c r="B20" s="62"/>
      <c r="C20" s="62"/>
      <c r="D20" s="62"/>
      <c r="E20" s="62"/>
      <c r="F20" s="62"/>
      <c r="G20" s="62"/>
      <c r="H20" s="62"/>
      <c r="I20" s="62"/>
      <c r="J20" s="63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30" ht="15.75" thickBot="1" x14ac:dyDescent="0.3">
      <c r="A21" s="65"/>
      <c r="B21" s="65"/>
      <c r="C21" s="65"/>
      <c r="D21" s="65"/>
      <c r="E21" s="65"/>
      <c r="F21" s="65"/>
      <c r="G21" s="65"/>
      <c r="H21" s="65"/>
      <c r="I21" s="65"/>
      <c r="J21" s="66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</row>
    <row r="22" spans="1:30" ht="16.5" thickTop="1" thickBot="1" x14ac:dyDescent="0.3">
      <c r="A22" s="62" t="s">
        <v>20</v>
      </c>
      <c r="B22" s="62" t="s">
        <v>21</v>
      </c>
      <c r="C22" s="62" t="s">
        <v>22</v>
      </c>
      <c r="D22" s="62">
        <v>1.9E-2</v>
      </c>
      <c r="E22" s="62">
        <v>23900.384999999998</v>
      </c>
      <c r="F22" s="62">
        <v>7.9496627355584447E-7</v>
      </c>
      <c r="G22" s="62"/>
      <c r="H22" s="62"/>
      <c r="I22" s="62"/>
      <c r="J22" s="63"/>
      <c r="K22" s="62"/>
      <c r="L22" s="62"/>
      <c r="M22" s="62"/>
      <c r="N22" s="62"/>
      <c r="O22" s="62"/>
      <c r="P22" s="62"/>
      <c r="Q22" s="62"/>
      <c r="R22" s="62" t="s">
        <v>116</v>
      </c>
      <c r="S22" s="62"/>
      <c r="T22" s="62">
        <v>13</v>
      </c>
      <c r="U22" s="62"/>
      <c r="V22" s="62"/>
      <c r="W22" s="62"/>
      <c r="X22" s="62"/>
      <c r="Y22" s="62"/>
      <c r="Z22" s="64" t="s">
        <v>102</v>
      </c>
      <c r="AA22" s="64" t="s">
        <v>104</v>
      </c>
      <c r="AB22" s="64" t="s">
        <v>105</v>
      </c>
      <c r="AC22" s="64" t="s">
        <v>106</v>
      </c>
      <c r="AD22" s="64" t="s">
        <v>107</v>
      </c>
    </row>
    <row r="23" spans="1:30" ht="15.75" thickTop="1" x14ac:dyDescent="0.25">
      <c r="A23" s="65" t="s">
        <v>24</v>
      </c>
      <c r="B23" s="65" t="s">
        <v>21</v>
      </c>
      <c r="C23" s="65" t="s">
        <v>22</v>
      </c>
      <c r="D23" s="65">
        <v>0.77200000000000002</v>
      </c>
      <c r="E23" s="65">
        <v>22970.811000000002</v>
      </c>
      <c r="F23" s="65">
        <v>3.3607868699106876E-5</v>
      </c>
      <c r="G23" s="65"/>
      <c r="H23" s="65"/>
      <c r="I23" s="65"/>
      <c r="J23" s="66"/>
      <c r="K23" s="65"/>
      <c r="L23" s="65"/>
      <c r="M23" s="65"/>
      <c r="N23" s="65"/>
      <c r="O23" s="65"/>
      <c r="P23" s="65"/>
      <c r="Q23" s="65"/>
      <c r="R23" s="65" t="s">
        <v>102</v>
      </c>
      <c r="S23" s="65"/>
      <c r="T23" s="65">
        <v>233</v>
      </c>
      <c r="U23" s="65"/>
      <c r="V23" s="65"/>
      <c r="W23" s="65"/>
      <c r="X23" s="65"/>
      <c r="Y23" s="65"/>
      <c r="Z23" s="67">
        <v>120</v>
      </c>
      <c r="AA23" s="84" t="s">
        <v>120</v>
      </c>
      <c r="AB23" s="84" t="s">
        <v>121</v>
      </c>
      <c r="AC23" s="84" t="s">
        <v>119</v>
      </c>
      <c r="AD23" s="84" t="s">
        <v>118</v>
      </c>
    </row>
    <row r="24" spans="1:30" x14ac:dyDescent="0.25">
      <c r="A24" s="62" t="s">
        <v>26</v>
      </c>
      <c r="B24" s="62" t="s">
        <v>21</v>
      </c>
      <c r="C24" s="62" t="s">
        <v>22</v>
      </c>
      <c r="D24" s="62">
        <v>2.4E-2</v>
      </c>
      <c r="E24" s="62">
        <v>23638.438999999998</v>
      </c>
      <c r="F24" s="62">
        <v>1.0152954685374953E-6</v>
      </c>
      <c r="G24" s="62"/>
      <c r="H24" s="62"/>
      <c r="I24" s="62"/>
      <c r="J24" s="63"/>
      <c r="K24" s="62"/>
      <c r="L24" s="62"/>
      <c r="M24" s="62"/>
      <c r="N24" s="62"/>
      <c r="O24" s="62"/>
      <c r="P24" s="62"/>
      <c r="Q24" s="62"/>
      <c r="R24" s="62" t="s">
        <v>103</v>
      </c>
      <c r="S24" s="62"/>
      <c r="T24" s="62">
        <v>247</v>
      </c>
      <c r="U24" s="62"/>
      <c r="V24" s="62"/>
      <c r="W24" s="62"/>
      <c r="X24" s="62"/>
      <c r="Y24" s="62"/>
      <c r="Z24" s="67">
        <v>60</v>
      </c>
      <c r="AA24" s="85">
        <v>5.1356964884275651E-2</v>
      </c>
      <c r="AB24" s="85">
        <v>4.8256783539387477E-2</v>
      </c>
      <c r="AC24" s="85">
        <v>4.277770867642481E-2</v>
      </c>
      <c r="AD24" s="85">
        <v>4.7463819033362643E-2</v>
      </c>
    </row>
    <row r="25" spans="1:30" x14ac:dyDescent="0.25">
      <c r="A25" s="65" t="s">
        <v>30</v>
      </c>
      <c r="B25" s="65" t="s">
        <v>21</v>
      </c>
      <c r="C25" s="65" t="s">
        <v>22</v>
      </c>
      <c r="D25" s="65">
        <v>380.04399999999998</v>
      </c>
      <c r="E25" s="65">
        <v>22322.879000000001</v>
      </c>
      <c r="F25" s="65">
        <v>1.7024864937896227E-2</v>
      </c>
      <c r="G25" s="65">
        <v>0.68226359096191902</v>
      </c>
      <c r="H25" s="65">
        <v>120</v>
      </c>
      <c r="I25" s="70" t="s">
        <v>122</v>
      </c>
      <c r="J25" s="66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 t="s">
        <v>118</v>
      </c>
      <c r="V25" s="65">
        <v>60</v>
      </c>
      <c r="W25" s="65">
        <v>1.6362154697091582</v>
      </c>
      <c r="X25" s="65"/>
      <c r="Y25" s="65"/>
      <c r="Z25" s="67">
        <v>30</v>
      </c>
      <c r="AA25" s="68">
        <v>0.18195968592709297</v>
      </c>
      <c r="AB25" s="68">
        <v>0.20303361619739452</v>
      </c>
      <c r="AC25" s="68">
        <v>0.1906913366911443</v>
      </c>
      <c r="AD25" s="68">
        <v>0.19189487960521059</v>
      </c>
    </row>
    <row r="26" spans="1:30" x14ac:dyDescent="0.25">
      <c r="A26" s="62" t="s">
        <v>31</v>
      </c>
      <c r="B26" s="62" t="s">
        <v>21</v>
      </c>
      <c r="C26" s="62" t="s">
        <v>22</v>
      </c>
      <c r="D26" s="62">
        <v>256.50200000000001</v>
      </c>
      <c r="E26" s="62">
        <v>21369.228999999999</v>
      </c>
      <c r="F26" s="62">
        <v>1.2003334327129913E-2</v>
      </c>
      <c r="G26" s="62">
        <v>0.46973770544608617</v>
      </c>
      <c r="H26" s="62">
        <v>120</v>
      </c>
      <c r="I26" s="71" t="s">
        <v>123</v>
      </c>
      <c r="J26" s="63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 t="s">
        <v>118</v>
      </c>
      <c r="V26" s="62">
        <v>60</v>
      </c>
      <c r="W26" s="62">
        <v>1.5739513163987877</v>
      </c>
      <c r="X26" s="62"/>
      <c r="Y26" s="62"/>
      <c r="Z26" s="67">
        <v>15</v>
      </c>
      <c r="AA26" s="68">
        <v>0.68207368343122166</v>
      </c>
      <c r="AB26" s="68">
        <v>0.6794337772247141</v>
      </c>
      <c r="AC26" s="68">
        <v>0.566820854765126</v>
      </c>
      <c r="AD26" s="68">
        <v>0.64277610514035388</v>
      </c>
    </row>
    <row r="27" spans="1:30" ht="15.75" thickBot="1" x14ac:dyDescent="0.3">
      <c r="A27" s="65" t="s">
        <v>32</v>
      </c>
      <c r="B27" s="65" t="s">
        <v>21</v>
      </c>
      <c r="C27" s="65" t="s">
        <v>22</v>
      </c>
      <c r="D27" s="65">
        <v>334.47699999999998</v>
      </c>
      <c r="E27" s="65">
        <v>23001.601999999999</v>
      </c>
      <c r="F27" s="65">
        <v>1.4541465416191446E-2</v>
      </c>
      <c r="G27" s="65">
        <v>0.52784078225726883</v>
      </c>
      <c r="H27" s="65">
        <v>120</v>
      </c>
      <c r="I27" s="70" t="s">
        <v>124</v>
      </c>
      <c r="J27" s="66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 t="s">
        <v>118</v>
      </c>
      <c r="V27" s="65">
        <v>60</v>
      </c>
      <c r="W27" s="65">
        <v>1.4534320485999113</v>
      </c>
      <c r="X27" s="65"/>
      <c r="Y27" s="65"/>
      <c r="Z27" s="72">
        <v>0</v>
      </c>
      <c r="AA27" s="73">
        <v>1</v>
      </c>
      <c r="AB27" s="73">
        <v>1</v>
      </c>
      <c r="AC27" s="73">
        <v>1</v>
      </c>
      <c r="AD27" s="73">
        <v>1</v>
      </c>
    </row>
    <row r="28" spans="1:30" ht="16.5" thickTop="1" thickBot="1" x14ac:dyDescent="0.3">
      <c r="A28" s="62" t="s">
        <v>39</v>
      </c>
      <c r="B28" s="62" t="s">
        <v>21</v>
      </c>
      <c r="C28" s="62" t="s">
        <v>22</v>
      </c>
      <c r="D28" s="62">
        <v>2009.1120000000001</v>
      </c>
      <c r="E28" s="62">
        <v>15686.807000000001</v>
      </c>
      <c r="F28" s="62">
        <v>0.12807654228167656</v>
      </c>
      <c r="G28" s="62">
        <v>5.1356964884275653</v>
      </c>
      <c r="H28" s="62">
        <v>60</v>
      </c>
      <c r="I28" s="71">
        <v>1.6362154697091582</v>
      </c>
      <c r="J28" s="63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>
        <v>4</v>
      </c>
      <c r="V28" s="62">
        <v>30</v>
      </c>
      <c r="W28" s="62">
        <v>2.901200063651602</v>
      </c>
      <c r="X28" s="62"/>
      <c r="Y28" s="62"/>
    </row>
    <row r="29" spans="1:30" x14ac:dyDescent="0.25">
      <c r="A29" s="65" t="s">
        <v>40</v>
      </c>
      <c r="B29" s="65" t="s">
        <v>21</v>
      </c>
      <c r="C29" s="65" t="s">
        <v>22</v>
      </c>
      <c r="D29" s="65">
        <v>2378.7550000000001</v>
      </c>
      <c r="E29" s="65">
        <v>19307.703000000001</v>
      </c>
      <c r="F29" s="65">
        <v>0.12320238197158927</v>
      </c>
      <c r="G29" s="65">
        <v>4.8256783539387476</v>
      </c>
      <c r="H29" s="65">
        <v>60</v>
      </c>
      <c r="I29" s="70">
        <v>1.5739513163987877</v>
      </c>
      <c r="J29" s="66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>
        <v>5</v>
      </c>
      <c r="V29" s="65">
        <v>30</v>
      </c>
      <c r="W29" s="65">
        <v>3.0107864693695667</v>
      </c>
      <c r="X29" s="65"/>
      <c r="Y29" s="65"/>
      <c r="Z29" s="74" t="s">
        <v>108</v>
      </c>
      <c r="AA29" s="83">
        <v>-5.2896624333828635E-2</v>
      </c>
    </row>
    <row r="30" spans="1:30" x14ac:dyDescent="0.25">
      <c r="A30" s="62" t="s">
        <v>41</v>
      </c>
      <c r="B30" s="62" t="s">
        <v>21</v>
      </c>
      <c r="C30" s="62" t="s">
        <v>22</v>
      </c>
      <c r="D30" s="62">
        <v>2090.4349999999999</v>
      </c>
      <c r="E30" s="62">
        <v>17751.011999999999</v>
      </c>
      <c r="F30" s="62">
        <v>0.11776427169335472</v>
      </c>
      <c r="G30" s="62">
        <v>4.2777708676424808</v>
      </c>
      <c r="H30" s="62">
        <v>60</v>
      </c>
      <c r="I30" s="71">
        <v>1.4534320485999113</v>
      </c>
      <c r="J30" s="63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>
        <v>6</v>
      </c>
      <c r="V30" s="62">
        <v>30</v>
      </c>
      <c r="W30" s="62">
        <v>2.9480709895879733</v>
      </c>
      <c r="X30" s="62"/>
      <c r="Y30" s="62"/>
      <c r="Z30" s="76" t="s">
        <v>109</v>
      </c>
      <c r="AA30" s="77">
        <v>4.7066907554533861</v>
      </c>
    </row>
    <row r="31" spans="1:30" ht="17.25" x14ac:dyDescent="0.25">
      <c r="A31" s="65" t="s">
        <v>36</v>
      </c>
      <c r="B31" s="65" t="s">
        <v>21</v>
      </c>
      <c r="C31" s="65" t="s">
        <v>22</v>
      </c>
      <c r="D31" s="65">
        <v>8780.2009999999991</v>
      </c>
      <c r="E31" s="65">
        <v>19350.303</v>
      </c>
      <c r="F31" s="65">
        <v>0.45375005238936045</v>
      </c>
      <c r="G31" s="65">
        <v>18.195968592709296</v>
      </c>
      <c r="H31" s="65">
        <v>30</v>
      </c>
      <c r="I31" s="70">
        <v>2.901200063651602</v>
      </c>
      <c r="J31" s="66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>
        <v>7</v>
      </c>
      <c r="V31" s="65">
        <v>15</v>
      </c>
      <c r="W31" s="65">
        <v>4.2225525992352244</v>
      </c>
      <c r="X31" s="65"/>
      <c r="Y31" s="65"/>
      <c r="Z31" s="76" t="s">
        <v>110</v>
      </c>
      <c r="AA31" s="78">
        <v>0.97965870758352658</v>
      </c>
    </row>
    <row r="32" spans="1:30" ht="18" x14ac:dyDescent="0.35">
      <c r="A32" s="62" t="s">
        <v>37</v>
      </c>
      <c r="B32" s="62" t="s">
        <v>21</v>
      </c>
      <c r="C32" s="62" t="s">
        <v>22</v>
      </c>
      <c r="D32" s="62">
        <v>10967.168</v>
      </c>
      <c r="E32" s="62">
        <v>21159.116999999998</v>
      </c>
      <c r="F32" s="62">
        <v>0.51831879373794287</v>
      </c>
      <c r="G32" s="62">
        <v>20.303361619739452</v>
      </c>
      <c r="H32" s="62">
        <v>30</v>
      </c>
      <c r="I32" s="71">
        <v>3.0107864693695667</v>
      </c>
      <c r="J32" s="63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>
        <v>8</v>
      </c>
      <c r="V32" s="62">
        <v>15</v>
      </c>
      <c r="W32" s="62">
        <v>4.2186746777531967</v>
      </c>
      <c r="X32" s="62"/>
      <c r="Y32" s="62"/>
      <c r="Z32" s="76" t="s">
        <v>111</v>
      </c>
      <c r="AA32" s="80">
        <v>13.103807460104054</v>
      </c>
    </row>
    <row r="33" spans="1:30" ht="18.75" x14ac:dyDescent="0.35">
      <c r="A33" s="65" t="s">
        <v>38</v>
      </c>
      <c r="B33" s="65" t="s">
        <v>21</v>
      </c>
      <c r="C33" s="65" t="s">
        <v>22</v>
      </c>
      <c r="D33" s="65">
        <v>9831.64</v>
      </c>
      <c r="E33" s="65">
        <v>18729.782999999999</v>
      </c>
      <c r="F33" s="65">
        <v>0.52492012320698</v>
      </c>
      <c r="G33" s="65">
        <v>19.069133669114429</v>
      </c>
      <c r="H33" s="65">
        <v>30</v>
      </c>
      <c r="I33" s="70">
        <v>2.9480709895879733</v>
      </c>
      <c r="J33" s="66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>
        <v>9</v>
      </c>
      <c r="V33" s="65">
        <v>15</v>
      </c>
      <c r="W33" s="65">
        <v>4.0374582080149137</v>
      </c>
      <c r="X33" s="65"/>
      <c r="Y33" s="65"/>
      <c r="Z33" s="76" t="s">
        <v>112</v>
      </c>
      <c r="AA33" s="80">
        <v>105.79324866765727</v>
      </c>
    </row>
    <row r="34" spans="1:30" ht="15.75" thickBot="1" x14ac:dyDescent="0.3">
      <c r="A34" s="62" t="s">
        <v>33</v>
      </c>
      <c r="B34" s="62" t="s">
        <v>21</v>
      </c>
      <c r="C34" s="62" t="s">
        <v>22</v>
      </c>
      <c r="D34" s="62">
        <v>40368.078000000001</v>
      </c>
      <c r="E34" s="62">
        <v>23734.143</v>
      </c>
      <c r="F34" s="62">
        <v>1.7008441383369099</v>
      </c>
      <c r="G34" s="62">
        <v>68.20736834312217</v>
      </c>
      <c r="H34" s="62">
        <v>15</v>
      </c>
      <c r="I34" s="71">
        <v>4.2225525992352244</v>
      </c>
      <c r="J34" s="63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>
        <v>10</v>
      </c>
      <c r="V34" s="62">
        <v>0</v>
      </c>
      <c r="W34" s="62">
        <v>4.6051701859880918</v>
      </c>
      <c r="X34" s="62"/>
      <c r="Y34" s="62"/>
      <c r="Z34" s="81" t="s">
        <v>95</v>
      </c>
      <c r="AA34" s="82" t="s">
        <v>117</v>
      </c>
    </row>
    <row r="35" spans="1:30" x14ac:dyDescent="0.25">
      <c r="A35" s="65" t="s">
        <v>34</v>
      </c>
      <c r="B35" s="65" t="s">
        <v>21</v>
      </c>
      <c r="C35" s="65" t="s">
        <v>22</v>
      </c>
      <c r="D35" s="65">
        <v>36113.949000000001</v>
      </c>
      <c r="E35" s="65">
        <v>20821.201000000001</v>
      </c>
      <c r="F35" s="65">
        <v>1.7344796296813041</v>
      </c>
      <c r="G35" s="65">
        <v>67.943377722471411</v>
      </c>
      <c r="H35" s="65">
        <v>15</v>
      </c>
      <c r="I35" s="70">
        <v>4.2186746777531967</v>
      </c>
      <c r="J35" s="66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>
        <v>11</v>
      </c>
      <c r="V35" s="65">
        <v>0</v>
      </c>
      <c r="W35" s="65">
        <v>4.6051701859880918</v>
      </c>
      <c r="X35" s="65"/>
      <c r="Y35" s="65"/>
    </row>
    <row r="36" spans="1:30" x14ac:dyDescent="0.25">
      <c r="A36" s="62" t="s">
        <v>35</v>
      </c>
      <c r="B36" s="62" t="s">
        <v>21</v>
      </c>
      <c r="C36" s="62" t="s">
        <v>22</v>
      </c>
      <c r="D36" s="62">
        <v>33559.093999999997</v>
      </c>
      <c r="E36" s="62">
        <v>21508.425999999999</v>
      </c>
      <c r="F36" s="62">
        <v>1.5602766097342502</v>
      </c>
      <c r="G36" s="62">
        <v>56.682085476512597</v>
      </c>
      <c r="H36" s="62">
        <v>15</v>
      </c>
      <c r="I36" s="71">
        <v>4.0374582080149137</v>
      </c>
      <c r="J36" s="63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>
        <v>12</v>
      </c>
      <c r="V36" s="62">
        <v>0</v>
      </c>
      <c r="W36" s="62">
        <v>4.6051701859880918</v>
      </c>
      <c r="X36" s="62"/>
      <c r="Y36" s="62"/>
    </row>
    <row r="37" spans="1:30" x14ac:dyDescent="0.25">
      <c r="A37" s="65" t="s">
        <v>27</v>
      </c>
      <c r="B37" s="65" t="s">
        <v>21</v>
      </c>
      <c r="C37" s="65" t="s">
        <v>22</v>
      </c>
      <c r="D37" s="65">
        <v>58095.218999999997</v>
      </c>
      <c r="E37" s="65">
        <v>23297.436000000002</v>
      </c>
      <c r="F37" s="65">
        <v>2.4936314451083801</v>
      </c>
      <c r="G37" s="65">
        <v>100</v>
      </c>
      <c r="H37" s="65">
        <v>0</v>
      </c>
      <c r="I37" s="70">
        <v>4.6051701859880918</v>
      </c>
      <c r="J37" s="66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>
        <v>13</v>
      </c>
      <c r="V37" s="65" t="s">
        <v>118</v>
      </c>
      <c r="W37" s="65" t="s">
        <v>118</v>
      </c>
      <c r="X37" s="65"/>
      <c r="Y37" s="65"/>
    </row>
    <row r="38" spans="1:30" s="61" customFormat="1" x14ac:dyDescent="0.25">
      <c r="A38" s="62" t="s">
        <v>28</v>
      </c>
      <c r="B38" s="62" t="s">
        <v>21</v>
      </c>
      <c r="C38" s="62" t="s">
        <v>22</v>
      </c>
      <c r="D38" s="62">
        <v>53600.917999999998</v>
      </c>
      <c r="E38" s="62">
        <v>20996.703000000001</v>
      </c>
      <c r="F38" s="62">
        <v>2.5528254602639278</v>
      </c>
      <c r="G38" s="62">
        <v>100</v>
      </c>
      <c r="H38" s="62">
        <v>0</v>
      </c>
      <c r="I38" s="71">
        <v>4.6051701859880918</v>
      </c>
      <c r="J38" s="63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>
        <v>14</v>
      </c>
      <c r="V38" s="62" t="s">
        <v>118</v>
      </c>
      <c r="W38" s="62" t="s">
        <v>118</v>
      </c>
      <c r="X38" s="62"/>
      <c r="Y38" s="62"/>
      <c r="AD38" s="58"/>
    </row>
    <row r="39" spans="1:30" s="61" customFormat="1" x14ac:dyDescent="0.25">
      <c r="A39" s="65" t="s">
        <v>29</v>
      </c>
      <c r="B39" s="65" t="s">
        <v>21</v>
      </c>
      <c r="C39" s="65" t="s">
        <v>22</v>
      </c>
      <c r="D39" s="65">
        <v>56835.741999999998</v>
      </c>
      <c r="E39" s="65">
        <v>20647.486000000001</v>
      </c>
      <c r="F39" s="65">
        <v>2.7526712937352276</v>
      </c>
      <c r="G39" s="65">
        <v>100</v>
      </c>
      <c r="H39" s="65">
        <v>0</v>
      </c>
      <c r="I39" s="70">
        <v>4.6051701859880918</v>
      </c>
      <c r="J39" s="66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>
        <v>15</v>
      </c>
      <c r="V39" s="65" t="s">
        <v>118</v>
      </c>
      <c r="W39" s="65" t="s">
        <v>118</v>
      </c>
      <c r="X39" s="65"/>
      <c r="Y39" s="65"/>
      <c r="AD39" s="58"/>
    </row>
  </sheetData>
  <conditionalFormatting sqref="I5">
    <cfRule type="expression" dxfId="454" priority="455">
      <formula>ISTEXT($I$5)</formula>
    </cfRule>
  </conditionalFormatting>
  <conditionalFormatting sqref="I6">
    <cfRule type="expression" dxfId="453" priority="454">
      <formula>ISTEXT($I$6)</formula>
    </cfRule>
  </conditionalFormatting>
  <conditionalFormatting sqref="I7">
    <cfRule type="expression" dxfId="452" priority="453">
      <formula>ISTEXT($I$7)</formula>
    </cfRule>
  </conditionalFormatting>
  <conditionalFormatting sqref="I8">
    <cfRule type="expression" dxfId="451" priority="452">
      <formula>ISTEXT($I$8)</formula>
    </cfRule>
  </conditionalFormatting>
  <conditionalFormatting sqref="I9">
    <cfRule type="expression" dxfId="450" priority="451">
      <formula>ISTEXT($I$9)</formula>
    </cfRule>
  </conditionalFormatting>
  <conditionalFormatting sqref="I10">
    <cfRule type="expression" dxfId="449" priority="450">
      <formula>ISTEXT($I$10)</formula>
    </cfRule>
  </conditionalFormatting>
  <conditionalFormatting sqref="I11">
    <cfRule type="expression" dxfId="448" priority="449">
      <formula>ISTEXT($I$11)</formula>
    </cfRule>
  </conditionalFormatting>
  <conditionalFormatting sqref="I12">
    <cfRule type="expression" dxfId="447" priority="448">
      <formula>ISTEXT($I$12)</formula>
    </cfRule>
  </conditionalFormatting>
  <conditionalFormatting sqref="I13">
    <cfRule type="expression" dxfId="446" priority="447">
      <formula>ISTEXT($I$13)</formula>
    </cfRule>
  </conditionalFormatting>
  <conditionalFormatting sqref="I14">
    <cfRule type="expression" dxfId="445" priority="446">
      <formula>ISTEXT($I$14)</formula>
    </cfRule>
  </conditionalFormatting>
  <conditionalFormatting sqref="I15">
    <cfRule type="expression" dxfId="444" priority="445">
      <formula>ISTEXT($I$15)</formula>
    </cfRule>
  </conditionalFormatting>
  <conditionalFormatting sqref="I16">
    <cfRule type="expression" dxfId="443" priority="444">
      <formula>ISTEXT($I$16)</formula>
    </cfRule>
  </conditionalFormatting>
  <conditionalFormatting sqref="I17">
    <cfRule type="expression" dxfId="442" priority="443">
      <formula>ISTEXT($I$17)</formula>
    </cfRule>
  </conditionalFormatting>
  <conditionalFormatting sqref="I18">
    <cfRule type="expression" dxfId="441" priority="442">
      <formula>ISTEXT($I$18)</formula>
    </cfRule>
  </conditionalFormatting>
  <conditionalFormatting sqref="I19">
    <cfRule type="expression" dxfId="440" priority="441">
      <formula>ISTEXT($I$19)</formula>
    </cfRule>
  </conditionalFormatting>
  <conditionalFormatting sqref="I25">
    <cfRule type="expression" dxfId="274" priority="275">
      <formula>ISTEXT($I$25)</formula>
    </cfRule>
  </conditionalFormatting>
  <conditionalFormatting sqref="I26">
    <cfRule type="expression" dxfId="273" priority="274">
      <formula>ISTEXT($I$26)</formula>
    </cfRule>
  </conditionalFormatting>
  <conditionalFormatting sqref="I27">
    <cfRule type="expression" dxfId="272" priority="273">
      <formula>ISTEXT($I$27)</formula>
    </cfRule>
  </conditionalFormatting>
  <conditionalFormatting sqref="I28">
    <cfRule type="expression" dxfId="271" priority="272">
      <formula>ISTEXT($I$28)</formula>
    </cfRule>
  </conditionalFormatting>
  <conditionalFormatting sqref="I29">
    <cfRule type="expression" dxfId="270" priority="271">
      <formula>ISTEXT($I$29)</formula>
    </cfRule>
  </conditionalFormatting>
  <conditionalFormatting sqref="I30">
    <cfRule type="expression" dxfId="269" priority="270">
      <formula>ISTEXT($I$30)</formula>
    </cfRule>
  </conditionalFormatting>
  <conditionalFormatting sqref="I31">
    <cfRule type="expression" dxfId="268" priority="269">
      <formula>ISTEXT($I$31)</formula>
    </cfRule>
  </conditionalFormatting>
  <conditionalFormatting sqref="I32">
    <cfRule type="expression" dxfId="267" priority="268">
      <formula>ISTEXT($I$32)</formula>
    </cfRule>
  </conditionalFormatting>
  <conditionalFormatting sqref="I33">
    <cfRule type="expression" dxfId="266" priority="267">
      <formula>ISTEXT($I$33)</formula>
    </cfRule>
  </conditionalFormatting>
  <conditionalFormatting sqref="I34">
    <cfRule type="expression" dxfId="265" priority="266">
      <formula>ISTEXT($I$34)</formula>
    </cfRule>
  </conditionalFormatting>
  <conditionalFormatting sqref="I35">
    <cfRule type="expression" dxfId="264" priority="265">
      <formula>ISTEXT($I$35)</formula>
    </cfRule>
  </conditionalFormatting>
  <conditionalFormatting sqref="I36">
    <cfRule type="expression" dxfId="263" priority="264">
      <formula>ISTEXT($I$36)</formula>
    </cfRule>
  </conditionalFormatting>
  <conditionalFormatting sqref="I37">
    <cfRule type="expression" dxfId="262" priority="263">
      <formula>ISTEXT($I$37)</formula>
    </cfRule>
  </conditionalFormatting>
  <conditionalFormatting sqref="I38">
    <cfRule type="expression" dxfId="261" priority="262">
      <formula>ISTEXT($I$38)</formula>
    </cfRule>
  </conditionalFormatting>
  <conditionalFormatting sqref="I39">
    <cfRule type="expression" dxfId="260" priority="261">
      <formula>ISTEXT($I$39)</formula>
    </cfRule>
  </conditionalFormatting>
  <conditionalFormatting sqref="AA3">
    <cfRule type="expression" dxfId="259" priority="260">
      <formula>ISTEXT($AA$3)</formula>
    </cfRule>
  </conditionalFormatting>
  <conditionalFormatting sqref="AB3">
    <cfRule type="expression" dxfId="258" priority="259">
      <formula>ISTEXT($AB$3)</formula>
    </cfRule>
  </conditionalFormatting>
  <conditionalFormatting sqref="AC3">
    <cfRule type="expression" dxfId="257" priority="258">
      <formula>ISTEXT($AC$3)</formula>
    </cfRule>
  </conditionalFormatting>
  <conditionalFormatting sqref="AD3">
    <cfRule type="expression" dxfId="256" priority="257">
      <formula>ISTEXT($AD$3)</formula>
    </cfRule>
  </conditionalFormatting>
  <conditionalFormatting sqref="AA4">
    <cfRule type="expression" dxfId="255" priority="256">
      <formula>ISTEXT($AA$4)</formula>
    </cfRule>
  </conditionalFormatting>
  <conditionalFormatting sqref="AB4">
    <cfRule type="expression" dxfId="254" priority="255">
      <formula>ISTEXT($AB$4)</formula>
    </cfRule>
  </conditionalFormatting>
  <conditionalFormatting sqref="AC4">
    <cfRule type="expression" dxfId="253" priority="254">
      <formula>ISTEXT($AC$4)</formula>
    </cfRule>
  </conditionalFormatting>
  <conditionalFormatting sqref="AD4">
    <cfRule type="expression" dxfId="252" priority="253">
      <formula>ISTEXT($AD$4)</formula>
    </cfRule>
  </conditionalFormatting>
  <conditionalFormatting sqref="AA5">
    <cfRule type="expression" dxfId="251" priority="252">
      <formula>ISTEXT($AA$5)</formula>
    </cfRule>
  </conditionalFormatting>
  <conditionalFormatting sqref="AB5">
    <cfRule type="expression" dxfId="250" priority="251">
      <formula>ISTEXT($AB$5)</formula>
    </cfRule>
  </conditionalFormatting>
  <conditionalFormatting sqref="AC5">
    <cfRule type="expression" dxfId="249" priority="250">
      <formula>ISTEXT($AC$5)</formula>
    </cfRule>
  </conditionalFormatting>
  <conditionalFormatting sqref="AD5">
    <cfRule type="expression" dxfId="248" priority="249">
      <formula>ISTEXT($AD$5)</formula>
    </cfRule>
  </conditionalFormatting>
  <conditionalFormatting sqref="AA6">
    <cfRule type="expression" dxfId="247" priority="248">
      <formula>ISTEXT($AA$6)</formula>
    </cfRule>
  </conditionalFormatting>
  <conditionalFormatting sqref="AB6">
    <cfRule type="expression" dxfId="246" priority="247">
      <formula>ISTEXT($AB$6)</formula>
    </cfRule>
  </conditionalFormatting>
  <conditionalFormatting sqref="AC6">
    <cfRule type="expression" dxfId="245" priority="246">
      <formula>ISTEXT($AC$6)</formula>
    </cfRule>
  </conditionalFormatting>
  <conditionalFormatting sqref="AD6">
    <cfRule type="expression" dxfId="244" priority="245">
      <formula>ISTEXT($AD$6)</formula>
    </cfRule>
  </conditionalFormatting>
  <conditionalFormatting sqref="AA7">
    <cfRule type="expression" dxfId="243" priority="244">
      <formula>ISTEXT($AA$7)</formula>
    </cfRule>
  </conditionalFormatting>
  <conditionalFormatting sqref="AB7">
    <cfRule type="expression" dxfId="242" priority="243">
      <formula>ISTEXT($AB$7)</formula>
    </cfRule>
  </conditionalFormatting>
  <conditionalFormatting sqref="AC7">
    <cfRule type="expression" dxfId="241" priority="242">
      <formula>ISTEXT($AC$7)</formula>
    </cfRule>
  </conditionalFormatting>
  <conditionalFormatting sqref="AD7">
    <cfRule type="expression" dxfId="240" priority="241">
      <formula>ISTEXT($AD$7)</formula>
    </cfRule>
  </conditionalFormatting>
  <conditionalFormatting sqref="AA23">
    <cfRule type="expression" dxfId="19" priority="20">
      <formula>ISTEXT($AA$23)</formula>
    </cfRule>
  </conditionalFormatting>
  <conditionalFormatting sqref="AB23">
    <cfRule type="expression" dxfId="18" priority="19">
      <formula>ISTEXT($AB$23)</formula>
    </cfRule>
  </conditionalFormatting>
  <conditionalFormatting sqref="AC23">
    <cfRule type="expression" dxfId="17" priority="18">
      <formula>ISTEXT($AC$23)</formula>
    </cfRule>
  </conditionalFormatting>
  <conditionalFormatting sqref="AD23">
    <cfRule type="expression" dxfId="16" priority="17">
      <formula>ISTEXT($AD$23)</formula>
    </cfRule>
  </conditionalFormatting>
  <conditionalFormatting sqref="AA24">
    <cfRule type="expression" dxfId="15" priority="16">
      <formula>ISTEXT($AA$24)</formula>
    </cfRule>
  </conditionalFormatting>
  <conditionalFormatting sqref="AB24">
    <cfRule type="expression" dxfId="14" priority="15">
      <formula>ISTEXT($AB$24)</formula>
    </cfRule>
  </conditionalFormatting>
  <conditionalFormatting sqref="AC24">
    <cfRule type="expression" dxfId="13" priority="14">
      <formula>ISTEXT($AC$24)</formula>
    </cfRule>
  </conditionalFormatting>
  <conditionalFormatting sqref="AD24">
    <cfRule type="expression" dxfId="12" priority="13">
      <formula>ISTEXT($AD$24)</formula>
    </cfRule>
  </conditionalFormatting>
  <conditionalFormatting sqref="AA25">
    <cfRule type="expression" dxfId="11" priority="12">
      <formula>ISTEXT($AA$25)</formula>
    </cfRule>
  </conditionalFormatting>
  <conditionalFormatting sqref="AB25">
    <cfRule type="expression" dxfId="10" priority="11">
      <formula>ISTEXT($AB$25)</formula>
    </cfRule>
  </conditionalFormatting>
  <conditionalFormatting sqref="AC25">
    <cfRule type="expression" dxfId="9" priority="10">
      <formula>ISTEXT($AC$25)</formula>
    </cfRule>
  </conditionalFormatting>
  <conditionalFormatting sqref="AD25">
    <cfRule type="expression" dxfId="8" priority="9">
      <formula>ISTEXT($AD$25)</formula>
    </cfRule>
  </conditionalFormatting>
  <conditionalFormatting sqref="AA26">
    <cfRule type="expression" dxfId="7" priority="8">
      <formula>ISTEXT($AA$26)</formula>
    </cfRule>
  </conditionalFormatting>
  <conditionalFormatting sqref="AB26">
    <cfRule type="expression" dxfId="6" priority="7">
      <formula>ISTEXT($AB$26)</formula>
    </cfRule>
  </conditionalFormatting>
  <conditionalFormatting sqref="AC26">
    <cfRule type="expression" dxfId="5" priority="6">
      <formula>ISTEXT($AC$26)</formula>
    </cfRule>
  </conditionalFormatting>
  <conditionalFormatting sqref="AD26">
    <cfRule type="expression" dxfId="4" priority="5">
      <formula>ISTEXT($AD$26)</formula>
    </cfRule>
  </conditionalFormatting>
  <conditionalFormatting sqref="AA27">
    <cfRule type="expression" dxfId="3" priority="4">
      <formula>ISTEXT($AA$27)</formula>
    </cfRule>
  </conditionalFormatting>
  <conditionalFormatting sqref="AB27">
    <cfRule type="expression" dxfId="2" priority="3">
      <formula>ISTEXT($AB$27)</formula>
    </cfRule>
  </conditionalFormatting>
  <conditionalFormatting sqref="AC27">
    <cfRule type="expression" dxfId="1" priority="2">
      <formula>ISTEXT($AC$27)</formula>
    </cfRule>
  </conditionalFormatting>
  <conditionalFormatting sqref="AD27">
    <cfRule type="expression" dxfId="0" priority="1">
      <formula>ISTEXT($AD$27)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>
      <selection activeCell="E35" sqref="E35"/>
    </sheetView>
  </sheetViews>
  <sheetFormatPr defaultRowHeight="15" x14ac:dyDescent="0.25"/>
  <cols>
    <col min="7" max="7" width="15.85546875" bestFit="1" customWidth="1"/>
  </cols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0.70457175925925919</v>
      </c>
      <c r="G2" s="3" t="s">
        <v>21</v>
      </c>
      <c r="H2" s="3">
        <v>0</v>
      </c>
      <c r="I2" s="3">
        <v>0.93</v>
      </c>
      <c r="J2" s="3" t="s">
        <v>22</v>
      </c>
      <c r="K2" s="3" t="s">
        <v>23</v>
      </c>
      <c r="L2" s="3">
        <v>1.9E-2</v>
      </c>
      <c r="M2" s="3">
        <v>1</v>
      </c>
      <c r="N2" s="3">
        <v>23900.384999999998</v>
      </c>
      <c r="O2" s="3">
        <v>7.9496627355584447E-7</v>
      </c>
      <c r="P2" s="3">
        <v>0.84</v>
      </c>
      <c r="Q2" s="3"/>
      <c r="R2" s="3"/>
      <c r="S2" s="3"/>
    </row>
    <row r="3" spans="1:20" x14ac:dyDescent="0.25">
      <c r="A3" s="3" t="s">
        <v>24</v>
      </c>
      <c r="B3" s="3"/>
      <c r="C3" s="3"/>
      <c r="D3" s="3"/>
      <c r="E3" s="3"/>
      <c r="F3" s="3">
        <v>0.7064583333333333</v>
      </c>
      <c r="G3" s="3" t="s">
        <v>21</v>
      </c>
      <c r="H3" s="3">
        <v>0</v>
      </c>
      <c r="I3" s="3">
        <v>0.93</v>
      </c>
      <c r="J3" s="3" t="s">
        <v>22</v>
      </c>
      <c r="K3" s="3" t="s">
        <v>25</v>
      </c>
      <c r="L3" s="3">
        <v>0.77200000000000002</v>
      </c>
      <c r="M3" s="3">
        <v>1</v>
      </c>
      <c r="N3" s="3">
        <v>22970.811000000002</v>
      </c>
      <c r="O3" s="3">
        <v>3.3607868699106876E-5</v>
      </c>
      <c r="P3" s="3">
        <v>0.93</v>
      </c>
      <c r="Q3" s="3"/>
      <c r="R3" s="3"/>
      <c r="S3" s="3"/>
    </row>
    <row r="4" spans="1:20" x14ac:dyDescent="0.25">
      <c r="A4" s="3" t="s">
        <v>26</v>
      </c>
      <c r="B4" s="3"/>
      <c r="C4" s="3"/>
      <c r="D4" s="3"/>
      <c r="E4" s="3"/>
      <c r="F4" s="3">
        <v>0.70833333333333337</v>
      </c>
      <c r="G4" s="3" t="s">
        <v>21</v>
      </c>
      <c r="H4" s="3">
        <v>0</v>
      </c>
      <c r="I4" s="3">
        <v>0.93</v>
      </c>
      <c r="J4" s="3" t="s">
        <v>22</v>
      </c>
      <c r="K4" s="3" t="s">
        <v>23</v>
      </c>
      <c r="L4" s="3">
        <v>2.4E-2</v>
      </c>
      <c r="M4" s="3">
        <v>1</v>
      </c>
      <c r="N4" s="3">
        <v>23638.438999999998</v>
      </c>
      <c r="O4" s="3">
        <v>1.0152954685374953E-6</v>
      </c>
      <c r="P4" s="3">
        <v>0.88</v>
      </c>
      <c r="Q4" s="3"/>
      <c r="R4" s="3"/>
      <c r="S4" s="3"/>
    </row>
    <row r="5" spans="1:20" x14ac:dyDescent="0.25">
      <c r="A5" s="3" t="s">
        <v>27</v>
      </c>
      <c r="B5" s="3"/>
      <c r="C5" s="3"/>
      <c r="D5" s="3"/>
      <c r="E5" s="3"/>
      <c r="F5" s="3">
        <v>0.75150462962962961</v>
      </c>
      <c r="G5" s="3" t="s">
        <v>21</v>
      </c>
      <c r="H5" s="3">
        <v>0</v>
      </c>
      <c r="I5" s="3">
        <v>0.93</v>
      </c>
      <c r="J5" s="3" t="s">
        <v>22</v>
      </c>
      <c r="K5" s="3" t="s">
        <v>25</v>
      </c>
      <c r="L5" s="3">
        <v>58095.218999999997</v>
      </c>
      <c r="M5" s="3">
        <v>1</v>
      </c>
      <c r="N5" s="3">
        <v>23297.436000000002</v>
      </c>
      <c r="O5" s="3">
        <v>2.4936314451083801</v>
      </c>
      <c r="P5" s="3">
        <v>0.88</v>
      </c>
      <c r="Q5" s="3"/>
      <c r="R5" s="3"/>
      <c r="S5" s="3"/>
    </row>
    <row r="6" spans="1:20" x14ac:dyDescent="0.25">
      <c r="A6" s="3" t="s">
        <v>28</v>
      </c>
      <c r="B6" s="3"/>
      <c r="C6" s="3"/>
      <c r="D6" s="3"/>
      <c r="E6" s="3"/>
      <c r="F6" s="3">
        <v>0.75337962962962957</v>
      </c>
      <c r="G6" s="3" t="s">
        <v>21</v>
      </c>
      <c r="H6" s="3">
        <v>0</v>
      </c>
      <c r="I6" s="3">
        <v>0.93</v>
      </c>
      <c r="J6" s="3" t="s">
        <v>22</v>
      </c>
      <c r="K6" s="3" t="s">
        <v>25</v>
      </c>
      <c r="L6" s="3">
        <v>53600.917999999998</v>
      </c>
      <c r="M6" s="3">
        <v>1</v>
      </c>
      <c r="N6" s="3">
        <v>20996.703000000001</v>
      </c>
      <c r="O6" s="3">
        <v>2.5528254602639278</v>
      </c>
      <c r="P6" s="3">
        <v>0.88</v>
      </c>
      <c r="Q6" s="3"/>
      <c r="R6" s="3"/>
      <c r="S6" s="3"/>
    </row>
    <row r="7" spans="1:20" x14ac:dyDescent="0.25">
      <c r="A7" s="3" t="s">
        <v>29</v>
      </c>
      <c r="B7" s="3"/>
      <c r="C7" s="3"/>
      <c r="D7" s="3"/>
      <c r="E7" s="3"/>
      <c r="F7" s="3">
        <v>0.75525462962962964</v>
      </c>
      <c r="G7" s="3" t="s">
        <v>21</v>
      </c>
      <c r="H7" s="3">
        <v>0</v>
      </c>
      <c r="I7" s="3">
        <v>0.93</v>
      </c>
      <c r="J7" s="3" t="s">
        <v>22</v>
      </c>
      <c r="K7" s="3" t="s">
        <v>25</v>
      </c>
      <c r="L7" s="3">
        <v>56835.741999999998</v>
      </c>
      <c r="M7" s="3">
        <v>1</v>
      </c>
      <c r="N7" s="3">
        <v>20647.486000000001</v>
      </c>
      <c r="O7" s="3">
        <v>2.7526712937352276</v>
      </c>
      <c r="P7" s="3">
        <v>0.88</v>
      </c>
      <c r="Q7" s="3"/>
      <c r="R7" s="3"/>
      <c r="S7" s="3"/>
    </row>
    <row r="8" spans="1:20" x14ac:dyDescent="0.25">
      <c r="A8" s="3" t="s">
        <v>30</v>
      </c>
      <c r="B8" s="3"/>
      <c r="C8" s="3"/>
      <c r="D8" s="3"/>
      <c r="E8" s="3"/>
      <c r="F8" s="3">
        <v>0.72898148148148145</v>
      </c>
      <c r="G8" s="3" t="s">
        <v>21</v>
      </c>
      <c r="H8" s="3">
        <v>0</v>
      </c>
      <c r="I8" s="3">
        <v>0.93</v>
      </c>
      <c r="J8" s="3" t="s">
        <v>22</v>
      </c>
      <c r="K8" s="3" t="s">
        <v>25</v>
      </c>
      <c r="L8" s="3">
        <v>380.04399999999998</v>
      </c>
      <c r="M8" s="3">
        <v>1</v>
      </c>
      <c r="N8" s="3">
        <v>22322.879000000001</v>
      </c>
      <c r="O8" s="3">
        <v>1.7024864937896227E-2</v>
      </c>
      <c r="P8" s="3">
        <v>0.89</v>
      </c>
      <c r="Q8" s="3"/>
      <c r="R8" s="3"/>
      <c r="S8" s="3"/>
    </row>
    <row r="9" spans="1:20" x14ac:dyDescent="0.25">
      <c r="A9" s="3" t="s">
        <v>31</v>
      </c>
      <c r="B9" s="3"/>
      <c r="C9" s="3"/>
      <c r="D9" s="3"/>
      <c r="E9" s="3"/>
      <c r="F9" s="3">
        <v>0.73085648148148152</v>
      </c>
      <c r="G9" s="3" t="s">
        <v>21</v>
      </c>
      <c r="H9" s="3">
        <v>0</v>
      </c>
      <c r="I9" s="3">
        <v>0.93</v>
      </c>
      <c r="J9" s="3" t="s">
        <v>22</v>
      </c>
      <c r="K9" s="3" t="s">
        <v>25</v>
      </c>
      <c r="L9" s="3">
        <v>256.50200000000001</v>
      </c>
      <c r="M9" s="3">
        <v>1</v>
      </c>
      <c r="N9" s="3">
        <v>21369.228999999999</v>
      </c>
      <c r="O9" s="3">
        <v>1.2003334327129913E-2</v>
      </c>
      <c r="P9" s="3">
        <v>0.89</v>
      </c>
      <c r="Q9" s="3"/>
      <c r="R9" s="3"/>
      <c r="S9" s="3"/>
    </row>
    <row r="10" spans="1:20" x14ac:dyDescent="0.25">
      <c r="A10" s="3" t="s">
        <v>32</v>
      </c>
      <c r="B10" s="3"/>
      <c r="C10" s="3"/>
      <c r="D10" s="3"/>
      <c r="E10" s="3"/>
      <c r="F10" s="3">
        <v>0.73273148148148148</v>
      </c>
      <c r="G10" s="3" t="s">
        <v>21</v>
      </c>
      <c r="H10" s="3">
        <v>0</v>
      </c>
      <c r="I10" s="3">
        <v>0.93</v>
      </c>
      <c r="J10" s="3" t="s">
        <v>22</v>
      </c>
      <c r="K10" s="3" t="s">
        <v>25</v>
      </c>
      <c r="L10" s="3">
        <v>334.47699999999998</v>
      </c>
      <c r="M10" s="3">
        <v>1</v>
      </c>
      <c r="N10" s="3">
        <v>23001.601999999999</v>
      </c>
      <c r="O10" s="3">
        <v>1.4541465416191446E-2</v>
      </c>
      <c r="P10" s="3">
        <v>0.89</v>
      </c>
      <c r="Q10" s="3"/>
      <c r="R10" s="3"/>
      <c r="S10" s="3"/>
    </row>
    <row r="11" spans="1:20" x14ac:dyDescent="0.25">
      <c r="A11" s="3" t="s">
        <v>33</v>
      </c>
      <c r="B11" s="3"/>
      <c r="C11" s="3"/>
      <c r="D11" s="3"/>
      <c r="E11" s="3"/>
      <c r="F11" s="3">
        <v>0.74586805555555558</v>
      </c>
      <c r="G11" s="3" t="s">
        <v>21</v>
      </c>
      <c r="H11" s="3">
        <v>0</v>
      </c>
      <c r="I11" s="3">
        <v>0.93</v>
      </c>
      <c r="J11" s="3" t="s">
        <v>22</v>
      </c>
      <c r="K11" s="3" t="s">
        <v>25</v>
      </c>
      <c r="L11" s="3">
        <v>40368.078000000001</v>
      </c>
      <c r="M11" s="3">
        <v>1</v>
      </c>
      <c r="N11" s="3">
        <v>23734.143</v>
      </c>
      <c r="O11" s="3">
        <v>1.7008441383369099</v>
      </c>
      <c r="P11" s="3">
        <v>0.89</v>
      </c>
      <c r="Q11" s="3"/>
      <c r="R11" s="3"/>
      <c r="S11" s="3"/>
    </row>
    <row r="12" spans="1:20" x14ac:dyDescent="0.25">
      <c r="A12" s="3" t="s">
        <v>34</v>
      </c>
      <c r="B12" s="3"/>
      <c r="C12" s="3"/>
      <c r="D12" s="3"/>
      <c r="E12" s="3"/>
      <c r="F12" s="3">
        <v>0.74775462962962969</v>
      </c>
      <c r="G12" s="3" t="s">
        <v>21</v>
      </c>
      <c r="H12" s="3">
        <v>0</v>
      </c>
      <c r="I12" s="3">
        <v>0.93</v>
      </c>
      <c r="J12" s="3" t="s">
        <v>22</v>
      </c>
      <c r="K12" s="3" t="s">
        <v>25</v>
      </c>
      <c r="L12" s="3">
        <v>36113.949000000001</v>
      </c>
      <c r="M12" s="3">
        <v>1</v>
      </c>
      <c r="N12" s="3">
        <v>20821.201000000001</v>
      </c>
      <c r="O12" s="3">
        <v>1.7344796296813041</v>
      </c>
      <c r="P12" s="3">
        <v>0.88</v>
      </c>
      <c r="Q12" s="3"/>
      <c r="R12" s="3"/>
      <c r="S12" s="3"/>
    </row>
    <row r="13" spans="1:20" x14ac:dyDescent="0.25">
      <c r="A13" s="3" t="s">
        <v>35</v>
      </c>
      <c r="B13" s="3"/>
      <c r="C13" s="3"/>
      <c r="D13" s="3"/>
      <c r="E13" s="3"/>
      <c r="F13" s="3">
        <v>0.74961805555555561</v>
      </c>
      <c r="G13" s="3" t="s">
        <v>21</v>
      </c>
      <c r="H13" s="3">
        <v>0</v>
      </c>
      <c r="I13" s="3">
        <v>0.93</v>
      </c>
      <c r="J13" s="3" t="s">
        <v>22</v>
      </c>
      <c r="K13" s="3" t="s">
        <v>25</v>
      </c>
      <c r="L13" s="3">
        <v>33559.093999999997</v>
      </c>
      <c r="M13" s="3">
        <v>1</v>
      </c>
      <c r="N13" s="3">
        <v>21508.425999999999</v>
      </c>
      <c r="O13" s="3">
        <v>1.5602766097342502</v>
      </c>
      <c r="P13" s="3">
        <v>0.88</v>
      </c>
      <c r="Q13" s="3"/>
      <c r="R13" s="3"/>
      <c r="S13" s="3"/>
    </row>
    <row r="14" spans="1:20" x14ac:dyDescent="0.25">
      <c r="A14" s="3" t="s">
        <v>36</v>
      </c>
      <c r="B14" s="3"/>
      <c r="C14" s="3"/>
      <c r="D14" s="3"/>
      <c r="E14" s="3"/>
      <c r="F14" s="3">
        <v>0.74024305555555558</v>
      </c>
      <c r="G14" s="3" t="s">
        <v>21</v>
      </c>
      <c r="H14" s="3">
        <v>0</v>
      </c>
      <c r="I14" s="3">
        <v>0.93</v>
      </c>
      <c r="J14" s="3" t="s">
        <v>22</v>
      </c>
      <c r="K14" s="3" t="s">
        <v>25</v>
      </c>
      <c r="L14" s="3">
        <v>8780.2009999999991</v>
      </c>
      <c r="M14" s="3">
        <v>1</v>
      </c>
      <c r="N14" s="3">
        <v>19350.303</v>
      </c>
      <c r="O14" s="3">
        <v>0.45375005238936045</v>
      </c>
      <c r="P14" s="3">
        <v>0.89</v>
      </c>
      <c r="Q14" s="3"/>
      <c r="R14" s="3"/>
      <c r="S14" s="3"/>
    </row>
    <row r="15" spans="1:20" x14ac:dyDescent="0.25">
      <c r="A15" s="3" t="s">
        <v>37</v>
      </c>
      <c r="B15" s="3"/>
      <c r="C15" s="3"/>
      <c r="D15" s="3"/>
      <c r="E15" s="3"/>
      <c r="F15" s="3">
        <v>0.74210648148148151</v>
      </c>
      <c r="G15" s="3" t="s">
        <v>21</v>
      </c>
      <c r="H15" s="3">
        <v>0</v>
      </c>
      <c r="I15" s="3">
        <v>0.93</v>
      </c>
      <c r="J15" s="3" t="s">
        <v>22</v>
      </c>
      <c r="K15" s="3" t="s">
        <v>25</v>
      </c>
      <c r="L15" s="3">
        <v>10967.168</v>
      </c>
      <c r="M15" s="3">
        <v>1</v>
      </c>
      <c r="N15" s="3">
        <v>21159.116999999998</v>
      </c>
      <c r="O15" s="3">
        <v>0.51831879373794287</v>
      </c>
      <c r="P15" s="3">
        <v>0.88</v>
      </c>
      <c r="Q15" s="3"/>
      <c r="R15" s="3"/>
      <c r="S15" s="3"/>
    </row>
    <row r="16" spans="1:20" x14ac:dyDescent="0.25">
      <c r="A16" s="3" t="s">
        <v>38</v>
      </c>
      <c r="B16" s="3"/>
      <c r="C16" s="3"/>
      <c r="D16" s="3"/>
      <c r="E16" s="3"/>
      <c r="F16" s="3">
        <v>0.74400462962962965</v>
      </c>
      <c r="G16" s="3" t="s">
        <v>21</v>
      </c>
      <c r="H16" s="3">
        <v>0</v>
      </c>
      <c r="I16" s="3">
        <v>0.93</v>
      </c>
      <c r="J16" s="3" t="s">
        <v>22</v>
      </c>
      <c r="K16" s="3" t="s">
        <v>25</v>
      </c>
      <c r="L16" s="3">
        <v>9831.64</v>
      </c>
      <c r="M16" s="3">
        <v>1</v>
      </c>
      <c r="N16" s="3">
        <v>18729.782999999999</v>
      </c>
      <c r="O16" s="3">
        <v>0.52492012320698</v>
      </c>
      <c r="P16" s="3">
        <v>0.88</v>
      </c>
      <c r="Q16" s="3"/>
      <c r="R16" s="3"/>
      <c r="S16" s="3"/>
    </row>
    <row r="17" spans="1:19" x14ac:dyDescent="0.25">
      <c r="A17" s="3" t="s">
        <v>39</v>
      </c>
      <c r="B17" s="3"/>
      <c r="C17" s="3"/>
      <c r="D17" s="3"/>
      <c r="E17" s="3"/>
      <c r="F17" s="3">
        <v>0.73460648148148155</v>
      </c>
      <c r="G17" s="3" t="s">
        <v>21</v>
      </c>
      <c r="H17" s="3">
        <v>0</v>
      </c>
      <c r="I17" s="3">
        <v>0.93</v>
      </c>
      <c r="J17" s="3" t="s">
        <v>22</v>
      </c>
      <c r="K17" s="3" t="s">
        <v>25</v>
      </c>
      <c r="L17" s="3">
        <v>2009.1120000000001</v>
      </c>
      <c r="M17" s="3">
        <v>1</v>
      </c>
      <c r="N17" s="3">
        <v>15686.807000000001</v>
      </c>
      <c r="O17" s="3">
        <v>0.12807654228167656</v>
      </c>
      <c r="P17" s="3">
        <v>0.88</v>
      </c>
      <c r="Q17" s="3"/>
      <c r="R17" s="3"/>
      <c r="S17" s="3"/>
    </row>
    <row r="18" spans="1:19" x14ac:dyDescent="0.25">
      <c r="A18" s="3" t="s">
        <v>40</v>
      </c>
      <c r="B18" s="3"/>
      <c r="C18" s="3"/>
      <c r="D18" s="3"/>
      <c r="E18" s="3"/>
      <c r="F18" s="3">
        <v>0.7364814814814814</v>
      </c>
      <c r="G18" s="3" t="s">
        <v>21</v>
      </c>
      <c r="H18" s="3">
        <v>0</v>
      </c>
      <c r="I18" s="3">
        <v>0.93</v>
      </c>
      <c r="J18" s="3" t="s">
        <v>22</v>
      </c>
      <c r="K18" s="3" t="s">
        <v>25</v>
      </c>
      <c r="L18" s="3">
        <v>2378.7550000000001</v>
      </c>
      <c r="M18" s="3">
        <v>1</v>
      </c>
      <c r="N18" s="3">
        <v>19307.703000000001</v>
      </c>
      <c r="O18" s="3">
        <v>0.12320238197158927</v>
      </c>
      <c r="P18" s="3">
        <v>0.88</v>
      </c>
      <c r="Q18" s="3"/>
      <c r="R18" s="3"/>
      <c r="S18" s="3"/>
    </row>
    <row r="19" spans="1:19" x14ac:dyDescent="0.25">
      <c r="A19" s="3" t="s">
        <v>41</v>
      </c>
      <c r="B19" s="3"/>
      <c r="C19" s="3"/>
      <c r="D19" s="3"/>
      <c r="E19" s="3"/>
      <c r="F19" s="3">
        <v>0.73836805555555562</v>
      </c>
      <c r="G19" s="3" t="s">
        <v>21</v>
      </c>
      <c r="H19" s="3">
        <v>0</v>
      </c>
      <c r="I19" s="3">
        <v>0.93</v>
      </c>
      <c r="J19" s="3" t="s">
        <v>22</v>
      </c>
      <c r="K19" s="3" t="s">
        <v>25</v>
      </c>
      <c r="L19" s="3">
        <v>2090.4349999999999</v>
      </c>
      <c r="M19" s="3">
        <v>1</v>
      </c>
      <c r="N19" s="3">
        <v>17751.011999999999</v>
      </c>
      <c r="O19" s="3">
        <v>0.11776427169335472</v>
      </c>
      <c r="P19" s="3">
        <v>0.88</v>
      </c>
      <c r="Q19" s="3"/>
      <c r="R19" s="3"/>
      <c r="S19" s="3"/>
    </row>
    <row r="20" spans="1:19" x14ac:dyDescent="0.25">
      <c r="A20" s="3" t="s">
        <v>60</v>
      </c>
      <c r="B20" s="3"/>
      <c r="C20" s="3"/>
      <c r="D20" s="3"/>
      <c r="E20" s="3"/>
      <c r="F20" s="3">
        <v>0.71582175925925917</v>
      </c>
      <c r="G20" s="3" t="s">
        <v>67</v>
      </c>
      <c r="H20" s="3">
        <v>0</v>
      </c>
      <c r="I20" s="3">
        <v>0.93</v>
      </c>
      <c r="J20" s="3" t="s">
        <v>68</v>
      </c>
      <c r="K20" s="3" t="s">
        <v>25</v>
      </c>
      <c r="L20" s="3">
        <v>0.36599999999999999</v>
      </c>
      <c r="M20" s="3">
        <v>1</v>
      </c>
      <c r="N20" s="3">
        <v>12948.120999999999</v>
      </c>
      <c r="O20" s="3">
        <v>2.8266649655189352E-5</v>
      </c>
      <c r="P20" s="3">
        <v>1.02</v>
      </c>
      <c r="Q20" s="3"/>
      <c r="R20" s="3"/>
      <c r="S20" s="3"/>
    </row>
    <row r="21" spans="1:19" x14ac:dyDescent="0.25">
      <c r="A21" s="3" t="s">
        <v>63</v>
      </c>
      <c r="B21" s="3"/>
      <c r="C21" s="3"/>
      <c r="D21" s="3"/>
      <c r="E21" s="3"/>
      <c r="F21" s="3">
        <v>0.71770833333333339</v>
      </c>
      <c r="G21" s="3" t="s">
        <v>67</v>
      </c>
      <c r="H21" s="3">
        <v>0</v>
      </c>
      <c r="I21" s="3">
        <v>0.93</v>
      </c>
      <c r="J21" s="3" t="s">
        <v>68</v>
      </c>
      <c r="K21" s="3" t="s">
        <v>25</v>
      </c>
      <c r="L21" s="3">
        <v>6.4530000000000003</v>
      </c>
      <c r="M21" s="3">
        <v>1</v>
      </c>
      <c r="N21" s="3">
        <v>14433.352999999999</v>
      </c>
      <c r="O21" s="3">
        <v>4.4708946008595513E-4</v>
      </c>
      <c r="P21" s="3">
        <v>1.02</v>
      </c>
      <c r="Q21" s="3"/>
      <c r="R21" s="3"/>
      <c r="S21" s="3"/>
    </row>
    <row r="22" spans="1:19" x14ac:dyDescent="0.25">
      <c r="A22" s="3" t="s">
        <v>64</v>
      </c>
      <c r="B22" s="3"/>
      <c r="C22" s="3"/>
      <c r="D22" s="3"/>
      <c r="E22" s="3"/>
      <c r="F22" s="3">
        <v>0.71958333333333335</v>
      </c>
      <c r="G22" s="3" t="s">
        <v>67</v>
      </c>
      <c r="H22" s="3">
        <v>0</v>
      </c>
      <c r="I22" s="3">
        <v>0.93</v>
      </c>
      <c r="J22" s="3" t="s">
        <v>68</v>
      </c>
      <c r="K22" s="3" t="s">
        <v>23</v>
      </c>
      <c r="L22" s="3">
        <v>4.2999999999999997E-2</v>
      </c>
      <c r="M22" s="3">
        <v>1</v>
      </c>
      <c r="N22" s="3">
        <v>13537.442999999999</v>
      </c>
      <c r="O22" s="3">
        <v>3.1763753317373153E-6</v>
      </c>
      <c r="P22" s="3">
        <v>1.02</v>
      </c>
      <c r="Q22" s="3"/>
      <c r="R22" s="3"/>
      <c r="S22" s="3"/>
    </row>
    <row r="23" spans="1:19" x14ac:dyDescent="0.25">
      <c r="A23" s="3" t="s">
        <v>69</v>
      </c>
      <c r="B23" s="3"/>
      <c r="C23" s="3"/>
      <c r="D23" s="3"/>
      <c r="E23" s="3"/>
      <c r="F23" s="3">
        <v>0.65304398148148146</v>
      </c>
      <c r="G23" s="3" t="s">
        <v>67</v>
      </c>
      <c r="H23" s="3">
        <v>0</v>
      </c>
      <c r="I23" s="3">
        <v>0.93</v>
      </c>
      <c r="J23" s="3" t="s">
        <v>68</v>
      </c>
      <c r="K23" s="3" t="s">
        <v>25</v>
      </c>
      <c r="L23" s="3">
        <v>3612.5770000000002</v>
      </c>
      <c r="M23" s="3">
        <v>1</v>
      </c>
      <c r="N23" s="3">
        <v>2433.1060000000002</v>
      </c>
      <c r="O23" s="3">
        <v>1.4847593980697922</v>
      </c>
      <c r="P23" s="3">
        <v>1.02</v>
      </c>
      <c r="Q23" s="3"/>
      <c r="R23" s="3"/>
      <c r="S23" s="3"/>
    </row>
    <row r="24" spans="1:19" x14ac:dyDescent="0.25">
      <c r="A24" s="3" t="s">
        <v>70</v>
      </c>
      <c r="B24" s="3"/>
      <c r="C24" s="3"/>
      <c r="D24" s="3"/>
      <c r="E24" s="3"/>
      <c r="F24" s="3">
        <v>0.65501157407407407</v>
      </c>
      <c r="G24" s="3" t="s">
        <v>67</v>
      </c>
      <c r="H24" s="3">
        <v>0</v>
      </c>
      <c r="I24" s="3">
        <v>0.93</v>
      </c>
      <c r="J24" s="3" t="s">
        <v>68</v>
      </c>
      <c r="K24" s="3" t="s">
        <v>25</v>
      </c>
      <c r="L24" s="3">
        <v>4423.2629999999999</v>
      </c>
      <c r="M24" s="3">
        <v>1</v>
      </c>
      <c r="N24" s="3">
        <v>2588.1320000000001</v>
      </c>
      <c r="O24" s="3">
        <v>1.7090561841513492</v>
      </c>
      <c r="P24" s="3">
        <v>1.02</v>
      </c>
      <c r="Q24" s="3"/>
      <c r="R24" s="3"/>
      <c r="S24" s="3"/>
    </row>
    <row r="25" spans="1:19" x14ac:dyDescent="0.25">
      <c r="A25" s="3" t="s">
        <v>71</v>
      </c>
      <c r="B25" s="3"/>
      <c r="C25" s="3"/>
      <c r="D25" s="3"/>
      <c r="E25" s="3"/>
      <c r="F25" s="3">
        <v>0.65688657407407403</v>
      </c>
      <c r="G25" s="3" t="s">
        <v>67</v>
      </c>
      <c r="H25" s="3">
        <v>0</v>
      </c>
      <c r="I25" s="3">
        <v>0.93</v>
      </c>
      <c r="J25" s="3" t="s">
        <v>68</v>
      </c>
      <c r="K25" s="3" t="s">
        <v>25</v>
      </c>
      <c r="L25" s="3">
        <v>4112.4740000000002</v>
      </c>
      <c r="M25" s="3">
        <v>1</v>
      </c>
      <c r="N25" s="3">
        <v>3105.7190000000001</v>
      </c>
      <c r="O25" s="3">
        <v>1.3241616514565548</v>
      </c>
      <c r="P25" s="3">
        <v>1.02</v>
      </c>
      <c r="Q25" s="3"/>
      <c r="R25" s="3"/>
      <c r="S25" s="3"/>
    </row>
    <row r="26" spans="1:19" x14ac:dyDescent="0.25">
      <c r="A26" s="3" t="s">
        <v>72</v>
      </c>
      <c r="B26" s="3"/>
      <c r="C26" s="3"/>
      <c r="D26" s="3"/>
      <c r="E26" s="3"/>
      <c r="F26" s="3">
        <v>0.63055555555555554</v>
      </c>
      <c r="G26" s="3" t="s">
        <v>67</v>
      </c>
      <c r="H26" s="3">
        <v>0</v>
      </c>
      <c r="I26" s="3">
        <v>0.93</v>
      </c>
      <c r="J26" s="3" t="s">
        <v>68</v>
      </c>
      <c r="K26" s="3" t="s">
        <v>25</v>
      </c>
      <c r="L26" s="3">
        <v>3387.93</v>
      </c>
      <c r="M26" s="3">
        <v>1</v>
      </c>
      <c r="N26" s="3">
        <v>2620.3429999999998</v>
      </c>
      <c r="O26" s="3">
        <v>1.2929337876758882</v>
      </c>
      <c r="P26" s="3">
        <v>1.02</v>
      </c>
      <c r="Q26" s="3"/>
      <c r="R26" s="3"/>
      <c r="S26" s="3"/>
    </row>
    <row r="27" spans="1:19" x14ac:dyDescent="0.25">
      <c r="A27" s="3" t="s">
        <v>73</v>
      </c>
      <c r="B27" s="3"/>
      <c r="C27" s="3"/>
      <c r="D27" s="3"/>
      <c r="E27" s="3"/>
      <c r="F27" s="3">
        <v>0.6324305555555555</v>
      </c>
      <c r="G27" s="3" t="s">
        <v>67</v>
      </c>
      <c r="H27" s="3">
        <v>0</v>
      </c>
      <c r="I27" s="3">
        <v>0.93</v>
      </c>
      <c r="J27" s="3" t="s">
        <v>68</v>
      </c>
      <c r="K27" s="3" t="s">
        <v>25</v>
      </c>
      <c r="L27" s="3">
        <v>3545.991</v>
      </c>
      <c r="M27" s="3">
        <v>1</v>
      </c>
      <c r="N27" s="3">
        <v>2578.3719999999998</v>
      </c>
      <c r="O27" s="3">
        <v>1.3752829304693039</v>
      </c>
      <c r="P27" s="3">
        <v>1.02</v>
      </c>
      <c r="Q27" s="3"/>
      <c r="R27" s="3"/>
      <c r="S27" s="3"/>
    </row>
    <row r="28" spans="1:19" x14ac:dyDescent="0.25">
      <c r="A28" s="3" t="s">
        <v>74</v>
      </c>
      <c r="B28" s="3"/>
      <c r="C28" s="3"/>
      <c r="D28" s="3"/>
      <c r="E28" s="3"/>
      <c r="F28" s="3">
        <v>0.63430555555555557</v>
      </c>
      <c r="G28" s="3" t="s">
        <v>67</v>
      </c>
      <c r="H28" s="3">
        <v>0</v>
      </c>
      <c r="I28" s="3">
        <v>0.93</v>
      </c>
      <c r="J28" s="3" t="s">
        <v>68</v>
      </c>
      <c r="K28" s="3" t="s">
        <v>25</v>
      </c>
      <c r="L28" s="3">
        <v>3627.61</v>
      </c>
      <c r="M28" s="3">
        <v>1</v>
      </c>
      <c r="N28" s="3">
        <v>2599.0520000000001</v>
      </c>
      <c r="O28" s="3">
        <v>1.3957435249467882</v>
      </c>
      <c r="P28" s="3">
        <v>1.02</v>
      </c>
      <c r="Q28" s="3"/>
      <c r="R28" s="3"/>
      <c r="S28" s="3"/>
    </row>
    <row r="29" spans="1:19" x14ac:dyDescent="0.25">
      <c r="A29" s="3" t="s">
        <v>75</v>
      </c>
      <c r="B29" s="3"/>
      <c r="C29" s="3"/>
      <c r="D29" s="3"/>
      <c r="E29" s="3"/>
      <c r="F29" s="3">
        <v>0.64741898148148147</v>
      </c>
      <c r="G29" s="3" t="s">
        <v>67</v>
      </c>
      <c r="H29" s="3">
        <v>0</v>
      </c>
      <c r="I29" s="3">
        <v>0.93</v>
      </c>
      <c r="J29" s="3" t="s">
        <v>68</v>
      </c>
      <c r="K29" s="3" t="s">
        <v>25</v>
      </c>
      <c r="L29" s="3">
        <v>4666.1120000000001</v>
      </c>
      <c r="M29" s="3">
        <v>1</v>
      </c>
      <c r="N29" s="3">
        <v>2612.9180000000001</v>
      </c>
      <c r="O29" s="3">
        <v>1.7857858532108546</v>
      </c>
      <c r="P29" s="3">
        <v>1.02</v>
      </c>
      <c r="Q29" s="3"/>
      <c r="R29" s="3"/>
      <c r="S29" s="3"/>
    </row>
    <row r="30" spans="1:19" x14ac:dyDescent="0.25">
      <c r="A30" s="3" t="s">
        <v>76</v>
      </c>
      <c r="B30" s="3"/>
      <c r="C30" s="3"/>
      <c r="D30" s="3"/>
      <c r="E30" s="3"/>
      <c r="F30" s="3">
        <v>0.64929398148148143</v>
      </c>
      <c r="G30" s="3" t="s">
        <v>67</v>
      </c>
      <c r="H30" s="3">
        <v>0</v>
      </c>
      <c r="I30" s="3">
        <v>0.93</v>
      </c>
      <c r="J30" s="3" t="s">
        <v>68</v>
      </c>
      <c r="K30" s="3" t="s">
        <v>25</v>
      </c>
      <c r="L30" s="3">
        <v>4133.7860000000001</v>
      </c>
      <c r="M30" s="3">
        <v>1</v>
      </c>
      <c r="N30" s="3">
        <v>2818.9789999999998</v>
      </c>
      <c r="O30" s="3">
        <v>1.4664124848038955</v>
      </c>
      <c r="P30" s="3">
        <v>1.02</v>
      </c>
      <c r="Q30" s="3"/>
      <c r="R30" s="3"/>
      <c r="S30" s="3"/>
    </row>
    <row r="31" spans="1:19" x14ac:dyDescent="0.25">
      <c r="A31" s="3" t="s">
        <v>77</v>
      </c>
      <c r="B31" s="3"/>
      <c r="C31" s="3"/>
      <c r="D31" s="3"/>
      <c r="E31" s="3"/>
      <c r="F31" s="3">
        <v>0.6511689814814815</v>
      </c>
      <c r="G31" s="3" t="s">
        <v>67</v>
      </c>
      <c r="H31" s="3">
        <v>0</v>
      </c>
      <c r="I31" s="3">
        <v>0.93</v>
      </c>
      <c r="J31" s="3" t="s">
        <v>68</v>
      </c>
      <c r="K31" s="3" t="s">
        <v>25</v>
      </c>
      <c r="L31" s="3">
        <v>4083.6260000000002</v>
      </c>
      <c r="M31" s="3">
        <v>1</v>
      </c>
      <c r="N31" s="3">
        <v>2770.971</v>
      </c>
      <c r="O31" s="3">
        <v>1.4737166141399531</v>
      </c>
      <c r="P31" s="3">
        <v>1.02</v>
      </c>
      <c r="Q31" s="3"/>
      <c r="R31" s="3"/>
      <c r="S31" s="3"/>
    </row>
    <row r="32" spans="1:19" x14ac:dyDescent="0.25">
      <c r="A32" s="3" t="s">
        <v>78</v>
      </c>
      <c r="B32" s="3"/>
      <c r="C32" s="3"/>
      <c r="D32" s="3"/>
      <c r="E32" s="3"/>
      <c r="F32" s="3">
        <v>0.64179398148148148</v>
      </c>
      <c r="G32" s="3" t="s">
        <v>67</v>
      </c>
      <c r="H32" s="3">
        <v>0</v>
      </c>
      <c r="I32" s="3">
        <v>0.93</v>
      </c>
      <c r="J32" s="3" t="s">
        <v>68</v>
      </c>
      <c r="K32" s="3" t="s">
        <v>25</v>
      </c>
      <c r="L32" s="3">
        <v>4047.22</v>
      </c>
      <c r="M32" s="3">
        <v>1</v>
      </c>
      <c r="N32" s="3">
        <v>2595.2289999999998</v>
      </c>
      <c r="O32" s="3">
        <v>1.5594847314052056</v>
      </c>
      <c r="P32" s="3">
        <v>1.02</v>
      </c>
      <c r="Q32" s="3"/>
      <c r="R32" s="3"/>
      <c r="S32" s="3"/>
    </row>
    <row r="33" spans="1:19" x14ac:dyDescent="0.25">
      <c r="A33" s="3" t="s">
        <v>79</v>
      </c>
      <c r="B33" s="3"/>
      <c r="C33" s="3"/>
      <c r="D33" s="3"/>
      <c r="E33" s="3"/>
      <c r="F33" s="3">
        <v>0.64366898148148144</v>
      </c>
      <c r="G33" s="3" t="s">
        <v>67</v>
      </c>
      <c r="H33" s="3">
        <v>0</v>
      </c>
      <c r="I33" s="3">
        <v>0.93</v>
      </c>
      <c r="J33" s="3" t="s">
        <v>68</v>
      </c>
      <c r="K33" s="3" t="s">
        <v>25</v>
      </c>
      <c r="L33" s="3">
        <v>4034.3069999999998</v>
      </c>
      <c r="M33" s="3">
        <v>1</v>
      </c>
      <c r="N33" s="3">
        <v>2389.3069999999998</v>
      </c>
      <c r="O33" s="3">
        <v>1.6884841504252071</v>
      </c>
      <c r="P33" s="3">
        <v>1.02</v>
      </c>
      <c r="Q33" s="3"/>
      <c r="R33" s="3"/>
      <c r="S33" s="3"/>
    </row>
    <row r="34" spans="1:19" x14ac:dyDescent="0.25">
      <c r="A34" s="3" t="s">
        <v>80</v>
      </c>
      <c r="B34" s="3"/>
      <c r="C34" s="3"/>
      <c r="D34" s="3"/>
      <c r="E34" s="3"/>
      <c r="F34" s="3">
        <v>0.64554398148148151</v>
      </c>
      <c r="G34" s="3" t="s">
        <v>67</v>
      </c>
      <c r="H34" s="3">
        <v>0</v>
      </c>
      <c r="I34" s="3">
        <v>0.93</v>
      </c>
      <c r="J34" s="3" t="s">
        <v>68</v>
      </c>
      <c r="K34" s="3" t="s">
        <v>25</v>
      </c>
      <c r="L34" s="3">
        <v>3691.8649999999998</v>
      </c>
      <c r="M34" s="3">
        <v>1</v>
      </c>
      <c r="N34" s="3">
        <v>2502.6460000000002</v>
      </c>
      <c r="O34" s="3">
        <v>1.4751846645510389</v>
      </c>
      <c r="P34" s="3">
        <v>1.02</v>
      </c>
      <c r="Q34" s="3"/>
      <c r="R34" s="3"/>
      <c r="S34" s="3"/>
    </row>
    <row r="35" spans="1:19" x14ac:dyDescent="0.25">
      <c r="A35" s="3" t="s">
        <v>81</v>
      </c>
      <c r="B35" s="3"/>
      <c r="C35" s="3"/>
      <c r="D35" s="3"/>
      <c r="E35" s="3"/>
      <c r="F35" s="3">
        <v>0.63618055555555553</v>
      </c>
      <c r="G35" s="3" t="s">
        <v>67</v>
      </c>
      <c r="H35" s="3">
        <v>0</v>
      </c>
      <c r="I35" s="3">
        <v>0.93</v>
      </c>
      <c r="J35" s="3" t="s">
        <v>68</v>
      </c>
      <c r="K35" s="3" t="s">
        <v>25</v>
      </c>
      <c r="L35" s="3">
        <v>3721.4180000000001</v>
      </c>
      <c r="M35" s="3">
        <v>1</v>
      </c>
      <c r="N35" s="3">
        <v>2499.7620000000002</v>
      </c>
      <c r="O35" s="3">
        <v>1.4887089250896686</v>
      </c>
      <c r="P35" s="3">
        <v>1.02</v>
      </c>
      <c r="Q35" s="3"/>
      <c r="R35" s="3"/>
      <c r="S35" s="3"/>
    </row>
    <row r="36" spans="1:19" x14ac:dyDescent="0.25">
      <c r="A36" s="3" t="s">
        <v>82</v>
      </c>
      <c r="B36" s="3"/>
      <c r="C36" s="3"/>
      <c r="D36" s="3"/>
      <c r="E36" s="3"/>
      <c r="F36" s="3">
        <v>0.63805555555555549</v>
      </c>
      <c r="G36" s="3" t="s">
        <v>67</v>
      </c>
      <c r="H36" s="3">
        <v>0</v>
      </c>
      <c r="I36" s="3">
        <v>0.93</v>
      </c>
      <c r="J36" s="3" t="s">
        <v>68</v>
      </c>
      <c r="K36" s="3" t="s">
        <v>25</v>
      </c>
      <c r="L36" s="3">
        <v>3464.6109999999999</v>
      </c>
      <c r="M36" s="3">
        <v>1</v>
      </c>
      <c r="N36" s="3">
        <v>2297.65</v>
      </c>
      <c r="O36" s="3">
        <v>1.5078932822666637</v>
      </c>
      <c r="P36" s="3">
        <v>1.02</v>
      </c>
      <c r="Q36" s="3"/>
      <c r="R36" s="3"/>
      <c r="S36" s="3"/>
    </row>
    <row r="37" spans="1:19" x14ac:dyDescent="0.25">
      <c r="A37" s="3" t="s">
        <v>83</v>
      </c>
      <c r="B37" s="3"/>
      <c r="C37" s="3"/>
      <c r="D37" s="3"/>
      <c r="E37" s="3"/>
      <c r="F37" s="3">
        <v>0.63993055555555556</v>
      </c>
      <c r="G37" s="3" t="s">
        <v>67</v>
      </c>
      <c r="H37" s="3">
        <v>0</v>
      </c>
      <c r="I37" s="3">
        <v>0.93</v>
      </c>
      <c r="J37" s="3" t="s">
        <v>68</v>
      </c>
      <c r="K37" s="3" t="s">
        <v>25</v>
      </c>
      <c r="L37" s="3">
        <v>3975.5790000000002</v>
      </c>
      <c r="M37" s="3">
        <v>1</v>
      </c>
      <c r="N37" s="3">
        <v>2468.3850000000002</v>
      </c>
      <c r="O37" s="3">
        <v>1.6105992379632836</v>
      </c>
      <c r="P37" s="3">
        <v>1.02</v>
      </c>
      <c r="Q37" s="3"/>
      <c r="R37" s="3"/>
      <c r="S37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5"/>
  <sheetViews>
    <sheetView workbookViewId="0"/>
  </sheetViews>
  <sheetFormatPr defaultRowHeight="15" x14ac:dyDescent="0.25"/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0.70457175925925919</v>
      </c>
      <c r="G2" s="3" t="s">
        <v>21</v>
      </c>
      <c r="H2" s="3">
        <v>0</v>
      </c>
      <c r="I2" s="3">
        <v>0.93</v>
      </c>
      <c r="J2" s="3" t="s">
        <v>22</v>
      </c>
      <c r="K2" s="3" t="s">
        <v>23</v>
      </c>
      <c r="L2" s="3">
        <v>1.9E-2</v>
      </c>
      <c r="M2" s="3">
        <v>1</v>
      </c>
      <c r="N2" s="3">
        <v>23900.384999999998</v>
      </c>
      <c r="O2" s="3">
        <v>7.9496627355584447E-7</v>
      </c>
      <c r="P2" s="3">
        <v>0.84</v>
      </c>
      <c r="Q2" s="3"/>
      <c r="R2" s="3"/>
      <c r="S2" s="3"/>
    </row>
    <row r="3" spans="1:20" x14ac:dyDescent="0.25">
      <c r="A3" s="3" t="s">
        <v>24</v>
      </c>
      <c r="B3" s="3"/>
      <c r="C3" s="3"/>
      <c r="D3" s="3"/>
      <c r="E3" s="3"/>
      <c r="F3" s="3">
        <v>0.7064583333333333</v>
      </c>
      <c r="G3" s="3" t="s">
        <v>21</v>
      </c>
      <c r="H3" s="3">
        <v>0</v>
      </c>
      <c r="I3" s="3">
        <v>0.93</v>
      </c>
      <c r="J3" s="3" t="s">
        <v>22</v>
      </c>
      <c r="K3" s="3" t="s">
        <v>25</v>
      </c>
      <c r="L3" s="3">
        <v>0.77200000000000002</v>
      </c>
      <c r="M3" s="3">
        <v>1</v>
      </c>
      <c r="N3" s="3">
        <v>22970.811000000002</v>
      </c>
      <c r="O3" s="3">
        <v>3.3607868699106876E-5</v>
      </c>
      <c r="P3" s="3">
        <v>0.93</v>
      </c>
      <c r="Q3" s="3"/>
      <c r="R3" s="3"/>
      <c r="S3" s="3"/>
    </row>
    <row r="4" spans="1:20" x14ac:dyDescent="0.25">
      <c r="A4" s="3" t="s">
        <v>26</v>
      </c>
      <c r="B4" s="3"/>
      <c r="C4" s="3"/>
      <c r="D4" s="3"/>
      <c r="E4" s="3"/>
      <c r="F4" s="3">
        <v>0.70833333333333337</v>
      </c>
      <c r="G4" s="3" t="s">
        <v>21</v>
      </c>
      <c r="H4" s="3">
        <v>0</v>
      </c>
      <c r="I4" s="3">
        <v>0.93</v>
      </c>
      <c r="J4" s="3" t="s">
        <v>22</v>
      </c>
      <c r="K4" s="3" t="s">
        <v>23</v>
      </c>
      <c r="L4" s="3">
        <v>2.4E-2</v>
      </c>
      <c r="M4" s="3">
        <v>1</v>
      </c>
      <c r="N4" s="3">
        <v>23638.438999999998</v>
      </c>
      <c r="O4" s="3">
        <v>1.0152954685374953E-6</v>
      </c>
      <c r="P4" s="3">
        <v>0.88</v>
      </c>
      <c r="Q4" s="3"/>
      <c r="R4" s="3"/>
      <c r="S4" s="3"/>
    </row>
    <row r="5" spans="1:20" x14ac:dyDescent="0.25">
      <c r="A5" s="3" t="s">
        <v>27</v>
      </c>
      <c r="B5" s="3"/>
      <c r="C5" s="3"/>
      <c r="D5" s="3"/>
      <c r="E5" s="3"/>
      <c r="F5" s="3">
        <v>0.75150462962962961</v>
      </c>
      <c r="G5" s="3" t="s">
        <v>21</v>
      </c>
      <c r="H5" s="3">
        <v>0</v>
      </c>
      <c r="I5" s="3">
        <v>0.93</v>
      </c>
      <c r="J5" s="3" t="s">
        <v>22</v>
      </c>
      <c r="K5" s="3" t="s">
        <v>25</v>
      </c>
      <c r="L5" s="3">
        <v>58095.218999999997</v>
      </c>
      <c r="M5" s="3">
        <v>1</v>
      </c>
      <c r="N5" s="3">
        <v>23297.436000000002</v>
      </c>
      <c r="O5" s="3">
        <v>2.4936314451083801</v>
      </c>
      <c r="P5" s="3">
        <v>0.88</v>
      </c>
      <c r="Q5" s="3"/>
      <c r="R5" s="3"/>
      <c r="S5" s="3"/>
    </row>
    <row r="6" spans="1:20" x14ac:dyDescent="0.25">
      <c r="A6" s="3" t="s">
        <v>28</v>
      </c>
      <c r="B6" s="3"/>
      <c r="C6" s="3"/>
      <c r="D6" s="3"/>
      <c r="E6" s="3"/>
      <c r="F6" s="3">
        <v>0.75337962962962957</v>
      </c>
      <c r="G6" s="3" t="s">
        <v>21</v>
      </c>
      <c r="H6" s="3">
        <v>0</v>
      </c>
      <c r="I6" s="3">
        <v>0.93</v>
      </c>
      <c r="J6" s="3" t="s">
        <v>22</v>
      </c>
      <c r="K6" s="3" t="s">
        <v>25</v>
      </c>
      <c r="L6" s="3">
        <v>53600.917999999998</v>
      </c>
      <c r="M6" s="3">
        <v>1</v>
      </c>
      <c r="N6" s="3">
        <v>20996.703000000001</v>
      </c>
      <c r="O6" s="3">
        <v>2.5528254602639278</v>
      </c>
      <c r="P6" s="3">
        <v>0.88</v>
      </c>
      <c r="Q6" s="3"/>
      <c r="R6" s="3"/>
      <c r="S6" s="3"/>
    </row>
    <row r="7" spans="1:20" x14ac:dyDescent="0.25">
      <c r="A7" s="3" t="s">
        <v>29</v>
      </c>
      <c r="B7" s="3"/>
      <c r="C7" s="3"/>
      <c r="D7" s="3"/>
      <c r="E7" s="3"/>
      <c r="F7" s="3">
        <v>0.75525462962962964</v>
      </c>
      <c r="G7" s="3" t="s">
        <v>21</v>
      </c>
      <c r="H7" s="3">
        <v>0</v>
      </c>
      <c r="I7" s="3">
        <v>0.93</v>
      </c>
      <c r="J7" s="3" t="s">
        <v>22</v>
      </c>
      <c r="K7" s="3" t="s">
        <v>25</v>
      </c>
      <c r="L7" s="3">
        <v>56835.741999999998</v>
      </c>
      <c r="M7" s="3">
        <v>1</v>
      </c>
      <c r="N7" s="3">
        <v>20647.486000000001</v>
      </c>
      <c r="O7" s="3">
        <v>2.7526712937352276</v>
      </c>
      <c r="P7" s="3">
        <v>0.88</v>
      </c>
      <c r="Q7" s="3"/>
      <c r="R7" s="3"/>
      <c r="S7" s="3"/>
    </row>
    <row r="8" spans="1:20" x14ac:dyDescent="0.25">
      <c r="A8" s="3" t="s">
        <v>30</v>
      </c>
      <c r="B8" s="3"/>
      <c r="C8" s="3"/>
      <c r="D8" s="3"/>
      <c r="E8" s="3"/>
      <c r="F8" s="3">
        <v>0.72898148148148145</v>
      </c>
      <c r="G8" s="3" t="s">
        <v>21</v>
      </c>
      <c r="H8" s="3">
        <v>0</v>
      </c>
      <c r="I8" s="3">
        <v>0.93</v>
      </c>
      <c r="J8" s="3" t="s">
        <v>22</v>
      </c>
      <c r="K8" s="3" t="s">
        <v>25</v>
      </c>
      <c r="L8" s="3">
        <v>380.04399999999998</v>
      </c>
      <c r="M8" s="3">
        <v>1</v>
      </c>
      <c r="N8" s="3">
        <v>22322.879000000001</v>
      </c>
      <c r="O8" s="3">
        <v>1.7024864937896227E-2</v>
      </c>
      <c r="P8" s="3">
        <v>0.89</v>
      </c>
      <c r="Q8" s="3"/>
      <c r="R8" s="3"/>
      <c r="S8" s="3"/>
    </row>
    <row r="9" spans="1:20" x14ac:dyDescent="0.25">
      <c r="A9" s="3" t="s">
        <v>31</v>
      </c>
      <c r="B9" s="3"/>
      <c r="C9" s="3"/>
      <c r="D9" s="3"/>
      <c r="E9" s="3"/>
      <c r="F9" s="3">
        <v>0.73085648148148152</v>
      </c>
      <c r="G9" s="3" t="s">
        <v>21</v>
      </c>
      <c r="H9" s="3">
        <v>0</v>
      </c>
      <c r="I9" s="3">
        <v>0.93</v>
      </c>
      <c r="J9" s="3" t="s">
        <v>22</v>
      </c>
      <c r="K9" s="3" t="s">
        <v>25</v>
      </c>
      <c r="L9" s="3">
        <v>256.50200000000001</v>
      </c>
      <c r="M9" s="3">
        <v>1</v>
      </c>
      <c r="N9" s="3">
        <v>21369.228999999999</v>
      </c>
      <c r="O9" s="3">
        <v>1.2003334327129913E-2</v>
      </c>
      <c r="P9" s="3">
        <v>0.89</v>
      </c>
      <c r="Q9" s="3"/>
      <c r="R9" s="3"/>
      <c r="S9" s="3"/>
    </row>
    <row r="10" spans="1:20" x14ac:dyDescent="0.25">
      <c r="A10" s="3" t="s">
        <v>32</v>
      </c>
      <c r="B10" s="3"/>
      <c r="C10" s="3"/>
      <c r="D10" s="3"/>
      <c r="E10" s="3"/>
      <c r="F10" s="3">
        <v>0.73273148148148148</v>
      </c>
      <c r="G10" s="3" t="s">
        <v>21</v>
      </c>
      <c r="H10" s="3">
        <v>0</v>
      </c>
      <c r="I10" s="3">
        <v>0.93</v>
      </c>
      <c r="J10" s="3" t="s">
        <v>22</v>
      </c>
      <c r="K10" s="3" t="s">
        <v>25</v>
      </c>
      <c r="L10" s="3">
        <v>334.47699999999998</v>
      </c>
      <c r="M10" s="3">
        <v>1</v>
      </c>
      <c r="N10" s="3">
        <v>23001.601999999999</v>
      </c>
      <c r="O10" s="3">
        <v>1.4541465416191446E-2</v>
      </c>
      <c r="P10" s="3">
        <v>0.89</v>
      </c>
      <c r="Q10" s="3"/>
      <c r="R10" s="3"/>
      <c r="S10" s="3"/>
    </row>
    <row r="11" spans="1:20" x14ac:dyDescent="0.25">
      <c r="A11" s="3" t="s">
        <v>33</v>
      </c>
      <c r="B11" s="3"/>
      <c r="C11" s="3"/>
      <c r="D11" s="3"/>
      <c r="E11" s="3"/>
      <c r="F11" s="3">
        <v>0.74586805555555558</v>
      </c>
      <c r="G11" s="3" t="s">
        <v>21</v>
      </c>
      <c r="H11" s="3">
        <v>0</v>
      </c>
      <c r="I11" s="3">
        <v>0.93</v>
      </c>
      <c r="J11" s="3" t="s">
        <v>22</v>
      </c>
      <c r="K11" s="3" t="s">
        <v>25</v>
      </c>
      <c r="L11" s="3">
        <v>40368.078000000001</v>
      </c>
      <c r="M11" s="3">
        <v>1</v>
      </c>
      <c r="N11" s="3">
        <v>23734.143</v>
      </c>
      <c r="O11" s="3">
        <v>1.7008441383369099</v>
      </c>
      <c r="P11" s="3">
        <v>0.89</v>
      </c>
      <c r="Q11" s="3"/>
      <c r="R11" s="3"/>
      <c r="S11" s="3"/>
    </row>
    <row r="12" spans="1:20" x14ac:dyDescent="0.25">
      <c r="A12" s="3" t="s">
        <v>34</v>
      </c>
      <c r="B12" s="3"/>
      <c r="C12" s="3"/>
      <c r="D12" s="3"/>
      <c r="E12" s="3"/>
      <c r="F12" s="3">
        <v>0.74775462962962969</v>
      </c>
      <c r="G12" s="3" t="s">
        <v>21</v>
      </c>
      <c r="H12" s="3">
        <v>0</v>
      </c>
      <c r="I12" s="3">
        <v>0.93</v>
      </c>
      <c r="J12" s="3" t="s">
        <v>22</v>
      </c>
      <c r="K12" s="3" t="s">
        <v>25</v>
      </c>
      <c r="L12" s="3">
        <v>36113.949000000001</v>
      </c>
      <c r="M12" s="3">
        <v>1</v>
      </c>
      <c r="N12" s="3">
        <v>20821.201000000001</v>
      </c>
      <c r="O12" s="3">
        <v>1.7344796296813041</v>
      </c>
      <c r="P12" s="3">
        <v>0.88</v>
      </c>
      <c r="Q12" s="3"/>
      <c r="R12" s="3"/>
      <c r="S12" s="3"/>
    </row>
    <row r="13" spans="1:20" x14ac:dyDescent="0.25">
      <c r="A13" s="3" t="s">
        <v>35</v>
      </c>
      <c r="B13" s="3"/>
      <c r="C13" s="3"/>
      <c r="D13" s="3"/>
      <c r="E13" s="3"/>
      <c r="F13" s="3">
        <v>0.74961805555555561</v>
      </c>
      <c r="G13" s="3" t="s">
        <v>21</v>
      </c>
      <c r="H13" s="3">
        <v>0</v>
      </c>
      <c r="I13" s="3">
        <v>0.93</v>
      </c>
      <c r="J13" s="3" t="s">
        <v>22</v>
      </c>
      <c r="K13" s="3" t="s">
        <v>25</v>
      </c>
      <c r="L13" s="3">
        <v>33559.093999999997</v>
      </c>
      <c r="M13" s="3">
        <v>1</v>
      </c>
      <c r="N13" s="3">
        <v>21508.425999999999</v>
      </c>
      <c r="O13" s="3">
        <v>1.5602766097342502</v>
      </c>
      <c r="P13" s="3">
        <v>0.88</v>
      </c>
      <c r="Q13" s="3"/>
      <c r="R13" s="3"/>
      <c r="S13" s="3"/>
    </row>
    <row r="14" spans="1:20" x14ac:dyDescent="0.25">
      <c r="A14" s="3" t="s">
        <v>36</v>
      </c>
      <c r="B14" s="3"/>
      <c r="C14" s="3"/>
      <c r="D14" s="3"/>
      <c r="E14" s="3"/>
      <c r="F14" s="3">
        <v>0.74024305555555558</v>
      </c>
      <c r="G14" s="3" t="s">
        <v>21</v>
      </c>
      <c r="H14" s="3">
        <v>0</v>
      </c>
      <c r="I14" s="3">
        <v>0.93</v>
      </c>
      <c r="J14" s="3" t="s">
        <v>22</v>
      </c>
      <c r="K14" s="3" t="s">
        <v>25</v>
      </c>
      <c r="L14" s="3">
        <v>8780.2009999999991</v>
      </c>
      <c r="M14" s="3">
        <v>1</v>
      </c>
      <c r="N14" s="3">
        <v>19350.303</v>
      </c>
      <c r="O14" s="3">
        <v>0.45375005238936045</v>
      </c>
      <c r="P14" s="3">
        <v>0.89</v>
      </c>
      <c r="Q14" s="3"/>
      <c r="R14" s="3"/>
      <c r="S14" s="3"/>
    </row>
    <row r="15" spans="1:20" x14ac:dyDescent="0.25">
      <c r="A15" s="3" t="s">
        <v>37</v>
      </c>
      <c r="B15" s="3"/>
      <c r="C15" s="3"/>
      <c r="D15" s="3"/>
      <c r="E15" s="3"/>
      <c r="F15" s="3">
        <v>0.74210648148148151</v>
      </c>
      <c r="G15" s="3" t="s">
        <v>21</v>
      </c>
      <c r="H15" s="3">
        <v>0</v>
      </c>
      <c r="I15" s="3">
        <v>0.93</v>
      </c>
      <c r="J15" s="3" t="s">
        <v>22</v>
      </c>
      <c r="K15" s="3" t="s">
        <v>25</v>
      </c>
      <c r="L15" s="3">
        <v>10967.168</v>
      </c>
      <c r="M15" s="3">
        <v>1</v>
      </c>
      <c r="N15" s="3">
        <v>21159.116999999998</v>
      </c>
      <c r="O15" s="3">
        <v>0.51831879373794287</v>
      </c>
      <c r="P15" s="3">
        <v>0.88</v>
      </c>
      <c r="Q15" s="3"/>
      <c r="R15" s="3"/>
      <c r="S15" s="3"/>
    </row>
    <row r="16" spans="1:20" x14ac:dyDescent="0.25">
      <c r="A16" s="3" t="s">
        <v>38</v>
      </c>
      <c r="B16" s="3"/>
      <c r="C16" s="3"/>
      <c r="D16" s="3"/>
      <c r="E16" s="3"/>
      <c r="F16" s="3">
        <v>0.74400462962962965</v>
      </c>
      <c r="G16" s="3" t="s">
        <v>21</v>
      </c>
      <c r="H16" s="3">
        <v>0</v>
      </c>
      <c r="I16" s="3">
        <v>0.93</v>
      </c>
      <c r="J16" s="3" t="s">
        <v>22</v>
      </c>
      <c r="K16" s="3" t="s">
        <v>25</v>
      </c>
      <c r="L16" s="3">
        <v>9831.64</v>
      </c>
      <c r="M16" s="3">
        <v>1</v>
      </c>
      <c r="N16" s="3">
        <v>18729.782999999999</v>
      </c>
      <c r="O16" s="3">
        <v>0.52492012320698</v>
      </c>
      <c r="P16" s="3">
        <v>0.88</v>
      </c>
      <c r="Q16" s="3"/>
      <c r="R16" s="3"/>
      <c r="S16" s="3"/>
    </row>
    <row r="17" spans="1:19" x14ac:dyDescent="0.25">
      <c r="A17" s="3" t="s">
        <v>39</v>
      </c>
      <c r="B17" s="3"/>
      <c r="C17" s="3"/>
      <c r="D17" s="3"/>
      <c r="E17" s="3"/>
      <c r="F17" s="3">
        <v>0.73460648148148155</v>
      </c>
      <c r="G17" s="3" t="s">
        <v>21</v>
      </c>
      <c r="H17" s="3">
        <v>0</v>
      </c>
      <c r="I17" s="3">
        <v>0.93</v>
      </c>
      <c r="J17" s="3" t="s">
        <v>22</v>
      </c>
      <c r="K17" s="3" t="s">
        <v>25</v>
      </c>
      <c r="L17" s="3">
        <v>2009.1120000000001</v>
      </c>
      <c r="M17" s="3">
        <v>1</v>
      </c>
      <c r="N17" s="3">
        <v>15686.807000000001</v>
      </c>
      <c r="O17" s="3">
        <v>0.12807654228167656</v>
      </c>
      <c r="P17" s="3">
        <v>0.88</v>
      </c>
      <c r="Q17" s="3"/>
      <c r="R17" s="3"/>
      <c r="S17" s="3"/>
    </row>
    <row r="18" spans="1:19" x14ac:dyDescent="0.25">
      <c r="A18" s="3" t="s">
        <v>40</v>
      </c>
      <c r="B18" s="3"/>
      <c r="C18" s="3"/>
      <c r="D18" s="3"/>
      <c r="E18" s="3"/>
      <c r="F18" s="3">
        <v>0.7364814814814814</v>
      </c>
      <c r="G18" s="3" t="s">
        <v>21</v>
      </c>
      <c r="H18" s="3">
        <v>0</v>
      </c>
      <c r="I18" s="3">
        <v>0.93</v>
      </c>
      <c r="J18" s="3" t="s">
        <v>22</v>
      </c>
      <c r="K18" s="3" t="s">
        <v>25</v>
      </c>
      <c r="L18" s="3">
        <v>2378.7550000000001</v>
      </c>
      <c r="M18" s="3">
        <v>1</v>
      </c>
      <c r="N18" s="3">
        <v>19307.703000000001</v>
      </c>
      <c r="O18" s="3">
        <v>0.12320238197158927</v>
      </c>
      <c r="P18" s="3">
        <v>0.88</v>
      </c>
      <c r="Q18" s="3"/>
      <c r="R18" s="3"/>
      <c r="S18" s="3"/>
    </row>
    <row r="19" spans="1:19" x14ac:dyDescent="0.25">
      <c r="A19" s="3" t="s">
        <v>41</v>
      </c>
      <c r="B19" s="3"/>
      <c r="C19" s="3"/>
      <c r="D19" s="3"/>
      <c r="E19" s="3"/>
      <c r="F19" s="3">
        <v>0.73836805555555562</v>
      </c>
      <c r="G19" s="3" t="s">
        <v>21</v>
      </c>
      <c r="H19" s="3">
        <v>0</v>
      </c>
      <c r="I19" s="3">
        <v>0.93</v>
      </c>
      <c r="J19" s="3" t="s">
        <v>22</v>
      </c>
      <c r="K19" s="3" t="s">
        <v>25</v>
      </c>
      <c r="L19" s="3">
        <v>2090.4349999999999</v>
      </c>
      <c r="M19" s="3">
        <v>1</v>
      </c>
      <c r="N19" s="3">
        <v>17751.011999999999</v>
      </c>
      <c r="O19" s="3">
        <v>0.11776427169335472</v>
      </c>
      <c r="P19" s="3">
        <v>0.88</v>
      </c>
      <c r="Q19" s="3"/>
      <c r="R19" s="3"/>
      <c r="S19" s="3"/>
    </row>
    <row r="20" spans="1:19" x14ac:dyDescent="0.25">
      <c r="A20" s="3" t="s">
        <v>42</v>
      </c>
      <c r="B20" s="3"/>
      <c r="C20" s="3"/>
      <c r="D20" s="3"/>
      <c r="E20" s="3"/>
      <c r="F20" s="3">
        <v>0.70457175925925919</v>
      </c>
      <c r="G20" s="3" t="s">
        <v>43</v>
      </c>
      <c r="H20" s="3">
        <v>0</v>
      </c>
      <c r="I20" s="3">
        <v>0.93</v>
      </c>
      <c r="J20" s="3" t="s">
        <v>44</v>
      </c>
      <c r="K20" s="3" t="s">
        <v>25</v>
      </c>
      <c r="L20" s="3">
        <v>509.661</v>
      </c>
      <c r="M20" s="3">
        <v>1</v>
      </c>
      <c r="N20" s="3">
        <v>23900.384999999998</v>
      </c>
      <c r="O20" s="3"/>
      <c r="P20" s="3">
        <v>1.33</v>
      </c>
      <c r="Q20" s="3"/>
      <c r="R20" s="3"/>
      <c r="S20" s="3"/>
    </row>
    <row r="21" spans="1:19" x14ac:dyDescent="0.25">
      <c r="A21" s="3" t="s">
        <v>45</v>
      </c>
      <c r="B21" s="3"/>
      <c r="C21" s="3"/>
      <c r="D21" s="3"/>
      <c r="E21" s="3"/>
      <c r="F21" s="3">
        <v>0.7064583333333333</v>
      </c>
      <c r="G21" s="3" t="s">
        <v>43</v>
      </c>
      <c r="H21" s="3">
        <v>0</v>
      </c>
      <c r="I21" s="3">
        <v>0.93</v>
      </c>
      <c r="J21" s="3" t="s">
        <v>44</v>
      </c>
      <c r="K21" s="3" t="s">
        <v>25</v>
      </c>
      <c r="L21" s="3">
        <v>291.88400000000001</v>
      </c>
      <c r="M21" s="3">
        <v>1</v>
      </c>
      <c r="N21" s="3">
        <v>22970.811000000002</v>
      </c>
      <c r="O21" s="3"/>
      <c r="P21" s="3">
        <v>1.33</v>
      </c>
      <c r="Q21" s="3"/>
      <c r="R21" s="3"/>
      <c r="S21" s="3"/>
    </row>
    <row r="22" spans="1:19" x14ac:dyDescent="0.25">
      <c r="A22" s="3" t="s">
        <v>46</v>
      </c>
      <c r="B22" s="3"/>
      <c r="C22" s="3"/>
      <c r="D22" s="3"/>
      <c r="E22" s="3"/>
      <c r="F22" s="3">
        <v>0.70833333333333337</v>
      </c>
      <c r="G22" s="3" t="s">
        <v>43</v>
      </c>
      <c r="H22" s="3">
        <v>0</v>
      </c>
      <c r="I22" s="3">
        <v>0.93</v>
      </c>
      <c r="J22" s="3" t="s">
        <v>44</v>
      </c>
      <c r="K22" s="3" t="s">
        <v>25</v>
      </c>
      <c r="L22" s="3">
        <v>528.27099999999996</v>
      </c>
      <c r="M22" s="3">
        <v>1</v>
      </c>
      <c r="N22" s="3">
        <v>23638.438999999998</v>
      </c>
      <c r="O22" s="3"/>
      <c r="P22" s="3">
        <v>1.34</v>
      </c>
      <c r="Q22" s="3"/>
      <c r="R22" s="3"/>
      <c r="S22" s="3"/>
    </row>
    <row r="23" spans="1:19" x14ac:dyDescent="0.25">
      <c r="A23" s="3" t="s">
        <v>185</v>
      </c>
      <c r="B23" s="3"/>
      <c r="C23" s="3"/>
      <c r="D23" s="3"/>
      <c r="E23" s="3"/>
      <c r="F23" s="3">
        <v>0.86414351851851856</v>
      </c>
      <c r="G23" s="3" t="s">
        <v>43</v>
      </c>
      <c r="H23" s="3">
        <v>0</v>
      </c>
      <c r="I23" s="3">
        <v>0.93</v>
      </c>
      <c r="J23" s="3" t="s">
        <v>44</v>
      </c>
      <c r="K23" s="3" t="s">
        <v>25</v>
      </c>
      <c r="L23" s="3">
        <v>461011</v>
      </c>
      <c r="M23" s="3">
        <v>1</v>
      </c>
      <c r="N23" s="3">
        <v>16624.807000000001</v>
      </c>
      <c r="O23" s="3">
        <v>27.730306884164129</v>
      </c>
      <c r="P23" s="3">
        <v>1.32</v>
      </c>
      <c r="Q23" s="3"/>
      <c r="R23" s="3"/>
      <c r="S23" s="3"/>
    </row>
    <row r="24" spans="1:19" x14ac:dyDescent="0.25">
      <c r="A24" s="3" t="s">
        <v>186</v>
      </c>
      <c r="B24" s="3"/>
      <c r="C24" s="3"/>
      <c r="D24" s="3"/>
      <c r="E24" s="3"/>
      <c r="F24" s="3">
        <v>0.86603009259259256</v>
      </c>
      <c r="G24" s="3" t="s">
        <v>43</v>
      </c>
      <c r="H24" s="3">
        <v>0</v>
      </c>
      <c r="I24" s="3">
        <v>0.93</v>
      </c>
      <c r="J24" s="3" t="s">
        <v>44</v>
      </c>
      <c r="K24" s="3" t="s">
        <v>25</v>
      </c>
      <c r="L24" s="3">
        <v>556110.56299999997</v>
      </c>
      <c r="M24" s="3">
        <v>1</v>
      </c>
      <c r="N24" s="3">
        <v>14380.203</v>
      </c>
      <c r="O24" s="3">
        <v>38.671954978660594</v>
      </c>
      <c r="P24" s="3">
        <v>1.32</v>
      </c>
      <c r="Q24" s="3"/>
      <c r="R24" s="3"/>
      <c r="S24" s="3"/>
    </row>
    <row r="25" spans="1:19" x14ac:dyDescent="0.25">
      <c r="A25" s="3" t="s">
        <v>187</v>
      </c>
      <c r="B25" s="3"/>
      <c r="C25" s="3"/>
      <c r="D25" s="3"/>
      <c r="E25" s="3"/>
      <c r="F25" s="3">
        <v>0.86790509259259263</v>
      </c>
      <c r="G25" s="3" t="s">
        <v>43</v>
      </c>
      <c r="H25" s="3">
        <v>0</v>
      </c>
      <c r="I25" s="3">
        <v>0.93</v>
      </c>
      <c r="J25" s="3" t="s">
        <v>44</v>
      </c>
      <c r="K25" s="3" t="s">
        <v>25</v>
      </c>
      <c r="L25" s="3">
        <v>404587.93800000002</v>
      </c>
      <c r="M25" s="3">
        <v>1</v>
      </c>
      <c r="N25" s="3">
        <v>17697.754000000001</v>
      </c>
      <c r="O25" s="3">
        <v>22.860976483230584</v>
      </c>
      <c r="P25" s="3">
        <v>1.32</v>
      </c>
      <c r="Q25" s="3"/>
      <c r="R25" s="3"/>
      <c r="S25" s="3"/>
    </row>
    <row r="26" spans="1:19" x14ac:dyDescent="0.25">
      <c r="A26" s="3" t="s">
        <v>173</v>
      </c>
      <c r="B26" s="3"/>
      <c r="C26" s="3"/>
      <c r="D26" s="3"/>
      <c r="E26" s="3"/>
      <c r="F26" s="3">
        <v>0.84155092592592595</v>
      </c>
      <c r="G26" s="3" t="s">
        <v>43</v>
      </c>
      <c r="H26" s="3">
        <v>0</v>
      </c>
      <c r="I26" s="3">
        <v>0.93</v>
      </c>
      <c r="J26" s="3" t="s">
        <v>44</v>
      </c>
      <c r="K26" s="3" t="s">
        <v>25</v>
      </c>
      <c r="L26" s="3">
        <v>1048.009</v>
      </c>
      <c r="M26" s="3">
        <v>1</v>
      </c>
      <c r="N26" s="3">
        <v>14829.884</v>
      </c>
      <c r="O26" s="3">
        <v>7.0668725392592419E-2</v>
      </c>
      <c r="P26" s="3">
        <v>1.33</v>
      </c>
      <c r="Q26" s="3"/>
      <c r="R26" s="3"/>
      <c r="S26" s="3"/>
    </row>
    <row r="27" spans="1:19" x14ac:dyDescent="0.25">
      <c r="A27" s="3" t="s">
        <v>174</v>
      </c>
      <c r="B27" s="3"/>
      <c r="C27" s="3"/>
      <c r="D27" s="3"/>
      <c r="E27" s="3"/>
      <c r="F27" s="3">
        <v>0.84342592592592591</v>
      </c>
      <c r="G27" s="3" t="s">
        <v>43</v>
      </c>
      <c r="H27" s="3">
        <v>0</v>
      </c>
      <c r="I27" s="3">
        <v>0.93</v>
      </c>
      <c r="J27" s="3" t="s">
        <v>44</v>
      </c>
      <c r="K27" s="3" t="s">
        <v>25</v>
      </c>
      <c r="L27" s="3">
        <v>1054.4839999999999</v>
      </c>
      <c r="M27" s="3">
        <v>1</v>
      </c>
      <c r="N27" s="3">
        <v>13410.88</v>
      </c>
      <c r="O27" s="3">
        <v>7.8628993772220768E-2</v>
      </c>
      <c r="P27" s="3">
        <v>1.32</v>
      </c>
      <c r="Q27" s="3"/>
      <c r="R27" s="3"/>
      <c r="S27" s="3"/>
    </row>
    <row r="28" spans="1:19" x14ac:dyDescent="0.25">
      <c r="A28" s="3" t="s">
        <v>175</v>
      </c>
      <c r="B28" s="3"/>
      <c r="C28" s="3"/>
      <c r="D28" s="3"/>
      <c r="E28" s="3"/>
      <c r="F28" s="3">
        <v>0.84530092592592598</v>
      </c>
      <c r="G28" s="3" t="s">
        <v>43</v>
      </c>
      <c r="H28" s="3">
        <v>0</v>
      </c>
      <c r="I28" s="3">
        <v>0.93</v>
      </c>
      <c r="J28" s="3" t="s">
        <v>44</v>
      </c>
      <c r="K28" s="3" t="s">
        <v>25</v>
      </c>
      <c r="L28" s="3">
        <v>894.02</v>
      </c>
      <c r="M28" s="3">
        <v>1</v>
      </c>
      <c r="N28" s="3">
        <v>14194.558999999999</v>
      </c>
      <c r="O28" s="3">
        <v>6.2983288174010901E-2</v>
      </c>
      <c r="P28" s="3">
        <v>1.32</v>
      </c>
      <c r="Q28" s="3"/>
      <c r="R28" s="3"/>
      <c r="S28" s="3"/>
    </row>
    <row r="29" spans="1:19" x14ac:dyDescent="0.25">
      <c r="A29" s="3" t="s">
        <v>182</v>
      </c>
      <c r="B29" s="3"/>
      <c r="C29" s="3"/>
      <c r="D29" s="3"/>
      <c r="E29" s="3"/>
      <c r="F29" s="3">
        <v>0.85853009259259261</v>
      </c>
      <c r="G29" s="3" t="s">
        <v>43</v>
      </c>
      <c r="H29" s="3">
        <v>0</v>
      </c>
      <c r="I29" s="3">
        <v>0.93</v>
      </c>
      <c r="J29" s="3" t="s">
        <v>44</v>
      </c>
      <c r="K29" s="3" t="s">
        <v>25</v>
      </c>
      <c r="L29" s="3">
        <v>200038.75</v>
      </c>
      <c r="M29" s="3">
        <v>1</v>
      </c>
      <c r="N29" s="3">
        <v>18327.787</v>
      </c>
      <c r="O29" s="3">
        <v>10.914506481333508</v>
      </c>
      <c r="P29" s="3">
        <v>1.32</v>
      </c>
      <c r="Q29" s="3"/>
      <c r="R29" s="3"/>
      <c r="S29" s="3"/>
    </row>
    <row r="30" spans="1:19" x14ac:dyDescent="0.25">
      <c r="A30" s="3" t="s">
        <v>183</v>
      </c>
      <c r="B30" s="3"/>
      <c r="C30" s="3"/>
      <c r="D30" s="3"/>
      <c r="E30" s="3"/>
      <c r="F30" s="3">
        <v>0.86040509259259268</v>
      </c>
      <c r="G30" s="3" t="s">
        <v>43</v>
      </c>
      <c r="H30" s="3">
        <v>0</v>
      </c>
      <c r="I30" s="3">
        <v>0.93</v>
      </c>
      <c r="J30" s="3" t="s">
        <v>44</v>
      </c>
      <c r="K30" s="3" t="s">
        <v>25</v>
      </c>
      <c r="L30" s="3">
        <v>202650.43799999999</v>
      </c>
      <c r="M30" s="3">
        <v>1</v>
      </c>
      <c r="N30" s="3">
        <v>16436.166000000001</v>
      </c>
      <c r="O30" s="3">
        <v>12.329544371844381</v>
      </c>
      <c r="P30" s="3">
        <v>1.32</v>
      </c>
      <c r="Q30" s="3"/>
      <c r="R30" s="3"/>
      <c r="S30" s="3"/>
    </row>
    <row r="31" spans="1:19" x14ac:dyDescent="0.25">
      <c r="A31" s="3" t="s">
        <v>184</v>
      </c>
      <c r="B31" s="3"/>
      <c r="C31" s="3"/>
      <c r="D31" s="3"/>
      <c r="E31" s="3"/>
      <c r="F31" s="3">
        <v>0.86228009259259253</v>
      </c>
      <c r="G31" s="3" t="s">
        <v>43</v>
      </c>
      <c r="H31" s="3">
        <v>0</v>
      </c>
      <c r="I31" s="3">
        <v>0.93</v>
      </c>
      <c r="J31" s="3" t="s">
        <v>44</v>
      </c>
      <c r="K31" s="3" t="s">
        <v>25</v>
      </c>
      <c r="L31" s="3">
        <v>124508.67200000001</v>
      </c>
      <c r="M31" s="3">
        <v>1</v>
      </c>
      <c r="N31" s="3">
        <v>15447.958000000001</v>
      </c>
      <c r="O31" s="3">
        <v>8.0598789820635197</v>
      </c>
      <c r="P31" s="3">
        <v>1.32</v>
      </c>
      <c r="Q31" s="3"/>
      <c r="R31" s="3"/>
      <c r="S31" s="3"/>
    </row>
    <row r="32" spans="1:19" x14ac:dyDescent="0.25">
      <c r="A32" s="3" t="s">
        <v>179</v>
      </c>
      <c r="B32" s="3"/>
      <c r="C32" s="3"/>
      <c r="D32" s="3"/>
      <c r="E32" s="3"/>
      <c r="F32" s="3">
        <v>0.85280092592592593</v>
      </c>
      <c r="G32" s="3" t="s">
        <v>43</v>
      </c>
      <c r="H32" s="3">
        <v>0</v>
      </c>
      <c r="I32" s="3">
        <v>0.93</v>
      </c>
      <c r="J32" s="3" t="s">
        <v>44</v>
      </c>
      <c r="K32" s="3" t="s">
        <v>25</v>
      </c>
      <c r="L32" s="3">
        <v>22589.373</v>
      </c>
      <c r="M32" s="3">
        <v>1</v>
      </c>
      <c r="N32" s="3">
        <v>15652.644</v>
      </c>
      <c r="O32" s="3">
        <v>1.4431665985631565</v>
      </c>
      <c r="P32" s="3">
        <v>1.32</v>
      </c>
      <c r="Q32" s="3"/>
      <c r="R32" s="3"/>
      <c r="S32" s="3"/>
    </row>
    <row r="33" spans="1:19" x14ac:dyDescent="0.25">
      <c r="A33" s="3" t="s">
        <v>180</v>
      </c>
      <c r="B33" s="3"/>
      <c r="C33" s="3"/>
      <c r="D33" s="3"/>
      <c r="E33" s="3"/>
      <c r="F33" s="3">
        <v>0.85468749999999993</v>
      </c>
      <c r="G33" s="3" t="s">
        <v>43</v>
      </c>
      <c r="H33" s="3">
        <v>0</v>
      </c>
      <c r="I33" s="3">
        <v>0.93</v>
      </c>
      <c r="J33" s="3" t="s">
        <v>44</v>
      </c>
      <c r="K33" s="3" t="s">
        <v>25</v>
      </c>
      <c r="L33" s="3">
        <v>24862.615000000002</v>
      </c>
      <c r="M33" s="3">
        <v>1</v>
      </c>
      <c r="N33" s="3">
        <v>15292.196</v>
      </c>
      <c r="O33" s="3">
        <v>1.6258367993713918</v>
      </c>
      <c r="P33" s="3">
        <v>1.32</v>
      </c>
      <c r="Q33" s="3"/>
      <c r="R33" s="3"/>
      <c r="S33" s="3"/>
    </row>
    <row r="34" spans="1:19" x14ac:dyDescent="0.25">
      <c r="A34" s="3" t="s">
        <v>181</v>
      </c>
      <c r="B34" s="3"/>
      <c r="C34" s="3"/>
      <c r="D34" s="3"/>
      <c r="E34" s="3"/>
      <c r="F34" s="3">
        <v>0.85665509259259265</v>
      </c>
      <c r="G34" s="3" t="s">
        <v>43</v>
      </c>
      <c r="H34" s="3">
        <v>0</v>
      </c>
      <c r="I34" s="3">
        <v>0.93</v>
      </c>
      <c r="J34" s="3" t="s">
        <v>44</v>
      </c>
      <c r="K34" s="3" t="s">
        <v>25</v>
      </c>
      <c r="L34" s="3">
        <v>11813.706</v>
      </c>
      <c r="M34" s="3">
        <v>1</v>
      </c>
      <c r="N34" s="3">
        <v>14855.343999999999</v>
      </c>
      <c r="O34" s="3">
        <v>0.79524957483313752</v>
      </c>
      <c r="P34" s="3">
        <v>1.32</v>
      </c>
      <c r="Q34" s="3"/>
      <c r="R34" s="3"/>
      <c r="S34" s="3"/>
    </row>
    <row r="35" spans="1:19" x14ac:dyDescent="0.25">
      <c r="A35" s="3" t="s">
        <v>176</v>
      </c>
      <c r="B35" s="3"/>
      <c r="C35" s="3"/>
      <c r="D35" s="3"/>
      <c r="E35" s="3"/>
      <c r="F35" s="3">
        <v>0.8471643518518519</v>
      </c>
      <c r="G35" s="3" t="s">
        <v>43</v>
      </c>
      <c r="H35" s="3">
        <v>0</v>
      </c>
      <c r="I35" s="3">
        <v>0.93</v>
      </c>
      <c r="J35" s="3" t="s">
        <v>44</v>
      </c>
      <c r="K35" s="3" t="s">
        <v>25</v>
      </c>
      <c r="L35" s="3">
        <v>941.79700000000003</v>
      </c>
      <c r="M35" s="3">
        <v>1</v>
      </c>
      <c r="N35" s="3">
        <v>14135.957</v>
      </c>
      <c r="O35" s="3">
        <v>6.662421228361122E-2</v>
      </c>
      <c r="P35" s="3">
        <v>1.33</v>
      </c>
      <c r="Q35" s="3"/>
      <c r="R35" s="3"/>
      <c r="S35" s="3"/>
    </row>
    <row r="36" spans="1:19" x14ac:dyDescent="0.25">
      <c r="A36" s="3" t="s">
        <v>177</v>
      </c>
      <c r="B36" s="3"/>
      <c r="C36" s="3"/>
      <c r="D36" s="3"/>
      <c r="E36" s="3"/>
      <c r="F36" s="3">
        <v>0.84903935185185186</v>
      </c>
      <c r="G36" s="3" t="s">
        <v>43</v>
      </c>
      <c r="H36" s="3">
        <v>0</v>
      </c>
      <c r="I36" s="3">
        <v>0.93</v>
      </c>
      <c r="J36" s="3" t="s">
        <v>44</v>
      </c>
      <c r="K36" s="3" t="s">
        <v>25</v>
      </c>
      <c r="L36" s="3">
        <v>808.42600000000004</v>
      </c>
      <c r="M36" s="3">
        <v>1</v>
      </c>
      <c r="N36" s="3">
        <v>14036.602000000001</v>
      </c>
      <c r="O36" s="3">
        <v>5.7594138524409255E-2</v>
      </c>
      <c r="P36" s="3">
        <v>1.32</v>
      </c>
      <c r="Q36" s="3"/>
      <c r="R36" s="3"/>
      <c r="S36" s="3"/>
    </row>
    <row r="37" spans="1:19" x14ac:dyDescent="0.25">
      <c r="A37" s="3" t="s">
        <v>178</v>
      </c>
      <c r="B37" s="3"/>
      <c r="C37" s="3"/>
      <c r="D37" s="3"/>
      <c r="E37" s="3"/>
      <c r="F37" s="3">
        <v>0.85091435185185194</v>
      </c>
      <c r="G37" s="3" t="s">
        <v>43</v>
      </c>
      <c r="H37" s="3">
        <v>0</v>
      </c>
      <c r="I37" s="3">
        <v>0.93</v>
      </c>
      <c r="J37" s="3" t="s">
        <v>44</v>
      </c>
      <c r="K37" s="3" t="s">
        <v>25</v>
      </c>
      <c r="L37" s="3">
        <v>996.96699999999998</v>
      </c>
      <c r="M37" s="3">
        <v>1</v>
      </c>
      <c r="N37" s="3">
        <v>16549.344000000001</v>
      </c>
      <c r="O37" s="3">
        <v>6.0242085728594436E-2</v>
      </c>
      <c r="P37" s="3">
        <v>1.32</v>
      </c>
      <c r="Q37" s="3"/>
      <c r="R37" s="3"/>
      <c r="S37" s="3"/>
    </row>
    <row r="38" spans="1:19" x14ac:dyDescent="0.25">
      <c r="A38" s="3" t="s">
        <v>47</v>
      </c>
      <c r="B38" s="3"/>
      <c r="C38" s="3"/>
      <c r="D38" s="3"/>
      <c r="E38" s="3"/>
      <c r="F38" s="3">
        <v>0.70457175925925919</v>
      </c>
      <c r="G38" s="3" t="s">
        <v>48</v>
      </c>
      <c r="H38" s="3">
        <v>0</v>
      </c>
      <c r="I38" s="3">
        <v>0.93</v>
      </c>
      <c r="J38" s="3" t="s">
        <v>49</v>
      </c>
      <c r="K38" s="3" t="s">
        <v>25</v>
      </c>
      <c r="L38" s="3">
        <v>205024.391</v>
      </c>
      <c r="M38" s="3">
        <v>1</v>
      </c>
      <c r="N38" s="3">
        <v>23900.384999999998</v>
      </c>
      <c r="O38" s="3">
        <v>8.5782882158592848</v>
      </c>
      <c r="P38" s="3">
        <v>0.41</v>
      </c>
      <c r="Q38" s="3"/>
      <c r="R38" s="3"/>
      <c r="S38" s="3"/>
    </row>
    <row r="39" spans="1:19" x14ac:dyDescent="0.25">
      <c r="A39" s="3" t="s">
        <v>50</v>
      </c>
      <c r="B39" s="3"/>
      <c r="C39" s="3"/>
      <c r="D39" s="3"/>
      <c r="E39" s="3"/>
      <c r="F39" s="3">
        <v>0.7064583333333333</v>
      </c>
      <c r="G39" s="3" t="s">
        <v>48</v>
      </c>
      <c r="H39" s="3">
        <v>0</v>
      </c>
      <c r="I39" s="3">
        <v>0.93</v>
      </c>
      <c r="J39" s="3" t="s">
        <v>49</v>
      </c>
      <c r="K39" s="3" t="s">
        <v>25</v>
      </c>
      <c r="L39" s="3">
        <v>223241.71900000001</v>
      </c>
      <c r="M39" s="3">
        <v>1</v>
      </c>
      <c r="N39" s="3">
        <v>22970.811000000002</v>
      </c>
      <c r="O39" s="3">
        <v>9.7184953112887484</v>
      </c>
      <c r="P39" s="3">
        <v>0.4</v>
      </c>
      <c r="Q39" s="3"/>
      <c r="R39" s="3"/>
      <c r="S39" s="3"/>
    </row>
    <row r="40" spans="1:19" x14ac:dyDescent="0.25">
      <c r="A40" s="3" t="s">
        <v>51</v>
      </c>
      <c r="B40" s="3"/>
      <c r="C40" s="3"/>
      <c r="D40" s="3"/>
      <c r="E40" s="3"/>
      <c r="F40" s="3">
        <v>0.70833333333333337</v>
      </c>
      <c r="G40" s="3" t="s">
        <v>48</v>
      </c>
      <c r="H40" s="3">
        <v>0</v>
      </c>
      <c r="I40" s="3">
        <v>0.93</v>
      </c>
      <c r="J40" s="3" t="s">
        <v>49</v>
      </c>
      <c r="K40" s="3" t="s">
        <v>25</v>
      </c>
      <c r="L40" s="3">
        <v>195648.53099999999</v>
      </c>
      <c r="M40" s="3">
        <v>1</v>
      </c>
      <c r="N40" s="3">
        <v>23638.438999999998</v>
      </c>
      <c r="O40" s="3">
        <v>8.2767111229299033</v>
      </c>
      <c r="P40" s="3">
        <v>0.4</v>
      </c>
      <c r="Q40" s="3"/>
      <c r="R40" s="3"/>
      <c r="S40" s="3"/>
    </row>
    <row r="41" spans="1:19" x14ac:dyDescent="0.25">
      <c r="A41" s="3" t="s">
        <v>260</v>
      </c>
      <c r="B41" s="3"/>
      <c r="C41" s="3"/>
      <c r="D41" s="3"/>
      <c r="E41" s="3"/>
      <c r="F41" s="3">
        <v>0.93952546296296291</v>
      </c>
      <c r="G41" s="3" t="s">
        <v>48</v>
      </c>
      <c r="H41" s="3">
        <v>0</v>
      </c>
      <c r="I41" s="3">
        <v>0.93</v>
      </c>
      <c r="J41" s="3" t="s">
        <v>49</v>
      </c>
      <c r="K41" s="3" t="s">
        <v>23</v>
      </c>
      <c r="L41" s="3">
        <v>52128.487999999998</v>
      </c>
      <c r="M41" s="3">
        <v>1</v>
      </c>
      <c r="N41" s="3">
        <v>3424.6660000000002</v>
      </c>
      <c r="O41" s="3">
        <v>15.221480868499292</v>
      </c>
      <c r="P41" s="3">
        <v>0.41</v>
      </c>
      <c r="Q41" s="3"/>
      <c r="R41" s="3"/>
      <c r="S41" s="3"/>
    </row>
    <row r="42" spans="1:19" x14ac:dyDescent="0.25">
      <c r="A42" s="3" t="s">
        <v>261</v>
      </c>
      <c r="B42" s="3"/>
      <c r="C42" s="3"/>
      <c r="D42" s="3"/>
      <c r="E42" s="3"/>
      <c r="F42" s="3">
        <v>0.94140046296296298</v>
      </c>
      <c r="G42" s="3" t="s">
        <v>48</v>
      </c>
      <c r="H42" s="3">
        <v>0</v>
      </c>
      <c r="I42" s="3">
        <v>0.93</v>
      </c>
      <c r="J42" s="3" t="s">
        <v>49</v>
      </c>
      <c r="K42" s="3" t="s">
        <v>23</v>
      </c>
      <c r="L42" s="3">
        <v>52330.43</v>
      </c>
      <c r="M42" s="3">
        <v>1</v>
      </c>
      <c r="N42" s="3">
        <v>3274.3919999999998</v>
      </c>
      <c r="O42" s="3">
        <v>15.981724240714001</v>
      </c>
      <c r="P42" s="3">
        <v>0.4</v>
      </c>
      <c r="Q42" s="3"/>
      <c r="R42" s="3"/>
      <c r="S42" s="3"/>
    </row>
    <row r="43" spans="1:19" x14ac:dyDescent="0.25">
      <c r="A43" s="3" t="s">
        <v>262</v>
      </c>
      <c r="B43" s="3"/>
      <c r="C43" s="3"/>
      <c r="D43" s="3"/>
      <c r="E43" s="3"/>
      <c r="F43" s="3">
        <v>0.94327546296296294</v>
      </c>
      <c r="G43" s="3" t="s">
        <v>48</v>
      </c>
      <c r="H43" s="3">
        <v>0</v>
      </c>
      <c r="I43" s="3">
        <v>0.93</v>
      </c>
      <c r="J43" s="3" t="s">
        <v>49</v>
      </c>
      <c r="K43" s="3" t="s">
        <v>23</v>
      </c>
      <c r="L43" s="3">
        <v>52947.688000000002</v>
      </c>
      <c r="M43" s="3">
        <v>1</v>
      </c>
      <c r="N43" s="3">
        <v>3389.67</v>
      </c>
      <c r="O43" s="3">
        <v>15.620307581563987</v>
      </c>
      <c r="P43" s="3">
        <v>0.41</v>
      </c>
      <c r="Q43" s="3"/>
      <c r="R43" s="3"/>
      <c r="S43" s="3"/>
    </row>
    <row r="44" spans="1:19" x14ac:dyDescent="0.25">
      <c r="A44" s="3" t="s">
        <v>248</v>
      </c>
      <c r="B44" s="3"/>
      <c r="C44" s="3"/>
      <c r="D44" s="3"/>
      <c r="E44" s="3"/>
      <c r="F44" s="3">
        <v>0.91693287037037041</v>
      </c>
      <c r="G44" s="3" t="s">
        <v>48</v>
      </c>
      <c r="H44" s="3">
        <v>0</v>
      </c>
      <c r="I44" s="3">
        <v>0.93</v>
      </c>
      <c r="J44" s="3" t="s">
        <v>49</v>
      </c>
      <c r="K44" s="3" t="s">
        <v>23</v>
      </c>
      <c r="L44" s="3">
        <v>91883.375</v>
      </c>
      <c r="M44" s="3">
        <v>1</v>
      </c>
      <c r="N44" s="3">
        <v>6023.6679999999997</v>
      </c>
      <c r="O44" s="3">
        <v>15.253724972890273</v>
      </c>
      <c r="P44" s="3">
        <v>0.4</v>
      </c>
      <c r="Q44" s="3"/>
      <c r="R44" s="3"/>
      <c r="S44" s="3"/>
    </row>
    <row r="45" spans="1:19" x14ac:dyDescent="0.25">
      <c r="A45" s="3" t="s">
        <v>249</v>
      </c>
      <c r="B45" s="3"/>
      <c r="C45" s="3"/>
      <c r="D45" s="3"/>
      <c r="E45" s="3"/>
      <c r="F45" s="3">
        <v>0.91880787037037026</v>
      </c>
      <c r="G45" s="3" t="s">
        <v>48</v>
      </c>
      <c r="H45" s="3">
        <v>0</v>
      </c>
      <c r="I45" s="3">
        <v>0.93</v>
      </c>
      <c r="J45" s="3" t="s">
        <v>49</v>
      </c>
      <c r="K45" s="3" t="s">
        <v>23</v>
      </c>
      <c r="L45" s="3">
        <v>85657.077999999994</v>
      </c>
      <c r="M45" s="3">
        <v>1</v>
      </c>
      <c r="N45" s="3">
        <v>4723.6620000000003</v>
      </c>
      <c r="O45" s="3">
        <v>18.133617096227457</v>
      </c>
      <c r="P45" s="3">
        <v>0.41</v>
      </c>
      <c r="Q45" s="3"/>
      <c r="R45" s="3"/>
      <c r="S45" s="3"/>
    </row>
    <row r="46" spans="1:19" x14ac:dyDescent="0.25">
      <c r="A46" s="3" t="s">
        <v>250</v>
      </c>
      <c r="B46" s="3"/>
      <c r="C46" s="3"/>
      <c r="D46" s="3"/>
      <c r="E46" s="3"/>
      <c r="F46" s="3">
        <v>0.92067129629629629</v>
      </c>
      <c r="G46" s="3" t="s">
        <v>48</v>
      </c>
      <c r="H46" s="3">
        <v>0</v>
      </c>
      <c r="I46" s="3">
        <v>0.93</v>
      </c>
      <c r="J46" s="3" t="s">
        <v>49</v>
      </c>
      <c r="K46" s="3" t="s">
        <v>23</v>
      </c>
      <c r="L46" s="3">
        <v>78278.366999999998</v>
      </c>
      <c r="M46" s="3">
        <v>1</v>
      </c>
      <c r="N46" s="3">
        <v>5309.09</v>
      </c>
      <c r="O46" s="3">
        <v>14.744215487023199</v>
      </c>
      <c r="P46" s="3">
        <v>0.4</v>
      </c>
      <c r="Q46" s="3"/>
      <c r="R46" s="3"/>
      <c r="S46" s="3"/>
    </row>
    <row r="47" spans="1:19" x14ac:dyDescent="0.25">
      <c r="A47" s="3" t="s">
        <v>257</v>
      </c>
      <c r="B47" s="3"/>
      <c r="C47" s="3"/>
      <c r="D47" s="3"/>
      <c r="E47" s="3"/>
      <c r="F47" s="3">
        <v>0.93379629629629635</v>
      </c>
      <c r="G47" s="3" t="s">
        <v>48</v>
      </c>
      <c r="H47" s="3">
        <v>0</v>
      </c>
      <c r="I47" s="3">
        <v>0.93</v>
      </c>
      <c r="J47" s="3" t="s">
        <v>49</v>
      </c>
      <c r="K47" s="3" t="s">
        <v>23</v>
      </c>
      <c r="L47" s="3">
        <v>61164.527000000002</v>
      </c>
      <c r="M47" s="3">
        <v>1</v>
      </c>
      <c r="N47" s="3">
        <v>3640.64</v>
      </c>
      <c r="O47" s="3">
        <v>16.800487551639272</v>
      </c>
      <c r="P47" s="3">
        <v>0.4</v>
      </c>
      <c r="Q47" s="3"/>
      <c r="R47" s="3"/>
      <c r="S47" s="3"/>
    </row>
    <row r="48" spans="1:19" x14ac:dyDescent="0.25">
      <c r="A48" s="3" t="s">
        <v>258</v>
      </c>
      <c r="B48" s="3"/>
      <c r="C48" s="3"/>
      <c r="D48" s="3"/>
      <c r="E48" s="3"/>
      <c r="F48" s="3">
        <v>0.93568287037037035</v>
      </c>
      <c r="G48" s="3" t="s">
        <v>48</v>
      </c>
      <c r="H48" s="3">
        <v>0</v>
      </c>
      <c r="I48" s="3">
        <v>0.93</v>
      </c>
      <c r="J48" s="3" t="s">
        <v>49</v>
      </c>
      <c r="K48" s="3" t="s">
        <v>23</v>
      </c>
      <c r="L48" s="3">
        <v>55549.733999999997</v>
      </c>
      <c r="M48" s="3">
        <v>1</v>
      </c>
      <c r="N48" s="3">
        <v>3049.8809999999999</v>
      </c>
      <c r="O48" s="3">
        <v>18.213738175358316</v>
      </c>
      <c r="P48" s="3">
        <v>0.39</v>
      </c>
      <c r="Q48" s="3"/>
      <c r="R48" s="3"/>
      <c r="S48" s="3"/>
    </row>
    <row r="49" spans="1:19" x14ac:dyDescent="0.25">
      <c r="A49" s="3" t="s">
        <v>259</v>
      </c>
      <c r="B49" s="3"/>
      <c r="C49" s="3"/>
      <c r="D49" s="3"/>
      <c r="E49" s="3"/>
      <c r="F49" s="3">
        <v>0.93765046296296306</v>
      </c>
      <c r="G49" s="3" t="s">
        <v>48</v>
      </c>
      <c r="H49" s="3">
        <v>0</v>
      </c>
      <c r="I49" s="3">
        <v>0.93</v>
      </c>
      <c r="J49" s="3" t="s">
        <v>49</v>
      </c>
      <c r="K49" s="3" t="s">
        <v>23</v>
      </c>
      <c r="L49" s="3">
        <v>57039.652000000002</v>
      </c>
      <c r="M49" s="3">
        <v>1</v>
      </c>
      <c r="N49" s="3">
        <v>2598.15</v>
      </c>
      <c r="O49" s="3">
        <v>21.953948771241077</v>
      </c>
      <c r="P49" s="3">
        <v>0.41</v>
      </c>
      <c r="Q49" s="3"/>
      <c r="R49" s="3"/>
      <c r="S49" s="3"/>
    </row>
    <row r="50" spans="1:19" x14ac:dyDescent="0.25">
      <c r="A50" s="3" t="s">
        <v>254</v>
      </c>
      <c r="B50" s="3"/>
      <c r="C50" s="3"/>
      <c r="D50" s="3"/>
      <c r="E50" s="3"/>
      <c r="F50" s="3">
        <v>0.92818287037037039</v>
      </c>
      <c r="G50" s="3" t="s">
        <v>48</v>
      </c>
      <c r="H50" s="3">
        <v>0</v>
      </c>
      <c r="I50" s="3">
        <v>0.93</v>
      </c>
      <c r="J50" s="3" t="s">
        <v>49</v>
      </c>
      <c r="K50" s="3" t="s">
        <v>23</v>
      </c>
      <c r="L50" s="3">
        <v>84576.616999999998</v>
      </c>
      <c r="M50" s="3">
        <v>1</v>
      </c>
      <c r="N50" s="3">
        <v>4526.7020000000002</v>
      </c>
      <c r="O50" s="3">
        <v>18.683937444965451</v>
      </c>
      <c r="P50" s="3">
        <v>0.4</v>
      </c>
      <c r="Q50" s="3"/>
      <c r="R50" s="3"/>
      <c r="S50" s="3"/>
    </row>
    <row r="51" spans="1:19" x14ac:dyDescent="0.25">
      <c r="A51" s="3" t="s">
        <v>255</v>
      </c>
      <c r="B51" s="3"/>
      <c r="C51" s="3"/>
      <c r="D51" s="3"/>
      <c r="E51" s="3"/>
      <c r="F51" s="3">
        <v>0.93005787037037047</v>
      </c>
      <c r="G51" s="3" t="s">
        <v>48</v>
      </c>
      <c r="H51" s="3">
        <v>0</v>
      </c>
      <c r="I51" s="3">
        <v>0.93</v>
      </c>
      <c r="J51" s="3" t="s">
        <v>49</v>
      </c>
      <c r="K51" s="3" t="s">
        <v>23</v>
      </c>
      <c r="L51" s="3">
        <v>72464.148000000001</v>
      </c>
      <c r="M51" s="3">
        <v>1</v>
      </c>
      <c r="N51" s="3">
        <v>3796.6759999999999</v>
      </c>
      <c r="O51" s="3">
        <v>19.086208040928433</v>
      </c>
      <c r="P51" s="3">
        <v>0.4</v>
      </c>
      <c r="Q51" s="3"/>
      <c r="R51" s="3"/>
      <c r="S51" s="3"/>
    </row>
    <row r="52" spans="1:19" x14ac:dyDescent="0.25">
      <c r="A52" s="3" t="s">
        <v>256</v>
      </c>
      <c r="B52" s="3"/>
      <c r="C52" s="3"/>
      <c r="D52" s="3"/>
      <c r="E52" s="3"/>
      <c r="F52" s="3">
        <v>0.93193287037037031</v>
      </c>
      <c r="G52" s="3" t="s">
        <v>48</v>
      </c>
      <c r="H52" s="3">
        <v>0</v>
      </c>
      <c r="I52" s="3">
        <v>0.93</v>
      </c>
      <c r="J52" s="3" t="s">
        <v>49</v>
      </c>
      <c r="K52" s="3" t="s">
        <v>23</v>
      </c>
      <c r="L52" s="3">
        <v>72566.577999999994</v>
      </c>
      <c r="M52" s="3">
        <v>1</v>
      </c>
      <c r="N52" s="3">
        <v>3400.23</v>
      </c>
      <c r="O52" s="3">
        <v>21.341667475435482</v>
      </c>
      <c r="P52" s="3">
        <v>0.39</v>
      </c>
      <c r="Q52" s="3"/>
      <c r="R52" s="3"/>
      <c r="S52" s="3"/>
    </row>
    <row r="53" spans="1:19" x14ac:dyDescent="0.25">
      <c r="A53" s="3" t="s">
        <v>251</v>
      </c>
      <c r="B53" s="3"/>
      <c r="C53" s="3"/>
      <c r="D53" s="3"/>
      <c r="E53" s="3"/>
      <c r="F53" s="3">
        <v>0.9225578703703704</v>
      </c>
      <c r="G53" s="3" t="s">
        <v>48</v>
      </c>
      <c r="H53" s="3">
        <v>0</v>
      </c>
      <c r="I53" s="3">
        <v>0.93</v>
      </c>
      <c r="J53" s="3" t="s">
        <v>49</v>
      </c>
      <c r="K53" s="3" t="s">
        <v>23</v>
      </c>
      <c r="L53" s="3">
        <v>88431.922000000006</v>
      </c>
      <c r="M53" s="3">
        <v>1</v>
      </c>
      <c r="N53" s="3">
        <v>4179.4560000000001</v>
      </c>
      <c r="O53" s="3">
        <v>21.158715871156438</v>
      </c>
      <c r="P53" s="3">
        <v>0.41</v>
      </c>
      <c r="Q53" s="3"/>
      <c r="R53" s="3"/>
      <c r="S53" s="3"/>
    </row>
    <row r="54" spans="1:19" x14ac:dyDescent="0.25">
      <c r="A54" s="3" t="s">
        <v>252</v>
      </c>
      <c r="B54" s="3"/>
      <c r="C54" s="3"/>
      <c r="D54" s="3"/>
      <c r="E54" s="3"/>
      <c r="F54" s="3">
        <v>0.92443287037037036</v>
      </c>
      <c r="G54" s="3" t="s">
        <v>48</v>
      </c>
      <c r="H54" s="3">
        <v>0</v>
      </c>
      <c r="I54" s="3">
        <v>0.93</v>
      </c>
      <c r="J54" s="3" t="s">
        <v>49</v>
      </c>
      <c r="K54" s="3" t="s">
        <v>23</v>
      </c>
      <c r="L54" s="3">
        <v>81409.733999999997</v>
      </c>
      <c r="M54" s="3">
        <v>1</v>
      </c>
      <c r="N54" s="3">
        <v>3859.2139999999999</v>
      </c>
      <c r="O54" s="3">
        <v>21.094900153243639</v>
      </c>
      <c r="P54" s="3">
        <v>0.41</v>
      </c>
      <c r="Q54" s="3"/>
      <c r="R54" s="3"/>
      <c r="S54" s="3"/>
    </row>
    <row r="55" spans="1:19" x14ac:dyDescent="0.25">
      <c r="A55" s="3" t="s">
        <v>253</v>
      </c>
      <c r="B55" s="3"/>
      <c r="C55" s="3"/>
      <c r="D55" s="3"/>
      <c r="E55" s="3"/>
      <c r="F55" s="3">
        <v>0.92630787037037043</v>
      </c>
      <c r="G55" s="3" t="s">
        <v>48</v>
      </c>
      <c r="H55" s="3">
        <v>0</v>
      </c>
      <c r="I55" s="3">
        <v>0.93</v>
      </c>
      <c r="J55" s="3" t="s">
        <v>49</v>
      </c>
      <c r="K55" s="3" t="s">
        <v>23</v>
      </c>
      <c r="L55" s="3">
        <v>88286.797000000006</v>
      </c>
      <c r="M55" s="3">
        <v>1</v>
      </c>
      <c r="N55" s="3">
        <v>4002.8159999999998</v>
      </c>
      <c r="O55" s="3">
        <v>22.056171705119599</v>
      </c>
      <c r="P55" s="3">
        <v>0.41</v>
      </c>
      <c r="Q55" s="3"/>
      <c r="R55" s="3"/>
      <c r="S55" s="3"/>
    </row>
    <row r="56" spans="1:19" x14ac:dyDescent="0.25">
      <c r="A56" s="3" t="s">
        <v>47</v>
      </c>
      <c r="B56" s="3"/>
      <c r="C56" s="3"/>
      <c r="D56" s="3"/>
      <c r="E56" s="3"/>
      <c r="F56" s="3">
        <v>0.70457175925925919</v>
      </c>
      <c r="G56" s="3" t="s">
        <v>52</v>
      </c>
      <c r="H56" s="3">
        <v>0</v>
      </c>
      <c r="I56" s="3">
        <v>0.93</v>
      </c>
      <c r="J56" s="3" t="s">
        <v>53</v>
      </c>
      <c r="K56" s="3" t="s">
        <v>23</v>
      </c>
      <c r="L56" s="3">
        <v>7.5039999999999996</v>
      </c>
      <c r="M56" s="3">
        <v>1</v>
      </c>
      <c r="N56" s="3">
        <v>23900.384999999998</v>
      </c>
      <c r="O56" s="3">
        <v>3.1396983772437141E-4</v>
      </c>
      <c r="P56" s="3">
        <v>1.1100000000000001</v>
      </c>
      <c r="Q56" s="3"/>
      <c r="R56" s="3"/>
      <c r="S56" s="3"/>
    </row>
    <row r="57" spans="1:19" x14ac:dyDescent="0.25">
      <c r="A57" s="3" t="s">
        <v>50</v>
      </c>
      <c r="B57" s="3"/>
      <c r="C57" s="3"/>
      <c r="D57" s="3"/>
      <c r="E57" s="3"/>
      <c r="F57" s="3">
        <v>0.7064583333333333</v>
      </c>
      <c r="G57" s="3" t="s">
        <v>52</v>
      </c>
      <c r="H57" s="3">
        <v>0</v>
      </c>
      <c r="I57" s="3">
        <v>0.93</v>
      </c>
      <c r="J57" s="3" t="s">
        <v>53</v>
      </c>
      <c r="K57" s="3" t="s">
        <v>23</v>
      </c>
      <c r="L57" s="3">
        <v>15.462</v>
      </c>
      <c r="M57" s="3">
        <v>1</v>
      </c>
      <c r="N57" s="3">
        <v>22970.811000000002</v>
      </c>
      <c r="O57" s="3">
        <v>6.7311511117304468E-4</v>
      </c>
      <c r="P57" s="3">
        <v>1.1200000000000001</v>
      </c>
      <c r="Q57" s="3"/>
      <c r="R57" s="3"/>
      <c r="S57" s="3"/>
    </row>
    <row r="58" spans="1:19" x14ac:dyDescent="0.25">
      <c r="A58" s="3" t="s">
        <v>51</v>
      </c>
      <c r="B58" s="3"/>
      <c r="C58" s="3"/>
      <c r="D58" s="3"/>
      <c r="E58" s="3"/>
      <c r="F58" s="3">
        <v>0.70833333333333337</v>
      </c>
      <c r="G58" s="3" t="s">
        <v>52</v>
      </c>
      <c r="H58" s="3">
        <v>0</v>
      </c>
      <c r="I58" s="3">
        <v>0.93</v>
      </c>
      <c r="J58" s="3" t="s">
        <v>53</v>
      </c>
      <c r="K58" s="3" t="s">
        <v>25</v>
      </c>
      <c r="L58" s="3">
        <v>1.5129999999999999</v>
      </c>
      <c r="M58" s="3">
        <v>1</v>
      </c>
      <c r="N58" s="3">
        <v>23638.438999999998</v>
      </c>
      <c r="O58" s="3">
        <v>6.4005918495717927E-5</v>
      </c>
      <c r="P58" s="3">
        <v>1.1399999999999999</v>
      </c>
      <c r="Q58" s="3"/>
      <c r="R58" s="3"/>
      <c r="S58" s="3"/>
    </row>
    <row r="59" spans="1:19" x14ac:dyDescent="0.25">
      <c r="A59" s="3" t="s">
        <v>215</v>
      </c>
      <c r="B59" s="3"/>
      <c r="C59" s="3"/>
      <c r="D59" s="3"/>
      <c r="E59" s="3"/>
      <c r="F59" s="3">
        <v>8.9918981481481475E-2</v>
      </c>
      <c r="G59" s="3" t="s">
        <v>52</v>
      </c>
      <c r="H59" s="3">
        <v>0</v>
      </c>
      <c r="I59" s="3">
        <v>0.93</v>
      </c>
      <c r="J59" s="3" t="s">
        <v>53</v>
      </c>
      <c r="K59" s="3" t="s">
        <v>25</v>
      </c>
      <c r="L59" s="3">
        <v>102763.836</v>
      </c>
      <c r="M59" s="3">
        <v>1</v>
      </c>
      <c r="N59" s="3">
        <v>5200.0129999999999</v>
      </c>
      <c r="O59" s="3">
        <v>19.762226748279282</v>
      </c>
      <c r="P59" s="3">
        <v>1.1399999999999999</v>
      </c>
      <c r="Q59" s="3"/>
      <c r="R59" s="3"/>
      <c r="S59" s="3"/>
    </row>
    <row r="60" spans="1:19" x14ac:dyDescent="0.25">
      <c r="A60" s="3" t="s">
        <v>216</v>
      </c>
      <c r="B60" s="3"/>
      <c r="C60" s="3"/>
      <c r="D60" s="3"/>
      <c r="E60" s="3"/>
      <c r="F60" s="3">
        <v>9.179398148148149E-2</v>
      </c>
      <c r="G60" s="3" t="s">
        <v>52</v>
      </c>
      <c r="H60" s="3">
        <v>0</v>
      </c>
      <c r="I60" s="3">
        <v>0.93</v>
      </c>
      <c r="J60" s="3" t="s">
        <v>53</v>
      </c>
      <c r="K60" s="3" t="s">
        <v>25</v>
      </c>
      <c r="L60" s="3">
        <v>92246.047000000006</v>
      </c>
      <c r="M60" s="3">
        <v>1</v>
      </c>
      <c r="N60" s="3">
        <v>5718.665</v>
      </c>
      <c r="O60" s="3">
        <v>16.130696062804869</v>
      </c>
      <c r="P60" s="3">
        <v>1.1399999999999999</v>
      </c>
      <c r="Q60" s="3"/>
      <c r="R60" s="3"/>
      <c r="S60" s="3"/>
    </row>
    <row r="61" spans="1:19" x14ac:dyDescent="0.25">
      <c r="A61" s="3" t="s">
        <v>217</v>
      </c>
      <c r="B61" s="3"/>
      <c r="C61" s="3"/>
      <c r="D61" s="3"/>
      <c r="E61" s="3"/>
      <c r="F61" s="3">
        <v>9.3680555555555559E-2</v>
      </c>
      <c r="G61" s="3" t="s">
        <v>52</v>
      </c>
      <c r="H61" s="3">
        <v>0</v>
      </c>
      <c r="I61" s="3">
        <v>0.93</v>
      </c>
      <c r="J61" s="3" t="s">
        <v>53</v>
      </c>
      <c r="K61" s="3" t="s">
        <v>25</v>
      </c>
      <c r="L61" s="3">
        <v>104103.266</v>
      </c>
      <c r="M61" s="3">
        <v>1</v>
      </c>
      <c r="N61" s="3">
        <v>6807.5839999999998</v>
      </c>
      <c r="O61" s="3">
        <v>15.2922484687666</v>
      </c>
      <c r="P61" s="3">
        <v>1.1399999999999999</v>
      </c>
      <c r="Q61" s="3"/>
      <c r="R61" s="3"/>
      <c r="S61" s="3"/>
    </row>
    <row r="62" spans="1:19" x14ac:dyDescent="0.25">
      <c r="A62" s="3" t="s">
        <v>203</v>
      </c>
      <c r="B62" s="3"/>
      <c r="C62" s="3"/>
      <c r="D62" s="3"/>
      <c r="E62" s="3"/>
      <c r="F62" s="3">
        <v>6.7418981481481483E-2</v>
      </c>
      <c r="G62" s="3" t="s">
        <v>52</v>
      </c>
      <c r="H62" s="3">
        <v>0</v>
      </c>
      <c r="I62" s="3">
        <v>0.93</v>
      </c>
      <c r="J62" s="3" t="s">
        <v>53</v>
      </c>
      <c r="K62" s="3" t="s">
        <v>25</v>
      </c>
      <c r="L62" s="3">
        <v>60813.226999999999</v>
      </c>
      <c r="M62" s="3">
        <v>1</v>
      </c>
      <c r="N62" s="3">
        <v>6343.116</v>
      </c>
      <c r="O62" s="3">
        <v>9.5872796587670788</v>
      </c>
      <c r="P62" s="3">
        <v>1.1399999999999999</v>
      </c>
      <c r="Q62" s="3"/>
      <c r="R62" s="3"/>
      <c r="S62" s="3"/>
    </row>
    <row r="63" spans="1:19" x14ac:dyDescent="0.25">
      <c r="A63" s="3" t="s">
        <v>204</v>
      </c>
      <c r="B63" s="3"/>
      <c r="C63" s="3"/>
      <c r="D63" s="3"/>
      <c r="E63" s="3"/>
      <c r="F63" s="3">
        <v>6.9293981481481484E-2</v>
      </c>
      <c r="G63" s="3" t="s">
        <v>52</v>
      </c>
      <c r="H63" s="3">
        <v>0</v>
      </c>
      <c r="I63" s="3">
        <v>0.93</v>
      </c>
      <c r="J63" s="3" t="s">
        <v>53</v>
      </c>
      <c r="K63" s="3" t="s">
        <v>25</v>
      </c>
      <c r="L63" s="3">
        <v>49410.440999999999</v>
      </c>
      <c r="M63" s="3">
        <v>1</v>
      </c>
      <c r="N63" s="3">
        <v>6258.1279999999997</v>
      </c>
      <c r="O63" s="3">
        <v>7.895402746636055</v>
      </c>
      <c r="P63" s="3">
        <v>1.1399999999999999</v>
      </c>
      <c r="Q63" s="3"/>
      <c r="R63" s="3"/>
      <c r="S63" s="3"/>
    </row>
    <row r="64" spans="1:19" x14ac:dyDescent="0.25">
      <c r="A64" s="3" t="s">
        <v>205</v>
      </c>
      <c r="B64" s="3"/>
      <c r="C64" s="3"/>
      <c r="D64" s="3"/>
      <c r="E64" s="3"/>
      <c r="F64" s="3">
        <v>7.1180555555555566E-2</v>
      </c>
      <c r="G64" s="3" t="s">
        <v>52</v>
      </c>
      <c r="H64" s="3">
        <v>0</v>
      </c>
      <c r="I64" s="3">
        <v>0.93</v>
      </c>
      <c r="J64" s="3" t="s">
        <v>53</v>
      </c>
      <c r="K64" s="3" t="s">
        <v>25</v>
      </c>
      <c r="L64" s="3">
        <v>46914.983999999997</v>
      </c>
      <c r="M64" s="3">
        <v>1</v>
      </c>
      <c r="N64" s="3">
        <v>5584.5969999999998</v>
      </c>
      <c r="O64" s="3">
        <v>8.4007823662119208</v>
      </c>
      <c r="P64" s="3">
        <v>1.1399999999999999</v>
      </c>
      <c r="Q64" s="3"/>
      <c r="R64" s="3"/>
      <c r="S64" s="3"/>
    </row>
    <row r="65" spans="1:19" x14ac:dyDescent="0.25">
      <c r="A65" s="3" t="s">
        <v>212</v>
      </c>
      <c r="B65" s="3"/>
      <c r="C65" s="3"/>
      <c r="D65" s="3"/>
      <c r="E65" s="3"/>
      <c r="F65" s="3">
        <v>8.4305555555555564E-2</v>
      </c>
      <c r="G65" s="3" t="s">
        <v>52</v>
      </c>
      <c r="H65" s="3">
        <v>0</v>
      </c>
      <c r="I65" s="3">
        <v>0.93</v>
      </c>
      <c r="J65" s="3" t="s">
        <v>53</v>
      </c>
      <c r="K65" s="3" t="s">
        <v>25</v>
      </c>
      <c r="L65" s="3">
        <v>75840.312999999995</v>
      </c>
      <c r="M65" s="3">
        <v>1</v>
      </c>
      <c r="N65" s="3">
        <v>5579.2950000000001</v>
      </c>
      <c r="O65" s="3">
        <v>13.593171359463874</v>
      </c>
      <c r="P65" s="3">
        <v>1.1399999999999999</v>
      </c>
      <c r="Q65" s="3"/>
      <c r="R65" s="3"/>
      <c r="S65" s="3"/>
    </row>
    <row r="66" spans="1:19" x14ac:dyDescent="0.25">
      <c r="A66" s="3" t="s">
        <v>213</v>
      </c>
      <c r="B66" s="3"/>
      <c r="C66" s="3"/>
      <c r="D66" s="3"/>
      <c r="E66" s="3"/>
      <c r="F66" s="3">
        <v>8.6180555555555552E-2</v>
      </c>
      <c r="G66" s="3" t="s">
        <v>52</v>
      </c>
      <c r="H66" s="3">
        <v>0</v>
      </c>
      <c r="I66" s="3">
        <v>0.93</v>
      </c>
      <c r="J66" s="3" t="s">
        <v>53</v>
      </c>
      <c r="K66" s="3" t="s">
        <v>25</v>
      </c>
      <c r="L66" s="3">
        <v>63400.703000000001</v>
      </c>
      <c r="M66" s="3">
        <v>1</v>
      </c>
      <c r="N66" s="3">
        <v>5350.5720000000001</v>
      </c>
      <c r="O66" s="3">
        <v>11.84933180975791</v>
      </c>
      <c r="P66" s="3">
        <v>1.1399999999999999</v>
      </c>
      <c r="Q66" s="3"/>
      <c r="R66" s="3"/>
      <c r="S66" s="3"/>
    </row>
    <row r="67" spans="1:19" x14ac:dyDescent="0.25">
      <c r="A67" s="3" t="s">
        <v>214</v>
      </c>
      <c r="B67" s="3"/>
      <c r="C67" s="3"/>
      <c r="D67" s="3"/>
      <c r="E67" s="3"/>
      <c r="F67" s="3">
        <v>8.8055555555555554E-2</v>
      </c>
      <c r="G67" s="3" t="s">
        <v>52</v>
      </c>
      <c r="H67" s="3">
        <v>0</v>
      </c>
      <c r="I67" s="3">
        <v>0.93</v>
      </c>
      <c r="J67" s="3" t="s">
        <v>53</v>
      </c>
      <c r="K67" s="3" t="s">
        <v>25</v>
      </c>
      <c r="L67" s="3">
        <v>77188.797000000006</v>
      </c>
      <c r="M67" s="3">
        <v>1</v>
      </c>
      <c r="N67" s="3">
        <v>4875.174</v>
      </c>
      <c r="O67" s="3">
        <v>15.833034267084622</v>
      </c>
      <c r="P67" s="3">
        <v>1.1399999999999999</v>
      </c>
      <c r="Q67" s="3"/>
      <c r="R67" s="3"/>
      <c r="S67" s="3"/>
    </row>
    <row r="68" spans="1:19" x14ac:dyDescent="0.25">
      <c r="A68" s="3" t="s">
        <v>209</v>
      </c>
      <c r="B68" s="3"/>
      <c r="C68" s="3"/>
      <c r="D68" s="3"/>
      <c r="E68" s="3"/>
      <c r="F68" s="3">
        <v>7.8668981481481479E-2</v>
      </c>
      <c r="G68" s="3" t="s">
        <v>52</v>
      </c>
      <c r="H68" s="3">
        <v>0</v>
      </c>
      <c r="I68" s="3">
        <v>0.93</v>
      </c>
      <c r="J68" s="3" t="s">
        <v>53</v>
      </c>
      <c r="K68" s="3" t="s">
        <v>25</v>
      </c>
      <c r="L68" s="3">
        <v>90793.695000000007</v>
      </c>
      <c r="M68" s="3">
        <v>1</v>
      </c>
      <c r="N68" s="3">
        <v>4617.76</v>
      </c>
      <c r="O68" s="3">
        <v>19.661847952253908</v>
      </c>
      <c r="P68" s="3">
        <v>1.1399999999999999</v>
      </c>
      <c r="Q68" s="3"/>
      <c r="R68" s="3"/>
      <c r="S68" s="3"/>
    </row>
    <row r="69" spans="1:19" x14ac:dyDescent="0.25">
      <c r="A69" s="3" t="s">
        <v>210</v>
      </c>
      <c r="B69" s="3"/>
      <c r="C69" s="3"/>
      <c r="D69" s="3"/>
      <c r="E69" s="3"/>
      <c r="F69" s="3">
        <v>8.0555555555555561E-2</v>
      </c>
      <c r="G69" s="3" t="s">
        <v>52</v>
      </c>
      <c r="H69" s="3">
        <v>0</v>
      </c>
      <c r="I69" s="3">
        <v>0.93</v>
      </c>
      <c r="J69" s="3" t="s">
        <v>53</v>
      </c>
      <c r="K69" s="3" t="s">
        <v>25</v>
      </c>
      <c r="L69" s="3">
        <v>68941.460999999996</v>
      </c>
      <c r="M69" s="3">
        <v>1</v>
      </c>
      <c r="N69" s="3">
        <v>5024.5780000000004</v>
      </c>
      <c r="O69" s="3">
        <v>13.720846009356405</v>
      </c>
      <c r="P69" s="3">
        <v>1.1399999999999999</v>
      </c>
      <c r="Q69" s="3"/>
      <c r="R69" s="3"/>
      <c r="S69" s="3"/>
    </row>
    <row r="70" spans="1:19" x14ac:dyDescent="0.25">
      <c r="A70" s="3" t="s">
        <v>211</v>
      </c>
      <c r="B70" s="3"/>
      <c r="C70" s="3"/>
      <c r="D70" s="3"/>
      <c r="E70" s="3"/>
      <c r="F70" s="3">
        <v>8.2430555555555562E-2</v>
      </c>
      <c r="G70" s="3" t="s">
        <v>52</v>
      </c>
      <c r="H70" s="3">
        <v>0</v>
      </c>
      <c r="I70" s="3">
        <v>0.93</v>
      </c>
      <c r="J70" s="3" t="s">
        <v>53</v>
      </c>
      <c r="K70" s="3" t="s">
        <v>25</v>
      </c>
      <c r="L70" s="3">
        <v>72121.702999999994</v>
      </c>
      <c r="M70" s="3">
        <v>1</v>
      </c>
      <c r="N70" s="3">
        <v>4987.3280000000004</v>
      </c>
      <c r="O70" s="3">
        <v>14.460990534410408</v>
      </c>
      <c r="P70" s="3">
        <v>1.1399999999999999</v>
      </c>
      <c r="Q70" s="3"/>
      <c r="R70" s="3"/>
      <c r="S70" s="3"/>
    </row>
    <row r="71" spans="1:19" x14ac:dyDescent="0.25">
      <c r="A71" s="3" t="s">
        <v>206</v>
      </c>
      <c r="B71" s="3"/>
      <c r="C71" s="3"/>
      <c r="D71" s="3"/>
      <c r="E71" s="3"/>
      <c r="F71" s="3">
        <v>7.3043981481481488E-2</v>
      </c>
      <c r="G71" s="3" t="s">
        <v>52</v>
      </c>
      <c r="H71" s="3">
        <v>0</v>
      </c>
      <c r="I71" s="3">
        <v>0.93</v>
      </c>
      <c r="J71" s="3" t="s">
        <v>53</v>
      </c>
      <c r="K71" s="3" t="s">
        <v>25</v>
      </c>
      <c r="L71" s="3">
        <v>92327.789000000004</v>
      </c>
      <c r="M71" s="3">
        <v>1</v>
      </c>
      <c r="N71" s="3">
        <v>4867.6629999999996</v>
      </c>
      <c r="O71" s="3">
        <v>18.967580335779203</v>
      </c>
      <c r="P71" s="3">
        <v>1.1399999999999999</v>
      </c>
      <c r="Q71" s="3"/>
      <c r="R71" s="3"/>
      <c r="S71" s="3"/>
    </row>
    <row r="72" spans="1:19" x14ac:dyDescent="0.25">
      <c r="A72" s="3" t="s">
        <v>207</v>
      </c>
      <c r="B72" s="3"/>
      <c r="C72" s="3"/>
      <c r="D72" s="3"/>
      <c r="E72" s="3"/>
      <c r="F72" s="3">
        <v>7.4930555555555556E-2</v>
      </c>
      <c r="G72" s="3" t="s">
        <v>52</v>
      </c>
      <c r="H72" s="3">
        <v>0</v>
      </c>
      <c r="I72" s="3">
        <v>0.93</v>
      </c>
      <c r="J72" s="3" t="s">
        <v>53</v>
      </c>
      <c r="K72" s="3" t="s">
        <v>25</v>
      </c>
      <c r="L72" s="3">
        <v>76576.820000000007</v>
      </c>
      <c r="M72" s="3">
        <v>1</v>
      </c>
      <c r="N72" s="3">
        <v>4498.6710000000003</v>
      </c>
      <c r="O72" s="3">
        <v>17.022098304143601</v>
      </c>
      <c r="P72" s="3">
        <v>1.1399999999999999</v>
      </c>
      <c r="Q72" s="3"/>
      <c r="R72" s="3"/>
      <c r="S72" s="3"/>
    </row>
    <row r="73" spans="1:19" x14ac:dyDescent="0.25">
      <c r="A73" s="3" t="s">
        <v>208</v>
      </c>
      <c r="B73" s="3"/>
      <c r="C73" s="3"/>
      <c r="D73" s="3"/>
      <c r="E73" s="3"/>
      <c r="F73" s="3">
        <v>7.6793981481481477E-2</v>
      </c>
      <c r="G73" s="3" t="s">
        <v>52</v>
      </c>
      <c r="H73" s="3">
        <v>0</v>
      </c>
      <c r="I73" s="3">
        <v>0.93</v>
      </c>
      <c r="J73" s="3" t="s">
        <v>53</v>
      </c>
      <c r="K73" s="3" t="s">
        <v>25</v>
      </c>
      <c r="L73" s="3">
        <v>77116.695000000007</v>
      </c>
      <c r="M73" s="3">
        <v>1</v>
      </c>
      <c r="N73" s="3">
        <v>4462.7610000000004</v>
      </c>
      <c r="O73" s="3">
        <v>17.280041436231965</v>
      </c>
      <c r="P73" s="3">
        <v>1.1399999999999999</v>
      </c>
      <c r="Q73" s="3"/>
      <c r="R73" s="3"/>
      <c r="S73" s="3"/>
    </row>
    <row r="74" spans="1:19" x14ac:dyDescent="0.25">
      <c r="A74" s="3" t="s">
        <v>47</v>
      </c>
      <c r="B74" s="3"/>
      <c r="C74" s="3"/>
      <c r="D74" s="3"/>
      <c r="E74" s="3"/>
      <c r="F74" s="3">
        <v>0.70457175925925919</v>
      </c>
      <c r="G74" s="3" t="s">
        <v>54</v>
      </c>
      <c r="H74" s="3">
        <v>0</v>
      </c>
      <c r="I74" s="3">
        <v>0.93</v>
      </c>
      <c r="J74" s="3" t="s">
        <v>55</v>
      </c>
      <c r="K74" s="3" t="s">
        <v>25</v>
      </c>
      <c r="L74" s="3">
        <v>21.788</v>
      </c>
      <c r="M74" s="3">
        <v>1</v>
      </c>
      <c r="N74" s="3">
        <v>23900.384999999998</v>
      </c>
      <c r="O74" s="3">
        <v>9.1161711411761779E-4</v>
      </c>
      <c r="P74" s="3">
        <v>0.41</v>
      </c>
      <c r="Q74" s="3"/>
      <c r="R74" s="3"/>
      <c r="S74" s="3"/>
    </row>
    <row r="75" spans="1:19" x14ac:dyDescent="0.25">
      <c r="A75" s="3" t="s">
        <v>50</v>
      </c>
      <c r="B75" s="3"/>
      <c r="C75" s="3"/>
      <c r="D75" s="3"/>
      <c r="E75" s="3"/>
      <c r="F75" s="3">
        <v>0.7064583333333333</v>
      </c>
      <c r="G75" s="3" t="s">
        <v>54</v>
      </c>
      <c r="H75" s="3">
        <v>0</v>
      </c>
      <c r="I75" s="3">
        <v>0.93</v>
      </c>
      <c r="J75" s="3" t="s">
        <v>55</v>
      </c>
      <c r="K75" s="3" t="s">
        <v>25</v>
      </c>
      <c r="L75" s="3">
        <v>32.481999999999999</v>
      </c>
      <c r="M75" s="3">
        <v>1</v>
      </c>
      <c r="N75" s="3">
        <v>22970.811000000002</v>
      </c>
      <c r="O75" s="3">
        <v>1.4140554288657897E-3</v>
      </c>
      <c r="P75" s="3">
        <v>0.39</v>
      </c>
      <c r="Q75" s="3"/>
      <c r="R75" s="3"/>
      <c r="S75" s="3"/>
    </row>
    <row r="76" spans="1:19" x14ac:dyDescent="0.25">
      <c r="A76" s="3" t="s">
        <v>51</v>
      </c>
      <c r="B76" s="3"/>
      <c r="C76" s="3"/>
      <c r="D76" s="3"/>
      <c r="E76" s="3"/>
      <c r="F76" s="3">
        <v>0.70833333333333337</v>
      </c>
      <c r="G76" s="3" t="s">
        <v>54</v>
      </c>
      <c r="H76" s="3">
        <v>0</v>
      </c>
      <c r="I76" s="3">
        <v>0.93</v>
      </c>
      <c r="J76" s="3" t="s">
        <v>55</v>
      </c>
      <c r="K76" s="3" t="s">
        <v>25</v>
      </c>
      <c r="L76" s="3">
        <v>22.395</v>
      </c>
      <c r="M76" s="3">
        <v>1</v>
      </c>
      <c r="N76" s="3">
        <v>23638.438999999998</v>
      </c>
      <c r="O76" s="3">
        <v>9.4739758407905031E-4</v>
      </c>
      <c r="P76" s="3">
        <v>0.42</v>
      </c>
      <c r="Q76" s="3"/>
      <c r="R76" s="3"/>
      <c r="S76" s="3"/>
    </row>
    <row r="77" spans="1:19" x14ac:dyDescent="0.25">
      <c r="A77" s="3" t="s">
        <v>305</v>
      </c>
      <c r="B77" s="3"/>
      <c r="C77" s="3"/>
      <c r="D77" s="3"/>
      <c r="E77" s="3"/>
      <c r="F77" s="3">
        <v>0.16489583333333332</v>
      </c>
      <c r="G77" s="3" t="s">
        <v>54</v>
      </c>
      <c r="H77" s="3">
        <v>0</v>
      </c>
      <c r="I77" s="3">
        <v>0.93</v>
      </c>
      <c r="J77" s="3" t="s">
        <v>55</v>
      </c>
      <c r="K77" s="3" t="s">
        <v>23</v>
      </c>
      <c r="L77" s="3">
        <v>21971.636999999999</v>
      </c>
      <c r="M77" s="3">
        <v>1</v>
      </c>
      <c r="N77" s="3">
        <v>6478.85</v>
      </c>
      <c r="O77" s="3">
        <v>3.3912865709192213</v>
      </c>
      <c r="P77" s="3">
        <v>0.4</v>
      </c>
      <c r="Q77" s="3"/>
      <c r="R77" s="3"/>
      <c r="S77" s="3"/>
    </row>
    <row r="78" spans="1:19" x14ac:dyDescent="0.25">
      <c r="A78" s="3" t="s">
        <v>306</v>
      </c>
      <c r="B78" s="3"/>
      <c r="C78" s="3"/>
      <c r="D78" s="3"/>
      <c r="E78" s="3"/>
      <c r="F78" s="3">
        <v>0.16678240740740743</v>
      </c>
      <c r="G78" s="3" t="s">
        <v>54</v>
      </c>
      <c r="H78" s="3">
        <v>0</v>
      </c>
      <c r="I78" s="3">
        <v>0.93</v>
      </c>
      <c r="J78" s="3" t="s">
        <v>55</v>
      </c>
      <c r="K78" s="3" t="s">
        <v>23</v>
      </c>
      <c r="L78" s="3">
        <v>19455.232</v>
      </c>
      <c r="M78" s="3">
        <v>1</v>
      </c>
      <c r="N78" s="3">
        <v>6923.1289999999999</v>
      </c>
      <c r="O78" s="3">
        <v>2.8101790389865622</v>
      </c>
      <c r="P78" s="3">
        <v>0.4</v>
      </c>
      <c r="Q78" s="3"/>
      <c r="R78" s="3"/>
      <c r="S78" s="3"/>
    </row>
    <row r="79" spans="1:19" x14ac:dyDescent="0.25">
      <c r="A79" s="3" t="s">
        <v>307</v>
      </c>
      <c r="B79" s="3"/>
      <c r="C79" s="3"/>
      <c r="D79" s="3"/>
      <c r="E79" s="3"/>
      <c r="F79" s="3">
        <v>0.16864583333333336</v>
      </c>
      <c r="G79" s="3" t="s">
        <v>54</v>
      </c>
      <c r="H79" s="3">
        <v>0</v>
      </c>
      <c r="I79" s="3">
        <v>0.93</v>
      </c>
      <c r="J79" s="3" t="s">
        <v>55</v>
      </c>
      <c r="K79" s="3" t="s">
        <v>23</v>
      </c>
      <c r="L79" s="3">
        <v>21335.42</v>
      </c>
      <c r="M79" s="3">
        <v>1</v>
      </c>
      <c r="N79" s="3">
        <v>6590.2070000000003</v>
      </c>
      <c r="O79" s="3">
        <v>3.2374430727289747</v>
      </c>
      <c r="P79" s="3">
        <v>0.4</v>
      </c>
      <c r="Q79" s="3"/>
      <c r="R79" s="3"/>
      <c r="S79" s="3"/>
    </row>
    <row r="80" spans="1:19" x14ac:dyDescent="0.25">
      <c r="A80" s="3" t="s">
        <v>293</v>
      </c>
      <c r="B80" s="3"/>
      <c r="C80" s="3"/>
      <c r="D80" s="3"/>
      <c r="E80" s="3"/>
      <c r="F80" s="3">
        <v>0.1424074074074074</v>
      </c>
      <c r="G80" s="3" t="s">
        <v>54</v>
      </c>
      <c r="H80" s="3">
        <v>0</v>
      </c>
      <c r="I80" s="3">
        <v>0.93</v>
      </c>
      <c r="J80" s="3" t="s">
        <v>55</v>
      </c>
      <c r="K80" s="3" t="s">
        <v>23</v>
      </c>
      <c r="L80" s="3">
        <v>14174.022999999999</v>
      </c>
      <c r="M80" s="3">
        <v>1</v>
      </c>
      <c r="N80" s="3">
        <v>5517.4520000000002</v>
      </c>
      <c r="O80" s="3">
        <v>2.5689435993280956</v>
      </c>
      <c r="P80" s="3">
        <v>0.39</v>
      </c>
      <c r="Q80" s="3"/>
      <c r="R80" s="3"/>
      <c r="S80" s="3"/>
    </row>
    <row r="81" spans="1:19" x14ac:dyDescent="0.25">
      <c r="A81" s="3" t="s">
        <v>294</v>
      </c>
      <c r="B81" s="3"/>
      <c r="C81" s="3"/>
      <c r="D81" s="3"/>
      <c r="E81" s="3"/>
      <c r="F81" s="3">
        <v>0.14428240740740741</v>
      </c>
      <c r="G81" s="3" t="s">
        <v>54</v>
      </c>
      <c r="H81" s="3">
        <v>0</v>
      </c>
      <c r="I81" s="3">
        <v>0.93</v>
      </c>
      <c r="J81" s="3" t="s">
        <v>55</v>
      </c>
      <c r="K81" s="3" t="s">
        <v>23</v>
      </c>
      <c r="L81" s="3">
        <v>13195.831</v>
      </c>
      <c r="M81" s="3">
        <v>1</v>
      </c>
      <c r="N81" s="3">
        <v>5228.3720000000003</v>
      </c>
      <c r="O81" s="3">
        <v>2.5238890805780461</v>
      </c>
      <c r="P81" s="3">
        <v>0.39</v>
      </c>
      <c r="Q81" s="3"/>
      <c r="R81" s="3"/>
      <c r="S81" s="3"/>
    </row>
    <row r="82" spans="1:19" x14ac:dyDescent="0.25">
      <c r="A82" s="3" t="s">
        <v>295</v>
      </c>
      <c r="B82" s="3"/>
      <c r="C82" s="3"/>
      <c r="D82" s="3"/>
      <c r="E82" s="3"/>
      <c r="F82" s="3">
        <v>0.14614583333333334</v>
      </c>
      <c r="G82" s="3" t="s">
        <v>54</v>
      </c>
      <c r="H82" s="3">
        <v>0</v>
      </c>
      <c r="I82" s="3">
        <v>0.93</v>
      </c>
      <c r="J82" s="3" t="s">
        <v>55</v>
      </c>
      <c r="K82" s="3" t="s">
        <v>23</v>
      </c>
      <c r="L82" s="3">
        <v>16141.842000000001</v>
      </c>
      <c r="M82" s="3">
        <v>1</v>
      </c>
      <c r="N82" s="3">
        <v>5727.2560000000003</v>
      </c>
      <c r="O82" s="3">
        <v>2.8184250887335924</v>
      </c>
      <c r="P82" s="3">
        <v>0.39</v>
      </c>
      <c r="Q82" s="3"/>
      <c r="R82" s="3"/>
      <c r="S82" s="3"/>
    </row>
    <row r="83" spans="1:19" x14ac:dyDescent="0.25">
      <c r="A83" s="3" t="s">
        <v>302</v>
      </c>
      <c r="B83" s="3"/>
      <c r="C83" s="3"/>
      <c r="D83" s="3"/>
      <c r="E83" s="3"/>
      <c r="F83" s="3">
        <v>0.15927083333333333</v>
      </c>
      <c r="G83" s="3" t="s">
        <v>54</v>
      </c>
      <c r="H83" s="3">
        <v>0</v>
      </c>
      <c r="I83" s="3">
        <v>0.93</v>
      </c>
      <c r="J83" s="3" t="s">
        <v>55</v>
      </c>
      <c r="K83" s="3" t="s">
        <v>23</v>
      </c>
      <c r="L83" s="3">
        <v>21160.011999999999</v>
      </c>
      <c r="M83" s="3">
        <v>1</v>
      </c>
      <c r="N83" s="3">
        <v>5379.8779999999997</v>
      </c>
      <c r="O83" s="3">
        <v>3.9331769233428715</v>
      </c>
      <c r="P83" s="3">
        <v>0.4</v>
      </c>
      <c r="Q83" s="3"/>
      <c r="R83" s="3"/>
      <c r="S83" s="3"/>
    </row>
    <row r="84" spans="1:19" x14ac:dyDescent="0.25">
      <c r="A84" s="3" t="s">
        <v>303</v>
      </c>
      <c r="B84" s="3"/>
      <c r="C84" s="3"/>
      <c r="D84" s="3"/>
      <c r="E84" s="3"/>
      <c r="F84" s="3">
        <v>0.16114583333333332</v>
      </c>
      <c r="G84" s="3" t="s">
        <v>54</v>
      </c>
      <c r="H84" s="3">
        <v>0</v>
      </c>
      <c r="I84" s="3">
        <v>0.93</v>
      </c>
      <c r="J84" s="3" t="s">
        <v>55</v>
      </c>
      <c r="K84" s="3" t="s">
        <v>23</v>
      </c>
      <c r="L84" s="3">
        <v>17254.861000000001</v>
      </c>
      <c r="M84" s="3">
        <v>1</v>
      </c>
      <c r="N84" s="3">
        <v>6118.6909999999998</v>
      </c>
      <c r="O84" s="3">
        <v>2.8200249040195038</v>
      </c>
      <c r="P84" s="3">
        <v>0.39</v>
      </c>
      <c r="Q84" s="3"/>
      <c r="R84" s="3"/>
      <c r="S84" s="3"/>
    </row>
    <row r="85" spans="1:19" x14ac:dyDescent="0.25">
      <c r="A85" s="3" t="s">
        <v>304</v>
      </c>
      <c r="B85" s="3"/>
      <c r="C85" s="3"/>
      <c r="D85" s="3"/>
      <c r="E85" s="3"/>
      <c r="F85" s="3">
        <v>0.1630324074074074</v>
      </c>
      <c r="G85" s="3" t="s">
        <v>54</v>
      </c>
      <c r="H85" s="3">
        <v>0</v>
      </c>
      <c r="I85" s="3">
        <v>0.93</v>
      </c>
      <c r="J85" s="3" t="s">
        <v>55</v>
      </c>
      <c r="K85" s="3" t="s">
        <v>23</v>
      </c>
      <c r="L85" s="3">
        <v>20952.708999999999</v>
      </c>
      <c r="M85" s="3">
        <v>1</v>
      </c>
      <c r="N85" s="3">
        <v>6023.0959999999995</v>
      </c>
      <c r="O85" s="3">
        <v>3.4787273853845266</v>
      </c>
      <c r="P85" s="3">
        <v>0.4</v>
      </c>
      <c r="Q85" s="3"/>
      <c r="R85" s="3"/>
      <c r="S85" s="3"/>
    </row>
    <row r="86" spans="1:19" x14ac:dyDescent="0.25">
      <c r="A86" s="3" t="s">
        <v>299</v>
      </c>
      <c r="B86" s="3"/>
      <c r="C86" s="3"/>
      <c r="D86" s="3"/>
      <c r="E86" s="3"/>
      <c r="F86" s="3">
        <v>0.15365740740740741</v>
      </c>
      <c r="G86" s="3" t="s">
        <v>54</v>
      </c>
      <c r="H86" s="3">
        <v>0</v>
      </c>
      <c r="I86" s="3">
        <v>0.93</v>
      </c>
      <c r="J86" s="3" t="s">
        <v>55</v>
      </c>
      <c r="K86" s="3" t="s">
        <v>23</v>
      </c>
      <c r="L86" s="3">
        <v>20724.687999999998</v>
      </c>
      <c r="M86" s="3">
        <v>1</v>
      </c>
      <c r="N86" s="3">
        <v>5173.9170000000004</v>
      </c>
      <c r="O86" s="3">
        <v>4.0056089032738633</v>
      </c>
      <c r="P86" s="3">
        <v>0.41</v>
      </c>
      <c r="Q86" s="3"/>
      <c r="R86" s="3"/>
      <c r="S86" s="3"/>
    </row>
    <row r="87" spans="1:19" x14ac:dyDescent="0.25">
      <c r="A87" s="3" t="s">
        <v>300</v>
      </c>
      <c r="B87" s="3"/>
      <c r="C87" s="3"/>
      <c r="D87" s="3"/>
      <c r="E87" s="3"/>
      <c r="F87" s="3">
        <v>0.15552083333333333</v>
      </c>
      <c r="G87" s="3" t="s">
        <v>54</v>
      </c>
      <c r="H87" s="3">
        <v>0</v>
      </c>
      <c r="I87" s="3">
        <v>0.93</v>
      </c>
      <c r="J87" s="3" t="s">
        <v>55</v>
      </c>
      <c r="K87" s="3" t="s">
        <v>23</v>
      </c>
      <c r="L87" s="3">
        <v>18039.648000000001</v>
      </c>
      <c r="M87" s="3">
        <v>1</v>
      </c>
      <c r="N87" s="3">
        <v>5097.3890000000001</v>
      </c>
      <c r="O87" s="3">
        <v>3.5389977103964405</v>
      </c>
      <c r="P87" s="3">
        <v>0.39</v>
      </c>
      <c r="Q87" s="3"/>
      <c r="R87" s="3"/>
      <c r="S87" s="3"/>
    </row>
    <row r="88" spans="1:19" x14ac:dyDescent="0.25">
      <c r="A88" s="3" t="s">
        <v>301</v>
      </c>
      <c r="B88" s="3"/>
      <c r="C88" s="3"/>
      <c r="D88" s="3"/>
      <c r="E88" s="3"/>
      <c r="F88" s="3">
        <v>0.15739583333333332</v>
      </c>
      <c r="G88" s="3" t="s">
        <v>54</v>
      </c>
      <c r="H88" s="3">
        <v>0</v>
      </c>
      <c r="I88" s="3">
        <v>0.93</v>
      </c>
      <c r="J88" s="3" t="s">
        <v>55</v>
      </c>
      <c r="K88" s="3" t="s">
        <v>23</v>
      </c>
      <c r="L88" s="3">
        <v>21089.561000000002</v>
      </c>
      <c r="M88" s="3">
        <v>1</v>
      </c>
      <c r="N88" s="3">
        <v>5390.0479999999998</v>
      </c>
      <c r="O88" s="3">
        <v>3.9126851931559798</v>
      </c>
      <c r="P88" s="3">
        <v>0.39</v>
      </c>
      <c r="Q88" s="3"/>
      <c r="R88" s="3"/>
      <c r="S88" s="3"/>
    </row>
    <row r="89" spans="1:19" x14ac:dyDescent="0.25">
      <c r="A89" s="3" t="s">
        <v>296</v>
      </c>
      <c r="B89" s="3"/>
      <c r="C89" s="3"/>
      <c r="D89" s="3"/>
      <c r="E89" s="3"/>
      <c r="F89" s="3">
        <v>0.14803240740740739</v>
      </c>
      <c r="G89" s="3" t="s">
        <v>54</v>
      </c>
      <c r="H89" s="3">
        <v>0</v>
      </c>
      <c r="I89" s="3">
        <v>0.93</v>
      </c>
      <c r="J89" s="3" t="s">
        <v>55</v>
      </c>
      <c r="K89" s="3" t="s">
        <v>23</v>
      </c>
      <c r="L89" s="3">
        <v>20698.421999999999</v>
      </c>
      <c r="M89" s="3">
        <v>1</v>
      </c>
      <c r="N89" s="3">
        <v>4741.098</v>
      </c>
      <c r="O89" s="3">
        <v>4.3657443908562952</v>
      </c>
      <c r="P89" s="3">
        <v>0.39</v>
      </c>
      <c r="Q89" s="3"/>
      <c r="R89" s="3"/>
      <c r="S89" s="3"/>
    </row>
    <row r="90" spans="1:19" x14ac:dyDescent="0.25">
      <c r="A90" s="3" t="s">
        <v>297</v>
      </c>
      <c r="B90" s="3"/>
      <c r="C90" s="3"/>
      <c r="D90" s="3"/>
      <c r="E90" s="3"/>
      <c r="F90" s="3">
        <v>0.14989583333333334</v>
      </c>
      <c r="G90" s="3" t="s">
        <v>54</v>
      </c>
      <c r="H90" s="3">
        <v>0</v>
      </c>
      <c r="I90" s="3">
        <v>0.93</v>
      </c>
      <c r="J90" s="3" t="s">
        <v>55</v>
      </c>
      <c r="K90" s="3" t="s">
        <v>23</v>
      </c>
      <c r="L90" s="3">
        <v>18974.583999999999</v>
      </c>
      <c r="M90" s="3">
        <v>1</v>
      </c>
      <c r="N90" s="3">
        <v>4180.1899999999996</v>
      </c>
      <c r="O90" s="3">
        <v>4.5391678368686597</v>
      </c>
      <c r="P90" s="3">
        <v>0.41</v>
      </c>
      <c r="Q90" s="3"/>
      <c r="R90" s="3"/>
      <c r="S90" s="3"/>
    </row>
    <row r="91" spans="1:19" x14ac:dyDescent="0.25">
      <c r="A91" s="3" t="s">
        <v>298</v>
      </c>
      <c r="B91" s="3"/>
      <c r="C91" s="3"/>
      <c r="D91" s="3"/>
      <c r="E91" s="3"/>
      <c r="F91" s="3">
        <v>0.15177083333333333</v>
      </c>
      <c r="G91" s="3" t="s">
        <v>54</v>
      </c>
      <c r="H91" s="3">
        <v>0</v>
      </c>
      <c r="I91" s="3">
        <v>0.93</v>
      </c>
      <c r="J91" s="3" t="s">
        <v>55</v>
      </c>
      <c r="K91" s="3" t="s">
        <v>23</v>
      </c>
      <c r="L91" s="3">
        <v>22588.131000000001</v>
      </c>
      <c r="M91" s="3">
        <v>1</v>
      </c>
      <c r="N91" s="3">
        <v>4644.8059999999996</v>
      </c>
      <c r="O91" s="3">
        <v>4.863094605027638</v>
      </c>
      <c r="P91" s="3">
        <v>0.41</v>
      </c>
      <c r="Q91" s="3"/>
      <c r="R91" s="3"/>
      <c r="S91" s="3"/>
    </row>
    <row r="92" spans="1:19" x14ac:dyDescent="0.25">
      <c r="A92" s="3" t="s">
        <v>47</v>
      </c>
      <c r="B92" s="3"/>
      <c r="C92" s="3"/>
      <c r="D92" s="3"/>
      <c r="E92" s="3"/>
      <c r="F92" s="3">
        <v>0.70457175925925919</v>
      </c>
      <c r="G92" s="3" t="s">
        <v>56</v>
      </c>
      <c r="H92" s="3">
        <v>0</v>
      </c>
      <c r="I92" s="3">
        <v>0.93</v>
      </c>
      <c r="J92" s="3" t="s">
        <v>57</v>
      </c>
      <c r="K92" s="3" t="s">
        <v>25</v>
      </c>
      <c r="L92" s="3">
        <v>5.0999999999999997E-2</v>
      </c>
      <c r="M92" s="3">
        <v>1</v>
      </c>
      <c r="N92" s="3">
        <v>23900.384999999998</v>
      </c>
      <c r="O92" s="3">
        <v>2.1338568395446348E-6</v>
      </c>
      <c r="P92" s="3">
        <v>1.03</v>
      </c>
      <c r="Q92" s="3"/>
      <c r="R92" s="3"/>
      <c r="S92" s="3"/>
    </row>
    <row r="93" spans="1:19" x14ac:dyDescent="0.25">
      <c r="A93" s="3" t="s">
        <v>50</v>
      </c>
      <c r="B93" s="3"/>
      <c r="C93" s="3"/>
      <c r="D93" s="3"/>
      <c r="E93" s="3"/>
      <c r="F93" s="3">
        <v>0.7064583333333333</v>
      </c>
      <c r="G93" s="3" t="s">
        <v>56</v>
      </c>
      <c r="H93" s="3">
        <v>0</v>
      </c>
      <c r="I93" s="3">
        <v>0.93</v>
      </c>
      <c r="J93" s="3" t="s">
        <v>57</v>
      </c>
      <c r="K93" s="3" t="s">
        <v>23</v>
      </c>
      <c r="L93" s="3">
        <v>1.2E-2</v>
      </c>
      <c r="M93" s="3">
        <v>1</v>
      </c>
      <c r="N93" s="3">
        <v>22970.811000000002</v>
      </c>
      <c r="O93" s="3">
        <v>5.22402104131195E-7</v>
      </c>
      <c r="P93" s="3">
        <v>1.01</v>
      </c>
      <c r="Q93" s="3"/>
      <c r="R93" s="3"/>
      <c r="S93" s="3"/>
    </row>
    <row r="94" spans="1:19" x14ac:dyDescent="0.25">
      <c r="A94" s="3" t="s">
        <v>51</v>
      </c>
      <c r="B94" s="3"/>
      <c r="C94" s="3"/>
      <c r="D94" s="3"/>
      <c r="E94" s="3"/>
      <c r="F94" s="3">
        <v>0.70833333333333337</v>
      </c>
      <c r="G94" s="3" t="s">
        <v>56</v>
      </c>
      <c r="H94" s="3">
        <v>0</v>
      </c>
      <c r="I94" s="3">
        <v>0.93</v>
      </c>
      <c r="J94" s="3" t="s">
        <v>57</v>
      </c>
      <c r="K94" s="3" t="s">
        <v>23</v>
      </c>
      <c r="L94" s="3">
        <v>0.91500000000000004</v>
      </c>
      <c r="M94" s="3">
        <v>1</v>
      </c>
      <c r="N94" s="3">
        <v>23638.438999999998</v>
      </c>
      <c r="O94" s="3">
        <v>3.8708139737992007E-5</v>
      </c>
      <c r="P94" s="3">
        <v>1.02</v>
      </c>
      <c r="Q94" s="3"/>
      <c r="R94" s="3"/>
      <c r="S94" s="3"/>
    </row>
    <row r="95" spans="1:19" x14ac:dyDescent="0.25">
      <c r="A95" s="3" t="s">
        <v>290</v>
      </c>
      <c r="B95" s="3"/>
      <c r="C95" s="3"/>
      <c r="D95" s="3"/>
      <c r="E95" s="3"/>
      <c r="F95" s="3">
        <v>0.31494212962962964</v>
      </c>
      <c r="G95" s="3" t="s">
        <v>56</v>
      </c>
      <c r="H95" s="3">
        <v>0</v>
      </c>
      <c r="I95" s="3">
        <v>0.93</v>
      </c>
      <c r="J95" s="3" t="s">
        <v>57</v>
      </c>
      <c r="K95" s="3" t="s">
        <v>25</v>
      </c>
      <c r="L95" s="3">
        <v>35280.125</v>
      </c>
      <c r="M95" s="3">
        <v>1</v>
      </c>
      <c r="N95" s="3">
        <v>4737.6180000000004</v>
      </c>
      <c r="O95" s="3">
        <v>7.4468066019674861</v>
      </c>
      <c r="P95" s="3">
        <v>1</v>
      </c>
      <c r="Q95" s="3"/>
      <c r="R95" s="3"/>
      <c r="S95" s="3"/>
    </row>
    <row r="96" spans="1:19" x14ac:dyDescent="0.25">
      <c r="A96" s="3" t="s">
        <v>291</v>
      </c>
      <c r="B96" s="3"/>
      <c r="C96" s="3"/>
      <c r="D96" s="3"/>
      <c r="E96" s="3"/>
      <c r="F96" s="3">
        <v>0.31681712962962966</v>
      </c>
      <c r="G96" s="3" t="s">
        <v>56</v>
      </c>
      <c r="H96" s="3">
        <v>0</v>
      </c>
      <c r="I96" s="3">
        <v>0.93</v>
      </c>
      <c r="J96" s="3" t="s">
        <v>57</v>
      </c>
      <c r="K96" s="3" t="s">
        <v>25</v>
      </c>
      <c r="L96" s="3">
        <v>29219.851999999999</v>
      </c>
      <c r="M96" s="3">
        <v>1</v>
      </c>
      <c r="N96" s="3">
        <v>4151.2889999999998</v>
      </c>
      <c r="O96" s="3">
        <v>7.0387419425629005</v>
      </c>
      <c r="P96" s="3">
        <v>1</v>
      </c>
      <c r="Q96" s="3"/>
      <c r="R96" s="3"/>
      <c r="S96" s="3"/>
    </row>
    <row r="97" spans="1:19" x14ac:dyDescent="0.25">
      <c r="A97" s="3" t="s">
        <v>292</v>
      </c>
      <c r="B97" s="3"/>
      <c r="C97" s="3"/>
      <c r="D97" s="3"/>
      <c r="E97" s="3"/>
      <c r="F97" s="3">
        <v>0.31869212962962962</v>
      </c>
      <c r="G97" s="3" t="s">
        <v>56</v>
      </c>
      <c r="H97" s="3">
        <v>0</v>
      </c>
      <c r="I97" s="3">
        <v>0.93</v>
      </c>
      <c r="J97" s="3" t="s">
        <v>57</v>
      </c>
      <c r="K97" s="3" t="s">
        <v>25</v>
      </c>
      <c r="L97" s="3">
        <v>33730.531000000003</v>
      </c>
      <c r="M97" s="3">
        <v>1</v>
      </c>
      <c r="N97" s="3">
        <v>4070.7820000000002</v>
      </c>
      <c r="O97" s="3">
        <v>8.2860077007317017</v>
      </c>
      <c r="P97" s="3">
        <v>1</v>
      </c>
      <c r="Q97" s="3"/>
      <c r="R97" s="3"/>
      <c r="S97" s="3"/>
    </row>
    <row r="98" spans="1:19" x14ac:dyDescent="0.25">
      <c r="A98" s="3" t="s">
        <v>278</v>
      </c>
      <c r="B98" s="3"/>
      <c r="C98" s="3"/>
      <c r="D98" s="3"/>
      <c r="E98" s="3"/>
      <c r="F98" s="3">
        <v>0.29245370370370372</v>
      </c>
      <c r="G98" s="3" t="s">
        <v>56</v>
      </c>
      <c r="H98" s="3">
        <v>0</v>
      </c>
      <c r="I98" s="3">
        <v>0.93</v>
      </c>
      <c r="J98" s="3" t="s">
        <v>57</v>
      </c>
      <c r="K98" s="3" t="s">
        <v>25</v>
      </c>
      <c r="L98" s="3">
        <v>394.67500000000001</v>
      </c>
      <c r="M98" s="3">
        <v>1</v>
      </c>
      <c r="N98" s="3">
        <v>3577.991</v>
      </c>
      <c r="O98" s="3">
        <v>0.11030631435350173</v>
      </c>
      <c r="P98" s="3">
        <v>1</v>
      </c>
      <c r="Q98" s="3"/>
      <c r="R98" s="3"/>
      <c r="S98" s="3"/>
    </row>
    <row r="99" spans="1:19" x14ac:dyDescent="0.25">
      <c r="A99" s="3" t="s">
        <v>279</v>
      </c>
      <c r="B99" s="3"/>
      <c r="C99" s="3"/>
      <c r="D99" s="3"/>
      <c r="E99" s="3"/>
      <c r="F99" s="3">
        <v>0.29432870370370373</v>
      </c>
      <c r="G99" s="3" t="s">
        <v>56</v>
      </c>
      <c r="H99" s="3">
        <v>0</v>
      </c>
      <c r="I99" s="3">
        <v>0.93</v>
      </c>
      <c r="J99" s="3" t="s">
        <v>57</v>
      </c>
      <c r="K99" s="3" t="s">
        <v>23</v>
      </c>
      <c r="L99" s="3">
        <v>89.100999999999999</v>
      </c>
      <c r="M99" s="3">
        <v>1</v>
      </c>
      <c r="N99" s="3">
        <v>4013.7669999999998</v>
      </c>
      <c r="O99" s="3">
        <v>2.2198847117931859E-2</v>
      </c>
      <c r="P99" s="3">
        <v>1.01</v>
      </c>
      <c r="Q99" s="3"/>
      <c r="R99" s="3"/>
      <c r="S99" s="3"/>
    </row>
    <row r="100" spans="1:19" x14ac:dyDescent="0.25">
      <c r="A100" s="3" t="s">
        <v>280</v>
      </c>
      <c r="B100" s="3"/>
      <c r="C100" s="3"/>
      <c r="D100" s="3"/>
      <c r="E100" s="3"/>
      <c r="F100" s="3">
        <v>0.29619212962962965</v>
      </c>
      <c r="G100" s="3" t="s">
        <v>56</v>
      </c>
      <c r="H100" s="3">
        <v>0</v>
      </c>
      <c r="I100" s="3">
        <v>0.93</v>
      </c>
      <c r="J100" s="3" t="s">
        <v>57</v>
      </c>
      <c r="K100" s="3" t="s">
        <v>25</v>
      </c>
      <c r="L100" s="3">
        <v>141.72</v>
      </c>
      <c r="M100" s="3">
        <v>1</v>
      </c>
      <c r="N100" s="3">
        <v>4038.386</v>
      </c>
      <c r="O100" s="3">
        <v>3.5093227839042625E-2</v>
      </c>
      <c r="P100" s="3">
        <v>1</v>
      </c>
      <c r="Q100" s="3"/>
      <c r="R100" s="3"/>
      <c r="S100" s="3"/>
    </row>
    <row r="101" spans="1:19" x14ac:dyDescent="0.25">
      <c r="A101" s="3" t="s">
        <v>287</v>
      </c>
      <c r="B101" s="3"/>
      <c r="C101" s="3"/>
      <c r="D101" s="3"/>
      <c r="E101" s="3"/>
      <c r="F101" s="3">
        <v>0.30931712962962959</v>
      </c>
      <c r="G101" s="3" t="s">
        <v>56</v>
      </c>
      <c r="H101" s="3">
        <v>0</v>
      </c>
      <c r="I101" s="3">
        <v>0.93</v>
      </c>
      <c r="J101" s="3" t="s">
        <v>57</v>
      </c>
      <c r="K101" s="3" t="s">
        <v>25</v>
      </c>
      <c r="L101" s="3">
        <v>16037.721</v>
      </c>
      <c r="M101" s="3">
        <v>1</v>
      </c>
      <c r="N101" s="3">
        <v>5132.8180000000002</v>
      </c>
      <c r="O101" s="3">
        <v>3.1245450354951214</v>
      </c>
      <c r="P101" s="3">
        <v>1</v>
      </c>
      <c r="Q101" s="3"/>
      <c r="R101" s="3"/>
      <c r="S101" s="3"/>
    </row>
    <row r="102" spans="1:19" x14ac:dyDescent="0.25">
      <c r="A102" s="3" t="s">
        <v>288</v>
      </c>
      <c r="B102" s="3"/>
      <c r="C102" s="3"/>
      <c r="D102" s="3"/>
      <c r="E102" s="3"/>
      <c r="F102" s="3">
        <v>0.31119212962962967</v>
      </c>
      <c r="G102" s="3" t="s">
        <v>56</v>
      </c>
      <c r="H102" s="3">
        <v>0</v>
      </c>
      <c r="I102" s="3">
        <v>0.93</v>
      </c>
      <c r="J102" s="3" t="s">
        <v>57</v>
      </c>
      <c r="K102" s="3" t="s">
        <v>25</v>
      </c>
      <c r="L102" s="3">
        <v>15645.463</v>
      </c>
      <c r="M102" s="3">
        <v>1</v>
      </c>
      <c r="N102" s="3">
        <v>4610.4750000000004</v>
      </c>
      <c r="O102" s="3">
        <v>3.3934601098585282</v>
      </c>
      <c r="P102" s="3">
        <v>1</v>
      </c>
      <c r="Q102" s="3"/>
      <c r="R102" s="3"/>
      <c r="S102" s="3"/>
    </row>
    <row r="103" spans="1:19" x14ac:dyDescent="0.25">
      <c r="A103" s="3" t="s">
        <v>289</v>
      </c>
      <c r="B103" s="3"/>
      <c r="C103" s="3"/>
      <c r="D103" s="3"/>
      <c r="E103" s="3"/>
      <c r="F103" s="3">
        <v>0.31306712962962963</v>
      </c>
      <c r="G103" s="3" t="s">
        <v>56</v>
      </c>
      <c r="H103" s="3">
        <v>0</v>
      </c>
      <c r="I103" s="3">
        <v>0.93</v>
      </c>
      <c r="J103" s="3" t="s">
        <v>57</v>
      </c>
      <c r="K103" s="3" t="s">
        <v>25</v>
      </c>
      <c r="L103" s="3">
        <v>16418.348000000002</v>
      </c>
      <c r="M103" s="3">
        <v>1</v>
      </c>
      <c r="N103" s="3">
        <v>4490.88</v>
      </c>
      <c r="O103" s="3">
        <v>3.6559311315376943</v>
      </c>
      <c r="P103" s="3">
        <v>1</v>
      </c>
      <c r="Q103" s="3"/>
      <c r="R103" s="3"/>
      <c r="S103" s="3"/>
    </row>
    <row r="104" spans="1:19" x14ac:dyDescent="0.25">
      <c r="A104" s="3" t="s">
        <v>284</v>
      </c>
      <c r="B104" s="3"/>
      <c r="C104" s="3"/>
      <c r="D104" s="3"/>
      <c r="E104" s="3"/>
      <c r="F104" s="3">
        <v>0.3036921296296296</v>
      </c>
      <c r="G104" s="3" t="s">
        <v>56</v>
      </c>
      <c r="H104" s="3">
        <v>0</v>
      </c>
      <c r="I104" s="3">
        <v>0.93</v>
      </c>
      <c r="J104" s="3" t="s">
        <v>57</v>
      </c>
      <c r="K104" s="3" t="s">
        <v>25</v>
      </c>
      <c r="L104" s="3">
        <v>8787.9979999999996</v>
      </c>
      <c r="M104" s="3">
        <v>1</v>
      </c>
      <c r="N104" s="3">
        <v>3951.7959999999998</v>
      </c>
      <c r="O104" s="3">
        <v>2.2237984956713355</v>
      </c>
      <c r="P104" s="3">
        <v>1</v>
      </c>
      <c r="Q104" s="3"/>
      <c r="R104" s="3"/>
      <c r="S104" s="3"/>
    </row>
    <row r="105" spans="1:19" x14ac:dyDescent="0.25">
      <c r="A105" s="3" t="s">
        <v>285</v>
      </c>
      <c r="B105" s="3"/>
      <c r="C105" s="3"/>
      <c r="D105" s="3"/>
      <c r="E105" s="3"/>
      <c r="F105" s="3">
        <v>0.30556712962962962</v>
      </c>
      <c r="G105" s="3" t="s">
        <v>56</v>
      </c>
      <c r="H105" s="3">
        <v>0</v>
      </c>
      <c r="I105" s="3">
        <v>0.93</v>
      </c>
      <c r="J105" s="3" t="s">
        <v>57</v>
      </c>
      <c r="K105" s="3" t="s">
        <v>25</v>
      </c>
      <c r="L105" s="3">
        <v>8167.6409999999996</v>
      </c>
      <c r="M105" s="3">
        <v>1</v>
      </c>
      <c r="N105" s="3">
        <v>4531.1000000000004</v>
      </c>
      <c r="O105" s="3">
        <v>1.8025735472622539</v>
      </c>
      <c r="P105" s="3">
        <v>1</v>
      </c>
      <c r="Q105" s="3"/>
      <c r="R105" s="3"/>
      <c r="S105" s="3"/>
    </row>
    <row r="106" spans="1:19" x14ac:dyDescent="0.25">
      <c r="A106" s="3" t="s">
        <v>286</v>
      </c>
      <c r="B106" s="3"/>
      <c r="C106" s="3"/>
      <c r="D106" s="3"/>
      <c r="E106" s="3"/>
      <c r="F106" s="3">
        <v>0.30744212962962963</v>
      </c>
      <c r="G106" s="3" t="s">
        <v>56</v>
      </c>
      <c r="H106" s="3">
        <v>0</v>
      </c>
      <c r="I106" s="3">
        <v>0.93</v>
      </c>
      <c r="J106" s="3" t="s">
        <v>57</v>
      </c>
      <c r="K106" s="3" t="s">
        <v>25</v>
      </c>
      <c r="L106" s="3">
        <v>11134.688</v>
      </c>
      <c r="M106" s="3">
        <v>1</v>
      </c>
      <c r="N106" s="3">
        <v>4796.9520000000002</v>
      </c>
      <c r="O106" s="3">
        <v>2.3212006290661238</v>
      </c>
      <c r="P106" s="3">
        <v>1</v>
      </c>
      <c r="Q106" s="3"/>
      <c r="R106" s="3"/>
      <c r="S106" s="3"/>
    </row>
    <row r="107" spans="1:19" x14ac:dyDescent="0.25">
      <c r="A107" s="3" t="s">
        <v>281</v>
      </c>
      <c r="B107" s="3"/>
      <c r="C107" s="3"/>
      <c r="D107" s="3"/>
      <c r="E107" s="3"/>
      <c r="F107" s="3">
        <v>0.29806712962962961</v>
      </c>
      <c r="G107" s="3" t="s">
        <v>56</v>
      </c>
      <c r="H107" s="3">
        <v>0</v>
      </c>
      <c r="I107" s="3">
        <v>0.93</v>
      </c>
      <c r="J107" s="3" t="s">
        <v>57</v>
      </c>
      <c r="K107" s="3" t="s">
        <v>25</v>
      </c>
      <c r="L107" s="3">
        <v>2872.9839999999999</v>
      </c>
      <c r="M107" s="3">
        <v>1</v>
      </c>
      <c r="N107" s="3">
        <v>3494.6860000000001</v>
      </c>
      <c r="O107" s="3">
        <v>0.82210075526098758</v>
      </c>
      <c r="P107" s="3">
        <v>1</v>
      </c>
      <c r="Q107" s="3"/>
      <c r="R107" s="3"/>
      <c r="S107" s="3"/>
    </row>
    <row r="108" spans="1:19" x14ac:dyDescent="0.25">
      <c r="A108" s="3" t="s">
        <v>282</v>
      </c>
      <c r="B108" s="3"/>
      <c r="C108" s="3"/>
      <c r="D108" s="3"/>
      <c r="E108" s="3"/>
      <c r="F108" s="3">
        <v>0.29994212962962963</v>
      </c>
      <c r="G108" s="3" t="s">
        <v>56</v>
      </c>
      <c r="H108" s="3">
        <v>0</v>
      </c>
      <c r="I108" s="3">
        <v>0.93</v>
      </c>
      <c r="J108" s="3" t="s">
        <v>57</v>
      </c>
      <c r="K108" s="3" t="s">
        <v>25</v>
      </c>
      <c r="L108" s="3">
        <v>2537.4160000000002</v>
      </c>
      <c r="M108" s="3">
        <v>1</v>
      </c>
      <c r="N108" s="3">
        <v>3634.172</v>
      </c>
      <c r="O108" s="3">
        <v>0.69821021129434713</v>
      </c>
      <c r="P108" s="3">
        <v>1</v>
      </c>
      <c r="Q108" s="3"/>
      <c r="R108" s="3"/>
      <c r="S108" s="3"/>
    </row>
    <row r="109" spans="1:19" x14ac:dyDescent="0.25">
      <c r="A109" s="3" t="s">
        <v>283</v>
      </c>
      <c r="B109" s="3"/>
      <c r="C109" s="3"/>
      <c r="D109" s="3"/>
      <c r="E109" s="3"/>
      <c r="F109" s="3">
        <v>0.30181712962962964</v>
      </c>
      <c r="G109" s="3" t="s">
        <v>56</v>
      </c>
      <c r="H109" s="3">
        <v>0</v>
      </c>
      <c r="I109" s="3">
        <v>0.93</v>
      </c>
      <c r="J109" s="3" t="s">
        <v>57</v>
      </c>
      <c r="K109" s="3" t="s">
        <v>25</v>
      </c>
      <c r="L109" s="3">
        <v>3528.1039999999998</v>
      </c>
      <c r="M109" s="3">
        <v>1</v>
      </c>
      <c r="N109" s="3">
        <v>3798.8519999999999</v>
      </c>
      <c r="O109" s="3">
        <v>0.92872899497005934</v>
      </c>
      <c r="P109" s="3">
        <v>1</v>
      </c>
      <c r="Q109" s="3"/>
      <c r="R109" s="3"/>
      <c r="S109" s="3"/>
    </row>
    <row r="110" spans="1:19" x14ac:dyDescent="0.25">
      <c r="A110" s="3" t="s">
        <v>47</v>
      </c>
      <c r="B110" s="3"/>
      <c r="C110" s="3"/>
      <c r="D110" s="3"/>
      <c r="E110" s="3"/>
      <c r="F110" s="3">
        <v>0.70457175925925919</v>
      </c>
      <c r="G110" s="3" t="s">
        <v>58</v>
      </c>
      <c r="H110" s="3">
        <v>0</v>
      </c>
      <c r="I110" s="3">
        <v>0.93</v>
      </c>
      <c r="J110" s="3" t="s">
        <v>59</v>
      </c>
      <c r="K110" s="3" t="s">
        <v>25</v>
      </c>
      <c r="L110" s="3">
        <v>15.433999999999999</v>
      </c>
      <c r="M110" s="3">
        <v>1</v>
      </c>
      <c r="N110" s="3">
        <v>23900.384999999998</v>
      </c>
      <c r="O110" s="3">
        <v>6.457636561084686E-4</v>
      </c>
      <c r="P110" s="3">
        <v>1.31</v>
      </c>
      <c r="Q110" s="3"/>
      <c r="R110" s="3"/>
      <c r="S110" s="3"/>
    </row>
    <row r="111" spans="1:19" x14ac:dyDescent="0.25">
      <c r="A111" s="3" t="s">
        <v>50</v>
      </c>
      <c r="B111" s="3"/>
      <c r="C111" s="3"/>
      <c r="D111" s="3"/>
      <c r="E111" s="3"/>
      <c r="F111" s="3">
        <v>0.7064583333333333</v>
      </c>
      <c r="G111" s="3" t="s">
        <v>58</v>
      </c>
      <c r="H111" s="3">
        <v>0</v>
      </c>
      <c r="I111" s="3">
        <v>0.93</v>
      </c>
      <c r="J111" s="3" t="s">
        <v>59</v>
      </c>
      <c r="K111" s="3" t="s">
        <v>23</v>
      </c>
      <c r="L111" s="3">
        <v>5.2709999999999999</v>
      </c>
      <c r="M111" s="3">
        <v>1</v>
      </c>
      <c r="N111" s="3">
        <v>22970.811000000002</v>
      </c>
      <c r="O111" s="3">
        <v>2.2946512423962739E-4</v>
      </c>
      <c r="P111" s="3">
        <v>1.32</v>
      </c>
      <c r="Q111" s="3"/>
      <c r="R111" s="3"/>
      <c r="S111" s="3"/>
    </row>
    <row r="112" spans="1:19" x14ac:dyDescent="0.25">
      <c r="A112" s="3" t="s">
        <v>51</v>
      </c>
      <c r="B112" s="3"/>
      <c r="C112" s="3"/>
      <c r="D112" s="3"/>
      <c r="E112" s="3"/>
      <c r="F112" s="3">
        <v>0.70833333333333337</v>
      </c>
      <c r="G112" s="3" t="s">
        <v>58</v>
      </c>
      <c r="H112" s="3">
        <v>0</v>
      </c>
      <c r="I112" s="3">
        <v>0.93</v>
      </c>
      <c r="J112" s="3" t="s">
        <v>59</v>
      </c>
      <c r="K112" s="3" t="s">
        <v>25</v>
      </c>
      <c r="L112" s="3">
        <v>20.734999999999999</v>
      </c>
      <c r="M112" s="3">
        <v>1</v>
      </c>
      <c r="N112" s="3">
        <v>23638.438999999998</v>
      </c>
      <c r="O112" s="3">
        <v>8.7717298083854023E-4</v>
      </c>
      <c r="P112" s="3">
        <v>1.32</v>
      </c>
      <c r="Q112" s="3"/>
      <c r="R112" s="3"/>
      <c r="S112" s="3"/>
    </row>
    <row r="113" spans="1:19" x14ac:dyDescent="0.25">
      <c r="A113" s="3" t="s">
        <v>275</v>
      </c>
      <c r="B113" s="3"/>
      <c r="C113" s="3"/>
      <c r="D113" s="3"/>
      <c r="E113" s="3"/>
      <c r="F113" s="3">
        <v>0.39021990740740736</v>
      </c>
      <c r="G113" s="3" t="s">
        <v>58</v>
      </c>
      <c r="H113" s="3">
        <v>0</v>
      </c>
      <c r="I113" s="3">
        <v>0.93</v>
      </c>
      <c r="J113" s="3" t="s">
        <v>59</v>
      </c>
      <c r="K113" s="3" t="s">
        <v>25</v>
      </c>
      <c r="L113" s="3">
        <v>293670.18800000002</v>
      </c>
      <c r="M113" s="3">
        <v>1</v>
      </c>
      <c r="N113" s="3">
        <v>3169.5920000000001</v>
      </c>
      <c r="O113" s="3">
        <v>92.652362827770901</v>
      </c>
      <c r="P113" s="3">
        <v>1.3</v>
      </c>
      <c r="Q113" s="3"/>
      <c r="R113" s="3"/>
      <c r="S113" s="3"/>
    </row>
    <row r="114" spans="1:19" x14ac:dyDescent="0.25">
      <c r="A114" s="3" t="s">
        <v>276</v>
      </c>
      <c r="B114" s="3"/>
      <c r="C114" s="3"/>
      <c r="D114" s="3"/>
      <c r="E114" s="3"/>
      <c r="F114" s="3">
        <v>0.39209490740740738</v>
      </c>
      <c r="G114" s="3" t="s">
        <v>58</v>
      </c>
      <c r="H114" s="3">
        <v>0</v>
      </c>
      <c r="I114" s="3">
        <v>0.93</v>
      </c>
      <c r="J114" s="3" t="s">
        <v>59</v>
      </c>
      <c r="K114" s="3" t="s">
        <v>25</v>
      </c>
      <c r="L114" s="3">
        <v>292925</v>
      </c>
      <c r="M114" s="3">
        <v>1</v>
      </c>
      <c r="N114" s="3">
        <v>3322.7689999999998</v>
      </c>
      <c r="O114" s="3">
        <v>88.156895649381596</v>
      </c>
      <c r="P114" s="3">
        <v>1.3</v>
      </c>
      <c r="Q114" s="3"/>
      <c r="R114" s="3"/>
      <c r="S114" s="3"/>
    </row>
    <row r="115" spans="1:19" x14ac:dyDescent="0.25">
      <c r="A115" s="3" t="s">
        <v>277</v>
      </c>
      <c r="B115" s="3"/>
      <c r="C115" s="3"/>
      <c r="D115" s="3"/>
      <c r="E115" s="3"/>
      <c r="F115" s="3">
        <v>0.39396990740740739</v>
      </c>
      <c r="G115" s="3" t="s">
        <v>58</v>
      </c>
      <c r="H115" s="3">
        <v>0</v>
      </c>
      <c r="I115" s="3">
        <v>0.93</v>
      </c>
      <c r="J115" s="3" t="s">
        <v>59</v>
      </c>
      <c r="K115" s="3" t="s">
        <v>25</v>
      </c>
      <c r="L115" s="3">
        <v>300674.5</v>
      </c>
      <c r="M115" s="3">
        <v>1</v>
      </c>
      <c r="N115" s="3">
        <v>4357.76</v>
      </c>
      <c r="O115" s="3">
        <v>68.997489535908358</v>
      </c>
      <c r="P115" s="3">
        <v>1.3</v>
      </c>
      <c r="Q115" s="3"/>
      <c r="R115" s="3"/>
      <c r="S115" s="3"/>
    </row>
    <row r="116" spans="1:19" x14ac:dyDescent="0.25">
      <c r="A116" s="3" t="s">
        <v>263</v>
      </c>
      <c r="B116" s="3"/>
      <c r="C116" s="3"/>
      <c r="D116" s="3"/>
      <c r="E116" s="3"/>
      <c r="F116" s="3">
        <v>0.36773148148148144</v>
      </c>
      <c r="G116" s="3" t="s">
        <v>58</v>
      </c>
      <c r="H116" s="3">
        <v>0</v>
      </c>
      <c r="I116" s="3">
        <v>0.93</v>
      </c>
      <c r="J116" s="3" t="s">
        <v>59</v>
      </c>
      <c r="K116" s="3" t="s">
        <v>25</v>
      </c>
      <c r="L116" s="3">
        <v>95740.616999999998</v>
      </c>
      <c r="M116" s="3">
        <v>1</v>
      </c>
      <c r="N116" s="3">
        <v>2857.74</v>
      </c>
      <c r="O116" s="3">
        <v>33.502213987276662</v>
      </c>
      <c r="P116" s="3">
        <v>1.3</v>
      </c>
      <c r="Q116" s="3"/>
      <c r="R116" s="3"/>
      <c r="S116" s="3"/>
    </row>
    <row r="117" spans="1:19" x14ac:dyDescent="0.25">
      <c r="A117" s="3" t="s">
        <v>264</v>
      </c>
      <c r="B117" s="3"/>
      <c r="C117" s="3"/>
      <c r="D117" s="3"/>
      <c r="E117" s="3"/>
      <c r="F117" s="3">
        <v>0.36960648148148145</v>
      </c>
      <c r="G117" s="3" t="s">
        <v>58</v>
      </c>
      <c r="H117" s="3">
        <v>0</v>
      </c>
      <c r="I117" s="3">
        <v>0.93</v>
      </c>
      <c r="J117" s="3" t="s">
        <v>59</v>
      </c>
      <c r="K117" s="3" t="s">
        <v>25</v>
      </c>
      <c r="L117" s="3">
        <v>105816.648</v>
      </c>
      <c r="M117" s="3">
        <v>1</v>
      </c>
      <c r="N117" s="3">
        <v>3018.5729999999999</v>
      </c>
      <c r="O117" s="3">
        <v>35.055189322901917</v>
      </c>
      <c r="P117" s="3">
        <v>1.3</v>
      </c>
      <c r="Q117" s="3"/>
      <c r="R117" s="3"/>
      <c r="S117" s="3"/>
    </row>
    <row r="118" spans="1:19" x14ac:dyDescent="0.25">
      <c r="A118" s="3" t="s">
        <v>265</v>
      </c>
      <c r="B118" s="3"/>
      <c r="C118" s="3"/>
      <c r="D118" s="3"/>
      <c r="E118" s="3"/>
      <c r="F118" s="3">
        <v>0.37148148148148147</v>
      </c>
      <c r="G118" s="3" t="s">
        <v>58</v>
      </c>
      <c r="H118" s="3">
        <v>0</v>
      </c>
      <c r="I118" s="3">
        <v>0.93</v>
      </c>
      <c r="J118" s="3" t="s">
        <v>59</v>
      </c>
      <c r="K118" s="3" t="s">
        <v>25</v>
      </c>
      <c r="L118" s="3">
        <v>96088.476999999999</v>
      </c>
      <c r="M118" s="3">
        <v>1</v>
      </c>
      <c r="N118" s="3">
        <v>3505.357</v>
      </c>
      <c r="O118" s="3">
        <v>27.411894708584605</v>
      </c>
      <c r="P118" s="3">
        <v>1.3</v>
      </c>
      <c r="Q118" s="3"/>
      <c r="R118" s="3"/>
      <c r="S118" s="3"/>
    </row>
    <row r="119" spans="1:19" x14ac:dyDescent="0.25">
      <c r="A119" s="3" t="s">
        <v>272</v>
      </c>
      <c r="B119" s="3"/>
      <c r="C119" s="3"/>
      <c r="D119" s="3"/>
      <c r="E119" s="3"/>
      <c r="F119" s="3">
        <v>0.38459490740740737</v>
      </c>
      <c r="G119" s="3" t="s">
        <v>58</v>
      </c>
      <c r="H119" s="3">
        <v>0</v>
      </c>
      <c r="I119" s="3">
        <v>0.93</v>
      </c>
      <c r="J119" s="3" t="s">
        <v>59</v>
      </c>
      <c r="K119" s="3" t="s">
        <v>25</v>
      </c>
      <c r="L119" s="3">
        <v>217840.59400000001</v>
      </c>
      <c r="M119" s="3">
        <v>1</v>
      </c>
      <c r="N119" s="3">
        <v>3573.6280000000002</v>
      </c>
      <c r="O119" s="3">
        <v>60.957826052403888</v>
      </c>
      <c r="P119" s="3">
        <v>1.3</v>
      </c>
      <c r="Q119" s="3"/>
      <c r="R119" s="3"/>
      <c r="S119" s="3"/>
    </row>
    <row r="120" spans="1:19" x14ac:dyDescent="0.25">
      <c r="A120" s="3" t="s">
        <v>273</v>
      </c>
      <c r="B120" s="3"/>
      <c r="C120" s="3"/>
      <c r="D120" s="3"/>
      <c r="E120" s="3"/>
      <c r="F120" s="3">
        <v>0.38646990740740739</v>
      </c>
      <c r="G120" s="3" t="s">
        <v>58</v>
      </c>
      <c r="H120" s="3">
        <v>0</v>
      </c>
      <c r="I120" s="3">
        <v>0.93</v>
      </c>
      <c r="J120" s="3" t="s">
        <v>59</v>
      </c>
      <c r="K120" s="3" t="s">
        <v>25</v>
      </c>
      <c r="L120" s="3">
        <v>265921.18800000002</v>
      </c>
      <c r="M120" s="3">
        <v>1</v>
      </c>
      <c r="N120" s="3">
        <v>3382.6559999999999</v>
      </c>
      <c r="O120" s="3">
        <v>78.61313358496993</v>
      </c>
      <c r="P120" s="3">
        <v>1.3</v>
      </c>
      <c r="Q120" s="3"/>
      <c r="R120" s="3"/>
      <c r="S120" s="3"/>
    </row>
    <row r="121" spans="1:19" x14ac:dyDescent="0.25">
      <c r="A121" s="3" t="s">
        <v>274</v>
      </c>
      <c r="B121" s="3"/>
      <c r="C121" s="3"/>
      <c r="D121" s="3"/>
      <c r="E121" s="3"/>
      <c r="F121" s="3">
        <v>0.3883449074074074</v>
      </c>
      <c r="G121" s="3" t="s">
        <v>58</v>
      </c>
      <c r="H121" s="3">
        <v>0</v>
      </c>
      <c r="I121" s="3">
        <v>0.93</v>
      </c>
      <c r="J121" s="3" t="s">
        <v>59</v>
      </c>
      <c r="K121" s="3" t="s">
        <v>25</v>
      </c>
      <c r="L121" s="3">
        <v>280315.84399999998</v>
      </c>
      <c r="M121" s="3">
        <v>1</v>
      </c>
      <c r="N121" s="3">
        <v>3220.2460000000001</v>
      </c>
      <c r="O121" s="3">
        <v>87.047959690036095</v>
      </c>
      <c r="P121" s="3">
        <v>1.3</v>
      </c>
      <c r="Q121" s="3"/>
      <c r="R121" s="3"/>
      <c r="S121" s="3"/>
    </row>
    <row r="122" spans="1:19" x14ac:dyDescent="0.25">
      <c r="A122" s="3" t="s">
        <v>269</v>
      </c>
      <c r="B122" s="3"/>
      <c r="C122" s="3"/>
      <c r="D122" s="3"/>
      <c r="E122" s="3"/>
      <c r="F122" s="3">
        <v>0.37896990740740738</v>
      </c>
      <c r="G122" s="3" t="s">
        <v>58</v>
      </c>
      <c r="H122" s="3">
        <v>0</v>
      </c>
      <c r="I122" s="3">
        <v>0.93</v>
      </c>
      <c r="J122" s="3" t="s">
        <v>59</v>
      </c>
      <c r="K122" s="3" t="s">
        <v>25</v>
      </c>
      <c r="L122" s="3">
        <v>223906.71900000001</v>
      </c>
      <c r="M122" s="3">
        <v>1</v>
      </c>
      <c r="N122" s="3">
        <v>3139.5279999999998</v>
      </c>
      <c r="O122" s="3">
        <v>71.318592794840512</v>
      </c>
      <c r="P122" s="3">
        <v>1.3</v>
      </c>
      <c r="Q122" s="3"/>
      <c r="R122" s="3"/>
      <c r="S122" s="3"/>
    </row>
    <row r="123" spans="1:19" x14ac:dyDescent="0.25">
      <c r="A123" s="3" t="s">
        <v>270</v>
      </c>
      <c r="B123" s="3"/>
      <c r="C123" s="3"/>
      <c r="D123" s="3"/>
      <c r="E123" s="3"/>
      <c r="F123" s="3">
        <v>0.3808449074074074</v>
      </c>
      <c r="G123" s="3" t="s">
        <v>58</v>
      </c>
      <c r="H123" s="3">
        <v>0</v>
      </c>
      <c r="I123" s="3">
        <v>0.93</v>
      </c>
      <c r="J123" s="3" t="s">
        <v>59</v>
      </c>
      <c r="K123" s="3" t="s">
        <v>25</v>
      </c>
      <c r="L123" s="3">
        <v>234453.75</v>
      </c>
      <c r="M123" s="3">
        <v>1</v>
      </c>
      <c r="N123" s="3">
        <v>3396.1990000000001</v>
      </c>
      <c r="O123" s="3">
        <v>69.034161425758626</v>
      </c>
      <c r="P123" s="3">
        <v>1.3</v>
      </c>
      <c r="Q123" s="3"/>
      <c r="R123" s="3"/>
      <c r="S123" s="3"/>
    </row>
    <row r="124" spans="1:19" x14ac:dyDescent="0.25">
      <c r="A124" s="3" t="s">
        <v>271</v>
      </c>
      <c r="B124" s="3"/>
      <c r="C124" s="3"/>
      <c r="D124" s="3"/>
      <c r="E124" s="3"/>
      <c r="F124" s="3">
        <v>0.38271990740740741</v>
      </c>
      <c r="G124" s="3" t="s">
        <v>58</v>
      </c>
      <c r="H124" s="3">
        <v>0</v>
      </c>
      <c r="I124" s="3">
        <v>0.93</v>
      </c>
      <c r="J124" s="3" t="s">
        <v>59</v>
      </c>
      <c r="K124" s="3" t="s">
        <v>25</v>
      </c>
      <c r="L124" s="3">
        <v>301361.59399999998</v>
      </c>
      <c r="M124" s="3">
        <v>1</v>
      </c>
      <c r="N124" s="3">
        <v>4369.2939999999999</v>
      </c>
      <c r="O124" s="3">
        <v>68.972606100665232</v>
      </c>
      <c r="P124" s="3">
        <v>1.3</v>
      </c>
      <c r="Q124" s="3"/>
      <c r="R124" s="3"/>
      <c r="S124" s="3"/>
    </row>
    <row r="125" spans="1:19" x14ac:dyDescent="0.25">
      <c r="A125" s="3" t="s">
        <v>266</v>
      </c>
      <c r="B125" s="3"/>
      <c r="C125" s="3"/>
      <c r="D125" s="3"/>
      <c r="E125" s="3"/>
      <c r="F125" s="3">
        <v>0.37335648148148143</v>
      </c>
      <c r="G125" s="3" t="s">
        <v>58</v>
      </c>
      <c r="H125" s="3">
        <v>0</v>
      </c>
      <c r="I125" s="3">
        <v>0.93</v>
      </c>
      <c r="J125" s="3" t="s">
        <v>59</v>
      </c>
      <c r="K125" s="3" t="s">
        <v>25</v>
      </c>
      <c r="L125" s="3">
        <v>200569</v>
      </c>
      <c r="M125" s="3">
        <v>1</v>
      </c>
      <c r="N125" s="3">
        <v>3524.1880000000001</v>
      </c>
      <c r="O125" s="3">
        <v>56.912117060724341</v>
      </c>
      <c r="P125" s="3">
        <v>1.3</v>
      </c>
      <c r="Q125" s="3"/>
      <c r="R125" s="3"/>
      <c r="S125" s="3"/>
    </row>
    <row r="126" spans="1:19" x14ac:dyDescent="0.25">
      <c r="A126" s="3" t="s">
        <v>267</v>
      </c>
      <c r="B126" s="3"/>
      <c r="C126" s="3"/>
      <c r="D126" s="3"/>
      <c r="E126" s="3"/>
      <c r="F126" s="3">
        <v>0.3752199074074074</v>
      </c>
      <c r="G126" s="3" t="s">
        <v>58</v>
      </c>
      <c r="H126" s="3">
        <v>0</v>
      </c>
      <c r="I126" s="3">
        <v>0.93</v>
      </c>
      <c r="J126" s="3" t="s">
        <v>59</v>
      </c>
      <c r="K126" s="3" t="s">
        <v>25</v>
      </c>
      <c r="L126" s="3">
        <v>196630.17199999999</v>
      </c>
      <c r="M126" s="3">
        <v>1</v>
      </c>
      <c r="N126" s="3">
        <v>2894.1190000000001</v>
      </c>
      <c r="O126" s="3">
        <v>67.94128783232479</v>
      </c>
      <c r="P126" s="3">
        <v>1.3</v>
      </c>
      <c r="Q126" s="3"/>
      <c r="R126" s="3"/>
      <c r="S126" s="3"/>
    </row>
    <row r="127" spans="1:19" x14ac:dyDescent="0.25">
      <c r="A127" s="3" t="s">
        <v>268</v>
      </c>
      <c r="B127" s="3"/>
      <c r="C127" s="3"/>
      <c r="D127" s="3"/>
      <c r="E127" s="3"/>
      <c r="F127" s="3">
        <v>0.37709490740740742</v>
      </c>
      <c r="G127" s="3" t="s">
        <v>58</v>
      </c>
      <c r="H127" s="3">
        <v>0</v>
      </c>
      <c r="I127" s="3">
        <v>0.93</v>
      </c>
      <c r="J127" s="3" t="s">
        <v>59</v>
      </c>
      <c r="K127" s="3" t="s">
        <v>25</v>
      </c>
      <c r="L127" s="3">
        <v>166526.15599999999</v>
      </c>
      <c r="M127" s="3">
        <v>1</v>
      </c>
      <c r="N127" s="3">
        <v>3195.982</v>
      </c>
      <c r="O127" s="3">
        <v>52.104847899643985</v>
      </c>
      <c r="P127" s="3">
        <v>1.3</v>
      </c>
      <c r="Q127" s="3"/>
      <c r="R127" s="3"/>
      <c r="S127" s="3"/>
    </row>
    <row r="128" spans="1:19" x14ac:dyDescent="0.25">
      <c r="A128" s="3" t="s">
        <v>60</v>
      </c>
      <c r="B128" s="3"/>
      <c r="C128" s="3"/>
      <c r="D128" s="3"/>
      <c r="E128" s="3"/>
      <c r="F128" s="3">
        <v>0.71582175925925917</v>
      </c>
      <c r="G128" s="3" t="s">
        <v>61</v>
      </c>
      <c r="H128" s="3">
        <v>0</v>
      </c>
      <c r="I128" s="3">
        <v>0.93</v>
      </c>
      <c r="J128" s="3" t="s">
        <v>62</v>
      </c>
      <c r="K128" s="3" t="s">
        <v>25</v>
      </c>
      <c r="L128" s="3">
        <v>0.16700000000000001</v>
      </c>
      <c r="M128" s="3">
        <v>1</v>
      </c>
      <c r="N128" s="3">
        <v>12948.120999999999</v>
      </c>
      <c r="O128" s="3">
        <v>1.2897624296220279E-5</v>
      </c>
      <c r="P128" s="3">
        <v>1.1200000000000001</v>
      </c>
      <c r="Q128" s="3"/>
      <c r="R128" s="3"/>
      <c r="S128" s="3"/>
    </row>
    <row r="129" spans="1:19" x14ac:dyDescent="0.25">
      <c r="A129" s="3" t="s">
        <v>63</v>
      </c>
      <c r="B129" s="3"/>
      <c r="C129" s="3"/>
      <c r="D129" s="3"/>
      <c r="E129" s="3"/>
      <c r="F129" s="3">
        <v>0.71770833333333339</v>
      </c>
      <c r="G129" s="3" t="s">
        <v>61</v>
      </c>
      <c r="H129" s="3">
        <v>0</v>
      </c>
      <c r="I129" s="3">
        <v>0.93</v>
      </c>
      <c r="J129" s="3" t="s">
        <v>62</v>
      </c>
      <c r="K129" s="3" t="s">
        <v>25</v>
      </c>
      <c r="L129" s="3">
        <v>2.1000000000000001E-2</v>
      </c>
      <c r="M129" s="3">
        <v>1</v>
      </c>
      <c r="N129" s="3">
        <v>14433.352999999999</v>
      </c>
      <c r="O129" s="3">
        <v>1.4549633754540614E-6</v>
      </c>
      <c r="P129" s="3">
        <v>1.1100000000000001</v>
      </c>
      <c r="Q129" s="3"/>
      <c r="R129" s="3"/>
      <c r="S129" s="3"/>
    </row>
    <row r="130" spans="1:19" x14ac:dyDescent="0.25">
      <c r="A130" s="3" t="s">
        <v>64</v>
      </c>
      <c r="B130" s="3"/>
      <c r="C130" s="3"/>
      <c r="D130" s="3"/>
      <c r="E130" s="3"/>
      <c r="F130" s="3">
        <v>0.71958333333333335</v>
      </c>
      <c r="G130" s="3" t="s">
        <v>61</v>
      </c>
      <c r="H130" s="3">
        <v>0</v>
      </c>
      <c r="I130" s="3">
        <v>0.93</v>
      </c>
      <c r="J130" s="3" t="s">
        <v>62</v>
      </c>
      <c r="K130" s="3" t="s">
        <v>23</v>
      </c>
      <c r="L130" s="3">
        <v>-4.9000000000000002E-2</v>
      </c>
      <c r="M130" s="3">
        <v>1</v>
      </c>
      <c r="N130" s="3">
        <v>13537.442999999999</v>
      </c>
      <c r="O130" s="3">
        <v>-3.6195904943053135E-6</v>
      </c>
      <c r="P130" s="3">
        <v>1.1200000000000001</v>
      </c>
      <c r="Q130" s="3"/>
      <c r="R130" s="3"/>
      <c r="S130" s="3"/>
    </row>
    <row r="131" spans="1:19" x14ac:dyDescent="0.25">
      <c r="A131" s="3" t="s">
        <v>230</v>
      </c>
      <c r="B131" s="3"/>
      <c r="C131" s="3"/>
      <c r="D131" s="3"/>
      <c r="E131" s="3"/>
      <c r="F131" s="3">
        <v>0.46545138888888887</v>
      </c>
      <c r="G131" s="3" t="s">
        <v>61</v>
      </c>
      <c r="H131" s="3">
        <v>0</v>
      </c>
      <c r="I131" s="3">
        <v>0.93</v>
      </c>
      <c r="J131" s="3" t="s">
        <v>62</v>
      </c>
      <c r="K131" s="3" t="s">
        <v>25</v>
      </c>
      <c r="L131" s="3">
        <v>3941.2719999999999</v>
      </c>
      <c r="M131" s="3">
        <v>1</v>
      </c>
      <c r="N131" s="3">
        <v>3068.6370000000002</v>
      </c>
      <c r="O131" s="3">
        <v>1.2843721821772989</v>
      </c>
      <c r="P131" s="3">
        <v>1.1000000000000001</v>
      </c>
      <c r="Q131" s="3"/>
      <c r="R131" s="3"/>
      <c r="S131" s="3"/>
    </row>
    <row r="132" spans="1:19" x14ac:dyDescent="0.25">
      <c r="A132" s="3" t="s">
        <v>231</v>
      </c>
      <c r="B132" s="3"/>
      <c r="C132" s="3"/>
      <c r="D132" s="3"/>
      <c r="E132" s="3"/>
      <c r="F132" s="3">
        <v>0.46732638888888883</v>
      </c>
      <c r="G132" s="3" t="s">
        <v>61</v>
      </c>
      <c r="H132" s="3">
        <v>0</v>
      </c>
      <c r="I132" s="3">
        <v>0.93</v>
      </c>
      <c r="J132" s="3" t="s">
        <v>62</v>
      </c>
      <c r="K132" s="3" t="s">
        <v>25</v>
      </c>
      <c r="L132" s="3">
        <v>2977.6190000000001</v>
      </c>
      <c r="M132" s="3">
        <v>1</v>
      </c>
      <c r="N132" s="3">
        <v>3132.8719999999998</v>
      </c>
      <c r="O132" s="3">
        <v>0.95044387386398177</v>
      </c>
      <c r="P132" s="3">
        <v>1.1000000000000001</v>
      </c>
      <c r="Q132" s="3"/>
      <c r="R132" s="3"/>
      <c r="S132" s="3"/>
    </row>
    <row r="133" spans="1:19" x14ac:dyDescent="0.25">
      <c r="A133" s="3" t="s">
        <v>232</v>
      </c>
      <c r="B133" s="3"/>
      <c r="C133" s="3"/>
      <c r="D133" s="3"/>
      <c r="E133" s="3"/>
      <c r="F133" s="3">
        <v>0.46918981481481481</v>
      </c>
      <c r="G133" s="3" t="s">
        <v>61</v>
      </c>
      <c r="H133" s="3">
        <v>0</v>
      </c>
      <c r="I133" s="3">
        <v>0.93</v>
      </c>
      <c r="J133" s="3" t="s">
        <v>62</v>
      </c>
      <c r="K133" s="3" t="s">
        <v>25</v>
      </c>
      <c r="L133" s="3">
        <v>4255.0420000000004</v>
      </c>
      <c r="M133" s="3">
        <v>1</v>
      </c>
      <c r="N133" s="3">
        <v>2943.93</v>
      </c>
      <c r="O133" s="3">
        <v>1.4453611329073723</v>
      </c>
      <c r="P133" s="3">
        <v>1.1000000000000001</v>
      </c>
      <c r="Q133" s="3"/>
      <c r="R133" s="3"/>
      <c r="S133" s="3"/>
    </row>
    <row r="134" spans="1:19" x14ac:dyDescent="0.25">
      <c r="A134" s="3" t="s">
        <v>218</v>
      </c>
      <c r="B134" s="3"/>
      <c r="C134" s="3"/>
      <c r="D134" s="3"/>
      <c r="E134" s="3"/>
      <c r="F134" s="3">
        <v>0.44277777777777777</v>
      </c>
      <c r="G134" s="3" t="s">
        <v>61</v>
      </c>
      <c r="H134" s="3">
        <v>0</v>
      </c>
      <c r="I134" s="3">
        <v>0.93</v>
      </c>
      <c r="J134" s="3" t="s">
        <v>62</v>
      </c>
      <c r="K134" s="3" t="s">
        <v>25</v>
      </c>
      <c r="L134" s="3">
        <v>5322.6009999999997</v>
      </c>
      <c r="M134" s="3">
        <v>1</v>
      </c>
      <c r="N134" s="3">
        <v>3576.701</v>
      </c>
      <c r="O134" s="3">
        <v>1.4881313814042605</v>
      </c>
      <c r="P134" s="3">
        <v>1.1000000000000001</v>
      </c>
      <c r="Q134" s="3"/>
      <c r="R134" s="3"/>
      <c r="S134" s="3"/>
    </row>
    <row r="135" spans="1:19" x14ac:dyDescent="0.25">
      <c r="A135" s="3" t="s">
        <v>219</v>
      </c>
      <c r="B135" s="3"/>
      <c r="C135" s="3"/>
      <c r="D135" s="3"/>
      <c r="E135" s="3"/>
      <c r="F135" s="3">
        <v>0.44474537037037037</v>
      </c>
      <c r="G135" s="3" t="s">
        <v>61</v>
      </c>
      <c r="H135" s="3">
        <v>0</v>
      </c>
      <c r="I135" s="3">
        <v>0.93</v>
      </c>
      <c r="J135" s="3" t="s">
        <v>62</v>
      </c>
      <c r="K135" s="3" t="s">
        <v>25</v>
      </c>
      <c r="L135" s="3">
        <v>4454.72</v>
      </c>
      <c r="M135" s="3">
        <v>1</v>
      </c>
      <c r="N135" s="3">
        <v>3214.114</v>
      </c>
      <c r="O135" s="3">
        <v>1.3859869313907347</v>
      </c>
      <c r="P135" s="3">
        <v>1.1000000000000001</v>
      </c>
      <c r="Q135" s="3"/>
      <c r="R135" s="3"/>
      <c r="S135" s="3"/>
    </row>
    <row r="136" spans="1:19" x14ac:dyDescent="0.25">
      <c r="A136" s="3" t="s">
        <v>220</v>
      </c>
      <c r="B136" s="3"/>
      <c r="C136" s="3"/>
      <c r="D136" s="3"/>
      <c r="E136" s="3"/>
      <c r="F136" s="3">
        <v>0.44662037037037039</v>
      </c>
      <c r="G136" s="3" t="s">
        <v>61</v>
      </c>
      <c r="H136" s="3">
        <v>0</v>
      </c>
      <c r="I136" s="3">
        <v>0.93</v>
      </c>
      <c r="J136" s="3" t="s">
        <v>62</v>
      </c>
      <c r="K136" s="3" t="s">
        <v>25</v>
      </c>
      <c r="L136" s="3">
        <v>4650.5600000000004</v>
      </c>
      <c r="M136" s="3">
        <v>1</v>
      </c>
      <c r="N136" s="3">
        <v>3214.7919999999999</v>
      </c>
      <c r="O136" s="3">
        <v>1.446613031262987</v>
      </c>
      <c r="P136" s="3">
        <v>1.1000000000000001</v>
      </c>
      <c r="Q136" s="3"/>
      <c r="R136" s="3"/>
      <c r="S136" s="3"/>
    </row>
    <row r="137" spans="1:19" x14ac:dyDescent="0.25">
      <c r="A137" s="3" t="s">
        <v>227</v>
      </c>
      <c r="B137" s="3"/>
      <c r="C137" s="3"/>
      <c r="D137" s="3"/>
      <c r="E137" s="3"/>
      <c r="F137" s="3">
        <v>0.45982638888888888</v>
      </c>
      <c r="G137" s="3" t="s">
        <v>61</v>
      </c>
      <c r="H137" s="3">
        <v>0</v>
      </c>
      <c r="I137" s="3">
        <v>0.93</v>
      </c>
      <c r="J137" s="3" t="s">
        <v>62</v>
      </c>
      <c r="K137" s="3" t="s">
        <v>25</v>
      </c>
      <c r="L137" s="3">
        <v>4888.4769999999999</v>
      </c>
      <c r="M137" s="3">
        <v>1</v>
      </c>
      <c r="N137" s="3">
        <v>2929.951</v>
      </c>
      <c r="O137" s="3">
        <v>1.6684500867079346</v>
      </c>
      <c r="P137" s="3">
        <v>1.1000000000000001</v>
      </c>
      <c r="Q137" s="3"/>
      <c r="R137" s="3"/>
      <c r="S137" s="3"/>
    </row>
    <row r="138" spans="1:19" x14ac:dyDescent="0.25">
      <c r="A138" s="3" t="s">
        <v>228</v>
      </c>
      <c r="B138" s="3"/>
      <c r="C138" s="3"/>
      <c r="D138" s="3"/>
      <c r="E138" s="3"/>
      <c r="F138" s="3">
        <v>0.46170138888888884</v>
      </c>
      <c r="G138" s="3" t="s">
        <v>61</v>
      </c>
      <c r="H138" s="3">
        <v>0</v>
      </c>
      <c r="I138" s="3">
        <v>0.93</v>
      </c>
      <c r="J138" s="3" t="s">
        <v>62</v>
      </c>
      <c r="K138" s="3" t="s">
        <v>25</v>
      </c>
      <c r="L138" s="3">
        <v>3299.3389999999999</v>
      </c>
      <c r="M138" s="3">
        <v>1</v>
      </c>
      <c r="N138" s="3">
        <v>3135.6210000000001</v>
      </c>
      <c r="O138" s="3">
        <v>1.052212304994768</v>
      </c>
      <c r="P138" s="3">
        <v>1.1000000000000001</v>
      </c>
      <c r="Q138" s="3"/>
      <c r="R138" s="3"/>
      <c r="S138" s="3"/>
    </row>
    <row r="139" spans="1:19" x14ac:dyDescent="0.25">
      <c r="A139" s="3" t="s">
        <v>229</v>
      </c>
      <c r="B139" s="3"/>
      <c r="C139" s="3"/>
      <c r="D139" s="3"/>
      <c r="E139" s="3"/>
      <c r="F139" s="3">
        <v>0.46357638888888886</v>
      </c>
      <c r="G139" s="3" t="s">
        <v>61</v>
      </c>
      <c r="H139" s="3">
        <v>0</v>
      </c>
      <c r="I139" s="3">
        <v>0.93</v>
      </c>
      <c r="J139" s="3" t="s">
        <v>62</v>
      </c>
      <c r="K139" s="3" t="s">
        <v>25</v>
      </c>
      <c r="L139" s="3">
        <v>3950.8319999999999</v>
      </c>
      <c r="M139" s="3">
        <v>1</v>
      </c>
      <c r="N139" s="3">
        <v>2975.944</v>
      </c>
      <c r="O139" s="3">
        <v>1.3275894976518374</v>
      </c>
      <c r="P139" s="3">
        <v>1.1000000000000001</v>
      </c>
      <c r="Q139" s="3"/>
      <c r="R139" s="3"/>
      <c r="S139" s="3"/>
    </row>
    <row r="140" spans="1:19" x14ac:dyDescent="0.25">
      <c r="A140" s="3" t="s">
        <v>224</v>
      </c>
      <c r="B140" s="3"/>
      <c r="C140" s="3"/>
      <c r="D140" s="3"/>
      <c r="E140" s="3"/>
      <c r="F140" s="3">
        <v>0.45420138888888889</v>
      </c>
      <c r="G140" s="3" t="s">
        <v>61</v>
      </c>
      <c r="H140" s="3">
        <v>0</v>
      </c>
      <c r="I140" s="3">
        <v>0.93</v>
      </c>
      <c r="J140" s="3" t="s">
        <v>62</v>
      </c>
      <c r="K140" s="3" t="s">
        <v>25</v>
      </c>
      <c r="L140" s="3">
        <v>3841.3409999999999</v>
      </c>
      <c r="M140" s="3">
        <v>1</v>
      </c>
      <c r="N140" s="3">
        <v>3711.8180000000002</v>
      </c>
      <c r="O140" s="3">
        <v>1.0348947604650873</v>
      </c>
      <c r="P140" s="3">
        <v>1.0900000000000001</v>
      </c>
      <c r="Q140" s="3"/>
      <c r="R140" s="3"/>
      <c r="S140" s="3"/>
    </row>
    <row r="141" spans="1:19" x14ac:dyDescent="0.25">
      <c r="A141" s="3" t="s">
        <v>225</v>
      </c>
      <c r="B141" s="3"/>
      <c r="C141" s="3"/>
      <c r="D141" s="3"/>
      <c r="E141" s="3"/>
      <c r="F141" s="3">
        <v>0.45607638888888885</v>
      </c>
      <c r="G141" s="3" t="s">
        <v>61</v>
      </c>
      <c r="H141" s="3">
        <v>0</v>
      </c>
      <c r="I141" s="3">
        <v>0.93</v>
      </c>
      <c r="J141" s="3" t="s">
        <v>62</v>
      </c>
      <c r="K141" s="3" t="s">
        <v>25</v>
      </c>
      <c r="L141" s="3">
        <v>4051.2089999999998</v>
      </c>
      <c r="M141" s="3">
        <v>1</v>
      </c>
      <c r="N141" s="3">
        <v>3347.6669999999999</v>
      </c>
      <c r="O141" s="3">
        <v>1.2101588957324607</v>
      </c>
      <c r="P141" s="3">
        <v>1.0900000000000001</v>
      </c>
      <c r="Q141" s="3"/>
      <c r="R141" s="3"/>
      <c r="S141" s="3"/>
    </row>
    <row r="142" spans="1:19" x14ac:dyDescent="0.25">
      <c r="A142" s="3" t="s">
        <v>226</v>
      </c>
      <c r="B142" s="3"/>
      <c r="C142" s="3"/>
      <c r="D142" s="3"/>
      <c r="E142" s="3"/>
      <c r="F142" s="3">
        <v>0.45795138888888887</v>
      </c>
      <c r="G142" s="3" t="s">
        <v>61</v>
      </c>
      <c r="H142" s="3">
        <v>0</v>
      </c>
      <c r="I142" s="3">
        <v>0.93</v>
      </c>
      <c r="J142" s="3" t="s">
        <v>62</v>
      </c>
      <c r="K142" s="3" t="s">
        <v>25</v>
      </c>
      <c r="L142" s="3">
        <v>4202.7380000000003</v>
      </c>
      <c r="M142" s="3">
        <v>1</v>
      </c>
      <c r="N142" s="3">
        <v>3075.1120000000001</v>
      </c>
      <c r="O142" s="3">
        <v>1.3666942862568909</v>
      </c>
      <c r="P142" s="3">
        <v>1.1000000000000001</v>
      </c>
      <c r="Q142" s="3"/>
      <c r="R142" s="3"/>
      <c r="S142" s="3"/>
    </row>
    <row r="143" spans="1:19" x14ac:dyDescent="0.25">
      <c r="A143" s="3" t="s">
        <v>221</v>
      </c>
      <c r="B143" s="3"/>
      <c r="C143" s="3"/>
      <c r="D143" s="3"/>
      <c r="E143" s="3"/>
      <c r="F143" s="3">
        <v>0.44858796296296299</v>
      </c>
      <c r="G143" s="3" t="s">
        <v>61</v>
      </c>
      <c r="H143" s="3">
        <v>0</v>
      </c>
      <c r="I143" s="3">
        <v>0.93</v>
      </c>
      <c r="J143" s="3" t="s">
        <v>62</v>
      </c>
      <c r="K143" s="3" t="s">
        <v>25</v>
      </c>
      <c r="L143" s="3">
        <v>5749.1040000000003</v>
      </c>
      <c r="M143" s="3">
        <v>1</v>
      </c>
      <c r="N143" s="3">
        <v>3203.2689999999998</v>
      </c>
      <c r="O143" s="3">
        <v>1.7947615389154019</v>
      </c>
      <c r="P143" s="3">
        <v>1.1000000000000001</v>
      </c>
      <c r="Q143" s="3"/>
      <c r="R143" s="3"/>
      <c r="S143" s="3"/>
    </row>
    <row r="144" spans="1:19" x14ac:dyDescent="0.25">
      <c r="A144" s="3" t="s">
        <v>222</v>
      </c>
      <c r="B144" s="3"/>
      <c r="C144" s="3"/>
      <c r="D144" s="3"/>
      <c r="E144" s="3"/>
      <c r="F144" s="3">
        <v>0.45045138888888886</v>
      </c>
      <c r="G144" s="3" t="s">
        <v>61</v>
      </c>
      <c r="H144" s="3">
        <v>0</v>
      </c>
      <c r="I144" s="3">
        <v>0.93</v>
      </c>
      <c r="J144" s="3" t="s">
        <v>62</v>
      </c>
      <c r="K144" s="3" t="s">
        <v>25</v>
      </c>
      <c r="L144" s="3">
        <v>3534.9110000000001</v>
      </c>
      <c r="M144" s="3">
        <v>1</v>
      </c>
      <c r="N144" s="3">
        <v>3188.049</v>
      </c>
      <c r="O144" s="3">
        <v>1.1088007116578196</v>
      </c>
      <c r="P144" s="3">
        <v>1.1000000000000001</v>
      </c>
      <c r="Q144" s="3"/>
      <c r="R144" s="3"/>
      <c r="S144" s="3"/>
    </row>
    <row r="145" spans="1:19" x14ac:dyDescent="0.25">
      <c r="A145" s="3" t="s">
        <v>223</v>
      </c>
      <c r="B145" s="3"/>
      <c r="C145" s="3"/>
      <c r="D145" s="3"/>
      <c r="E145" s="3"/>
      <c r="F145" s="3">
        <v>0.45232638888888888</v>
      </c>
      <c r="G145" s="3" t="s">
        <v>61</v>
      </c>
      <c r="H145" s="3">
        <v>0</v>
      </c>
      <c r="I145" s="3">
        <v>0.93</v>
      </c>
      <c r="J145" s="3" t="s">
        <v>62</v>
      </c>
      <c r="K145" s="3" t="s">
        <v>25</v>
      </c>
      <c r="L145" s="3">
        <v>3199.018</v>
      </c>
      <c r="M145" s="3">
        <v>1</v>
      </c>
      <c r="N145" s="3">
        <v>3637.3539999999998</v>
      </c>
      <c r="O145" s="3">
        <v>0.87949042078389961</v>
      </c>
      <c r="P145" s="3">
        <v>1.1000000000000001</v>
      </c>
      <c r="Q145" s="3"/>
      <c r="R145" s="3"/>
      <c r="S145" s="3"/>
    </row>
    <row r="146" spans="1:19" x14ac:dyDescent="0.25">
      <c r="A146" s="3" t="s">
        <v>60</v>
      </c>
      <c r="B146" s="3"/>
      <c r="C146" s="3"/>
      <c r="D146" s="3"/>
      <c r="E146" s="3"/>
      <c r="F146" s="3">
        <v>0.71582175925925917</v>
      </c>
      <c r="G146" s="3" t="s">
        <v>65</v>
      </c>
      <c r="H146" s="3">
        <v>0</v>
      </c>
      <c r="I146" s="3">
        <v>0.93</v>
      </c>
      <c r="J146" s="3" t="s">
        <v>66</v>
      </c>
      <c r="K146" s="3" t="s">
        <v>25</v>
      </c>
      <c r="L146" s="3">
        <v>14.914999999999999</v>
      </c>
      <c r="M146" s="3">
        <v>1</v>
      </c>
      <c r="N146" s="3">
        <v>12948.120999999999</v>
      </c>
      <c r="O146" s="3">
        <v>1.1519045890905715E-3</v>
      </c>
      <c r="P146" s="3">
        <v>0.94</v>
      </c>
      <c r="Q146" s="3"/>
      <c r="R146" s="3"/>
      <c r="S146" s="3"/>
    </row>
    <row r="147" spans="1:19" x14ac:dyDescent="0.25">
      <c r="A147" s="3" t="s">
        <v>63</v>
      </c>
      <c r="B147" s="3"/>
      <c r="C147" s="3"/>
      <c r="D147" s="3"/>
      <c r="E147" s="3"/>
      <c r="F147" s="3">
        <v>0.71770833333333339</v>
      </c>
      <c r="G147" s="3" t="s">
        <v>65</v>
      </c>
      <c r="H147" s="3">
        <v>0</v>
      </c>
      <c r="I147" s="3">
        <v>0.93</v>
      </c>
      <c r="J147" s="3" t="s">
        <v>66</v>
      </c>
      <c r="K147" s="3" t="s">
        <v>25</v>
      </c>
      <c r="L147" s="3">
        <v>7.3040000000000003</v>
      </c>
      <c r="M147" s="3">
        <v>1</v>
      </c>
      <c r="N147" s="3">
        <v>14433.352999999999</v>
      </c>
      <c r="O147" s="3">
        <v>5.0605011877697444E-4</v>
      </c>
      <c r="P147" s="3">
        <v>0.96</v>
      </c>
      <c r="Q147" s="3"/>
      <c r="R147" s="3"/>
      <c r="S147" s="3"/>
    </row>
    <row r="148" spans="1:19" x14ac:dyDescent="0.25">
      <c r="A148" s="3" t="s">
        <v>64</v>
      </c>
      <c r="B148" s="3"/>
      <c r="C148" s="3"/>
      <c r="D148" s="3"/>
      <c r="E148" s="3"/>
      <c r="F148" s="3">
        <v>0.71958333333333335</v>
      </c>
      <c r="G148" s="3" t="s">
        <v>65</v>
      </c>
      <c r="H148" s="3">
        <v>0</v>
      </c>
      <c r="I148" s="3">
        <v>0.93</v>
      </c>
      <c r="J148" s="3" t="s">
        <v>66</v>
      </c>
      <c r="K148" s="3" t="s">
        <v>25</v>
      </c>
      <c r="L148" s="3">
        <v>13.862</v>
      </c>
      <c r="M148" s="3">
        <v>1</v>
      </c>
      <c r="N148" s="3">
        <v>13537.442999999999</v>
      </c>
      <c r="O148" s="3">
        <v>1.023974763919597E-3</v>
      </c>
      <c r="P148" s="3">
        <v>0.95</v>
      </c>
      <c r="Q148" s="3"/>
      <c r="R148" s="3"/>
      <c r="S148" s="3"/>
    </row>
    <row r="149" spans="1:19" x14ac:dyDescent="0.25">
      <c r="A149" s="3" t="s">
        <v>200</v>
      </c>
      <c r="B149" s="3"/>
      <c r="C149" s="3"/>
      <c r="D149" s="3"/>
      <c r="E149" s="3"/>
      <c r="F149" s="3">
        <v>0.54053240740740738</v>
      </c>
      <c r="G149" s="3" t="s">
        <v>65</v>
      </c>
      <c r="H149" s="3">
        <v>0</v>
      </c>
      <c r="I149" s="3">
        <v>0.93</v>
      </c>
      <c r="J149" s="3" t="s">
        <v>66</v>
      </c>
      <c r="K149" s="3" t="s">
        <v>25</v>
      </c>
      <c r="L149" s="3">
        <v>209064.56299999999</v>
      </c>
      <c r="M149" s="3">
        <v>1</v>
      </c>
      <c r="N149" s="3">
        <v>3727.3290000000002</v>
      </c>
      <c r="O149" s="3">
        <v>56.089645695349134</v>
      </c>
      <c r="P149" s="3">
        <v>0.95</v>
      </c>
      <c r="Q149" s="3"/>
      <c r="R149" s="3"/>
      <c r="S149" s="3"/>
    </row>
    <row r="150" spans="1:19" x14ac:dyDescent="0.25">
      <c r="A150" s="3" t="s">
        <v>201</v>
      </c>
      <c r="B150" s="3"/>
      <c r="C150" s="3"/>
      <c r="D150" s="3"/>
      <c r="E150" s="3"/>
      <c r="F150" s="3">
        <v>0.5423958333333333</v>
      </c>
      <c r="G150" s="3" t="s">
        <v>65</v>
      </c>
      <c r="H150" s="3">
        <v>0</v>
      </c>
      <c r="I150" s="3">
        <v>0.93</v>
      </c>
      <c r="J150" s="3" t="s">
        <v>66</v>
      </c>
      <c r="K150" s="3" t="s">
        <v>25</v>
      </c>
      <c r="L150" s="3">
        <v>216528.484</v>
      </c>
      <c r="M150" s="3">
        <v>1</v>
      </c>
      <c r="N150" s="3">
        <v>3337.8679999999999</v>
      </c>
      <c r="O150" s="3">
        <v>64.87029564979801</v>
      </c>
      <c r="P150" s="3">
        <v>0.95</v>
      </c>
      <c r="Q150" s="3"/>
      <c r="R150" s="3"/>
      <c r="S150" s="3"/>
    </row>
    <row r="151" spans="1:19" x14ac:dyDescent="0.25">
      <c r="A151" s="3" t="s">
        <v>202</v>
      </c>
      <c r="B151" s="3"/>
      <c r="C151" s="3"/>
      <c r="D151" s="3"/>
      <c r="E151" s="3"/>
      <c r="F151" s="3">
        <v>0.54427083333333337</v>
      </c>
      <c r="G151" s="3" t="s">
        <v>65</v>
      </c>
      <c r="H151" s="3">
        <v>0</v>
      </c>
      <c r="I151" s="3">
        <v>0.93</v>
      </c>
      <c r="J151" s="3" t="s">
        <v>66</v>
      </c>
      <c r="K151" s="3" t="s">
        <v>25</v>
      </c>
      <c r="L151" s="3">
        <v>238245.34400000001</v>
      </c>
      <c r="M151" s="3">
        <v>1</v>
      </c>
      <c r="N151" s="3">
        <v>3989.4859999999999</v>
      </c>
      <c r="O151" s="3">
        <v>59.71830556618071</v>
      </c>
      <c r="P151" s="3">
        <v>0.95</v>
      </c>
      <c r="Q151" s="3"/>
      <c r="R151" s="3"/>
      <c r="S151" s="3"/>
    </row>
    <row r="152" spans="1:19" x14ac:dyDescent="0.25">
      <c r="A152" s="3" t="s">
        <v>188</v>
      </c>
      <c r="B152" s="3"/>
      <c r="C152" s="3"/>
      <c r="D152" s="3"/>
      <c r="E152" s="3"/>
      <c r="F152" s="3">
        <v>0.51803240740740741</v>
      </c>
      <c r="G152" s="3" t="s">
        <v>65</v>
      </c>
      <c r="H152" s="3">
        <v>0</v>
      </c>
      <c r="I152" s="3">
        <v>0.93</v>
      </c>
      <c r="J152" s="3" t="s">
        <v>66</v>
      </c>
      <c r="K152" s="3" t="s">
        <v>25</v>
      </c>
      <c r="L152" s="3">
        <v>27595.785</v>
      </c>
      <c r="M152" s="3">
        <v>1</v>
      </c>
      <c r="N152" s="3">
        <v>3595.4180000000001</v>
      </c>
      <c r="O152" s="3">
        <v>7.6752647397326257</v>
      </c>
      <c r="P152" s="3">
        <v>0.95</v>
      </c>
      <c r="Q152" s="3"/>
      <c r="R152" s="3"/>
      <c r="S152" s="3"/>
    </row>
    <row r="153" spans="1:19" x14ac:dyDescent="0.25">
      <c r="A153" s="3" t="s">
        <v>189</v>
      </c>
      <c r="B153" s="3"/>
      <c r="C153" s="3"/>
      <c r="D153" s="3"/>
      <c r="E153" s="3"/>
      <c r="F153" s="3">
        <v>0.51990740740740737</v>
      </c>
      <c r="G153" s="3" t="s">
        <v>65</v>
      </c>
      <c r="H153" s="3">
        <v>0</v>
      </c>
      <c r="I153" s="3">
        <v>0.93</v>
      </c>
      <c r="J153" s="3" t="s">
        <v>66</v>
      </c>
      <c r="K153" s="3" t="s">
        <v>25</v>
      </c>
      <c r="L153" s="3">
        <v>26547.664000000001</v>
      </c>
      <c r="M153" s="3">
        <v>1</v>
      </c>
      <c r="N153" s="3">
        <v>3791.29</v>
      </c>
      <c r="O153" s="3">
        <v>7.0022773251320789</v>
      </c>
      <c r="P153" s="3">
        <v>0.94</v>
      </c>
      <c r="Q153" s="3"/>
      <c r="R153" s="3"/>
      <c r="S153" s="3"/>
    </row>
    <row r="154" spans="1:19" x14ac:dyDescent="0.25">
      <c r="A154" s="3" t="s">
        <v>190</v>
      </c>
      <c r="B154" s="3"/>
      <c r="C154" s="3"/>
      <c r="D154" s="3"/>
      <c r="E154" s="3"/>
      <c r="F154" s="3">
        <v>0.52178240740740744</v>
      </c>
      <c r="G154" s="3" t="s">
        <v>65</v>
      </c>
      <c r="H154" s="3">
        <v>0</v>
      </c>
      <c r="I154" s="3">
        <v>0.93</v>
      </c>
      <c r="J154" s="3" t="s">
        <v>66</v>
      </c>
      <c r="K154" s="3" t="s">
        <v>25</v>
      </c>
      <c r="L154" s="3">
        <v>27866.601999999999</v>
      </c>
      <c r="M154" s="3">
        <v>1</v>
      </c>
      <c r="N154" s="3">
        <v>3275.3040000000001</v>
      </c>
      <c r="O154" s="3">
        <v>8.5080963476978013</v>
      </c>
      <c r="P154" s="3">
        <v>0.95</v>
      </c>
      <c r="Q154" s="3"/>
      <c r="R154" s="3"/>
      <c r="S154" s="3"/>
    </row>
    <row r="155" spans="1:19" x14ac:dyDescent="0.25">
      <c r="A155" s="3" t="s">
        <v>197</v>
      </c>
      <c r="B155" s="3"/>
      <c r="C155" s="3"/>
      <c r="D155" s="3"/>
      <c r="E155" s="3"/>
      <c r="F155" s="3">
        <v>0.53490740740740739</v>
      </c>
      <c r="G155" s="3" t="s">
        <v>65</v>
      </c>
      <c r="H155" s="3">
        <v>0</v>
      </c>
      <c r="I155" s="3">
        <v>0.93</v>
      </c>
      <c r="J155" s="3" t="s">
        <v>66</v>
      </c>
      <c r="K155" s="3" t="s">
        <v>25</v>
      </c>
      <c r="L155" s="3">
        <v>181947.125</v>
      </c>
      <c r="M155" s="3">
        <v>1</v>
      </c>
      <c r="N155" s="3">
        <v>3172.8780000000002</v>
      </c>
      <c r="O155" s="3">
        <v>57.344507100493615</v>
      </c>
      <c r="P155" s="3">
        <v>0.95</v>
      </c>
      <c r="Q155" s="3"/>
      <c r="R155" s="3"/>
      <c r="S155" s="3"/>
    </row>
    <row r="156" spans="1:19" x14ac:dyDescent="0.25">
      <c r="A156" s="3" t="s">
        <v>198</v>
      </c>
      <c r="B156" s="3"/>
      <c r="C156" s="3"/>
      <c r="D156" s="3"/>
      <c r="E156" s="3"/>
      <c r="F156" s="3">
        <v>0.53677083333333331</v>
      </c>
      <c r="G156" s="3" t="s">
        <v>65</v>
      </c>
      <c r="H156" s="3">
        <v>0</v>
      </c>
      <c r="I156" s="3">
        <v>0.93</v>
      </c>
      <c r="J156" s="3" t="s">
        <v>66</v>
      </c>
      <c r="K156" s="3" t="s">
        <v>25</v>
      </c>
      <c r="L156" s="3">
        <v>165607.57800000001</v>
      </c>
      <c r="M156" s="3">
        <v>1</v>
      </c>
      <c r="N156" s="3">
        <v>3004.7579999999998</v>
      </c>
      <c r="O156" s="3">
        <v>55.115113430099868</v>
      </c>
      <c r="P156" s="3">
        <v>0.95</v>
      </c>
      <c r="Q156" s="3"/>
      <c r="R156" s="3"/>
      <c r="S156" s="3"/>
    </row>
    <row r="157" spans="1:19" x14ac:dyDescent="0.25">
      <c r="A157" s="3" t="s">
        <v>199</v>
      </c>
      <c r="B157" s="3"/>
      <c r="C157" s="3"/>
      <c r="D157" s="3"/>
      <c r="E157" s="3"/>
      <c r="F157" s="3">
        <v>0.53864583333333338</v>
      </c>
      <c r="G157" s="3" t="s">
        <v>65</v>
      </c>
      <c r="H157" s="3">
        <v>0</v>
      </c>
      <c r="I157" s="3">
        <v>0.93</v>
      </c>
      <c r="J157" s="3" t="s">
        <v>66</v>
      </c>
      <c r="K157" s="3" t="s">
        <v>25</v>
      </c>
      <c r="L157" s="3">
        <v>168785.53099999999</v>
      </c>
      <c r="M157" s="3">
        <v>1</v>
      </c>
      <c r="N157" s="3">
        <v>3072.1350000000002</v>
      </c>
      <c r="O157" s="3">
        <v>54.940792315441861</v>
      </c>
      <c r="P157" s="3">
        <v>0.95</v>
      </c>
      <c r="Q157" s="3"/>
      <c r="R157" s="3"/>
      <c r="S157" s="3"/>
    </row>
    <row r="158" spans="1:19" x14ac:dyDescent="0.25">
      <c r="A158" s="3" t="s">
        <v>194</v>
      </c>
      <c r="B158" s="3"/>
      <c r="C158" s="3"/>
      <c r="D158" s="3"/>
      <c r="E158" s="3"/>
      <c r="F158" s="3">
        <v>0.5292824074074074</v>
      </c>
      <c r="G158" s="3" t="s">
        <v>65</v>
      </c>
      <c r="H158" s="3">
        <v>0</v>
      </c>
      <c r="I158" s="3">
        <v>0.93</v>
      </c>
      <c r="J158" s="3" t="s">
        <v>66</v>
      </c>
      <c r="K158" s="3" t="s">
        <v>25</v>
      </c>
      <c r="L158" s="3">
        <v>121833.602</v>
      </c>
      <c r="M158" s="3">
        <v>1</v>
      </c>
      <c r="N158" s="3">
        <v>3395.2130000000002</v>
      </c>
      <c r="O158" s="3">
        <v>35.88393482235135</v>
      </c>
      <c r="P158" s="3">
        <v>0.95</v>
      </c>
      <c r="Q158" s="3"/>
      <c r="R158" s="3"/>
      <c r="S158" s="3"/>
    </row>
    <row r="159" spans="1:19" x14ac:dyDescent="0.25">
      <c r="A159" s="3" t="s">
        <v>195</v>
      </c>
      <c r="B159" s="3"/>
      <c r="C159" s="3"/>
      <c r="D159" s="3"/>
      <c r="E159" s="3"/>
      <c r="F159" s="3">
        <v>0.53115740740740736</v>
      </c>
      <c r="G159" s="3" t="s">
        <v>65</v>
      </c>
      <c r="H159" s="3">
        <v>0</v>
      </c>
      <c r="I159" s="3">
        <v>0.93</v>
      </c>
      <c r="J159" s="3" t="s">
        <v>66</v>
      </c>
      <c r="K159" s="3" t="s">
        <v>25</v>
      </c>
      <c r="L159" s="3">
        <v>130298.727</v>
      </c>
      <c r="M159" s="3">
        <v>1</v>
      </c>
      <c r="N159" s="3">
        <v>2905.9349999999999</v>
      </c>
      <c r="O159" s="3">
        <v>44.838830531309199</v>
      </c>
      <c r="P159" s="3">
        <v>0.95</v>
      </c>
      <c r="Q159" s="3"/>
      <c r="R159" s="3"/>
      <c r="S159" s="3"/>
    </row>
    <row r="160" spans="1:19" x14ac:dyDescent="0.25">
      <c r="A160" s="3" t="s">
        <v>196</v>
      </c>
      <c r="B160" s="3"/>
      <c r="C160" s="3"/>
      <c r="D160" s="3"/>
      <c r="E160" s="3"/>
      <c r="F160" s="3">
        <v>0.53303240740740743</v>
      </c>
      <c r="G160" s="3" t="s">
        <v>65</v>
      </c>
      <c r="H160" s="3">
        <v>0</v>
      </c>
      <c r="I160" s="3">
        <v>0.93</v>
      </c>
      <c r="J160" s="3" t="s">
        <v>66</v>
      </c>
      <c r="K160" s="3" t="s">
        <v>25</v>
      </c>
      <c r="L160" s="3">
        <v>125825.93799999999</v>
      </c>
      <c r="M160" s="3">
        <v>1</v>
      </c>
      <c r="N160" s="3">
        <v>3170.3829999999998</v>
      </c>
      <c r="O160" s="3">
        <v>39.687929817943136</v>
      </c>
      <c r="P160" s="3">
        <v>0.95</v>
      </c>
      <c r="Q160" s="3"/>
      <c r="R160" s="3"/>
      <c r="S160" s="3"/>
    </row>
    <row r="161" spans="1:19" x14ac:dyDescent="0.25">
      <c r="A161" s="3" t="s">
        <v>191</v>
      </c>
      <c r="B161" s="3"/>
      <c r="C161" s="3"/>
      <c r="D161" s="3"/>
      <c r="E161" s="3"/>
      <c r="F161" s="3">
        <v>0.5236574074074074</v>
      </c>
      <c r="G161" s="3" t="s">
        <v>65</v>
      </c>
      <c r="H161" s="3">
        <v>0</v>
      </c>
      <c r="I161" s="3">
        <v>0.93</v>
      </c>
      <c r="J161" s="3" t="s">
        <v>66</v>
      </c>
      <c r="K161" s="3" t="s">
        <v>25</v>
      </c>
      <c r="L161" s="3">
        <v>74927.914000000004</v>
      </c>
      <c r="M161" s="3">
        <v>1</v>
      </c>
      <c r="N161" s="3">
        <v>2478.1390000000001</v>
      </c>
      <c r="O161" s="3">
        <v>30.235557408200268</v>
      </c>
      <c r="P161" s="3">
        <v>0.95</v>
      </c>
      <c r="Q161" s="3"/>
      <c r="R161" s="3"/>
      <c r="S161" s="3"/>
    </row>
    <row r="162" spans="1:19" x14ac:dyDescent="0.25">
      <c r="A162" s="3" t="s">
        <v>192</v>
      </c>
      <c r="B162" s="3"/>
      <c r="C162" s="3"/>
      <c r="D162" s="3"/>
      <c r="E162" s="3"/>
      <c r="F162" s="3">
        <v>0.52553240740740736</v>
      </c>
      <c r="G162" s="3" t="s">
        <v>65</v>
      </c>
      <c r="H162" s="3">
        <v>0</v>
      </c>
      <c r="I162" s="3">
        <v>0.93</v>
      </c>
      <c r="J162" s="3" t="s">
        <v>66</v>
      </c>
      <c r="K162" s="3" t="s">
        <v>25</v>
      </c>
      <c r="L162" s="3">
        <v>75039.804999999993</v>
      </c>
      <c r="M162" s="3">
        <v>1</v>
      </c>
      <c r="N162" s="3">
        <v>2939.2089999999998</v>
      </c>
      <c r="O162" s="3">
        <v>25.530612147690075</v>
      </c>
      <c r="P162" s="3">
        <v>0.95</v>
      </c>
      <c r="Q162" s="3"/>
      <c r="R162" s="3"/>
      <c r="S162" s="3"/>
    </row>
    <row r="163" spans="1:19" x14ac:dyDescent="0.25">
      <c r="A163" s="3" t="s">
        <v>193</v>
      </c>
      <c r="B163" s="3"/>
      <c r="C163" s="3"/>
      <c r="D163" s="3"/>
      <c r="E163" s="3"/>
      <c r="F163" s="3">
        <v>0.52740740740740744</v>
      </c>
      <c r="G163" s="3" t="s">
        <v>65</v>
      </c>
      <c r="H163" s="3">
        <v>0</v>
      </c>
      <c r="I163" s="3">
        <v>0.93</v>
      </c>
      <c r="J163" s="3" t="s">
        <v>66</v>
      </c>
      <c r="K163" s="3" t="s">
        <v>25</v>
      </c>
      <c r="L163" s="3">
        <v>71674.976999999999</v>
      </c>
      <c r="M163" s="3">
        <v>1</v>
      </c>
      <c r="N163" s="3">
        <v>3077.239</v>
      </c>
      <c r="O163" s="3">
        <v>23.291976021362007</v>
      </c>
      <c r="P163" s="3">
        <v>0.95</v>
      </c>
      <c r="Q163" s="3"/>
      <c r="R163" s="3"/>
      <c r="S163" s="3"/>
    </row>
    <row r="164" spans="1:19" x14ac:dyDescent="0.25">
      <c r="A164" s="3" t="s">
        <v>60</v>
      </c>
      <c r="B164" s="3"/>
      <c r="C164" s="3"/>
      <c r="D164" s="3"/>
      <c r="E164" s="3"/>
      <c r="F164" s="3">
        <v>0.71582175925925917</v>
      </c>
      <c r="G164" s="3" t="s">
        <v>67</v>
      </c>
      <c r="H164" s="3">
        <v>0</v>
      </c>
      <c r="I164" s="3">
        <v>0.93</v>
      </c>
      <c r="J164" s="3" t="s">
        <v>68</v>
      </c>
      <c r="K164" s="3" t="s">
        <v>25</v>
      </c>
      <c r="L164" s="3">
        <v>0.36599999999999999</v>
      </c>
      <c r="M164" s="3">
        <v>1</v>
      </c>
      <c r="N164" s="3">
        <v>12948.120999999999</v>
      </c>
      <c r="O164" s="3">
        <v>2.8266649655189352E-5</v>
      </c>
      <c r="P164" s="3">
        <v>1.02</v>
      </c>
      <c r="Q164" s="3"/>
      <c r="R164" s="3"/>
      <c r="S164" s="3"/>
    </row>
    <row r="165" spans="1:19" x14ac:dyDescent="0.25">
      <c r="A165" s="3" t="s">
        <v>63</v>
      </c>
      <c r="B165" s="3"/>
      <c r="C165" s="3"/>
      <c r="D165" s="3"/>
      <c r="E165" s="3"/>
      <c r="F165" s="3">
        <v>0.71770833333333339</v>
      </c>
      <c r="G165" s="3" t="s">
        <v>67</v>
      </c>
      <c r="H165" s="3">
        <v>0</v>
      </c>
      <c r="I165" s="3">
        <v>0.93</v>
      </c>
      <c r="J165" s="3" t="s">
        <v>68</v>
      </c>
      <c r="K165" s="3" t="s">
        <v>25</v>
      </c>
      <c r="L165" s="3">
        <v>6.4530000000000003</v>
      </c>
      <c r="M165" s="3">
        <v>1</v>
      </c>
      <c r="N165" s="3">
        <v>14433.352999999999</v>
      </c>
      <c r="O165" s="3">
        <v>4.4708946008595513E-4</v>
      </c>
      <c r="P165" s="3">
        <v>1.02</v>
      </c>
      <c r="Q165" s="3"/>
      <c r="R165" s="3"/>
      <c r="S165" s="3"/>
    </row>
    <row r="166" spans="1:19" x14ac:dyDescent="0.25">
      <c r="A166" s="3" t="s">
        <v>64</v>
      </c>
      <c r="B166" s="3"/>
      <c r="C166" s="3"/>
      <c r="D166" s="3"/>
      <c r="E166" s="3"/>
      <c r="F166" s="3">
        <v>0.71958333333333335</v>
      </c>
      <c r="G166" s="3" t="s">
        <v>67</v>
      </c>
      <c r="H166" s="3">
        <v>0</v>
      </c>
      <c r="I166" s="3">
        <v>0.93</v>
      </c>
      <c r="J166" s="3" t="s">
        <v>68</v>
      </c>
      <c r="K166" s="3" t="s">
        <v>23</v>
      </c>
      <c r="L166" s="3">
        <v>4.2999999999999997E-2</v>
      </c>
      <c r="M166" s="3">
        <v>1</v>
      </c>
      <c r="N166" s="3">
        <v>13537.442999999999</v>
      </c>
      <c r="O166" s="3">
        <v>3.1763753317373153E-6</v>
      </c>
      <c r="P166" s="3">
        <v>1.02</v>
      </c>
      <c r="Q166" s="3"/>
      <c r="R166" s="3"/>
      <c r="S166" s="3"/>
    </row>
    <row r="167" spans="1:19" x14ac:dyDescent="0.25">
      <c r="A167" s="3" t="s">
        <v>140</v>
      </c>
      <c r="B167" s="3"/>
      <c r="C167" s="3"/>
      <c r="D167" s="3"/>
      <c r="E167" s="3"/>
      <c r="F167" s="3">
        <v>0.69060185185185186</v>
      </c>
      <c r="G167" s="3" t="s">
        <v>67</v>
      </c>
      <c r="H167" s="3">
        <v>0</v>
      </c>
      <c r="I167" s="3">
        <v>0.93</v>
      </c>
      <c r="J167" s="3" t="s">
        <v>68</v>
      </c>
      <c r="K167" s="3" t="s">
        <v>25</v>
      </c>
      <c r="L167" s="3">
        <v>37513.866999999998</v>
      </c>
      <c r="M167" s="3">
        <v>1</v>
      </c>
      <c r="N167" s="3">
        <v>3067.52</v>
      </c>
      <c r="O167" s="3">
        <v>12.22937975954517</v>
      </c>
      <c r="P167" s="3">
        <v>1.02</v>
      </c>
      <c r="Q167" s="3"/>
      <c r="R167" s="3"/>
      <c r="S167" s="3"/>
    </row>
    <row r="168" spans="1:19" x14ac:dyDescent="0.25">
      <c r="A168" s="3" t="s">
        <v>141</v>
      </c>
      <c r="B168" s="3"/>
      <c r="C168" s="3"/>
      <c r="D168" s="3"/>
      <c r="E168" s="3"/>
      <c r="F168" s="3">
        <v>0.69247685185185182</v>
      </c>
      <c r="G168" s="3" t="s">
        <v>67</v>
      </c>
      <c r="H168" s="3">
        <v>0</v>
      </c>
      <c r="I168" s="3">
        <v>0.93</v>
      </c>
      <c r="J168" s="3" t="s">
        <v>68</v>
      </c>
      <c r="K168" s="3" t="s">
        <v>25</v>
      </c>
      <c r="L168" s="3">
        <v>45881.09</v>
      </c>
      <c r="M168" s="3">
        <v>1</v>
      </c>
      <c r="N168" s="3">
        <v>3328.703</v>
      </c>
      <c r="O168" s="3">
        <v>13.78347362321</v>
      </c>
      <c r="P168" s="3">
        <v>1.02</v>
      </c>
      <c r="Q168" s="3"/>
      <c r="R168" s="3"/>
      <c r="S168" s="3"/>
    </row>
    <row r="169" spans="1:19" x14ac:dyDescent="0.25">
      <c r="A169" s="3" t="s">
        <v>142</v>
      </c>
      <c r="B169" s="3"/>
      <c r="C169" s="3"/>
      <c r="D169" s="3"/>
      <c r="E169" s="3"/>
      <c r="F169" s="3">
        <v>0.69435185185185189</v>
      </c>
      <c r="G169" s="3" t="s">
        <v>67</v>
      </c>
      <c r="H169" s="3">
        <v>0</v>
      </c>
      <c r="I169" s="3">
        <v>0.93</v>
      </c>
      <c r="J169" s="3" t="s">
        <v>68</v>
      </c>
      <c r="K169" s="3" t="s">
        <v>25</v>
      </c>
      <c r="L169" s="3">
        <v>37212.32</v>
      </c>
      <c r="M169" s="3">
        <v>1</v>
      </c>
      <c r="N169" s="3">
        <v>3517.136</v>
      </c>
      <c r="O169" s="3">
        <v>10.5802903271298</v>
      </c>
      <c r="P169" s="3">
        <v>1.02</v>
      </c>
      <c r="Q169" s="3"/>
      <c r="R169" s="3"/>
      <c r="S169" s="3"/>
    </row>
    <row r="170" spans="1:19" x14ac:dyDescent="0.25">
      <c r="A170" s="3" t="s">
        <v>128</v>
      </c>
      <c r="B170" s="3"/>
      <c r="C170" s="3"/>
      <c r="D170" s="3"/>
      <c r="E170" s="3"/>
      <c r="F170" s="3">
        <v>0.66812499999999997</v>
      </c>
      <c r="G170" s="3" t="s">
        <v>67</v>
      </c>
      <c r="H170" s="3">
        <v>0</v>
      </c>
      <c r="I170" s="3">
        <v>0.93</v>
      </c>
      <c r="J170" s="3" t="s">
        <v>68</v>
      </c>
      <c r="K170" s="3" t="s">
        <v>25</v>
      </c>
      <c r="L170" s="3">
        <v>22516.565999999999</v>
      </c>
      <c r="M170" s="3">
        <v>1</v>
      </c>
      <c r="N170" s="3">
        <v>3648.9180000000001</v>
      </c>
      <c r="O170" s="3">
        <v>6.1707514391937552</v>
      </c>
      <c r="P170" s="3">
        <v>1.02</v>
      </c>
      <c r="Q170" s="3"/>
      <c r="R170" s="3"/>
      <c r="S170" s="3"/>
    </row>
    <row r="171" spans="1:19" x14ac:dyDescent="0.25">
      <c r="A171" s="3" t="s">
        <v>129</v>
      </c>
      <c r="B171" s="3"/>
      <c r="C171" s="3"/>
      <c r="D171" s="3"/>
      <c r="E171" s="3"/>
      <c r="F171" s="3">
        <v>0.66999999999999993</v>
      </c>
      <c r="G171" s="3" t="s">
        <v>67</v>
      </c>
      <c r="H171" s="3">
        <v>0</v>
      </c>
      <c r="I171" s="3">
        <v>0.93</v>
      </c>
      <c r="J171" s="3" t="s">
        <v>68</v>
      </c>
      <c r="K171" s="3" t="s">
        <v>25</v>
      </c>
      <c r="L171" s="3">
        <v>28688.414000000001</v>
      </c>
      <c r="M171" s="3">
        <v>1</v>
      </c>
      <c r="N171" s="3">
        <v>3551.3069999999998</v>
      </c>
      <c r="O171" s="3">
        <v>8.0782692118704471</v>
      </c>
      <c r="P171" s="3">
        <v>1.02</v>
      </c>
      <c r="Q171" s="3"/>
      <c r="R171" s="3"/>
      <c r="S171" s="3"/>
    </row>
    <row r="172" spans="1:19" x14ac:dyDescent="0.25">
      <c r="A172" s="3" t="s">
        <v>130</v>
      </c>
      <c r="B172" s="3"/>
      <c r="C172" s="3"/>
      <c r="D172" s="3"/>
      <c r="E172" s="3"/>
      <c r="F172" s="3">
        <v>0.671875</v>
      </c>
      <c r="G172" s="3" t="s">
        <v>67</v>
      </c>
      <c r="H172" s="3">
        <v>0</v>
      </c>
      <c r="I172" s="3">
        <v>0.93</v>
      </c>
      <c r="J172" s="3" t="s">
        <v>68</v>
      </c>
      <c r="K172" s="3" t="s">
        <v>25</v>
      </c>
      <c r="L172" s="3">
        <v>23698.49</v>
      </c>
      <c r="M172" s="3">
        <v>1</v>
      </c>
      <c r="N172" s="3">
        <v>3723.431</v>
      </c>
      <c r="O172" s="3">
        <v>6.3646915976152103</v>
      </c>
      <c r="P172" s="3">
        <v>1.02</v>
      </c>
      <c r="Q172" s="3"/>
      <c r="R172" s="3"/>
      <c r="S172" s="3"/>
    </row>
    <row r="173" spans="1:19" x14ac:dyDescent="0.25">
      <c r="A173" s="3" t="s">
        <v>137</v>
      </c>
      <c r="B173" s="3"/>
      <c r="C173" s="3"/>
      <c r="D173" s="3"/>
      <c r="E173" s="3"/>
      <c r="F173" s="3">
        <v>0.6849884259259259</v>
      </c>
      <c r="G173" s="3" t="s">
        <v>67</v>
      </c>
      <c r="H173" s="3">
        <v>0</v>
      </c>
      <c r="I173" s="3">
        <v>0.93</v>
      </c>
      <c r="J173" s="3" t="s">
        <v>68</v>
      </c>
      <c r="K173" s="3" t="s">
        <v>25</v>
      </c>
      <c r="L173" s="3">
        <v>54226.964999999997</v>
      </c>
      <c r="M173" s="3">
        <v>1</v>
      </c>
      <c r="N173" s="3">
        <v>3235.9679999999998</v>
      </c>
      <c r="O173" s="3">
        <v>16.757571459297495</v>
      </c>
      <c r="P173" s="3">
        <v>1.02</v>
      </c>
      <c r="Q173" s="3"/>
      <c r="R173" s="3"/>
      <c r="S173" s="3"/>
    </row>
    <row r="174" spans="1:19" x14ac:dyDescent="0.25">
      <c r="A174" s="3" t="s">
        <v>138</v>
      </c>
      <c r="B174" s="3"/>
      <c r="C174" s="3"/>
      <c r="D174" s="3"/>
      <c r="E174" s="3"/>
      <c r="F174" s="3">
        <v>0.68686342592592586</v>
      </c>
      <c r="G174" s="3" t="s">
        <v>67</v>
      </c>
      <c r="H174" s="3">
        <v>0</v>
      </c>
      <c r="I174" s="3">
        <v>0.93</v>
      </c>
      <c r="J174" s="3" t="s">
        <v>68</v>
      </c>
      <c r="K174" s="3" t="s">
        <v>25</v>
      </c>
      <c r="L174" s="3">
        <v>56058.535000000003</v>
      </c>
      <c r="M174" s="3">
        <v>1</v>
      </c>
      <c r="N174" s="3">
        <v>3162.3249999999998</v>
      </c>
      <c r="O174" s="3">
        <v>17.726999913038668</v>
      </c>
      <c r="P174" s="3">
        <v>1.02</v>
      </c>
      <c r="Q174" s="3"/>
      <c r="R174" s="3"/>
      <c r="S174" s="3"/>
    </row>
    <row r="175" spans="1:19" x14ac:dyDescent="0.25">
      <c r="A175" s="3" t="s">
        <v>139</v>
      </c>
      <c r="B175" s="3"/>
      <c r="C175" s="3"/>
      <c r="D175" s="3"/>
      <c r="E175" s="3"/>
      <c r="F175" s="3">
        <v>0.68873842592592593</v>
      </c>
      <c r="G175" s="3" t="s">
        <v>67</v>
      </c>
      <c r="H175" s="3">
        <v>0</v>
      </c>
      <c r="I175" s="3">
        <v>0.93</v>
      </c>
      <c r="J175" s="3" t="s">
        <v>68</v>
      </c>
      <c r="K175" s="3" t="s">
        <v>25</v>
      </c>
      <c r="L175" s="3">
        <v>43628.940999999999</v>
      </c>
      <c r="M175" s="3">
        <v>1</v>
      </c>
      <c r="N175" s="3">
        <v>3185.1750000000002</v>
      </c>
      <c r="O175" s="3">
        <v>13.697502021082043</v>
      </c>
      <c r="P175" s="3">
        <v>1.02</v>
      </c>
      <c r="Q175" s="3"/>
      <c r="R175" s="3"/>
      <c r="S175" s="3"/>
    </row>
    <row r="176" spans="1:19" x14ac:dyDescent="0.25">
      <c r="A176" s="3" t="s">
        <v>134</v>
      </c>
      <c r="B176" s="3"/>
      <c r="C176" s="3"/>
      <c r="D176" s="3"/>
      <c r="E176" s="3"/>
      <c r="F176" s="3">
        <v>0.67936342592592591</v>
      </c>
      <c r="G176" s="3" t="s">
        <v>67</v>
      </c>
      <c r="H176" s="3">
        <v>0</v>
      </c>
      <c r="I176" s="3">
        <v>0.93</v>
      </c>
      <c r="J176" s="3" t="s">
        <v>68</v>
      </c>
      <c r="K176" s="3" t="s">
        <v>25</v>
      </c>
      <c r="L176" s="3">
        <v>39826.273000000001</v>
      </c>
      <c r="M176" s="3">
        <v>1</v>
      </c>
      <c r="N176" s="3">
        <v>3750.672</v>
      </c>
      <c r="O176" s="3">
        <v>10.618436642820274</v>
      </c>
      <c r="P176" s="3">
        <v>1.02</v>
      </c>
      <c r="Q176" s="3"/>
      <c r="R176" s="3"/>
      <c r="S176" s="3"/>
    </row>
    <row r="177" spans="1:19" x14ac:dyDescent="0.25">
      <c r="A177" s="3" t="s">
        <v>135</v>
      </c>
      <c r="B177" s="3"/>
      <c r="C177" s="3"/>
      <c r="D177" s="3"/>
      <c r="E177" s="3"/>
      <c r="F177" s="3">
        <v>0.68123842592592598</v>
      </c>
      <c r="G177" s="3" t="s">
        <v>67</v>
      </c>
      <c r="H177" s="3">
        <v>0</v>
      </c>
      <c r="I177" s="3">
        <v>0.93</v>
      </c>
      <c r="J177" s="3" t="s">
        <v>68</v>
      </c>
      <c r="K177" s="3" t="s">
        <v>25</v>
      </c>
      <c r="L177" s="3">
        <v>47578.523000000001</v>
      </c>
      <c r="M177" s="3">
        <v>1</v>
      </c>
      <c r="N177" s="3">
        <v>3316.951</v>
      </c>
      <c r="O177" s="3">
        <v>14.344053620327825</v>
      </c>
      <c r="P177" s="3">
        <v>1.02</v>
      </c>
      <c r="Q177" s="3"/>
      <c r="R177" s="3"/>
      <c r="S177" s="3"/>
    </row>
    <row r="178" spans="1:19" x14ac:dyDescent="0.25">
      <c r="A178" s="3" t="s">
        <v>136</v>
      </c>
      <c r="B178" s="3"/>
      <c r="C178" s="3"/>
      <c r="D178" s="3"/>
      <c r="E178" s="3"/>
      <c r="F178" s="3">
        <v>0.68311342592592583</v>
      </c>
      <c r="G178" s="3" t="s">
        <v>67</v>
      </c>
      <c r="H178" s="3">
        <v>0</v>
      </c>
      <c r="I178" s="3">
        <v>0.93</v>
      </c>
      <c r="J178" s="3" t="s">
        <v>68</v>
      </c>
      <c r="K178" s="3" t="s">
        <v>25</v>
      </c>
      <c r="L178" s="3">
        <v>44577.84</v>
      </c>
      <c r="M178" s="3">
        <v>1</v>
      </c>
      <c r="N178" s="3">
        <v>2716.2159999999999</v>
      </c>
      <c r="O178" s="3">
        <v>16.411743395959672</v>
      </c>
      <c r="P178" s="3">
        <v>1.02</v>
      </c>
      <c r="Q178" s="3"/>
      <c r="R178" s="3"/>
      <c r="S178" s="3"/>
    </row>
    <row r="179" spans="1:19" x14ac:dyDescent="0.25">
      <c r="A179" s="3" t="s">
        <v>131</v>
      </c>
      <c r="B179" s="3"/>
      <c r="C179" s="3"/>
      <c r="D179" s="3"/>
      <c r="E179" s="3"/>
      <c r="F179" s="3">
        <v>0.67375000000000007</v>
      </c>
      <c r="G179" s="3" t="s">
        <v>67</v>
      </c>
      <c r="H179" s="3">
        <v>0</v>
      </c>
      <c r="I179" s="3">
        <v>0.93</v>
      </c>
      <c r="J179" s="3" t="s">
        <v>68</v>
      </c>
      <c r="K179" s="3" t="s">
        <v>25</v>
      </c>
      <c r="L179" s="3">
        <v>41668.241999999998</v>
      </c>
      <c r="M179" s="3">
        <v>1</v>
      </c>
      <c r="N179" s="3">
        <v>3065.1610000000001</v>
      </c>
      <c r="O179" s="3">
        <v>13.594144646888042</v>
      </c>
      <c r="P179" s="3">
        <v>1.02</v>
      </c>
      <c r="Q179" s="3"/>
      <c r="R179" s="3"/>
      <c r="S179" s="3"/>
    </row>
    <row r="180" spans="1:19" x14ac:dyDescent="0.25">
      <c r="A180" s="3" t="s">
        <v>132</v>
      </c>
      <c r="B180" s="3"/>
      <c r="C180" s="3"/>
      <c r="D180" s="3"/>
      <c r="E180" s="3"/>
      <c r="F180" s="3">
        <v>0.67561342592592588</v>
      </c>
      <c r="G180" s="3" t="s">
        <v>67</v>
      </c>
      <c r="H180" s="3">
        <v>0</v>
      </c>
      <c r="I180" s="3">
        <v>0.93</v>
      </c>
      <c r="J180" s="3" t="s">
        <v>68</v>
      </c>
      <c r="K180" s="3" t="s">
        <v>25</v>
      </c>
      <c r="L180" s="3">
        <v>47456.52</v>
      </c>
      <c r="M180" s="3">
        <v>1</v>
      </c>
      <c r="N180" s="3">
        <v>3201.2939999999999</v>
      </c>
      <c r="O180" s="3">
        <v>14.82416797707427</v>
      </c>
      <c r="P180" s="3">
        <v>1.02</v>
      </c>
      <c r="Q180" s="3"/>
      <c r="R180" s="3"/>
      <c r="S180" s="3"/>
    </row>
    <row r="181" spans="1:19" x14ac:dyDescent="0.25">
      <c r="A181" s="3" t="s">
        <v>133</v>
      </c>
      <c r="B181" s="3"/>
      <c r="C181" s="3"/>
      <c r="D181" s="3"/>
      <c r="E181" s="3"/>
      <c r="F181" s="3">
        <v>0.67748842592592595</v>
      </c>
      <c r="G181" s="3" t="s">
        <v>67</v>
      </c>
      <c r="H181" s="3">
        <v>0</v>
      </c>
      <c r="I181" s="3">
        <v>0.93</v>
      </c>
      <c r="J181" s="3" t="s">
        <v>68</v>
      </c>
      <c r="K181" s="3" t="s">
        <v>25</v>
      </c>
      <c r="L181" s="3">
        <v>43458.152000000002</v>
      </c>
      <c r="M181" s="3">
        <v>1</v>
      </c>
      <c r="N181" s="3">
        <v>3009.4070000000002</v>
      </c>
      <c r="O181" s="3">
        <v>14.440769227957535</v>
      </c>
      <c r="P181" s="3">
        <v>1.02</v>
      </c>
      <c r="Q181" s="3"/>
      <c r="R181" s="3"/>
      <c r="S181" s="3"/>
    </row>
    <row r="182" spans="1:19" x14ac:dyDescent="0.25">
      <c r="A182" s="3" t="s">
        <v>60</v>
      </c>
      <c r="B182" s="3"/>
      <c r="C182" s="3"/>
      <c r="D182" s="3"/>
      <c r="E182" s="3"/>
      <c r="F182" s="3">
        <v>0.71582175925925917</v>
      </c>
      <c r="G182" s="3" t="s">
        <v>84</v>
      </c>
      <c r="H182" s="3">
        <v>0</v>
      </c>
      <c r="I182" s="3">
        <v>0.93</v>
      </c>
      <c r="J182" s="3" t="s">
        <v>85</v>
      </c>
      <c r="K182" s="3" t="s">
        <v>23</v>
      </c>
      <c r="L182" s="3">
        <v>15.331</v>
      </c>
      <c r="M182" s="3">
        <v>1</v>
      </c>
      <c r="N182" s="3">
        <v>12948.120999999999</v>
      </c>
      <c r="O182" s="3">
        <v>1.1840328029063059E-3</v>
      </c>
      <c r="P182" s="3">
        <v>1.24</v>
      </c>
      <c r="Q182" s="3"/>
      <c r="R182" s="3"/>
      <c r="S182" s="3"/>
    </row>
    <row r="183" spans="1:19" x14ac:dyDescent="0.25">
      <c r="A183" s="3" t="s">
        <v>63</v>
      </c>
      <c r="B183" s="3"/>
      <c r="C183" s="3"/>
      <c r="D183" s="3"/>
      <c r="E183" s="3"/>
      <c r="F183" s="3">
        <v>0.71770833333333339</v>
      </c>
      <c r="G183" s="3" t="s">
        <v>84</v>
      </c>
      <c r="H183" s="3">
        <v>0</v>
      </c>
      <c r="I183" s="3">
        <v>0.93</v>
      </c>
      <c r="J183" s="3" t="s">
        <v>85</v>
      </c>
      <c r="K183" s="3" t="s">
        <v>23</v>
      </c>
      <c r="L183" s="3">
        <v>2.964</v>
      </c>
      <c r="M183" s="3">
        <v>1</v>
      </c>
      <c r="N183" s="3">
        <v>14433.352999999999</v>
      </c>
      <c r="O183" s="3">
        <v>2.0535768784980178E-4</v>
      </c>
      <c r="P183" s="3">
        <v>1.26</v>
      </c>
      <c r="Q183" s="3"/>
      <c r="R183" s="3"/>
      <c r="S183" s="3"/>
    </row>
    <row r="184" spans="1:19" x14ac:dyDescent="0.25">
      <c r="A184" s="3" t="s">
        <v>64</v>
      </c>
      <c r="B184" s="3"/>
      <c r="C184" s="3"/>
      <c r="D184" s="3"/>
      <c r="E184" s="3"/>
      <c r="F184" s="3">
        <v>0.71958333333333335</v>
      </c>
      <c r="G184" s="3" t="s">
        <v>84</v>
      </c>
      <c r="H184" s="3">
        <v>0</v>
      </c>
      <c r="I184" s="3">
        <v>0.93</v>
      </c>
      <c r="J184" s="3" t="s">
        <v>85</v>
      </c>
      <c r="K184" s="3" t="s">
        <v>23</v>
      </c>
      <c r="L184" s="3">
        <v>1.7999999999999999E-2</v>
      </c>
      <c r="M184" s="3">
        <v>1</v>
      </c>
      <c r="N184" s="3">
        <v>13537.442999999999</v>
      </c>
      <c r="O184" s="3">
        <v>1.3296454877039925E-6</v>
      </c>
      <c r="P184" s="3">
        <v>1.28</v>
      </c>
      <c r="Q184" s="3"/>
      <c r="R184" s="3"/>
      <c r="S184" s="3"/>
    </row>
    <row r="185" spans="1:19" x14ac:dyDescent="0.25">
      <c r="A185" s="3" t="s">
        <v>170</v>
      </c>
      <c r="B185" s="3"/>
      <c r="C185" s="3"/>
      <c r="D185" s="3"/>
      <c r="E185" s="3"/>
      <c r="F185" s="3">
        <v>0.76565972222222223</v>
      </c>
      <c r="G185" s="3" t="s">
        <v>84</v>
      </c>
      <c r="H185" s="3">
        <v>0</v>
      </c>
      <c r="I185" s="3">
        <v>0.93</v>
      </c>
      <c r="J185" s="3" t="s">
        <v>85</v>
      </c>
      <c r="K185" s="3" t="s">
        <v>25</v>
      </c>
      <c r="L185" s="3">
        <v>151092.68799999999</v>
      </c>
      <c r="M185" s="3">
        <v>1</v>
      </c>
      <c r="N185" s="3">
        <v>4140.692</v>
      </c>
      <c r="O185" s="3">
        <v>36.48971910975267</v>
      </c>
      <c r="P185" s="3">
        <v>1.27</v>
      </c>
      <c r="Q185" s="3"/>
      <c r="R185" s="3"/>
      <c r="S185" s="3"/>
    </row>
    <row r="186" spans="1:19" x14ac:dyDescent="0.25">
      <c r="A186" s="3" t="s">
        <v>171</v>
      </c>
      <c r="B186" s="3"/>
      <c r="C186" s="3"/>
      <c r="D186" s="3"/>
      <c r="E186" s="3"/>
      <c r="F186" s="3">
        <v>0.7675347222222223</v>
      </c>
      <c r="G186" s="3" t="s">
        <v>84</v>
      </c>
      <c r="H186" s="3">
        <v>0</v>
      </c>
      <c r="I186" s="3">
        <v>0.93</v>
      </c>
      <c r="J186" s="3" t="s">
        <v>85</v>
      </c>
      <c r="K186" s="3" t="s">
        <v>25</v>
      </c>
      <c r="L186" s="3">
        <v>152382.95300000001</v>
      </c>
      <c r="M186" s="3">
        <v>1</v>
      </c>
      <c r="N186" s="3">
        <v>4457.4830000000002</v>
      </c>
      <c r="O186" s="3">
        <v>34.185874180563339</v>
      </c>
      <c r="P186" s="3">
        <v>1.27</v>
      </c>
      <c r="Q186" s="3"/>
      <c r="R186" s="3"/>
      <c r="S186" s="3"/>
    </row>
    <row r="187" spans="1:19" x14ac:dyDescent="0.25">
      <c r="A187" s="3" t="s">
        <v>172</v>
      </c>
      <c r="B187" s="3"/>
      <c r="C187" s="3"/>
      <c r="D187" s="3"/>
      <c r="E187" s="3"/>
      <c r="F187" s="3">
        <v>0.76937500000000003</v>
      </c>
      <c r="G187" s="3" t="s">
        <v>84</v>
      </c>
      <c r="H187" s="3">
        <v>0</v>
      </c>
      <c r="I187" s="3">
        <v>0.93</v>
      </c>
      <c r="J187" s="3" t="s">
        <v>85</v>
      </c>
      <c r="K187" s="3" t="s">
        <v>25</v>
      </c>
      <c r="L187" s="3">
        <v>145986.54699999999</v>
      </c>
      <c r="M187" s="3">
        <v>1</v>
      </c>
      <c r="N187" s="3">
        <v>4409.1090000000004</v>
      </c>
      <c r="O187" s="3">
        <v>33.110215011695104</v>
      </c>
      <c r="P187" s="3">
        <v>1.27</v>
      </c>
      <c r="Q187" s="3"/>
      <c r="R187" s="3"/>
      <c r="S187" s="3"/>
    </row>
    <row r="188" spans="1:19" x14ac:dyDescent="0.25">
      <c r="A188" s="3" t="s">
        <v>158</v>
      </c>
      <c r="B188" s="3"/>
      <c r="C188" s="3"/>
      <c r="D188" s="3"/>
      <c r="E188" s="3"/>
      <c r="F188" s="3">
        <v>0.7431712962962963</v>
      </c>
      <c r="G188" s="3" t="s">
        <v>84</v>
      </c>
      <c r="H188" s="3">
        <v>0</v>
      </c>
      <c r="I188" s="3">
        <v>0.93</v>
      </c>
      <c r="J188" s="3" t="s">
        <v>85</v>
      </c>
      <c r="K188" s="3" t="s">
        <v>25</v>
      </c>
      <c r="L188" s="3">
        <v>25866.884999999998</v>
      </c>
      <c r="M188" s="3">
        <v>1</v>
      </c>
      <c r="N188" s="3">
        <v>3571.8359999999998</v>
      </c>
      <c r="O188" s="3">
        <v>7.2419016438604684</v>
      </c>
      <c r="P188" s="3">
        <v>1.27</v>
      </c>
      <c r="Q188" s="3"/>
      <c r="R188" s="3"/>
      <c r="S188" s="3"/>
    </row>
    <row r="189" spans="1:19" x14ac:dyDescent="0.25">
      <c r="A189" s="3" t="s">
        <v>159</v>
      </c>
      <c r="B189" s="3"/>
      <c r="C189" s="3"/>
      <c r="D189" s="3"/>
      <c r="E189" s="3"/>
      <c r="F189" s="3">
        <v>0.74504629629629626</v>
      </c>
      <c r="G189" s="3" t="s">
        <v>84</v>
      </c>
      <c r="H189" s="3">
        <v>0</v>
      </c>
      <c r="I189" s="3">
        <v>0.93</v>
      </c>
      <c r="J189" s="3" t="s">
        <v>85</v>
      </c>
      <c r="K189" s="3" t="s">
        <v>25</v>
      </c>
      <c r="L189" s="3">
        <v>28552.032999999999</v>
      </c>
      <c r="M189" s="3">
        <v>1</v>
      </c>
      <c r="N189" s="3">
        <v>3029.373</v>
      </c>
      <c r="O189" s="3">
        <v>9.42506353624991</v>
      </c>
      <c r="P189" s="3">
        <v>1.27</v>
      </c>
      <c r="Q189" s="3"/>
      <c r="R189" s="3"/>
      <c r="S189" s="3"/>
    </row>
    <row r="190" spans="1:19" x14ac:dyDescent="0.25">
      <c r="A190" s="3" t="s">
        <v>160</v>
      </c>
      <c r="B190" s="3"/>
      <c r="C190" s="3"/>
      <c r="D190" s="3"/>
      <c r="E190" s="3"/>
      <c r="F190" s="3">
        <v>0.74692129629629633</v>
      </c>
      <c r="G190" s="3" t="s">
        <v>84</v>
      </c>
      <c r="H190" s="3">
        <v>0</v>
      </c>
      <c r="I190" s="3">
        <v>0.93</v>
      </c>
      <c r="J190" s="3" t="s">
        <v>85</v>
      </c>
      <c r="K190" s="3" t="s">
        <v>25</v>
      </c>
      <c r="L190" s="3">
        <v>22906.146000000001</v>
      </c>
      <c r="M190" s="3">
        <v>1</v>
      </c>
      <c r="N190" s="3">
        <v>2942.4169999999999</v>
      </c>
      <c r="O190" s="3">
        <v>7.7848061644559561</v>
      </c>
      <c r="P190" s="3">
        <v>1.27</v>
      </c>
      <c r="Q190" s="3"/>
      <c r="R190" s="3"/>
      <c r="S190" s="3"/>
    </row>
    <row r="191" spans="1:19" x14ac:dyDescent="0.25">
      <c r="A191" s="3" t="s">
        <v>167</v>
      </c>
      <c r="B191" s="3"/>
      <c r="C191" s="3"/>
      <c r="D191" s="3"/>
      <c r="E191" s="3"/>
      <c r="F191" s="3">
        <v>0.76003472222222224</v>
      </c>
      <c r="G191" s="3" t="s">
        <v>84</v>
      </c>
      <c r="H191" s="3">
        <v>0</v>
      </c>
      <c r="I191" s="3">
        <v>0.93</v>
      </c>
      <c r="J191" s="3" t="s">
        <v>85</v>
      </c>
      <c r="K191" s="3" t="s">
        <v>25</v>
      </c>
      <c r="L191" s="3">
        <v>100192.516</v>
      </c>
      <c r="M191" s="3">
        <v>1</v>
      </c>
      <c r="N191" s="3">
        <v>3453.19</v>
      </c>
      <c r="O191" s="3">
        <v>29.014481102980142</v>
      </c>
      <c r="P191" s="3">
        <v>1.27</v>
      </c>
      <c r="Q191" s="3"/>
      <c r="R191" s="3"/>
      <c r="S191" s="3"/>
    </row>
    <row r="192" spans="1:19" x14ac:dyDescent="0.25">
      <c r="A192" s="3" t="s">
        <v>168</v>
      </c>
      <c r="B192" s="3"/>
      <c r="C192" s="3"/>
      <c r="D192" s="3"/>
      <c r="E192" s="3"/>
      <c r="F192" s="3">
        <v>0.76192129629629635</v>
      </c>
      <c r="G192" s="3" t="s">
        <v>84</v>
      </c>
      <c r="H192" s="3">
        <v>0</v>
      </c>
      <c r="I192" s="3">
        <v>0.93</v>
      </c>
      <c r="J192" s="3" t="s">
        <v>85</v>
      </c>
      <c r="K192" s="3" t="s">
        <v>25</v>
      </c>
      <c r="L192" s="3">
        <v>107280.117</v>
      </c>
      <c r="M192" s="3">
        <v>1</v>
      </c>
      <c r="N192" s="3">
        <v>3461.6570000000002</v>
      </c>
      <c r="O192" s="3">
        <v>30.990972531362868</v>
      </c>
      <c r="P192" s="3">
        <v>1.27</v>
      </c>
      <c r="Q192" s="3"/>
      <c r="R192" s="3"/>
      <c r="S192" s="3"/>
    </row>
    <row r="193" spans="1:19" x14ac:dyDescent="0.25">
      <c r="A193" s="3" t="s">
        <v>169</v>
      </c>
      <c r="B193" s="3"/>
      <c r="C193" s="3"/>
      <c r="D193" s="3"/>
      <c r="E193" s="3"/>
      <c r="F193" s="3">
        <v>0.76378472222222227</v>
      </c>
      <c r="G193" s="3" t="s">
        <v>84</v>
      </c>
      <c r="H193" s="3">
        <v>0</v>
      </c>
      <c r="I193" s="3">
        <v>0.93</v>
      </c>
      <c r="J193" s="3" t="s">
        <v>85</v>
      </c>
      <c r="K193" s="3" t="s">
        <v>25</v>
      </c>
      <c r="L193" s="3">
        <v>112336.383</v>
      </c>
      <c r="M193" s="3">
        <v>1</v>
      </c>
      <c r="N193" s="3">
        <v>3586.9769999999999</v>
      </c>
      <c r="O193" s="3">
        <v>31.317843130859217</v>
      </c>
      <c r="P193" s="3">
        <v>1.27</v>
      </c>
      <c r="Q193" s="3"/>
      <c r="R193" s="3"/>
      <c r="S193" s="3"/>
    </row>
    <row r="194" spans="1:19" x14ac:dyDescent="0.25">
      <c r="A194" s="3" t="s">
        <v>164</v>
      </c>
      <c r="B194" s="3"/>
      <c r="C194" s="3"/>
      <c r="D194" s="3"/>
      <c r="E194" s="3"/>
      <c r="F194" s="3">
        <v>0.75442129629629628</v>
      </c>
      <c r="G194" s="3" t="s">
        <v>84</v>
      </c>
      <c r="H194" s="3">
        <v>0</v>
      </c>
      <c r="I194" s="3">
        <v>0.93</v>
      </c>
      <c r="J194" s="3" t="s">
        <v>85</v>
      </c>
      <c r="K194" s="3" t="s">
        <v>25</v>
      </c>
      <c r="L194" s="3">
        <v>89018.633000000002</v>
      </c>
      <c r="M194" s="3">
        <v>1</v>
      </c>
      <c r="N194" s="3">
        <v>2550.1509999999998</v>
      </c>
      <c r="O194" s="3">
        <v>34.907200789286598</v>
      </c>
      <c r="P194" s="3">
        <v>1.27</v>
      </c>
      <c r="Q194" s="3"/>
      <c r="R194" s="3"/>
      <c r="S194" s="3"/>
    </row>
    <row r="195" spans="1:19" x14ac:dyDescent="0.25">
      <c r="A195" s="3" t="s">
        <v>165</v>
      </c>
      <c r="B195" s="3"/>
      <c r="C195" s="3"/>
      <c r="D195" s="3"/>
      <c r="E195" s="3"/>
      <c r="F195" s="3">
        <v>0.75629629629629624</v>
      </c>
      <c r="G195" s="3" t="s">
        <v>84</v>
      </c>
      <c r="H195" s="3">
        <v>0</v>
      </c>
      <c r="I195" s="3">
        <v>0.93</v>
      </c>
      <c r="J195" s="3" t="s">
        <v>85</v>
      </c>
      <c r="K195" s="3" t="s">
        <v>25</v>
      </c>
      <c r="L195" s="3">
        <v>81985.187999999995</v>
      </c>
      <c r="M195" s="3">
        <v>1</v>
      </c>
      <c r="N195" s="3">
        <v>3351.3679999999999</v>
      </c>
      <c r="O195" s="3">
        <v>24.463200698938461</v>
      </c>
      <c r="P195" s="3">
        <v>1.27</v>
      </c>
      <c r="Q195" s="3"/>
      <c r="R195" s="3"/>
      <c r="S195" s="3"/>
    </row>
    <row r="196" spans="1:19" x14ac:dyDescent="0.25">
      <c r="A196" s="3" t="s">
        <v>166</v>
      </c>
      <c r="B196" s="3"/>
      <c r="C196" s="3"/>
      <c r="D196" s="3"/>
      <c r="E196" s="3"/>
      <c r="F196" s="3">
        <v>0.75817129629629632</v>
      </c>
      <c r="G196" s="3" t="s">
        <v>84</v>
      </c>
      <c r="H196" s="3">
        <v>0</v>
      </c>
      <c r="I196" s="3">
        <v>0.93</v>
      </c>
      <c r="J196" s="3" t="s">
        <v>85</v>
      </c>
      <c r="K196" s="3" t="s">
        <v>25</v>
      </c>
      <c r="L196" s="3">
        <v>92848.516000000003</v>
      </c>
      <c r="M196" s="3">
        <v>1</v>
      </c>
      <c r="N196" s="3">
        <v>3497.1379999999999</v>
      </c>
      <c r="O196" s="3">
        <v>26.549857626436246</v>
      </c>
      <c r="P196" s="3">
        <v>1.27</v>
      </c>
      <c r="Q196" s="3"/>
      <c r="R196" s="3"/>
      <c r="S196" s="3"/>
    </row>
    <row r="197" spans="1:19" x14ac:dyDescent="0.25">
      <c r="A197" s="3" t="s">
        <v>161</v>
      </c>
      <c r="B197" s="3"/>
      <c r="C197" s="3"/>
      <c r="D197" s="3"/>
      <c r="E197" s="3"/>
      <c r="F197" s="3">
        <v>0.74879629629629629</v>
      </c>
      <c r="G197" s="3" t="s">
        <v>84</v>
      </c>
      <c r="H197" s="3">
        <v>0</v>
      </c>
      <c r="I197" s="3">
        <v>0.93</v>
      </c>
      <c r="J197" s="3" t="s">
        <v>85</v>
      </c>
      <c r="K197" s="3" t="s">
        <v>25</v>
      </c>
      <c r="L197" s="3">
        <v>60691.707000000002</v>
      </c>
      <c r="M197" s="3">
        <v>1</v>
      </c>
      <c r="N197" s="3">
        <v>2771.0970000000002</v>
      </c>
      <c r="O197" s="3">
        <v>21.901689836191228</v>
      </c>
      <c r="P197" s="3">
        <v>1.27</v>
      </c>
      <c r="Q197" s="3"/>
      <c r="R197" s="3"/>
      <c r="S197" s="3"/>
    </row>
    <row r="198" spans="1:19" x14ac:dyDescent="0.25">
      <c r="A198" s="3" t="s">
        <v>162</v>
      </c>
      <c r="B198" s="3"/>
      <c r="C198" s="3"/>
      <c r="D198" s="3"/>
      <c r="E198" s="3"/>
      <c r="F198" s="3">
        <v>0.75067129629629636</v>
      </c>
      <c r="G198" s="3" t="s">
        <v>84</v>
      </c>
      <c r="H198" s="3">
        <v>0</v>
      </c>
      <c r="I198" s="3">
        <v>0.93</v>
      </c>
      <c r="J198" s="3" t="s">
        <v>85</v>
      </c>
      <c r="K198" s="3" t="s">
        <v>25</v>
      </c>
      <c r="L198" s="3">
        <v>59175.038999999997</v>
      </c>
      <c r="M198" s="3">
        <v>1</v>
      </c>
      <c r="N198" s="3">
        <v>2387.0659999999998</v>
      </c>
      <c r="O198" s="3">
        <v>24.789862953098073</v>
      </c>
      <c r="P198" s="3">
        <v>1.27</v>
      </c>
      <c r="Q198" s="3"/>
      <c r="R198" s="3"/>
      <c r="S198" s="3"/>
    </row>
    <row r="199" spans="1:19" x14ac:dyDescent="0.25">
      <c r="A199" s="3" t="s">
        <v>163</v>
      </c>
      <c r="B199" s="3"/>
      <c r="C199" s="3"/>
      <c r="D199" s="3"/>
      <c r="E199" s="3"/>
      <c r="F199" s="3">
        <v>0.75254629629629621</v>
      </c>
      <c r="G199" s="3" t="s">
        <v>84</v>
      </c>
      <c r="H199" s="3">
        <v>0</v>
      </c>
      <c r="I199" s="3">
        <v>0.93</v>
      </c>
      <c r="J199" s="3" t="s">
        <v>85</v>
      </c>
      <c r="K199" s="3" t="s">
        <v>25</v>
      </c>
      <c r="L199" s="3">
        <v>56505.565999999999</v>
      </c>
      <c r="M199" s="3">
        <v>1</v>
      </c>
      <c r="N199" s="3">
        <v>2655.355</v>
      </c>
      <c r="O199" s="3">
        <v>21.279853729538988</v>
      </c>
      <c r="P199" s="3">
        <v>1.27</v>
      </c>
      <c r="Q199" s="3"/>
      <c r="R199" s="3"/>
      <c r="S199" s="3"/>
    </row>
    <row r="200" spans="1:19" x14ac:dyDescent="0.25">
      <c r="A200" s="3" t="s">
        <v>60</v>
      </c>
      <c r="B200" s="3"/>
      <c r="C200" s="3"/>
      <c r="D200" s="3"/>
      <c r="E200" s="3"/>
      <c r="F200" s="3">
        <v>0.71582175925925917</v>
      </c>
      <c r="G200" s="3" t="s">
        <v>86</v>
      </c>
      <c r="H200" s="3">
        <v>0</v>
      </c>
      <c r="I200" s="3">
        <v>0.93</v>
      </c>
      <c r="J200" s="3" t="s">
        <v>87</v>
      </c>
      <c r="K200" s="3" t="s">
        <v>23</v>
      </c>
      <c r="L200" s="3">
        <v>0.47899999999999998</v>
      </c>
      <c r="M200" s="3">
        <v>1</v>
      </c>
      <c r="N200" s="3">
        <v>12948.120999999999</v>
      </c>
      <c r="O200" s="3">
        <v>3.6993784658021036E-5</v>
      </c>
      <c r="P200" s="3">
        <v>1.45</v>
      </c>
      <c r="Q200" s="3"/>
      <c r="R200" s="3"/>
      <c r="S200" s="3"/>
    </row>
    <row r="201" spans="1:19" x14ac:dyDescent="0.25">
      <c r="A201" s="3" t="s">
        <v>63</v>
      </c>
      <c r="B201" s="3"/>
      <c r="C201" s="3"/>
      <c r="D201" s="3"/>
      <c r="E201" s="3"/>
      <c r="F201" s="3">
        <v>0.71770833333333339</v>
      </c>
      <c r="G201" s="3" t="s">
        <v>86</v>
      </c>
      <c r="H201" s="3">
        <v>0</v>
      </c>
      <c r="I201" s="3">
        <v>0.93</v>
      </c>
      <c r="J201" s="3" t="s">
        <v>87</v>
      </c>
      <c r="K201" s="3" t="s">
        <v>23</v>
      </c>
      <c r="L201" s="3">
        <v>8.3000000000000004E-2</v>
      </c>
      <c r="M201" s="3">
        <v>1</v>
      </c>
      <c r="N201" s="3">
        <v>14433.352999999999</v>
      </c>
      <c r="O201" s="3">
        <v>5.7505695315565279E-6</v>
      </c>
      <c r="P201" s="3">
        <v>1.43</v>
      </c>
      <c r="Q201" s="3"/>
      <c r="R201" s="3"/>
      <c r="S201" s="3"/>
    </row>
    <row r="202" spans="1:19" x14ac:dyDescent="0.25">
      <c r="A202" s="3" t="s">
        <v>64</v>
      </c>
      <c r="B202" s="3"/>
      <c r="C202" s="3"/>
      <c r="D202" s="3"/>
      <c r="E202" s="3"/>
      <c r="F202" s="3">
        <v>0.71958333333333335</v>
      </c>
      <c r="G202" s="3" t="s">
        <v>86</v>
      </c>
      <c r="H202" s="3">
        <v>0</v>
      </c>
      <c r="I202" s="3">
        <v>0.93</v>
      </c>
      <c r="J202" s="3" t="s">
        <v>87</v>
      </c>
      <c r="K202" s="3" t="s">
        <v>25</v>
      </c>
      <c r="L202" s="3">
        <v>13.226000000000001</v>
      </c>
      <c r="M202" s="3">
        <v>1</v>
      </c>
      <c r="N202" s="3">
        <v>13537.442999999999</v>
      </c>
      <c r="O202" s="3">
        <v>9.7699395668738925E-4</v>
      </c>
      <c r="P202" s="3">
        <v>1.45</v>
      </c>
      <c r="Q202" s="3"/>
      <c r="R202" s="3"/>
      <c r="S202" s="3"/>
    </row>
    <row r="203" spans="1:19" x14ac:dyDescent="0.25">
      <c r="A203" s="3" t="s">
        <v>245</v>
      </c>
      <c r="B203" s="3"/>
      <c r="C203" s="3"/>
      <c r="D203" s="3"/>
      <c r="E203" s="3"/>
      <c r="F203" s="3">
        <v>0.84057870370370369</v>
      </c>
      <c r="G203" s="3" t="s">
        <v>86</v>
      </c>
      <c r="H203" s="3">
        <v>0</v>
      </c>
      <c r="I203" s="3">
        <v>0.93</v>
      </c>
      <c r="J203" s="3" t="s">
        <v>87</v>
      </c>
      <c r="K203" s="3" t="s">
        <v>25</v>
      </c>
      <c r="L203" s="3">
        <v>337180.68800000002</v>
      </c>
      <c r="M203" s="3">
        <v>1</v>
      </c>
      <c r="N203" s="3">
        <v>1544.921</v>
      </c>
      <c r="O203" s="3">
        <v>218.25108727242366</v>
      </c>
      <c r="P203" s="3">
        <v>1.45</v>
      </c>
      <c r="Q203" s="3"/>
      <c r="R203" s="3"/>
      <c r="S203" s="3"/>
    </row>
    <row r="204" spans="1:19" x14ac:dyDescent="0.25">
      <c r="A204" s="3" t="s">
        <v>246</v>
      </c>
      <c r="B204" s="3"/>
      <c r="C204" s="3"/>
      <c r="D204" s="3"/>
      <c r="E204" s="3"/>
      <c r="F204" s="3">
        <v>0.84245370370370365</v>
      </c>
      <c r="G204" s="3" t="s">
        <v>86</v>
      </c>
      <c r="H204" s="3">
        <v>0</v>
      </c>
      <c r="I204" s="3">
        <v>0.93</v>
      </c>
      <c r="J204" s="3" t="s">
        <v>87</v>
      </c>
      <c r="K204" s="3" t="s">
        <v>25</v>
      </c>
      <c r="L204" s="3">
        <v>281118.96899999998</v>
      </c>
      <c r="M204" s="3">
        <v>1</v>
      </c>
      <c r="N204" s="3">
        <v>1308.8230000000001</v>
      </c>
      <c r="O204" s="3">
        <v>214.78761375678755</v>
      </c>
      <c r="P204" s="3">
        <v>1.45</v>
      </c>
      <c r="Q204" s="3"/>
      <c r="R204" s="3"/>
      <c r="S204" s="3"/>
    </row>
    <row r="205" spans="1:19" x14ac:dyDescent="0.25">
      <c r="A205" s="3" t="s">
        <v>247</v>
      </c>
      <c r="B205" s="3"/>
      <c r="C205" s="3"/>
      <c r="D205" s="3"/>
      <c r="E205" s="3"/>
      <c r="F205" s="3">
        <v>0.84432870370370372</v>
      </c>
      <c r="G205" s="3" t="s">
        <v>86</v>
      </c>
      <c r="H205" s="3">
        <v>0</v>
      </c>
      <c r="I205" s="3">
        <v>0.93</v>
      </c>
      <c r="J205" s="3" t="s">
        <v>87</v>
      </c>
      <c r="K205" s="3" t="s">
        <v>25</v>
      </c>
      <c r="L205" s="3">
        <v>424657.21899999998</v>
      </c>
      <c r="M205" s="3">
        <v>1</v>
      </c>
      <c r="N205" s="3">
        <v>1140.625</v>
      </c>
      <c r="O205" s="3">
        <v>372.30221939726027</v>
      </c>
      <c r="P205" s="3">
        <v>1.45</v>
      </c>
      <c r="Q205" s="3"/>
      <c r="R205" s="3"/>
      <c r="S205" s="3"/>
    </row>
    <row r="206" spans="1:19" x14ac:dyDescent="0.25">
      <c r="A206" s="3" t="s">
        <v>233</v>
      </c>
      <c r="B206" s="3"/>
      <c r="C206" s="3"/>
      <c r="D206" s="3"/>
      <c r="E206" s="3"/>
      <c r="F206" s="3">
        <v>0.81809027777777776</v>
      </c>
      <c r="G206" s="3" t="s">
        <v>86</v>
      </c>
      <c r="H206" s="3">
        <v>0</v>
      </c>
      <c r="I206" s="3">
        <v>0.93</v>
      </c>
      <c r="J206" s="3" t="s">
        <v>87</v>
      </c>
      <c r="K206" s="3" t="s">
        <v>25</v>
      </c>
      <c r="L206" s="3">
        <v>4.0679999999999996</v>
      </c>
      <c r="M206" s="3">
        <v>1</v>
      </c>
      <c r="N206" s="3">
        <v>1795.028</v>
      </c>
      <c r="O206" s="3">
        <v>2.2662599134943852E-3</v>
      </c>
      <c r="P206" s="3">
        <v>1.45</v>
      </c>
      <c r="Q206" s="3"/>
      <c r="R206" s="3"/>
      <c r="S206" s="3"/>
    </row>
    <row r="207" spans="1:19" x14ac:dyDescent="0.25">
      <c r="A207" s="3" t="s">
        <v>234</v>
      </c>
      <c r="B207" s="3"/>
      <c r="C207" s="3"/>
      <c r="D207" s="3"/>
      <c r="E207" s="3"/>
      <c r="F207" s="3">
        <v>0.81996527777777783</v>
      </c>
      <c r="G207" s="3" t="s">
        <v>86</v>
      </c>
      <c r="H207" s="3">
        <v>0</v>
      </c>
      <c r="I207" s="3">
        <v>0.93</v>
      </c>
      <c r="J207" s="3" t="s">
        <v>87</v>
      </c>
      <c r="K207" s="3" t="s">
        <v>25</v>
      </c>
      <c r="L207" s="3">
        <v>1.125</v>
      </c>
      <c r="M207" s="3">
        <v>1</v>
      </c>
      <c r="N207" s="3">
        <v>1423.0530000000001</v>
      </c>
      <c r="O207" s="3">
        <v>7.9055383039141898E-4</v>
      </c>
      <c r="P207" s="3">
        <v>1.44</v>
      </c>
      <c r="Q207" s="3"/>
      <c r="R207" s="3"/>
      <c r="S207" s="3"/>
    </row>
    <row r="208" spans="1:19" x14ac:dyDescent="0.25">
      <c r="A208" s="3" t="s">
        <v>235</v>
      </c>
      <c r="B208" s="3"/>
      <c r="C208" s="3"/>
      <c r="D208" s="3"/>
      <c r="E208" s="3"/>
      <c r="F208" s="3">
        <v>0.82185185185185183</v>
      </c>
      <c r="G208" s="3" t="s">
        <v>86</v>
      </c>
      <c r="H208" s="3">
        <v>0</v>
      </c>
      <c r="I208" s="3">
        <v>0.93</v>
      </c>
      <c r="J208" s="3" t="s">
        <v>87</v>
      </c>
      <c r="K208" s="3" t="s">
        <v>23</v>
      </c>
      <c r="L208" s="3">
        <v>0.123</v>
      </c>
      <c r="M208" s="3">
        <v>1</v>
      </c>
      <c r="N208" s="3">
        <v>2144.2289999999998</v>
      </c>
      <c r="O208" s="3">
        <v>5.7363276030685159E-5</v>
      </c>
      <c r="P208" s="3">
        <v>1.46</v>
      </c>
      <c r="Q208" s="3"/>
      <c r="R208" s="3"/>
      <c r="S208" s="3"/>
    </row>
    <row r="209" spans="1:19" x14ac:dyDescent="0.25">
      <c r="A209" s="3" t="s">
        <v>242</v>
      </c>
      <c r="B209" s="3"/>
      <c r="C209" s="3"/>
      <c r="D209" s="3"/>
      <c r="E209" s="3"/>
      <c r="F209" s="3">
        <v>0.83496527777777774</v>
      </c>
      <c r="G209" s="3" t="s">
        <v>86</v>
      </c>
      <c r="H209" s="3">
        <v>0</v>
      </c>
      <c r="I209" s="3">
        <v>0.93</v>
      </c>
      <c r="J209" s="3" t="s">
        <v>87</v>
      </c>
      <c r="K209" s="3" t="s">
        <v>25</v>
      </c>
      <c r="L209" s="3">
        <v>0.308</v>
      </c>
      <c r="M209" s="3">
        <v>1</v>
      </c>
      <c r="N209" s="3">
        <v>1695.338</v>
      </c>
      <c r="O209" s="3">
        <v>1.8167468669964338E-4</v>
      </c>
      <c r="P209" s="3">
        <v>1.46</v>
      </c>
      <c r="Q209" s="3"/>
      <c r="R209" s="3"/>
      <c r="S209" s="3"/>
    </row>
    <row r="210" spans="1:19" x14ac:dyDescent="0.25">
      <c r="A210" s="3" t="s">
        <v>243</v>
      </c>
      <c r="B210" s="3"/>
      <c r="C210" s="3"/>
      <c r="D210" s="3"/>
      <c r="E210" s="3"/>
      <c r="F210" s="3">
        <v>0.83682870370370377</v>
      </c>
      <c r="G210" s="3" t="s">
        <v>86</v>
      </c>
      <c r="H210" s="3">
        <v>0</v>
      </c>
      <c r="I210" s="3">
        <v>0.93</v>
      </c>
      <c r="J210" s="3" t="s">
        <v>87</v>
      </c>
      <c r="K210" s="3" t="s">
        <v>25</v>
      </c>
      <c r="L210" s="3">
        <v>630.61599999999999</v>
      </c>
      <c r="M210" s="3">
        <v>1</v>
      </c>
      <c r="N210" s="3">
        <v>1801.413</v>
      </c>
      <c r="O210" s="3">
        <v>0.35006741929807322</v>
      </c>
      <c r="P210" s="3">
        <v>1.45</v>
      </c>
      <c r="Q210" s="3"/>
      <c r="R210" s="3"/>
      <c r="S210" s="3"/>
    </row>
    <row r="211" spans="1:19" x14ac:dyDescent="0.25">
      <c r="A211" s="3" t="s">
        <v>244</v>
      </c>
      <c r="B211" s="3"/>
      <c r="C211" s="3"/>
      <c r="D211" s="3"/>
      <c r="E211" s="3"/>
      <c r="F211" s="3">
        <v>0.83870370370370362</v>
      </c>
      <c r="G211" s="3" t="s">
        <v>86</v>
      </c>
      <c r="H211" s="3">
        <v>0</v>
      </c>
      <c r="I211" s="3">
        <v>0.94</v>
      </c>
      <c r="J211" s="3" t="s">
        <v>87</v>
      </c>
      <c r="K211" s="3" t="s">
        <v>25</v>
      </c>
      <c r="L211" s="3">
        <v>12.843999999999999</v>
      </c>
      <c r="M211" s="3">
        <v>1</v>
      </c>
      <c r="N211" s="3">
        <v>2639.2730000000001</v>
      </c>
      <c r="O211" s="3">
        <v>4.8664916437215853E-3</v>
      </c>
      <c r="P211" s="3">
        <v>1.46</v>
      </c>
      <c r="Q211" s="3"/>
      <c r="R211" s="3"/>
      <c r="S211" s="3"/>
    </row>
    <row r="212" spans="1:19" x14ac:dyDescent="0.25">
      <c r="A212" s="3" t="s">
        <v>239</v>
      </c>
      <c r="B212" s="3"/>
      <c r="C212" s="3"/>
      <c r="D212" s="3"/>
      <c r="E212" s="3"/>
      <c r="F212" s="3">
        <v>0.82934027777777775</v>
      </c>
      <c r="G212" s="3" t="s">
        <v>86</v>
      </c>
      <c r="H212" s="3">
        <v>0</v>
      </c>
      <c r="I212" s="3">
        <v>0.93</v>
      </c>
      <c r="J212" s="3" t="s">
        <v>87</v>
      </c>
      <c r="K212" s="3" t="s">
        <v>25</v>
      </c>
      <c r="L212" s="3">
        <v>0.89300000000000002</v>
      </c>
      <c r="M212" s="3">
        <v>1</v>
      </c>
      <c r="N212" s="3">
        <v>1310.5840000000001</v>
      </c>
      <c r="O212" s="3">
        <v>6.813756310164018E-4</v>
      </c>
      <c r="P212" s="3">
        <v>1.44</v>
      </c>
      <c r="Q212" s="3"/>
      <c r="R212" s="3"/>
      <c r="S212" s="3"/>
    </row>
    <row r="213" spans="1:19" x14ac:dyDescent="0.25">
      <c r="A213" s="3" t="s">
        <v>240</v>
      </c>
      <c r="B213" s="3"/>
      <c r="C213" s="3"/>
      <c r="D213" s="3"/>
      <c r="E213" s="3"/>
      <c r="F213" s="3">
        <v>0.83121527777777782</v>
      </c>
      <c r="G213" s="3" t="s">
        <v>86</v>
      </c>
      <c r="H213" s="3">
        <v>0</v>
      </c>
      <c r="I213" s="3">
        <v>0.93</v>
      </c>
      <c r="J213" s="3" t="s">
        <v>87</v>
      </c>
      <c r="K213" s="3" t="s">
        <v>23</v>
      </c>
      <c r="L213" s="3">
        <v>13.081</v>
      </c>
      <c r="M213" s="3">
        <v>1</v>
      </c>
      <c r="N213" s="3">
        <v>1335.5920000000001</v>
      </c>
      <c r="O213" s="3">
        <v>9.7941586951703803E-3</v>
      </c>
      <c r="P213" s="3">
        <v>1.45</v>
      </c>
      <c r="Q213" s="3"/>
      <c r="R213" s="3"/>
      <c r="S213" s="3"/>
    </row>
    <row r="214" spans="1:19" x14ac:dyDescent="0.25">
      <c r="A214" s="3" t="s">
        <v>241</v>
      </c>
      <c r="B214" s="3"/>
      <c r="C214" s="3"/>
      <c r="D214" s="3"/>
      <c r="E214" s="3"/>
      <c r="F214" s="3">
        <v>0.83309027777777767</v>
      </c>
      <c r="G214" s="3" t="s">
        <v>86</v>
      </c>
      <c r="H214" s="3">
        <v>0</v>
      </c>
      <c r="I214" s="3">
        <v>0.93</v>
      </c>
      <c r="J214" s="3" t="s">
        <v>87</v>
      </c>
      <c r="K214" s="3" t="s">
        <v>23</v>
      </c>
      <c r="L214" s="3">
        <v>1.9139999999999999</v>
      </c>
      <c r="M214" s="3">
        <v>1</v>
      </c>
      <c r="N214" s="3">
        <v>2227.6210000000001</v>
      </c>
      <c r="O214" s="3">
        <v>8.5921258598298353E-4</v>
      </c>
      <c r="P214" s="3">
        <v>1.42</v>
      </c>
      <c r="Q214" s="3"/>
      <c r="R214" s="3"/>
      <c r="S214" s="3"/>
    </row>
    <row r="215" spans="1:19" x14ac:dyDescent="0.25">
      <c r="A215" s="3" t="s">
        <v>236</v>
      </c>
      <c r="B215" s="3"/>
      <c r="C215" s="3"/>
      <c r="D215" s="3"/>
      <c r="E215" s="3"/>
      <c r="F215" s="3">
        <v>0.82371527777777775</v>
      </c>
      <c r="G215" s="3" t="s">
        <v>86</v>
      </c>
      <c r="H215" s="3">
        <v>0</v>
      </c>
      <c r="I215" s="3">
        <v>0.93</v>
      </c>
      <c r="J215" s="3" t="s">
        <v>87</v>
      </c>
      <c r="K215" s="3" t="s">
        <v>23</v>
      </c>
      <c r="L215" s="3">
        <v>2.1999999999999999E-2</v>
      </c>
      <c r="M215" s="3">
        <v>1</v>
      </c>
      <c r="N215" s="3">
        <v>915.06</v>
      </c>
      <c r="O215" s="3">
        <v>2.4042139313269076E-5</v>
      </c>
      <c r="P215" s="3">
        <v>1.44</v>
      </c>
      <c r="Q215" s="3"/>
      <c r="R215" s="3"/>
      <c r="S215" s="3"/>
    </row>
    <row r="216" spans="1:19" x14ac:dyDescent="0.25">
      <c r="A216" s="3" t="s">
        <v>237</v>
      </c>
      <c r="B216" s="3"/>
      <c r="C216" s="3"/>
      <c r="D216" s="3"/>
      <c r="E216" s="3"/>
      <c r="F216" s="3">
        <v>0.82559027777777771</v>
      </c>
      <c r="G216" s="3" t="s">
        <v>86</v>
      </c>
      <c r="H216" s="3">
        <v>0</v>
      </c>
      <c r="I216" s="3">
        <v>0.93</v>
      </c>
      <c r="J216" s="3" t="s">
        <v>87</v>
      </c>
      <c r="K216" s="3" t="s">
        <v>23</v>
      </c>
      <c r="L216" s="3">
        <v>0.157</v>
      </c>
      <c r="M216" s="3">
        <v>1</v>
      </c>
      <c r="N216" s="3">
        <v>825.32299999999998</v>
      </c>
      <c r="O216" s="3">
        <v>1.9022855294230259E-4</v>
      </c>
      <c r="P216" s="3">
        <v>1.41</v>
      </c>
      <c r="Q216" s="3"/>
      <c r="R216" s="3"/>
      <c r="S216" s="3"/>
    </row>
    <row r="217" spans="1:19" x14ac:dyDescent="0.25">
      <c r="A217" s="3" t="s">
        <v>238</v>
      </c>
      <c r="B217" s="3"/>
      <c r="C217" s="3"/>
      <c r="D217" s="3"/>
      <c r="E217" s="3"/>
      <c r="F217" s="3">
        <v>0.82746527777777779</v>
      </c>
      <c r="G217" s="3" t="s">
        <v>86</v>
      </c>
      <c r="H217" s="3">
        <v>0</v>
      </c>
      <c r="I217" s="3">
        <v>0.93</v>
      </c>
      <c r="J217" s="3" t="s">
        <v>87</v>
      </c>
      <c r="K217" s="3" t="s">
        <v>23</v>
      </c>
      <c r="L217" s="3">
        <v>2.5000000000000001E-2</v>
      </c>
      <c r="M217" s="3">
        <v>1</v>
      </c>
      <c r="N217" s="3">
        <v>949.24300000000005</v>
      </c>
      <c r="O217" s="3">
        <v>2.6336775725499162E-5</v>
      </c>
      <c r="P217" s="3">
        <v>1.44</v>
      </c>
      <c r="Q217" s="3"/>
      <c r="R217" s="3"/>
      <c r="S217" s="3"/>
    </row>
    <row r="218" spans="1:19" x14ac:dyDescent="0.25">
      <c r="A218" s="3" t="s">
        <v>60</v>
      </c>
      <c r="B218" s="3"/>
      <c r="C218" s="3"/>
      <c r="D218" s="3"/>
      <c r="E218" s="3"/>
      <c r="F218" s="3">
        <v>0.71582175925925917</v>
      </c>
      <c r="G218" s="3" t="s">
        <v>88</v>
      </c>
      <c r="H218" s="3">
        <v>0</v>
      </c>
      <c r="I218" s="3">
        <v>0.93</v>
      </c>
      <c r="J218" s="3" t="s">
        <v>89</v>
      </c>
      <c r="K218" s="3" t="s">
        <v>23</v>
      </c>
      <c r="L218" s="3">
        <v>7.9000000000000001E-2</v>
      </c>
      <c r="M218" s="3">
        <v>1</v>
      </c>
      <c r="N218" s="3">
        <v>12948.120999999999</v>
      </c>
      <c r="O218" s="3">
        <v>6.1012713736610903E-6</v>
      </c>
      <c r="P218" s="3">
        <v>0.74</v>
      </c>
      <c r="Q218" s="3"/>
      <c r="R218" s="3"/>
      <c r="S218" s="3"/>
    </row>
    <row r="219" spans="1:19" x14ac:dyDescent="0.25">
      <c r="A219" s="3" t="s">
        <v>63</v>
      </c>
      <c r="B219" s="3"/>
      <c r="C219" s="3"/>
      <c r="D219" s="3"/>
      <c r="E219" s="3"/>
      <c r="F219" s="3">
        <v>0.71770833333333339</v>
      </c>
      <c r="G219" s="3" t="s">
        <v>88</v>
      </c>
      <c r="H219" s="3">
        <v>0</v>
      </c>
      <c r="I219" s="3">
        <v>0.93</v>
      </c>
      <c r="J219" s="3" t="s">
        <v>89</v>
      </c>
      <c r="K219" s="3" t="s">
        <v>23</v>
      </c>
      <c r="L219" s="3">
        <v>0.504</v>
      </c>
      <c r="M219" s="3">
        <v>1</v>
      </c>
      <c r="N219" s="3">
        <v>14433.352999999999</v>
      </c>
      <c r="O219" s="3">
        <v>3.4919121010897472E-5</v>
      </c>
      <c r="P219" s="3">
        <v>0.7</v>
      </c>
      <c r="Q219" s="3"/>
      <c r="R219" s="3"/>
      <c r="S219" s="3"/>
    </row>
    <row r="220" spans="1:19" x14ac:dyDescent="0.25">
      <c r="A220" s="3" t="s">
        <v>64</v>
      </c>
      <c r="B220" s="3"/>
      <c r="C220" s="3"/>
      <c r="D220" s="3"/>
      <c r="E220" s="3"/>
      <c r="F220" s="3">
        <v>0.71958333333333335</v>
      </c>
      <c r="G220" s="3" t="s">
        <v>88</v>
      </c>
      <c r="H220" s="3">
        <v>0</v>
      </c>
      <c r="I220" s="3">
        <v>0.93</v>
      </c>
      <c r="J220" s="3" t="s">
        <v>89</v>
      </c>
      <c r="K220" s="3" t="s">
        <v>23</v>
      </c>
      <c r="L220" s="3">
        <v>-1.6E-2</v>
      </c>
      <c r="M220" s="3">
        <v>1</v>
      </c>
      <c r="N220" s="3">
        <v>13537.442999999999</v>
      </c>
      <c r="O220" s="3">
        <v>-1.1819071001813269E-6</v>
      </c>
      <c r="P220" s="3">
        <v>0.82</v>
      </c>
      <c r="Q220" s="3"/>
      <c r="R220" s="3"/>
      <c r="S220" s="3"/>
    </row>
    <row r="221" spans="1:19" x14ac:dyDescent="0.25">
      <c r="A221" s="3" t="s">
        <v>155</v>
      </c>
      <c r="B221" s="3"/>
      <c r="C221" s="3"/>
      <c r="D221" s="3"/>
      <c r="E221" s="3"/>
      <c r="F221" s="3">
        <v>0.91563657407407406</v>
      </c>
      <c r="G221" s="3" t="s">
        <v>88</v>
      </c>
      <c r="H221" s="3">
        <v>0</v>
      </c>
      <c r="I221" s="3">
        <v>0.93</v>
      </c>
      <c r="J221" s="3" t="s">
        <v>89</v>
      </c>
      <c r="K221" s="3" t="s">
        <v>25</v>
      </c>
      <c r="L221" s="3">
        <v>763.86900000000003</v>
      </c>
      <c r="M221" s="3">
        <v>1</v>
      </c>
      <c r="N221" s="3">
        <v>922.48</v>
      </c>
      <c r="O221" s="3">
        <v>0.82806022894805309</v>
      </c>
      <c r="P221" s="3">
        <v>0.73</v>
      </c>
      <c r="Q221" s="3"/>
      <c r="R221" s="3"/>
      <c r="S221" s="3"/>
    </row>
    <row r="222" spans="1:19" x14ac:dyDescent="0.25">
      <c r="A222" s="3" t="s">
        <v>156</v>
      </c>
      <c r="B222" s="3"/>
      <c r="C222" s="3"/>
      <c r="D222" s="3"/>
      <c r="E222" s="3"/>
      <c r="F222" s="3">
        <v>0.91751157407407413</v>
      </c>
      <c r="G222" s="3" t="s">
        <v>88</v>
      </c>
      <c r="H222" s="3">
        <v>0</v>
      </c>
      <c r="I222" s="3">
        <v>0.93</v>
      </c>
      <c r="J222" s="3" t="s">
        <v>89</v>
      </c>
      <c r="K222" s="3" t="s">
        <v>25</v>
      </c>
      <c r="L222" s="3">
        <v>407.827</v>
      </c>
      <c r="M222" s="3">
        <v>1</v>
      </c>
      <c r="N222" s="3">
        <v>492.70400000000001</v>
      </c>
      <c r="O222" s="3">
        <v>0.82773226927323507</v>
      </c>
      <c r="P222" s="3">
        <v>0.72</v>
      </c>
      <c r="Q222" s="3"/>
      <c r="R222" s="3"/>
      <c r="S222" s="3"/>
    </row>
    <row r="223" spans="1:19" x14ac:dyDescent="0.25">
      <c r="A223" s="3" t="s">
        <v>157</v>
      </c>
      <c r="B223" s="3"/>
      <c r="C223" s="3"/>
      <c r="D223" s="3"/>
      <c r="E223" s="3"/>
      <c r="F223" s="3">
        <v>0.91938657407407398</v>
      </c>
      <c r="G223" s="3" t="s">
        <v>88</v>
      </c>
      <c r="H223" s="3">
        <v>0</v>
      </c>
      <c r="I223" s="3">
        <v>0.93</v>
      </c>
      <c r="J223" s="3" t="s">
        <v>89</v>
      </c>
      <c r="K223" s="3" t="s">
        <v>25</v>
      </c>
      <c r="L223" s="3">
        <v>477.32299999999998</v>
      </c>
      <c r="M223" s="3">
        <v>1</v>
      </c>
      <c r="N223" s="3">
        <v>385.87099999999998</v>
      </c>
      <c r="O223" s="3">
        <v>1.2370014849522251</v>
      </c>
      <c r="P223" s="3">
        <v>0.73</v>
      </c>
      <c r="Q223" s="3"/>
      <c r="R223" s="3"/>
      <c r="S223" s="3"/>
    </row>
    <row r="224" spans="1:19" x14ac:dyDescent="0.25">
      <c r="A224" s="3" t="s">
        <v>143</v>
      </c>
      <c r="B224" s="3"/>
      <c r="C224" s="3"/>
      <c r="D224" s="3"/>
      <c r="E224" s="3"/>
      <c r="F224" s="3">
        <v>0.89314814814814814</v>
      </c>
      <c r="G224" s="3" t="s">
        <v>88</v>
      </c>
      <c r="H224" s="3">
        <v>0</v>
      </c>
      <c r="I224" s="3">
        <v>0.93</v>
      </c>
      <c r="J224" s="3" t="s">
        <v>89</v>
      </c>
      <c r="K224" s="3" t="s">
        <v>25</v>
      </c>
      <c r="L224" s="3">
        <v>1640.905</v>
      </c>
      <c r="M224" s="3">
        <v>1</v>
      </c>
      <c r="N224" s="3">
        <v>1041.521</v>
      </c>
      <c r="O224" s="3">
        <v>1.5754891163980371</v>
      </c>
      <c r="P224" s="3">
        <v>0.72</v>
      </c>
      <c r="Q224" s="3"/>
      <c r="R224" s="3"/>
      <c r="S224" s="3"/>
    </row>
    <row r="225" spans="1:19" x14ac:dyDescent="0.25">
      <c r="A225" s="3" t="s">
        <v>144</v>
      </c>
      <c r="B225" s="3"/>
      <c r="C225" s="3"/>
      <c r="D225" s="3"/>
      <c r="E225" s="3"/>
      <c r="F225" s="3">
        <v>0.8950231481481481</v>
      </c>
      <c r="G225" s="3" t="s">
        <v>88</v>
      </c>
      <c r="H225" s="3">
        <v>0</v>
      </c>
      <c r="I225" s="3">
        <v>0.93</v>
      </c>
      <c r="J225" s="3" t="s">
        <v>89</v>
      </c>
      <c r="K225" s="3" t="s">
        <v>25</v>
      </c>
      <c r="L225" s="3">
        <v>715.57</v>
      </c>
      <c r="M225" s="3">
        <v>1</v>
      </c>
      <c r="N225" s="3">
        <v>1017.998</v>
      </c>
      <c r="O225" s="3">
        <v>0.70291886624531685</v>
      </c>
      <c r="P225" s="3">
        <v>0.72</v>
      </c>
      <c r="Q225" s="3"/>
      <c r="R225" s="3"/>
      <c r="S225" s="3"/>
    </row>
    <row r="226" spans="1:19" x14ac:dyDescent="0.25">
      <c r="A226" s="3" t="s">
        <v>145</v>
      </c>
      <c r="B226" s="3"/>
      <c r="C226" s="3"/>
      <c r="D226" s="3"/>
      <c r="E226" s="3"/>
      <c r="F226" s="3">
        <v>0.89689814814814817</v>
      </c>
      <c r="G226" s="3" t="s">
        <v>88</v>
      </c>
      <c r="H226" s="3">
        <v>0</v>
      </c>
      <c r="I226" s="3">
        <v>0.93</v>
      </c>
      <c r="J226" s="3" t="s">
        <v>89</v>
      </c>
      <c r="K226" s="3" t="s">
        <v>25</v>
      </c>
      <c r="L226" s="3">
        <v>1386.886</v>
      </c>
      <c r="M226" s="3">
        <v>1</v>
      </c>
      <c r="N226" s="3">
        <v>1594.518</v>
      </c>
      <c r="O226" s="3">
        <v>0.86978384690545985</v>
      </c>
      <c r="P226" s="3">
        <v>0.73</v>
      </c>
      <c r="Q226" s="3"/>
      <c r="R226" s="3"/>
      <c r="S226" s="3"/>
    </row>
    <row r="227" spans="1:19" x14ac:dyDescent="0.25">
      <c r="A227" s="3" t="s">
        <v>152</v>
      </c>
      <c r="B227" s="3"/>
      <c r="C227" s="3"/>
      <c r="D227" s="3"/>
      <c r="E227" s="3"/>
      <c r="F227" s="3">
        <v>0.91001157407407407</v>
      </c>
      <c r="G227" s="3" t="s">
        <v>88</v>
      </c>
      <c r="H227" s="3">
        <v>0</v>
      </c>
      <c r="I227" s="3">
        <v>0.93</v>
      </c>
      <c r="J227" s="3" t="s">
        <v>89</v>
      </c>
      <c r="K227" s="3" t="s">
        <v>25</v>
      </c>
      <c r="L227" s="3">
        <v>1217.6690000000001</v>
      </c>
      <c r="M227" s="3">
        <v>1</v>
      </c>
      <c r="N227" s="3">
        <v>1381.624</v>
      </c>
      <c r="O227" s="3">
        <v>0.88133167924124078</v>
      </c>
      <c r="P227" s="3">
        <v>0.73</v>
      </c>
      <c r="Q227" s="3"/>
      <c r="R227" s="3"/>
      <c r="S227" s="3"/>
    </row>
    <row r="228" spans="1:19" x14ac:dyDescent="0.25">
      <c r="A228" s="3" t="s">
        <v>153</v>
      </c>
      <c r="B228" s="3"/>
      <c r="C228" s="3"/>
      <c r="D228" s="3"/>
      <c r="E228" s="3"/>
      <c r="F228" s="3">
        <v>0.91188657407407403</v>
      </c>
      <c r="G228" s="3" t="s">
        <v>88</v>
      </c>
      <c r="H228" s="3">
        <v>0</v>
      </c>
      <c r="I228" s="3">
        <v>0.94</v>
      </c>
      <c r="J228" s="3" t="s">
        <v>89</v>
      </c>
      <c r="K228" s="3" t="s">
        <v>25</v>
      </c>
      <c r="L228" s="3">
        <v>1412.249</v>
      </c>
      <c r="M228" s="3">
        <v>1</v>
      </c>
      <c r="N228" s="3">
        <v>1399.9490000000001</v>
      </c>
      <c r="O228" s="3">
        <v>1.0087860343483941</v>
      </c>
      <c r="P228" s="3">
        <v>0.73</v>
      </c>
      <c r="Q228" s="3"/>
      <c r="R228" s="3"/>
      <c r="S228" s="3"/>
    </row>
    <row r="229" spans="1:19" x14ac:dyDescent="0.25">
      <c r="A229" s="3" t="s">
        <v>154</v>
      </c>
      <c r="B229" s="3"/>
      <c r="C229" s="3"/>
      <c r="D229" s="3"/>
      <c r="E229" s="3"/>
      <c r="F229" s="3">
        <v>0.9137615740740741</v>
      </c>
      <c r="G229" s="3" t="s">
        <v>88</v>
      </c>
      <c r="H229" s="3">
        <v>0</v>
      </c>
      <c r="I229" s="3">
        <v>0.93</v>
      </c>
      <c r="J229" s="3" t="s">
        <v>89</v>
      </c>
      <c r="K229" s="3" t="s">
        <v>25</v>
      </c>
      <c r="L229" s="3">
        <v>840.61900000000003</v>
      </c>
      <c r="M229" s="3">
        <v>1</v>
      </c>
      <c r="N229" s="3">
        <v>429.88799999999998</v>
      </c>
      <c r="O229" s="3">
        <v>1.9554372301622749</v>
      </c>
      <c r="P229" s="3">
        <v>0.73</v>
      </c>
      <c r="Q229" s="3"/>
      <c r="R229" s="3"/>
      <c r="S229" s="3"/>
    </row>
    <row r="230" spans="1:19" x14ac:dyDescent="0.25">
      <c r="A230" s="3" t="s">
        <v>149</v>
      </c>
      <c r="B230" s="3"/>
      <c r="C230" s="3"/>
      <c r="D230" s="3"/>
      <c r="E230" s="3"/>
      <c r="F230" s="3">
        <v>0.90439814814814812</v>
      </c>
      <c r="G230" s="3" t="s">
        <v>88</v>
      </c>
      <c r="H230" s="3">
        <v>0</v>
      </c>
      <c r="I230" s="3">
        <v>0.93</v>
      </c>
      <c r="J230" s="3" t="s">
        <v>89</v>
      </c>
      <c r="K230" s="3" t="s">
        <v>25</v>
      </c>
      <c r="L230" s="3">
        <v>1489.191</v>
      </c>
      <c r="M230" s="3">
        <v>1</v>
      </c>
      <c r="N230" s="3">
        <v>1350.1659999999999</v>
      </c>
      <c r="O230" s="3">
        <v>1.1029688201302654</v>
      </c>
      <c r="P230" s="3">
        <v>0.72</v>
      </c>
      <c r="Q230" s="3"/>
      <c r="R230" s="3"/>
      <c r="S230" s="3"/>
    </row>
    <row r="231" spans="1:19" x14ac:dyDescent="0.25">
      <c r="A231" s="3" t="s">
        <v>150</v>
      </c>
      <c r="B231" s="3"/>
      <c r="C231" s="3"/>
      <c r="D231" s="3"/>
      <c r="E231" s="3"/>
      <c r="F231" s="3">
        <v>0.90627314814814808</v>
      </c>
      <c r="G231" s="3" t="s">
        <v>88</v>
      </c>
      <c r="H231" s="3">
        <v>0</v>
      </c>
      <c r="I231" s="3">
        <v>0.93</v>
      </c>
      <c r="J231" s="3" t="s">
        <v>89</v>
      </c>
      <c r="K231" s="3" t="s">
        <v>25</v>
      </c>
      <c r="L231" s="3">
        <v>460.59800000000001</v>
      </c>
      <c r="M231" s="3">
        <v>1</v>
      </c>
      <c r="N231" s="3">
        <v>875.19100000000003</v>
      </c>
      <c r="O231" s="3">
        <v>0.52628283426132128</v>
      </c>
      <c r="P231" s="3">
        <v>0.73</v>
      </c>
      <c r="Q231" s="3"/>
      <c r="R231" s="3"/>
      <c r="S231" s="3"/>
    </row>
    <row r="232" spans="1:19" x14ac:dyDescent="0.25">
      <c r="A232" s="3" t="s">
        <v>151</v>
      </c>
      <c r="B232" s="3"/>
      <c r="C232" s="3"/>
      <c r="D232" s="3"/>
      <c r="E232" s="3"/>
      <c r="F232" s="3">
        <v>0.90814814814814815</v>
      </c>
      <c r="G232" s="3" t="s">
        <v>88</v>
      </c>
      <c r="H232" s="3">
        <v>0</v>
      </c>
      <c r="I232" s="3">
        <v>0.93</v>
      </c>
      <c r="J232" s="3" t="s">
        <v>89</v>
      </c>
      <c r="K232" s="3" t="s">
        <v>25</v>
      </c>
      <c r="L232" s="3">
        <v>805.125</v>
      </c>
      <c r="M232" s="3">
        <v>1</v>
      </c>
      <c r="N232" s="3">
        <v>920.49599999999998</v>
      </c>
      <c r="O232" s="3">
        <v>0.87466431141471557</v>
      </c>
      <c r="P232" s="3">
        <v>0.72</v>
      </c>
      <c r="Q232" s="3"/>
      <c r="R232" s="3"/>
      <c r="S232" s="3"/>
    </row>
    <row r="233" spans="1:19" x14ac:dyDescent="0.25">
      <c r="A233" s="3" t="s">
        <v>146</v>
      </c>
      <c r="B233" s="3"/>
      <c r="C233" s="3"/>
      <c r="D233" s="3"/>
      <c r="E233" s="3"/>
      <c r="F233" s="3">
        <v>0.89877314814814813</v>
      </c>
      <c r="G233" s="3" t="s">
        <v>88</v>
      </c>
      <c r="H233" s="3">
        <v>0</v>
      </c>
      <c r="I233" s="3">
        <v>0.93</v>
      </c>
      <c r="J233" s="3" t="s">
        <v>89</v>
      </c>
      <c r="K233" s="3" t="s">
        <v>25</v>
      </c>
      <c r="L233" s="3">
        <v>3161.0279999999998</v>
      </c>
      <c r="M233" s="3">
        <v>1</v>
      </c>
      <c r="N233" s="3">
        <v>1328.6089999999999</v>
      </c>
      <c r="O233" s="3">
        <v>2.3792011043128567</v>
      </c>
      <c r="P233" s="3">
        <v>0.72</v>
      </c>
      <c r="Q233" s="3"/>
      <c r="R233" s="3"/>
      <c r="S233" s="3"/>
    </row>
    <row r="234" spans="1:19" x14ac:dyDescent="0.25">
      <c r="A234" s="3" t="s">
        <v>147</v>
      </c>
      <c r="B234" s="3"/>
      <c r="C234" s="3"/>
      <c r="D234" s="3"/>
      <c r="E234" s="3"/>
      <c r="F234" s="3">
        <v>0.9006481481481482</v>
      </c>
      <c r="G234" s="3" t="s">
        <v>88</v>
      </c>
      <c r="H234" s="3">
        <v>0</v>
      </c>
      <c r="I234" s="3">
        <v>0.93</v>
      </c>
      <c r="J234" s="3" t="s">
        <v>89</v>
      </c>
      <c r="K234" s="3" t="s">
        <v>25</v>
      </c>
      <c r="L234" s="3">
        <v>2766.1849999999999</v>
      </c>
      <c r="M234" s="3">
        <v>1</v>
      </c>
      <c r="N234" s="3">
        <v>1221.33</v>
      </c>
      <c r="O234" s="3">
        <v>2.2648956465492538</v>
      </c>
      <c r="P234" s="3">
        <v>0.72</v>
      </c>
      <c r="Q234" s="3"/>
      <c r="R234" s="3"/>
      <c r="S234" s="3"/>
    </row>
    <row r="235" spans="1:19" x14ac:dyDescent="0.25">
      <c r="A235" s="3" t="s">
        <v>148</v>
      </c>
      <c r="B235" s="3"/>
      <c r="C235" s="3"/>
      <c r="D235" s="3"/>
      <c r="E235" s="3"/>
      <c r="F235" s="3">
        <v>0.90252314814814805</v>
      </c>
      <c r="G235" s="3" t="s">
        <v>88</v>
      </c>
      <c r="H235" s="3">
        <v>0</v>
      </c>
      <c r="I235" s="3">
        <v>0.93</v>
      </c>
      <c r="J235" s="3" t="s">
        <v>89</v>
      </c>
      <c r="K235" s="3" t="s">
        <v>25</v>
      </c>
      <c r="L235" s="3">
        <v>2374.1759999999999</v>
      </c>
      <c r="M235" s="3">
        <v>1</v>
      </c>
      <c r="N235" s="3">
        <v>1210.9290000000001</v>
      </c>
      <c r="O235" s="3">
        <v>1.9606236203774126</v>
      </c>
      <c r="P235" s="3">
        <v>0.72</v>
      </c>
      <c r="Q235" s="3"/>
      <c r="R235" s="3"/>
      <c r="S23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Summary</vt:lpstr>
      <vt:lpstr>Data 1uM</vt:lpstr>
      <vt:lpstr>Data 10 uM</vt:lpstr>
      <vt:lpstr>XevoW01.PRO 1uM</vt:lpstr>
      <vt:lpstr>XevoW01.PRO 10 uM</vt:lpstr>
      <vt:lpstr>Summary1</vt:lpstr>
      <vt:lpstr>'Data 10 uM'!Table1</vt:lpstr>
      <vt:lpstr>Table1</vt:lpstr>
      <vt:lpstr>'Data 10 uM'!Table13</vt:lpstr>
      <vt:lpstr>Table13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Lau, Janice</dc:creator>
  <cp:lastModifiedBy>Lau, Janice</cp:lastModifiedBy>
  <dcterms:created xsi:type="dcterms:W3CDTF">2021-04-27T19:58:33Z</dcterms:created>
  <dcterms:modified xsi:type="dcterms:W3CDTF">2021-04-30T20:16:58Z</dcterms:modified>
</cp:coreProperties>
</file>