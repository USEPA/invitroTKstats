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March 2021\"/>
    </mc:Choice>
  </mc:AlternateContent>
  <bookViews>
    <workbookView xWindow="0" yWindow="0" windowWidth="28800" windowHeight="12000"/>
  </bookViews>
  <sheets>
    <sheet name="Summary" sheetId="1" r:id="rId1"/>
    <sheet name="Data" sheetId="2" r:id="rId2"/>
    <sheet name="Control" sheetId="6" r:id="rId3"/>
  </sheets>
  <functionGroups builtInGroupCount="18"/>
  <definedNames>
    <definedName name="Summary1">Summary!$A$4:$H$12</definedName>
    <definedName name="Table1" localSheetId="2">Control!$Z$2:$AD$7</definedName>
    <definedName name="Table1">Data!#REF!</definedName>
    <definedName name="Table10">Data!#REF!</definedName>
    <definedName name="Table11">Data!$T$46:$X$51</definedName>
    <definedName name="Table12">Data!$T$68:$X$73</definedName>
    <definedName name="Table13">Data!$T$90:$X$95</definedName>
    <definedName name="Table14">Data!$T$112:$X$117</definedName>
    <definedName name="Table15">Data!#REF!</definedName>
    <definedName name="Table16">Data!#REF!</definedName>
    <definedName name="Table17">Data!$T$134:$X$139</definedName>
    <definedName name="Table18">Data!$T$156:$X$161</definedName>
    <definedName name="Table2" localSheetId="2">Control!#REF!</definedName>
    <definedName name="Table2">Data!#REF!</definedName>
    <definedName name="Table3" localSheetId="2">Control!#REF!</definedName>
    <definedName name="Table3">Data!#REF!</definedName>
    <definedName name="Table4" localSheetId="2">Control!#REF!</definedName>
    <definedName name="Table4">Data!#REF!</definedName>
    <definedName name="Table5" localSheetId="2">Control!#REF!</definedName>
    <definedName name="Table5">Data!#REF!</definedName>
    <definedName name="Table6" localSheetId="2">Control!#REF!</definedName>
    <definedName name="Table6">Data!#REF!</definedName>
    <definedName name="Table7" localSheetId="2">Control!#REF!</definedName>
    <definedName name="Table7">Data!$T$2:$X$7</definedName>
    <definedName name="Table8" localSheetId="2">Control!#REF!</definedName>
    <definedName name="Table8">Data!$T$24:$X$29</definedName>
    <definedName name="Table9">Data!#REF!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4" i="2" l="1"/>
  <c r="G176" i="2"/>
  <c r="G132" i="2"/>
  <c r="G110" i="2"/>
  <c r="G88" i="2"/>
  <c r="G66" i="2"/>
  <c r="G44" i="2"/>
  <c r="G22" i="2"/>
  <c r="G18" i="6" l="1"/>
  <c r="I18" i="6" s="1"/>
  <c r="G17" i="6"/>
  <c r="I17" i="6" s="1"/>
  <c r="G16" i="6"/>
  <c r="I16" i="6" s="1"/>
  <c r="G15" i="6"/>
  <c r="I15" i="6" s="1"/>
  <c r="G14" i="6"/>
  <c r="I14" i="6" s="1"/>
  <c r="AB6" i="6" s="1"/>
  <c r="G13" i="6"/>
  <c r="I13" i="6" s="1"/>
  <c r="G12" i="6"/>
  <c r="I12" i="6" s="1"/>
  <c r="G11" i="6"/>
  <c r="I11" i="6" s="1"/>
  <c r="U11" i="6" s="1"/>
  <c r="G10" i="6"/>
  <c r="I10" i="6" s="1"/>
  <c r="G9" i="6"/>
  <c r="I9" i="6" s="1"/>
  <c r="G8" i="6"/>
  <c r="I8" i="6" s="1"/>
  <c r="Z7" i="6"/>
  <c r="G7" i="6"/>
  <c r="I7" i="6" s="1"/>
  <c r="U7" i="6" s="1"/>
  <c r="Z6" i="6"/>
  <c r="G6" i="6"/>
  <c r="I6" i="6" s="1"/>
  <c r="Z5" i="6"/>
  <c r="G5" i="6"/>
  <c r="I5" i="6" s="1"/>
  <c r="Z4" i="6"/>
  <c r="G4" i="6"/>
  <c r="I4" i="6" s="1"/>
  <c r="Z3" i="6"/>
  <c r="U8" i="6" l="1"/>
  <c r="AB4" i="6"/>
  <c r="AB7" i="6"/>
  <c r="U17" i="6"/>
  <c r="U12" i="6"/>
  <c r="AC5" i="6"/>
  <c r="U18" i="6"/>
  <c r="AC7" i="6"/>
  <c r="AB3" i="6"/>
  <c r="U5" i="6"/>
  <c r="AA3" i="6"/>
  <c r="U4" i="6"/>
  <c r="U9" i="6"/>
  <c r="AC4" i="6"/>
  <c r="U15" i="6"/>
  <c r="AC6" i="6"/>
  <c r="U13" i="6"/>
  <c r="AA6" i="6"/>
  <c r="U6" i="6"/>
  <c r="AC3" i="6"/>
  <c r="AA5" i="6"/>
  <c r="U10" i="6"/>
  <c r="AA7" i="6"/>
  <c r="U16" i="6"/>
  <c r="U14" i="6"/>
  <c r="AB5" i="6"/>
  <c r="AA4" i="6"/>
  <c r="AD4" i="6" s="1"/>
  <c r="AD6" i="6" l="1"/>
  <c r="AD7" i="6"/>
  <c r="W18" i="6"/>
  <c r="V15" i="6"/>
  <c r="V12" i="6"/>
  <c r="V9" i="6"/>
  <c r="V6" i="6"/>
  <c r="V5" i="6"/>
  <c r="V11" i="6"/>
  <c r="V18" i="6"/>
  <c r="W15" i="6"/>
  <c r="W16" i="6"/>
  <c r="W13" i="6"/>
  <c r="V10" i="6"/>
  <c r="V4" i="6"/>
  <c r="W14" i="6"/>
  <c r="W8" i="6"/>
  <c r="V14" i="6"/>
  <c r="V8" i="6"/>
  <c r="V17" i="6"/>
  <c r="W7" i="6"/>
  <c r="W9" i="6"/>
  <c r="V16" i="6"/>
  <c r="V13" i="6"/>
  <c r="W17" i="6"/>
  <c r="V7" i="6"/>
  <c r="AD3" i="6"/>
  <c r="AD5" i="6"/>
  <c r="AA9" i="6" l="1"/>
  <c r="AA10" i="6"/>
  <c r="AA11" i="6"/>
  <c r="AA13" i="6" l="1"/>
  <c r="AA12" i="6"/>
</calcChain>
</file>

<file path=xl/sharedStrings.xml><?xml version="1.0" encoding="utf-8"?>
<sst xmlns="http://schemas.openxmlformats.org/spreadsheetml/2006/main" count="837" uniqueCount="294">
  <si>
    <t>SampleName</t>
  </si>
  <si>
    <t>CompoundName</t>
  </si>
  <si>
    <t>Transition</t>
  </si>
  <si>
    <t>Area</t>
  </si>
  <si>
    <t>ISTD Area</t>
  </si>
  <si>
    <t>ISTDResponseRatio</t>
  </si>
  <si>
    <t>N/A</t>
  </si>
  <si>
    <t>137.1 / 81.0</t>
  </si>
  <si>
    <t>Blank_Human___1_____5P4_Inj 2021Feb19_EPA_5</t>
  </si>
  <si>
    <t>Blank_Human___2_____5P4_Inj 2021Feb19_EPA_6</t>
  </si>
  <si>
    <t>Blank_Human___3_____5P4_Inj 2021Feb19_EPA_6</t>
  </si>
  <si>
    <t>DTXSID0029133-1uM_Human__120_1_____5P7_Inj 2021Feb19_EPA_169</t>
  </si>
  <si>
    <t>DTXSID0029133-1uM_Human__120_2_____5P7_Inj 2021Feb19_EPA_170</t>
  </si>
  <si>
    <t>DTXSID0029133-1uM_Human__120_3_____5P7_Inj 2021Feb19_EPA_171</t>
  </si>
  <si>
    <t>DTXSID0029133-1uM_Human__60_1_____5P8_Inj 2021Feb19_EPA_172</t>
  </si>
  <si>
    <t>DTXSID0029133-1uM_Human__60_2_____5P8_Inj 2021Feb19_EPA_173</t>
  </si>
  <si>
    <t>DTXSID0029133-1uM_Human__60_3_____5P8_Inj 2021Feb19_EPA_174</t>
  </si>
  <si>
    <t>DTXSID0029133-1uM_Human__30_1_____5P9_Inj 2021Feb19_EPA_175</t>
  </si>
  <si>
    <t>DTXSID0029133-1uM_Human__30_2_____5P9_Inj 2021Feb19_EPA_176</t>
  </si>
  <si>
    <t>DTXSID0029133-1uM_Human__30_3_____5P9_Inj 2021Feb19_EPA_177</t>
  </si>
  <si>
    <t>DTXSID0029133-1uM_Human__15_1_____5P1-_Inj 2021Feb19_EPA_178</t>
  </si>
  <si>
    <t>DTXSID0029133-1uM_Human__15_2_____5P1-_Inj 2021Feb19_EPA_179</t>
  </si>
  <si>
    <t>DTXSID0029133-1uM_Human__15_3_____5P1-_Inj 2021Feb19_EPA_180</t>
  </si>
  <si>
    <t>DTXSID0029133-1uM_Human__0_1_____5P1-_Inj 2021Feb19_EPA_181</t>
  </si>
  <si>
    <t>DTXSID0029133-1uM_Human__0_2_____5P1-_Inj 2021Feb19_EPA_182</t>
  </si>
  <si>
    <t>DTXSID0029133-1uM_Human__0_3_____5P1-_Inj 2021Feb19_EPA_183</t>
  </si>
  <si>
    <t>DTXSID0029133-10uM_Human__120_1_____5P7_Inj 2021Feb19_EPA_189</t>
  </si>
  <si>
    <t>DTXSID0029133-10uM_Human__120_2_____5P7_Inj 2021Feb19_EPA_190</t>
  </si>
  <si>
    <t>DTXSID0029133-10uM_Human__120_3_____5P7_Inj 2021Feb19_EPA_191</t>
  </si>
  <si>
    <t>DTXSID0029133-10uM_Human__60_1_____5P8_Inj 2021Feb19_EPA_192</t>
  </si>
  <si>
    <t>DTXSID0029133-10uM_Human__60_2_____5P8_Inj 2021Feb19_EPA_193</t>
  </si>
  <si>
    <t>DTXSID0029133-10uM_Human__60_3_____5P8_Inj 2021Feb19_EPA_194</t>
  </si>
  <si>
    <t>DTXSID0029133-10uM_Human__30_1_____5P9_Inj 2021Feb19_EPA_195</t>
  </si>
  <si>
    <t>DTXSID0029133-10uM_Human__30_2_____5P9_Inj 2021Feb19_EPA_196</t>
  </si>
  <si>
    <t>DTXSID0029133-10uM_Human__30_3_____5P9_Inj 2021Feb19_EPA_197</t>
  </si>
  <si>
    <t>DTXSID0029133-10uM_Human__15_1_____5P1-_Inj 2021Feb19_EPA_198</t>
  </si>
  <si>
    <t>DTXSID0029133-10uM_Human__15_2_____5P1-_Inj 2021Feb19_EPA_199</t>
  </si>
  <si>
    <t>DTXSID0029133-10uM_Human__15_3_____5P1-_Inj 2021Feb19_EPA_200</t>
  </si>
  <si>
    <t>DTXSID0029133-10uM_Human__0_1_____5P1-_Inj 2021Feb19_EPA_201</t>
  </si>
  <si>
    <t>DTXSID0029133-10uM_Human__0_2_____5P1-_Inj 2021Feb19_EPA_202</t>
  </si>
  <si>
    <t>DTXSID0029133-10uM_Human__0_3_____5P1-_Inj 2021Feb19_EPA_203</t>
  </si>
  <si>
    <t>DTXSID6025692-1uM_Human__120_1_____5P7_Inj 2021Feb19_EPA_369</t>
  </si>
  <si>
    <t>DTXSID6025692-1uM_Human__120_2_____5P7_Inj 2021Feb19_EPA_370</t>
  </si>
  <si>
    <t>DTXSID6025692-1uM_Human__120_3_____5P7_Inj 2021Feb19_EPA_371</t>
  </si>
  <si>
    <t>DTXSID6025692-1uM_Human__60_1_____5P8_Inj 2021Feb19_EPA_372</t>
  </si>
  <si>
    <t>DTXSID6025692-1uM_Human__60_2_____5P8_Inj 2021Feb19_EPA_373</t>
  </si>
  <si>
    <t>DTXSID6025692-1uM_Human__60_3_____5P8_Inj 2021Feb19_EPA_374</t>
  </si>
  <si>
    <t>DTXSID6025692-1uM_Human__30_1_____5P9_Inj 2021Feb19_EPA_375</t>
  </si>
  <si>
    <t>DTXSID6025692-1uM_Human__30_2_____5P9_Inj 2021Feb19_EPA_376</t>
  </si>
  <si>
    <t>DTXSID6025692-1uM_Human__30_3_____5P9_Inj 2021Feb19_EPA_377</t>
  </si>
  <si>
    <t>DTXSID6025692-1uM_Human__15_1_____5P1-_Inj 2021Feb19_EPA_378</t>
  </si>
  <si>
    <t>DTXSID6025692-1uM_Human__15_2_____5P1-_Inj 2021Feb19_EPA_379</t>
  </si>
  <si>
    <t>DTXSID6025692-1uM_Human__15_3_____5P1-_Inj 2021Feb19_EPA_380</t>
  </si>
  <si>
    <t>DTXSID6025692-1uM_Human__0_1_____5P1-_Inj 2021Feb19_EPA_381</t>
  </si>
  <si>
    <t>DTXSID6025692-1uM_Human__0_2_____5P1-_Inj 2021Feb19_EPA_382</t>
  </si>
  <si>
    <t>DTXSID6025692-1uM_Human__0_3_____5P1-_Inj 2021Feb19_EPA_383</t>
  </si>
  <si>
    <t>DTXSID6025692-10uM_Human__120_1_____5P7_Inj 2021Feb19_EPA_389</t>
  </si>
  <si>
    <t>DTXSID6025692-10uM_Human__120_2_____5P7_Inj 2021Feb19_EPA_390</t>
  </si>
  <si>
    <t>DTXSID6025692-10uM_Human__120_3_____5P7_Inj 2021Feb19_EPA_391</t>
  </si>
  <si>
    <t>DTXSID6025692-10uM_Human__60_1_____5P8_Inj 2021Feb19_EPA_392</t>
  </si>
  <si>
    <t>DTXSID6025692-10uM_Human__60_2_____5P8_Inj 2021Feb19_EPA_393</t>
  </si>
  <si>
    <t>DTXSID6025692-10uM_Human__60_3_____5P8_Inj 2021Feb19_EPA_394</t>
  </si>
  <si>
    <t>DTXSID6025692-10uM_Human__30_1_____5P9_Inj 2021Feb19_EPA_395</t>
  </si>
  <si>
    <t>DTXSID6025692-10uM_Human__30_2_____5P9_Inj 2021Feb19_EPA_396</t>
  </si>
  <si>
    <t>DTXSID6025692-10uM_Human__30_3_____5P9_Inj 2021Feb19_EPA_397</t>
  </si>
  <si>
    <t>DTXSID6025692-10uM_Human__15_1_____5P1-_Inj 2021Feb19_EPA_398</t>
  </si>
  <si>
    <t>DTXSID6025692-10uM_Human__15_2_____5P1-_Inj 2021Feb19_EPA_399</t>
  </si>
  <si>
    <t>DTXSID6025692-10uM_Human__15_3_____5P1-_Inj 2021Feb19_EPA_400</t>
  </si>
  <si>
    <t>DTXSID6025692-10uM_Human__0_1_____5P1-_Inj 2021Feb19_EPA_401</t>
  </si>
  <si>
    <t>DTXSID6025692-10uM_Human__0_2_____5P1-_Inj 2021Feb19_EPA_402</t>
  </si>
  <si>
    <t>DTXSID6025692-10uM_Human__0_3_____5P1-_Inj 2021Feb19_EPA_403</t>
  </si>
  <si>
    <t>DTXSID0038700-1uM_Human__120_1_____5P7_Inj 2021Feb19_EPA_409</t>
  </si>
  <si>
    <t>DTXSID0038700-1uM_Human__120_2_____5P7_Inj 2021Feb19_EPA_410</t>
  </si>
  <si>
    <t>DTXSID0038700-1uM_Human__120_3_____5P7_Inj 2021Feb19_EPA_411</t>
  </si>
  <si>
    <t>DTXSID0038700-1uM_Human__60_1_____5P8_Inj 2021Feb19_EPA_412</t>
  </si>
  <si>
    <t>DTXSID0038700-1uM_Human__60_2_____5P8_Inj 2021Feb19_EPA_413</t>
  </si>
  <si>
    <t>DTXSID0038700-1uM_Human__60_3_____5P8_Inj 2021Feb19_EPA_414</t>
  </si>
  <si>
    <t>DTXSID0038700-1uM_Human__30_1_____5P9_Inj 2021Feb19_EPA_415</t>
  </si>
  <si>
    <t>DTXSID0038700-1uM_Human__30_2_____5P9_Inj 2021Feb19_EPA_416</t>
  </si>
  <si>
    <t>DTXSID0038700-1uM_Human__30_3_____5P9_Inj 2021Feb19_EPA_417</t>
  </si>
  <si>
    <t>DTXSID0038700-1uM_Human__15_1_____5P1-_Inj 2021Feb19_EPA_418</t>
  </si>
  <si>
    <t>DTXSID0038700-1uM_Human__15_2_____5P1-_Inj 2021Feb19_EPA_419</t>
  </si>
  <si>
    <t>DTXSID0038700-1uM_Human__15_3_____5P1-_Inj 2021Feb19_EPA_420</t>
  </si>
  <si>
    <t>DTXSID0038700-1uM_Human__0_1_____5P1-_Inj 2021Feb19_EPA_421</t>
  </si>
  <si>
    <t>DTXSID0038700-1uM_Human__0_2_____5P1-_Inj 2021Feb19_EPA_422</t>
  </si>
  <si>
    <t>DTXSID0038700-1uM_Human__0_3_____5P1-_Inj 2021Feb19_EPA_423</t>
  </si>
  <si>
    <t>DTXSID0038700-10uM_Human__120_1_____5P7_Inj 2021Feb19_EPA_429</t>
  </si>
  <si>
    <t>DTXSID0038700-10uM_Human__120_2_____5P7_Inj 2021Feb19_EPA_430</t>
  </si>
  <si>
    <t>DTXSID0038700-10uM_Human__120_3_____5P7_Inj 2021Feb19_EPA_431</t>
  </si>
  <si>
    <t>DTXSID0038700-10uM_Human__60_1_____5P8_Inj 2021Feb19_EPA_432</t>
  </si>
  <si>
    <t>DTXSID0038700-10uM_Human__60_2_____5P8_Inj 2021Feb19_EPA_433</t>
  </si>
  <si>
    <t>DTXSID0038700-10uM_Human__60_3_____5P8_Inj 2021Feb19_EPA_434</t>
  </si>
  <si>
    <t>DTXSID0038700-10uM_Human__30_1_____5P9_Inj 2021Feb19_EPA_435</t>
  </si>
  <si>
    <t>DTXSID0038700-10uM_Human__30_2_____5P9_Inj 2021Feb19_EPA_436</t>
  </si>
  <si>
    <t>DTXSID0038700-10uM_Human__30_3_____5P9_Inj 2021Feb19_EPA_437</t>
  </si>
  <si>
    <t>DTXSID0038700-10uM_Human__15_1_____5P1-_Inj 2021Feb19_EPA_438</t>
  </si>
  <si>
    <t>DTXSID0038700-10uM_Human__15_2_____5P1-_Inj 2021Feb19_EPA_439</t>
  </si>
  <si>
    <t>DTXSID0038700-10uM_Human__15_3_____5P1-_Inj 2021Feb19_EPA_440</t>
  </si>
  <si>
    <t>DTXSID0038700-10uM_Human__0_1_____5P1-_Inj 2021Feb19_EPA_441</t>
  </si>
  <si>
    <t>DTXSID0038700-10uM_Human__0_2_____5P1-_Inj 2021Feb19_EPA_442</t>
  </si>
  <si>
    <t>DTXSID0038700-10uM_Human__0_3_____5P1-_Inj 2021Feb19_EPA_443</t>
  </si>
  <si>
    <t>DTXSID2024113-1uM_Human__120_1_____5P7_Inj 2021Feb19_EPA_489</t>
  </si>
  <si>
    <t>DTXSID2024113-1uM_Human__120_2_____5P7_Inj 2021Feb19_EPA_490</t>
  </si>
  <si>
    <t>DTXSID2024113-1uM_Human__120_3_____5P7_Inj 2021Feb19_EPA_491</t>
  </si>
  <si>
    <t>DTXSID2024113-1uM_Human__60_1_____5P8_Inj 2021Feb19_EPA_492</t>
  </si>
  <si>
    <t>DTXSID2024113-1uM_Human__60_2_____5P8_Inj 2021Feb19_EPA_493</t>
  </si>
  <si>
    <t>DTXSID2024113-1uM_Human__60_3_____5P8_Inj 2021Feb19_EPA_494</t>
  </si>
  <si>
    <t>DTXSID2024113-1uM_Human__30_1_____5P9_Inj 2021Feb19_EPA_495</t>
  </si>
  <si>
    <t>DTXSID2024113-1uM_Human__30_2_____5P9_Inj 2021Feb19_EPA_496</t>
  </si>
  <si>
    <t>DTXSID2024113-1uM_Human__30_3_____5P9_Inj 2021Feb19_EPA_497</t>
  </si>
  <si>
    <t>DTXSID2024113-1uM_Human__15_1_____5P1-_Inj 2021Feb19_EPA_498</t>
  </si>
  <si>
    <t>DTXSID2024113-1uM_Human__15_2_____5P1-_Inj 2021Feb19_EPA_499</t>
  </si>
  <si>
    <t>DTXSID2024113-1uM_Human__15_3_____5P1-_Inj 2021Feb19_EPA_500</t>
  </si>
  <si>
    <t>DTXSID2024113-1uM_Human__0_1_____5P1-_Inj 2021Feb19_EPA_501</t>
  </si>
  <si>
    <t>DTXSID2024113-1uM_Human__0_2_____5P1-_Inj 2021Feb19_EPA_502</t>
  </si>
  <si>
    <t>DTXSID2024113-1uM_Human__0_3_____5P1-_Inj 2021Feb19_EPA_503</t>
  </si>
  <si>
    <t>DTXSID2024113-10uM_Human__120_1_____5P7_Inj 2021Feb19_EPA_509</t>
  </si>
  <si>
    <t>DTXSID2024113-10uM_Human__120_2_____5P7_Inj 2021Feb19_EPA_510</t>
  </si>
  <si>
    <t>DTXSID2024113-10uM_Human__120_3_____5P7_Inj 2021Feb19_EPA_511</t>
  </si>
  <si>
    <t>DTXSID2024113-10uM_Human__60_1_____5P8_Inj 2021Feb19_EPA_512</t>
  </si>
  <si>
    <t>DTXSID2024113-10uM_Human__60_2_____5P8_Inj 2021Feb19_EPA_513</t>
  </si>
  <si>
    <t>DTXSID2024113-10uM_Human__60_3_____5P8_Inj 2021Feb19_EPA_514</t>
  </si>
  <si>
    <t>DTXSID2024113-10uM_Human__30_1_____5P9_Inj 2021Feb19_EPA_515</t>
  </si>
  <si>
    <t>DTXSID2024113-10uM_Human__30_2_____5P9_Inj 2021Feb19_EPA_516</t>
  </si>
  <si>
    <t>DTXSID2024113-10uM_Human__30_3_____5P9_Inj 2021Feb19_EPA_517</t>
  </si>
  <si>
    <t>DTXSID2024113-10uM_Human__15_1_____5P1-_Inj 2021Feb19_EPA_518</t>
  </si>
  <si>
    <t>DTXSID2024113-10uM_Human__15_2_____5P1-_Inj 2021Feb19_EPA_519</t>
  </si>
  <si>
    <t>DTXSID2024113-10uM_Human__15_3_____5P1-_Inj 2021Feb19_EPA_520</t>
  </si>
  <si>
    <t>DTXSID2024113-10uM_Human__0_1_____5P1-_Inj 2021Feb19_EPA_521</t>
  </si>
  <si>
    <t>DTXSID2024113-10uM_Human__0_2_____5P1-_Inj 2021Feb19_EPA_522</t>
  </si>
  <si>
    <t>DTXSID2024113-10uM_Human__0_3_____5P1-_Inj 2021Feb19_EPA_523</t>
  </si>
  <si>
    <t>DTXSID0029133-10uM</t>
  </si>
  <si>
    <t>DTXSID0029133-1uM</t>
  </si>
  <si>
    <t>DTXSID6025692-1uM</t>
  </si>
  <si>
    <t>DTXSID6025692-10uM</t>
  </si>
  <si>
    <t>DTXSID0038700-1uM</t>
  </si>
  <si>
    <t>169.0 / 123.1</t>
  </si>
  <si>
    <t>DTXSID0038700-10uM</t>
  </si>
  <si>
    <t>DTXSID2024113-1uM</t>
  </si>
  <si>
    <t>247.1 / 109.0</t>
  </si>
  <si>
    <t>DTXSID2024113-10uM</t>
  </si>
  <si>
    <t>Compound</t>
  </si>
  <si>
    <t>Species</t>
  </si>
  <si>
    <t>Clearance (µl/min/million cells)</t>
  </si>
  <si>
    <t>Half Life (mins)</t>
  </si>
  <si>
    <t>Avg % Remaining at Last Point</t>
  </si>
  <si>
    <t>Comments</t>
  </si>
  <si>
    <t>% Remaining</t>
  </si>
  <si>
    <t>Time (mins)</t>
  </si>
  <si>
    <t>ln % Remaining</t>
  </si>
  <si>
    <t>Table</t>
  </si>
  <si>
    <t>Chart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</si>
  <si>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</si>
  <si>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</si>
  <si>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</si>
  <si>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</si>
  <si>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</si>
  <si>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</si>
  <si>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</si>
  <si>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</si>
  <si>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</si>
  <si>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</si>
  <si>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</si>
  <si>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</si>
  <si>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Human</t>
  </si>
  <si>
    <t>DTXSID0029133-10uM - Human</t>
  </si>
  <si>
    <t>DTXSID0029133-1uM - Human</t>
  </si>
  <si>
    <t>DTXSID0038700-10uM - Human</t>
  </si>
  <si>
    <t>DTXSID0038700-1uM - Human</t>
  </si>
  <si>
    <t>DTXSID2024113-10uM - Human</t>
  </si>
  <si>
    <t>DTXSID2024113-1uM - Human</t>
  </si>
  <si>
    <t>DTXSID6025692-10uM - Human</t>
  </si>
  <si>
    <t>DTXSID6025692-1uM - Human</t>
  </si>
  <si>
    <t>Midazolam</t>
  </si>
  <si>
    <t>326.121 &gt; 291.203</t>
  </si>
  <si>
    <t>Control</t>
  </si>
  <si>
    <t xml:space="preserve">Points Deleted: (30,11.5480) (30,12.6410) (30,14.0350) </t>
  </si>
  <si>
    <t xml:space="preserve">Points Deleted: (30,14.4420) (30,14.8600) (30,14.7120) </t>
  </si>
  <si>
    <t xml:space="preserve">Points Deleted: (30,6.3370) (30,5.7810) </t>
  </si>
  <si>
    <t xml:space="preserve">Points Deleted: (30,7.3050) </t>
  </si>
  <si>
    <t xml:space="preserve">Points Deleted: (30,11.5360) (30,12.5890) </t>
  </si>
  <si>
    <t xml:space="preserve">Points Deleted: (30,12.1380) (30,13.4630) </t>
  </si>
  <si>
    <t xml:space="preserve">Points Deleted: (120,1.1930) (120,1.1030) (120,1.1820) (60,2.5870) (60,2.3760) (60,2.4680) (30,3.9950) (30,5.3480) (30,5.3980) </t>
  </si>
  <si>
    <t xml:space="preserve">Points Deleted: (120,0.3370) (120,0.1760) (120,0.0740) (60,1.8540) (60,1.5050) (60,1.1680) (30,4.6560) (30,4.1180) </t>
  </si>
  <si>
    <t>not detectable due to high background</t>
  </si>
  <si>
    <t/>
  </si>
  <si>
    <t>103604.07%</t>
  </si>
  <si>
    <t>308834.25%</t>
  </si>
  <si>
    <t>1245213.94%</t>
  </si>
  <si>
    <t>11.548</t>
  </si>
  <si>
    <t>12.641</t>
  </si>
  <si>
    <t>14.035</t>
  </si>
  <si>
    <t>1871521.77%</t>
  </si>
  <si>
    <t>2840756.72%</t>
  </si>
  <si>
    <t>2452097.28%</t>
  </si>
  <si>
    <t>14.442</t>
  </si>
  <si>
    <t>14.860</t>
  </si>
  <si>
    <t>14.712</t>
  </si>
  <si>
    <t>565.27%</t>
  </si>
  <si>
    <t>324.16%</t>
  </si>
  <si>
    <t>6.337</t>
  </si>
  <si>
    <t>5.781</t>
  </si>
  <si>
    <t>1488.18%</t>
  </si>
  <si>
    <t>7.305</t>
  </si>
  <si>
    <t>3.30%</t>
  </si>
  <si>
    <t>3.01%</t>
  </si>
  <si>
    <t>3.26%</t>
  </si>
  <si>
    <t>13.29%</t>
  </si>
  <si>
    <t>10.76%</t>
  </si>
  <si>
    <t>11.80%</t>
  </si>
  <si>
    <t>1.193</t>
  </si>
  <si>
    <t>54.33%</t>
  </si>
  <si>
    <t>210.22%</t>
  </si>
  <si>
    <t>220.93%</t>
  </si>
  <si>
    <t>1.103</t>
  </si>
  <si>
    <t>1.182</t>
  </si>
  <si>
    <t>2.587</t>
  </si>
  <si>
    <t>2.376</t>
  </si>
  <si>
    <t>2.468</t>
  </si>
  <si>
    <t>3.995</t>
  </si>
  <si>
    <t>5.348</t>
  </si>
  <si>
    <t>5.398</t>
  </si>
  <si>
    <t>1.40%</t>
  </si>
  <si>
    <t>1.19%</t>
  </si>
  <si>
    <t>1.08%</t>
  </si>
  <si>
    <t>6.39%</t>
  </si>
  <si>
    <t>4.51%</t>
  </si>
  <si>
    <t>3.22%</t>
  </si>
  <si>
    <t>0.337</t>
  </si>
  <si>
    <t>105.19%</t>
  </si>
  <si>
    <t>61.42%</t>
  </si>
  <si>
    <t>0.176</t>
  </si>
  <si>
    <t>0.074</t>
  </si>
  <si>
    <t>1.854</t>
  </si>
  <si>
    <t>1.505</t>
  </si>
  <si>
    <t>1.168</t>
  </si>
  <si>
    <t>4.656</t>
  </si>
  <si>
    <t>4.118</t>
  </si>
  <si>
    <t>102338.08%</t>
  </si>
  <si>
    <t>293454.25%</t>
  </si>
  <si>
    <t>11.536</t>
  </si>
  <si>
    <t>12.589</t>
  </si>
  <si>
    <t>186797.86%</t>
  </si>
  <si>
    <t>702700.94%</t>
  </si>
  <si>
    <t>12.138</t>
  </si>
  <si>
    <t>13.463</t>
  </si>
  <si>
    <t>EPA</t>
  </si>
  <si>
    <t>Blank_Human___1_____5P1_Inj 2021Feb19_EPA_5</t>
  </si>
  <si>
    <t>Midazolam-1uM - Human</t>
  </si>
  <si>
    <t>Blank_Human___2_____5P1_Inj 2021Feb19_EPA_6</t>
  </si>
  <si>
    <t>Midazolam_1uM_Human__120_1_____5P1_Inj 2021Feb19_EPA_9</t>
  </si>
  <si>
    <t>Midazolam_1uM_Human__120_2_____5P1_Inj 2021Feb19_EPA_10</t>
  </si>
  <si>
    <t>Midazolam_1uM_Human__120_3_____5P1_Inj 2021Feb19_EPA_11</t>
  </si>
  <si>
    <t>Midazolam_1uM_Human__60_1_____5P2_Inj 2021Feb19_EPA_12</t>
  </si>
  <si>
    <t>Midazolam_1uM_Human__60_2_____5P2_Inj 2021Feb19_EPA_13</t>
  </si>
  <si>
    <t>Midazolam_1uM_Human__60_3_____5P2_Inj 2021Feb19_EPA_14</t>
  </si>
  <si>
    <t>Midazolam_1uM_Human__30_1_____5P3_Inj 2021Feb19_EPA_15</t>
  </si>
  <si>
    <t>Midazolam_1uM_Human__30_2_____5P3_Inj 2021Feb19_EPA_16</t>
  </si>
  <si>
    <t>Midazolam_1uM_Human__30_3_____5P3_Inj 2021Feb19_EPA_17</t>
  </si>
  <si>
    <t>Midazolam_1uM_Human__15_1_____5P4_Inj 2021Feb19_EPA_18</t>
  </si>
  <si>
    <t>Midazolam_1uM_Human__15_2_____5P4_Inj 2021Feb19_EPA_19</t>
  </si>
  <si>
    <t>Midazolam_1uM_Human__15_3_____5P4_Inj 2021Feb19_EPA_20</t>
  </si>
  <si>
    <t>Midazolam_1uM_Human__0_1_____5P5_Inj 2021Feb19_EPA_21</t>
  </si>
  <si>
    <t>Midazolam_1uM_Human__0_2_____5P5_Inj 2021Feb19_EPA_22</t>
  </si>
  <si>
    <t>Midazolam_1uM_Human__0_3_____5P5_Inj 2021Feb19_EPA_23</t>
  </si>
  <si>
    <t>Due to robotic issues, the 30 min time points were not used</t>
  </si>
  <si>
    <t>Midazolam - 1uM</t>
  </si>
  <si>
    <t>DTXSID0029133-10uM_Human__HI_1_____5P7_Inj 2021Feb19_EPA_204</t>
  </si>
  <si>
    <t>DTXSID0029133-10uM_Human__HI_2_____5P7_Inj 2021Feb19_EPA_205</t>
  </si>
  <si>
    <t>DTXSID0029133-10uM_Human__HI_3_____5P7_Inj 2021Feb19_EPA_206</t>
  </si>
  <si>
    <t>DTXSID0029133-1uM_Human__HI_1_____5P7_Inj 2021Feb19_EPA_184</t>
  </si>
  <si>
    <t>DTXSID0029133-1uM_Human__HI_2_____5P7_Inj 2021Feb19_EPA_185</t>
  </si>
  <si>
    <t>DTXSID0029133-1uM_Human__HI_3_____5P7_Inj 2021Feb19_EPA_186</t>
  </si>
  <si>
    <t>0.30886</t>
  </si>
  <si>
    <t>0.36641</t>
  </si>
  <si>
    <t>DTXSID0038700-10uM_Human__HI_1_____5P1-_Inj 2021Feb19_EPA_444</t>
  </si>
  <si>
    <t>DTXSID0038700-10uM_Human__HI_2_____5P1-_Inj 2021Feb19_EPA_445</t>
  </si>
  <si>
    <t>DTXSID0038700-10uM_Human__HI_3_____5P1-_Inj 2021Feb19_EPA_446</t>
  </si>
  <si>
    <t>DTXSID0038700-1uM_Human__HI_1_____5P1-_Inj 2021Feb19_EPA_424</t>
  </si>
  <si>
    <t>DTXSID0038700-1uM_Human__HI_2_____5P1-_Inj 2021Feb19_EPA_425</t>
  </si>
  <si>
    <t>DTXSID0038700-1uM_Human__HI_3_____5P1-_Inj 2021Feb19_EPA_426</t>
  </si>
  <si>
    <t>DTXSID2024113-10uM_Human__HI_1_____5P1-_Inj 2021Feb19_EPA_524</t>
  </si>
  <si>
    <t>DTXSID2024113-10uM_Human__HI_2_____5P1-_Inj 2021Feb19_EPA_525</t>
  </si>
  <si>
    <t>DTXSID2024113-10uM_Human__HI_3_____5P1-_Inj 2021Feb19_EPA_526</t>
  </si>
  <si>
    <t>DTXSID2024113_1uM_Human__HI_1_____5P1-_Inj 2021Feb19_EPA_504</t>
  </si>
  <si>
    <t>DTXSID2024113_1uM_Human__HI_2_____5P1-_Inj 2021Feb19_EPA_505</t>
  </si>
  <si>
    <t>DTXSID2024113_1uM_Human__HI_3_____5P1-_Inj 2021Feb19_EPA_506</t>
  </si>
  <si>
    <t>DTXSID6025692_1uM_Human__HI_1_____5P1-_Inj 2021Feb19_EPA_384</t>
  </si>
  <si>
    <t>DTXSID6025692_1uM_Human__HI_2_____5P1-_Inj 2021Feb19_EPA_385</t>
  </si>
  <si>
    <t>DTXSID6025692_1uM_Human__HI_3_____5P1-_Inj 2021Feb19_EPA_386</t>
  </si>
  <si>
    <t>DTXSID6025692_10uM_Human__HI_1_____5P1-_Inj 2021Feb19_EPA_404</t>
  </si>
  <si>
    <t>DTXSID6025692_10uM_Human__HI_2_____5P1-_Inj 2021Feb19_EPA_405</t>
  </si>
  <si>
    <t>DTXSID6025692_10uM_Human__HI_3_____5P1-_Inj 2021Feb19_EPA_406</t>
  </si>
  <si>
    <t>Avg % Remaining in HI hepatocytes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</si>
</sst>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dd\ mmm\ yyyy"/>
    <numFmt numFmtId="165" formatCode="0.0%"/>
    <numFmt numFmtId="166" formatCode="0.00000"/>
    <numFmt numFmtId="167" formatCode="0.0000"/>
    <numFmt numFmtId="168" formatCode="0.0"/>
    <numFmt numFmtId="169" formatCode="0.00E+00%"/>
    <numFmt numFmtId="170" formatCode="0.000%"/>
    <numFmt numFmtId="171" formatCode="0.000"/>
  </numFmts>
  <fonts count="11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 style="double">
        <color rgb="FF000000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97">
    <xf numFmtId="0" fontId="0" fillId="0" borderId="0" xfId="0"/>
    <xf numFmtId="0" fontId="2" fillId="0" borderId="0" xfId="1"/>
    <xf numFmtId="0" fontId="4" fillId="0" borderId="0" xfId="1" applyFont="1"/>
    <xf numFmtId="0" fontId="6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1" applyFont="1"/>
    <xf numFmtId="0" fontId="8" fillId="0" borderId="0" xfId="1" applyFont="1"/>
    <xf numFmtId="0" fontId="3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2" borderId="0" xfId="1" applyFont="1" applyFill="1" applyAlignment="1">
      <alignment horizontal="center"/>
    </xf>
    <xf numFmtId="165" fontId="2" fillId="2" borderId="0" xfId="1" applyNumberFormat="1" applyFill="1" applyAlignment="1">
      <alignment horizontal="center"/>
    </xf>
    <xf numFmtId="9" fontId="2" fillId="2" borderId="0" xfId="1" applyNumberFormat="1" applyFill="1" applyAlignment="1">
      <alignment horizontal="center"/>
    </xf>
    <xf numFmtId="0" fontId="3" fillId="2" borderId="1" xfId="1" applyFont="1" applyFill="1" applyBorder="1" applyAlignment="1">
      <alignment horizontal="center"/>
    </xf>
    <xf numFmtId="9" fontId="2" fillId="2" borderId="1" xfId="1" applyNumberFormat="1" applyFill="1" applyBorder="1" applyAlignment="1">
      <alignment horizontal="center"/>
    </xf>
    <xf numFmtId="10" fontId="2" fillId="2" borderId="0" xfId="1" applyNumberFormat="1" applyFill="1" applyAlignment="1">
      <alignment horizontal="center"/>
    </xf>
    <xf numFmtId="0" fontId="2" fillId="2" borderId="0" xfId="1" applyFill="1" applyAlignment="1">
      <alignment horizontal="center"/>
    </xf>
    <xf numFmtId="169" fontId="2" fillId="2" borderId="0" xfId="1" applyNumberFormat="1" applyFill="1" applyAlignment="1">
      <alignment horizontal="center"/>
    </xf>
    <xf numFmtId="0" fontId="0" fillId="0" borderId="0" xfId="0" applyAlignment="1">
      <alignment horizontal="left"/>
    </xf>
    <xf numFmtId="0" fontId="8" fillId="0" borderId="0" xfId="1" applyFont="1" applyAlignment="1">
      <alignment horizontal="center"/>
    </xf>
    <xf numFmtId="0" fontId="3" fillId="0" borderId="6" xfId="1" applyFont="1" applyBorder="1" applyAlignment="1">
      <alignment horizontal="center"/>
    </xf>
    <xf numFmtId="166" fontId="2" fillId="0" borderId="3" xfId="1" applyNumberFormat="1" applyBorder="1" applyAlignment="1">
      <alignment horizontal="center"/>
    </xf>
    <xf numFmtId="0" fontId="3" fillId="0" borderId="7" xfId="1" applyFont="1" applyBorder="1" applyAlignment="1">
      <alignment horizontal="center"/>
    </xf>
    <xf numFmtId="2" fontId="2" fillId="0" borderId="4" xfId="1" applyNumberFormat="1" applyBorder="1" applyAlignment="1">
      <alignment horizontal="center"/>
    </xf>
    <xf numFmtId="167" fontId="2" fillId="0" borderId="4" xfId="1" applyNumberFormat="1" applyBorder="1" applyAlignment="1">
      <alignment horizontal="center"/>
    </xf>
    <xf numFmtId="168" fontId="2" fillId="0" borderId="4" xfId="1" applyNumberFormat="1" applyBorder="1" applyAlignment="1">
      <alignment horizontal="center"/>
    </xf>
    <xf numFmtId="0" fontId="3" fillId="0" borderId="8" xfId="1" applyFont="1" applyBorder="1" applyAlignment="1">
      <alignment horizontal="center"/>
    </xf>
    <xf numFmtId="0" fontId="2" fillId="0" borderId="5" xfId="1" applyBorder="1" applyAlignment="1">
      <alignment horizontal="center"/>
    </xf>
    <xf numFmtId="167" fontId="2" fillId="0" borderId="3" xfId="1" applyNumberFormat="1" applyBorder="1" applyAlignment="1">
      <alignment horizontal="center"/>
    </xf>
    <xf numFmtId="166" fontId="2" fillId="0" borderId="4" xfId="1" applyNumberFormat="1" applyBorder="1" applyAlignment="1">
      <alignment horizontal="center"/>
    </xf>
    <xf numFmtId="171" fontId="2" fillId="0" borderId="4" xfId="1" applyNumberFormat="1" applyBorder="1" applyAlignment="1">
      <alignment horizontal="center"/>
    </xf>
    <xf numFmtId="1" fontId="2" fillId="0" borderId="4" xfId="1" applyNumberFormat="1" applyBorder="1" applyAlignment="1">
      <alignment horizontal="center"/>
    </xf>
    <xf numFmtId="0" fontId="4" fillId="3" borderId="0" xfId="1" applyFont="1" applyFill="1"/>
    <xf numFmtId="0" fontId="4" fillId="4" borderId="0" xfId="1" applyFont="1" applyFill="1"/>
    <xf numFmtId="0" fontId="4" fillId="3" borderId="0" xfId="1" applyFont="1" applyFill="1" applyAlignment="1">
      <alignment horizontal="center"/>
    </xf>
    <xf numFmtId="0" fontId="4" fillId="4" borderId="0" xfId="1" applyFont="1" applyFill="1" applyAlignment="1">
      <alignment horizontal="center"/>
    </xf>
    <xf numFmtId="0" fontId="5" fillId="4" borderId="0" xfId="1" applyFont="1" applyFill="1"/>
    <xf numFmtId="0" fontId="5" fillId="3" borderId="0" xfId="1" applyFont="1" applyFill="1"/>
    <xf numFmtId="0" fontId="0" fillId="0" borderId="0" xfId="0" applyAlignment="1">
      <alignment horizontal="center"/>
    </xf>
    <xf numFmtId="0" fontId="4" fillId="0" borderId="0" xfId="2" applyFont="1"/>
    <xf numFmtId="0" fontId="3" fillId="0" borderId="0" xfId="2" applyFont="1"/>
    <xf numFmtId="0" fontId="3" fillId="0" borderId="0" xfId="2" applyFont="1" applyAlignment="1">
      <alignment horizontal="center"/>
    </xf>
    <xf numFmtId="0" fontId="1" fillId="0" borderId="0" xfId="2"/>
    <xf numFmtId="0" fontId="8" fillId="0" borderId="0" xfId="2" applyFont="1"/>
    <xf numFmtId="0" fontId="8" fillId="0" borderId="0" xfId="2" applyFont="1" applyAlignment="1">
      <alignment horizontal="center"/>
    </xf>
    <xf numFmtId="0" fontId="1" fillId="0" borderId="0" xfId="2" applyAlignment="1">
      <alignment horizontal="center"/>
    </xf>
    <xf numFmtId="0" fontId="4" fillId="3" borderId="0" xfId="2" applyFont="1" applyFill="1"/>
    <xf numFmtId="0" fontId="4" fillId="3" borderId="0" xfId="2" applyFont="1" applyFill="1" applyAlignment="1">
      <alignment horizontal="center"/>
    </xf>
    <xf numFmtId="0" fontId="0" fillId="3" borderId="0" xfId="2" applyFont="1" applyFill="1"/>
    <xf numFmtId="0" fontId="3" fillId="2" borderId="2" xfId="2" applyFont="1" applyFill="1" applyBorder="1" applyAlignment="1">
      <alignment horizontal="center"/>
    </xf>
    <xf numFmtId="0" fontId="4" fillId="4" borderId="0" xfId="2" applyFont="1" applyFill="1"/>
    <xf numFmtId="0" fontId="4" fillId="4" borderId="0" xfId="2" applyFont="1" applyFill="1" applyAlignment="1">
      <alignment horizontal="center"/>
    </xf>
    <xf numFmtId="0" fontId="3" fillId="2" borderId="0" xfId="2" applyFont="1" applyFill="1" applyAlignment="1">
      <alignment horizontal="center"/>
    </xf>
    <xf numFmtId="170" fontId="1" fillId="2" borderId="0" xfId="2" applyNumberFormat="1" applyFill="1" applyAlignment="1">
      <alignment horizontal="center"/>
    </xf>
    <xf numFmtId="10" fontId="1" fillId="2" borderId="0" xfId="2" applyNumberFormat="1" applyFill="1" applyAlignment="1">
      <alignment horizontal="center"/>
    </xf>
    <xf numFmtId="0" fontId="5" fillId="3" borderId="0" xfId="2" applyFont="1" applyFill="1"/>
    <xf numFmtId="0" fontId="5" fillId="4" borderId="0" xfId="2" applyFont="1" applyFill="1"/>
    <xf numFmtId="165" fontId="1" fillId="2" borderId="0" xfId="2" applyNumberFormat="1" applyFill="1" applyAlignment="1">
      <alignment horizontal="center"/>
    </xf>
    <xf numFmtId="0" fontId="3" fillId="2" borderId="1" xfId="2" applyFont="1" applyFill="1" applyBorder="1" applyAlignment="1">
      <alignment horizontal="center"/>
    </xf>
    <xf numFmtId="9" fontId="1" fillId="2" borderId="1" xfId="2" applyNumberFormat="1" applyFill="1" applyBorder="1" applyAlignment="1">
      <alignment horizontal="center"/>
    </xf>
    <xf numFmtId="0" fontId="3" fillId="0" borderId="6" xfId="2" applyFont="1" applyBorder="1" applyAlignment="1">
      <alignment horizontal="center"/>
    </xf>
    <xf numFmtId="167" fontId="1" fillId="0" borderId="3" xfId="2" applyNumberFormat="1" applyBorder="1" applyAlignment="1">
      <alignment horizontal="center"/>
    </xf>
    <xf numFmtId="0" fontId="3" fillId="0" borderId="7" xfId="2" applyFont="1" applyBorder="1" applyAlignment="1">
      <alignment horizontal="center"/>
    </xf>
    <xf numFmtId="2" fontId="1" fillId="0" borderId="4" xfId="2" applyNumberFormat="1" applyBorder="1" applyAlignment="1">
      <alignment horizontal="center"/>
    </xf>
    <xf numFmtId="171" fontId="1" fillId="0" borderId="4" xfId="2" applyNumberFormat="1" applyBorder="1" applyAlignment="1">
      <alignment horizontal="center"/>
    </xf>
    <xf numFmtId="168" fontId="1" fillId="0" borderId="4" xfId="2" applyNumberFormat="1" applyBorder="1" applyAlignment="1">
      <alignment horizontal="center"/>
    </xf>
    <xf numFmtId="0" fontId="3" fillId="0" borderId="8" xfId="2" applyFont="1" applyBorder="1" applyAlignment="1">
      <alignment horizontal="center"/>
    </xf>
    <xf numFmtId="0" fontId="1" fillId="0" borderId="5" xfId="2" applyBorder="1" applyAlignment="1">
      <alignment horizontal="center"/>
    </xf>
    <xf numFmtId="0" fontId="0" fillId="0" borderId="0" xfId="0" applyFill="1" applyAlignment="1">
      <alignment horizontal="center"/>
    </xf>
    <xf numFmtId="168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168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9" xfId="0" applyFont="1" applyBorder="1" applyAlignment="1">
      <alignment horizontal="left"/>
    </xf>
    <xf numFmtId="0" fontId="0" fillId="0" borderId="10" xfId="0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1" xfId="0" applyFill="1" applyBorder="1" applyAlignment="1">
      <alignment horizontal="center"/>
    </xf>
    <xf numFmtId="168" fontId="0" fillId="0" borderId="11" xfId="0" applyNumberFormat="1" applyFill="1" applyBorder="1" applyAlignment="1">
      <alignment horizontal="center"/>
    </xf>
    <xf numFmtId="0" fontId="0" fillId="0" borderId="11" xfId="0" applyFill="1" applyBorder="1" applyAlignment="1">
      <alignment horizontal="left"/>
    </xf>
    <xf numFmtId="0" fontId="0" fillId="0" borderId="0" xfId="0" applyAlignment="1">
      <alignment horizontal="center"/>
    </xf>
    <xf numFmtId="168" fontId="0" fillId="0" borderId="0" xfId="0" applyNumberFormat="1" applyFill="1" applyAlignment="1">
      <alignment horizontal="center"/>
    </xf>
    <xf numFmtId="0" fontId="4" fillId="5" borderId="0" xfId="1" applyFont="1" applyFill="1"/>
    <xf numFmtId="0" fontId="5" fillId="5" borderId="0" xfId="1" applyFont="1" applyFill="1"/>
    <xf numFmtId="0" fontId="4" fillId="5" borderId="0" xfId="1" applyFont="1" applyFill="1" applyAlignment="1">
      <alignment horizontal="center"/>
    </xf>
    <xf numFmtId="0" fontId="0" fillId="5" borderId="0" xfId="1" applyFont="1" applyFill="1"/>
    <xf numFmtId="0" fontId="0" fillId="4" borderId="0" xfId="1" applyFont="1" applyFill="1"/>
    <xf numFmtId="0" fontId="0" fillId="4" borderId="0" xfId="1" quotePrefix="1" applyFont="1" applyFill="1"/>
    <xf numFmtId="0" fontId="0" fillId="5" borderId="0" xfId="1" quotePrefix="1" applyFont="1" applyFill="1"/>
    <xf numFmtId="0" fontId="0" fillId="3" borderId="0" xfId="1" applyFont="1" applyFill="1"/>
    <xf numFmtId="0" fontId="0" fillId="0" borderId="0" xfId="0" applyFill="1" applyBorder="1"/>
    <xf numFmtId="0" fontId="0" fillId="0" borderId="0" xfId="0" applyBorder="1" applyAlignment="1">
      <alignment horizontal="left"/>
    </xf>
  </cellXfs>
  <cellStyles count="3">
    <cellStyle name="Normal" xfId="0" builtinId="0" customBuiltin="1"/>
    <cellStyle name="Normal 2" xfId="1"/>
    <cellStyle name="Normal 2 2" xfId="2"/>
  </cellStyles>
  <dxfs count="315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Control!$R$2</c:f>
          <c:strCache>
            <c:ptCount val="1"/>
            <c:pt idx="0">
              <c:v>Midazolam-1uM - Human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8.1229508196721312E-2"/>
                  <c:y val="-0.44197521143190432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Control!$V$4:$V$18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Control!$W$4:$W$18</c:f>
              <c:numCache>
                <c:formatCode>General</c:formatCode>
                <c:ptCount val="15"/>
                <c:pt idx="3">
                  <c:v>1.9653585142488339</c:v>
                </c:pt>
                <c:pt idx="4">
                  <c:v>2.1732032420277689</c:v>
                </c:pt>
                <c:pt idx="5">
                  <c:v>1.9536791340893365</c:v>
                </c:pt>
                <c:pt idx="9">
                  <c:v>3.7867769672452023</c:v>
                </c:pt>
                <c:pt idx="10">
                  <c:v>4.0318587806058481</c:v>
                </c:pt>
                <c:pt idx="11">
                  <c:v>3.8690350227619272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F-403B-8AE7-06D49B2AF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292656"/>
        <c:axId val="491293640"/>
      </c:scatterChart>
      <c:valAx>
        <c:axId val="49129265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Control!$R$3</c:f>
              <c:strCache>
                <c:ptCount val="1"/>
                <c:pt idx="0">
                  <c:v>Time (Mins)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1293640"/>
        <c:crosses val="autoZero"/>
        <c:crossBetween val="midCat"/>
      </c:valAx>
      <c:valAx>
        <c:axId val="491293640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Control!$R$4</c:f>
              <c:strCache>
                <c:ptCount val="1"/>
                <c:pt idx="0">
                  <c:v>ln Percent Remaining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129265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17499</xdr:colOff>
      <xdr:row>19</xdr:row>
      <xdr:rowOff>11363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34750" y="23060025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23</xdr:row>
      <xdr:rowOff>0</xdr:rowOff>
    </xdr:from>
    <xdr:to>
      <xdr:col>17</xdr:col>
      <xdr:colOff>17499</xdr:colOff>
      <xdr:row>41</xdr:row>
      <xdr:rowOff>11363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0" y="26870025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45</xdr:row>
      <xdr:rowOff>0</xdr:rowOff>
    </xdr:from>
    <xdr:to>
      <xdr:col>17</xdr:col>
      <xdr:colOff>17499</xdr:colOff>
      <xdr:row>63</xdr:row>
      <xdr:rowOff>11363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34750" y="38300025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67</xdr:row>
      <xdr:rowOff>0</xdr:rowOff>
    </xdr:from>
    <xdr:to>
      <xdr:col>17</xdr:col>
      <xdr:colOff>17499</xdr:colOff>
      <xdr:row>85</xdr:row>
      <xdr:rowOff>11363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34750" y="42110025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89</xdr:row>
      <xdr:rowOff>0</xdr:rowOff>
    </xdr:from>
    <xdr:to>
      <xdr:col>17</xdr:col>
      <xdr:colOff>17499</xdr:colOff>
      <xdr:row>107</xdr:row>
      <xdr:rowOff>11363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334750" y="45920025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111</xdr:row>
      <xdr:rowOff>0</xdr:rowOff>
    </xdr:from>
    <xdr:to>
      <xdr:col>17</xdr:col>
      <xdr:colOff>17499</xdr:colOff>
      <xdr:row>129</xdr:row>
      <xdr:rowOff>11363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34750" y="49730025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133</xdr:row>
      <xdr:rowOff>0</xdr:rowOff>
    </xdr:from>
    <xdr:to>
      <xdr:col>17</xdr:col>
      <xdr:colOff>17499</xdr:colOff>
      <xdr:row>151</xdr:row>
      <xdr:rowOff>11363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334750" y="61160025"/>
          <a:ext cx="4084674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155</xdr:row>
      <xdr:rowOff>0</xdr:rowOff>
    </xdr:from>
    <xdr:to>
      <xdr:col>17</xdr:col>
      <xdr:colOff>17499</xdr:colOff>
      <xdr:row>173</xdr:row>
      <xdr:rowOff>11363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334750" y="64970025"/>
          <a:ext cx="4084674" cy="36213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0</xdr:colOff>
      <xdr:row>19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6"/>
  <sheetViews>
    <sheetView tabSelected="1" workbookViewId="0">
      <selection activeCell="G19" sqref="G19"/>
    </sheetView>
  </sheetViews>
  <sheetFormatPr defaultRowHeight="15" x14ac:dyDescent="0.25"/>
  <cols>
    <col min="1" max="1" width="21.7109375" style="5" bestFit="1" customWidth="1"/>
    <col min="2" max="2" width="9.5703125" style="5" bestFit="1" customWidth="1"/>
    <col min="3" max="3" width="30.7109375" style="5" bestFit="1" customWidth="1"/>
    <col min="4" max="4" width="15.7109375" style="5" bestFit="1" customWidth="1"/>
    <col min="5" max="5" width="11.85546875" style="5" bestFit="1" customWidth="1"/>
    <col min="6" max="6" width="31.28515625" style="5" bestFit="1" customWidth="1"/>
    <col min="7" max="7" width="31.28515625" style="39" customWidth="1"/>
    <col min="8" max="8" width="23.7109375" style="19" customWidth="1"/>
  </cols>
  <sheetData>
    <row r="1" spans="1:9" ht="15.75" x14ac:dyDescent="0.25">
      <c r="A1" s="85"/>
      <c r="B1" s="3" t="s">
        <v>246</v>
      </c>
    </row>
    <row r="2" spans="1:9" x14ac:dyDescent="0.25">
      <c r="A2" s="85"/>
      <c r="B2" s="4">
        <v>44245.695416666669</v>
      </c>
    </row>
    <row r="3" spans="1:9" ht="15.75" thickBot="1" x14ac:dyDescent="0.3"/>
    <row r="4" spans="1:9" ht="15.75" thickTop="1" x14ac:dyDescent="0.25">
      <c r="A4" s="76" t="s">
        <v>141</v>
      </c>
      <c r="B4" s="76" t="s">
        <v>142</v>
      </c>
      <c r="C4" s="76" t="s">
        <v>143</v>
      </c>
      <c r="D4" s="76" t="s">
        <v>144</v>
      </c>
      <c r="E4" s="76" t="s">
        <v>2</v>
      </c>
      <c r="F4" s="76" t="s">
        <v>145</v>
      </c>
      <c r="G4" s="76" t="s">
        <v>293</v>
      </c>
      <c r="H4" s="77" t="s">
        <v>146</v>
      </c>
    </row>
    <row r="5" spans="1:9" s="72" customFormat="1" x14ac:dyDescent="0.25">
      <c r="A5" s="69" t="s">
        <v>131</v>
      </c>
      <c r="B5" s="69" t="s">
        <v>164</v>
      </c>
      <c r="C5" s="70">
        <v>2.5889419231463506</v>
      </c>
      <c r="D5" s="70">
        <v>535.46753935488903</v>
      </c>
      <c r="E5" s="69" t="s">
        <v>7</v>
      </c>
      <c r="F5" s="70">
        <v>42.266876509644099</v>
      </c>
      <c r="G5" s="73">
        <v>96.624428749480671</v>
      </c>
      <c r="H5" s="71"/>
    </row>
    <row r="6" spans="1:9" s="72" customFormat="1" x14ac:dyDescent="0.25">
      <c r="A6" s="69" t="s">
        <v>132</v>
      </c>
      <c r="B6" s="69" t="s">
        <v>164</v>
      </c>
      <c r="C6" s="86" t="s">
        <v>184</v>
      </c>
      <c r="D6" s="86"/>
      <c r="E6" s="86"/>
      <c r="F6" s="86"/>
      <c r="G6" s="73"/>
      <c r="H6" s="71"/>
    </row>
    <row r="7" spans="1:9" s="72" customFormat="1" x14ac:dyDescent="0.25">
      <c r="A7" s="69" t="s">
        <v>137</v>
      </c>
      <c r="B7" s="69" t="s">
        <v>164</v>
      </c>
      <c r="C7" s="74">
        <v>3.0008873884549536</v>
      </c>
      <c r="D7" s="75">
        <v>461.96147394709214</v>
      </c>
      <c r="E7" s="69" t="s">
        <v>136</v>
      </c>
      <c r="F7" s="70">
        <v>85.310055744846707</v>
      </c>
      <c r="G7" s="73">
        <v>60.687159720549268</v>
      </c>
      <c r="H7" s="71"/>
    </row>
    <row r="8" spans="1:9" s="72" customFormat="1" x14ac:dyDescent="0.25">
      <c r="A8" s="69" t="s">
        <v>135</v>
      </c>
      <c r="B8" s="69" t="s">
        <v>164</v>
      </c>
      <c r="C8" s="70">
        <v>8.8813670249859769</v>
      </c>
      <c r="D8" s="75">
        <v>156.09020066616148</v>
      </c>
      <c r="E8" s="69" t="s">
        <v>136</v>
      </c>
      <c r="F8" s="70">
        <v>62.857020923970857</v>
      </c>
      <c r="G8" s="73">
        <v>58.976711309523822</v>
      </c>
      <c r="H8" s="71"/>
    </row>
    <row r="9" spans="1:9" s="72" customFormat="1" x14ac:dyDescent="0.25">
      <c r="A9" s="69" t="s">
        <v>140</v>
      </c>
      <c r="B9" s="69" t="s">
        <v>164</v>
      </c>
      <c r="C9" s="70">
        <v>198.74990212285024</v>
      </c>
      <c r="D9" s="70">
        <v>6.975069402866934</v>
      </c>
      <c r="E9" s="69" t="s">
        <v>139</v>
      </c>
      <c r="F9" s="74">
        <v>3.1910638488987764</v>
      </c>
      <c r="G9" s="74">
        <v>6.6844154812048</v>
      </c>
      <c r="H9" s="71"/>
    </row>
    <row r="10" spans="1:9" s="72" customFormat="1" x14ac:dyDescent="0.25">
      <c r="A10" s="69" t="s">
        <v>138</v>
      </c>
      <c r="B10" s="69" t="s">
        <v>164</v>
      </c>
      <c r="C10" s="70">
        <v>254.25412960820654</v>
      </c>
      <c r="D10" s="70">
        <v>5.4523966366096159</v>
      </c>
      <c r="E10" s="69" t="s">
        <v>139</v>
      </c>
      <c r="F10" s="74">
        <v>1.2234108913889841</v>
      </c>
      <c r="G10" s="74">
        <v>11.609347442680779</v>
      </c>
      <c r="H10" s="71"/>
    </row>
    <row r="11" spans="1:9" s="72" customFormat="1" x14ac:dyDescent="0.25">
      <c r="A11" s="69" t="s">
        <v>134</v>
      </c>
      <c r="B11" s="69" t="s">
        <v>164</v>
      </c>
      <c r="C11" s="70">
        <v>3.3209106194760984</v>
      </c>
      <c r="D11" s="70">
        <v>417.444044711625</v>
      </c>
      <c r="E11" s="69" t="s">
        <v>7</v>
      </c>
      <c r="F11" s="70">
        <v>84.035249848599008</v>
      </c>
      <c r="G11" s="73">
        <v>153.41916420430559</v>
      </c>
      <c r="H11" s="71"/>
    </row>
    <row r="12" spans="1:9" s="72" customFormat="1" ht="15.75" thickBot="1" x14ac:dyDescent="0.3">
      <c r="A12" s="82" t="s">
        <v>133</v>
      </c>
      <c r="B12" s="82" t="s">
        <v>164</v>
      </c>
      <c r="C12" s="83">
        <v>10.577534923025565</v>
      </c>
      <c r="D12" s="83">
        <v>131.06024902854767</v>
      </c>
      <c r="E12" s="82" t="s">
        <v>7</v>
      </c>
      <c r="F12" s="83">
        <v>53.218695114241541</v>
      </c>
      <c r="G12" s="83">
        <v>147.89379627265765</v>
      </c>
      <c r="H12" s="84"/>
      <c r="I12" s="95"/>
    </row>
    <row r="13" spans="1:9" ht="15.75" thickBot="1" x14ac:dyDescent="0.3">
      <c r="A13" s="78" t="s">
        <v>266</v>
      </c>
      <c r="B13" s="78" t="s">
        <v>164</v>
      </c>
      <c r="C13" s="79">
        <v>85.140526664078223</v>
      </c>
      <c r="D13" s="79">
        <v>16.282426424134211</v>
      </c>
      <c r="E13" s="78" t="s">
        <v>174</v>
      </c>
      <c r="F13" s="80">
        <v>1.346274985531718</v>
      </c>
      <c r="G13" s="80"/>
      <c r="H13" s="81" t="s">
        <v>175</v>
      </c>
      <c r="I13" s="96"/>
    </row>
    <row r="14" spans="1:9" ht="15.75" thickTop="1" x14ac:dyDescent="0.25"/>
    <row r="16" spans="1:9" x14ac:dyDescent="0.25">
      <c r="A16" s="19" t="s">
        <v>265</v>
      </c>
    </row>
  </sheetData>
  <mergeCells count="2">
    <mergeCell ref="A1:A2"/>
    <mergeCell ref="C6:F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76"/>
  <sheetViews>
    <sheetView workbookViewId="0">
      <pane ySplit="1" topLeftCell="A143" activePane="bottomLeft" state="frozenSplit"/>
      <selection pane="bottomLeft" activeCell="F154" sqref="F154"/>
    </sheetView>
  </sheetViews>
  <sheetFormatPr defaultRowHeight="15" x14ac:dyDescent="0.25"/>
  <cols>
    <col min="1" max="1" width="69.42578125" style="1" bestFit="1" customWidth="1"/>
    <col min="2" max="2" width="21.7109375" style="1" bestFit="1" customWidth="1"/>
    <col min="3" max="3" width="11.85546875" style="1" bestFit="1" customWidth="1"/>
    <col min="4" max="4" width="9" style="1" bestFit="1" customWidth="1"/>
    <col min="5" max="5" width="10.5703125" style="1" bestFit="1" customWidth="1"/>
    <col min="6" max="6" width="8.7109375" style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9" customWidth="1"/>
    <col min="11" max="11" width="8.7109375" style="1" hidden="1" customWidth="1"/>
    <col min="12" max="17" width="8.7109375" style="1" customWidth="1"/>
    <col min="18" max="18" width="28.28515625" style="1" bestFit="1" customWidth="1"/>
    <col min="19" max="19" width="8.7109375" style="1" customWidth="1"/>
    <col min="20" max="20" width="20.5703125" style="9" bestFit="1" customWidth="1"/>
    <col min="21" max="23" width="21" style="9" bestFit="1" customWidth="1"/>
    <col min="24" max="24" width="10.140625" style="1" bestFit="1" customWidth="1"/>
    <col min="25" max="38" width="8.7109375" style="1" customWidth="1"/>
    <col min="39" max="16384" width="9.140625" style="1"/>
  </cols>
  <sheetData>
    <row r="1" spans="1:24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147</v>
      </c>
      <c r="H1" s="6" t="s">
        <v>148</v>
      </c>
      <c r="I1" s="6" t="s">
        <v>149</v>
      </c>
      <c r="J1" s="8"/>
      <c r="K1" s="6"/>
      <c r="R1" s="7" t="s">
        <v>151</v>
      </c>
      <c r="T1" s="20" t="s">
        <v>150</v>
      </c>
    </row>
    <row r="2" spans="1:24" ht="16.5" thickTop="1" thickBot="1" x14ac:dyDescent="0.3">
      <c r="A2" s="33" t="s">
        <v>8</v>
      </c>
      <c r="B2" s="33" t="s">
        <v>131</v>
      </c>
      <c r="C2" s="33" t="s">
        <v>7</v>
      </c>
      <c r="D2" s="33">
        <v>119500</v>
      </c>
      <c r="E2" s="33">
        <v>2892000</v>
      </c>
      <c r="F2" s="33">
        <v>4.1309999999999999E-2</v>
      </c>
      <c r="G2" s="33"/>
      <c r="H2" s="33"/>
      <c r="I2" s="33"/>
      <c r="J2" s="35"/>
      <c r="K2" s="33"/>
      <c r="L2" s="33"/>
      <c r="M2" s="33"/>
      <c r="N2" s="33"/>
      <c r="O2" s="33"/>
      <c r="P2" s="33"/>
      <c r="Q2" s="33"/>
      <c r="R2" s="33" t="s">
        <v>165</v>
      </c>
      <c r="S2" s="33"/>
      <c r="T2" s="10" t="s">
        <v>152</v>
      </c>
      <c r="U2" s="10" t="s">
        <v>154</v>
      </c>
      <c r="V2" s="10" t="s">
        <v>155</v>
      </c>
      <c r="W2" s="10" t="s">
        <v>156</v>
      </c>
      <c r="X2" s="10" t="s">
        <v>157</v>
      </c>
    </row>
    <row r="3" spans="1:24" ht="15.75" thickTop="1" x14ac:dyDescent="0.25">
      <c r="A3" s="34" t="s">
        <v>9</v>
      </c>
      <c r="B3" s="34" t="s">
        <v>131</v>
      </c>
      <c r="C3" s="34" t="s">
        <v>7</v>
      </c>
      <c r="D3" s="34">
        <v>171700</v>
      </c>
      <c r="E3" s="34">
        <v>3436000</v>
      </c>
      <c r="F3" s="34">
        <v>4.9970000000000001E-2</v>
      </c>
      <c r="G3" s="34"/>
      <c r="H3" s="34"/>
      <c r="I3" s="34"/>
      <c r="J3" s="36"/>
      <c r="K3" s="34"/>
      <c r="L3" s="34"/>
      <c r="M3" s="34"/>
      <c r="N3" s="34"/>
      <c r="O3" s="34"/>
      <c r="P3" s="34"/>
      <c r="Q3" s="34"/>
      <c r="R3" s="34" t="s">
        <v>152</v>
      </c>
      <c r="S3" s="34"/>
      <c r="T3" s="11">
        <v>120</v>
      </c>
      <c r="U3" s="12">
        <v>0.48390537133992628</v>
      </c>
      <c r="V3" s="12">
        <v>0.39135077415910308</v>
      </c>
      <c r="W3" s="12">
        <v>0.3927501497902936</v>
      </c>
      <c r="X3" s="12">
        <v>0.42266876509644097</v>
      </c>
    </row>
    <row r="4" spans="1:24" x14ac:dyDescent="0.25">
      <c r="A4" s="33" t="s">
        <v>10</v>
      </c>
      <c r="B4" s="33" t="s">
        <v>131</v>
      </c>
      <c r="C4" s="33" t="s">
        <v>7</v>
      </c>
      <c r="D4" s="33">
        <v>145900</v>
      </c>
      <c r="E4" s="33">
        <v>3942000</v>
      </c>
      <c r="F4" s="33">
        <v>3.6999999999999998E-2</v>
      </c>
      <c r="G4" s="33"/>
      <c r="H4" s="33"/>
      <c r="I4" s="33"/>
      <c r="J4" s="35"/>
      <c r="K4" s="33"/>
      <c r="L4" s="33"/>
      <c r="M4" s="33"/>
      <c r="N4" s="33"/>
      <c r="O4" s="33"/>
      <c r="P4" s="33"/>
      <c r="Q4" s="33"/>
      <c r="R4" s="33" t="s">
        <v>153</v>
      </c>
      <c r="S4" s="33"/>
      <c r="T4" s="11">
        <v>60</v>
      </c>
      <c r="U4" s="12">
        <v>0.57242582897033156</v>
      </c>
      <c r="V4" s="12">
        <v>0.61091831286705822</v>
      </c>
      <c r="W4" s="12">
        <v>0.97104054323946487</v>
      </c>
      <c r="X4" s="12">
        <v>0.71812822835895151</v>
      </c>
    </row>
    <row r="5" spans="1:24" x14ac:dyDescent="0.25">
      <c r="A5" s="34" t="s">
        <v>26</v>
      </c>
      <c r="B5" s="34" t="s">
        <v>131</v>
      </c>
      <c r="C5" s="34" t="s">
        <v>7</v>
      </c>
      <c r="D5" s="34">
        <v>258400</v>
      </c>
      <c r="E5" s="34">
        <v>2788000</v>
      </c>
      <c r="F5" s="34">
        <v>9.2670000000000002E-2</v>
      </c>
      <c r="G5" s="34">
        <v>48.39053713399263</v>
      </c>
      <c r="H5" s="34">
        <v>120</v>
      </c>
      <c r="I5" s="37">
        <v>3.8793042808467963</v>
      </c>
      <c r="J5" s="36"/>
      <c r="K5" s="34"/>
      <c r="L5" s="34"/>
      <c r="M5" s="34"/>
      <c r="N5" s="34"/>
      <c r="O5" s="34"/>
      <c r="P5" s="34"/>
      <c r="Q5" s="34"/>
      <c r="R5" s="34"/>
      <c r="S5" s="34"/>
      <c r="T5" s="11">
        <v>30</v>
      </c>
      <c r="U5" s="18" t="s">
        <v>186</v>
      </c>
      <c r="V5" s="18" t="s">
        <v>187</v>
      </c>
      <c r="W5" s="18" t="s">
        <v>188</v>
      </c>
      <c r="X5" s="18" t="s">
        <v>185</v>
      </c>
    </row>
    <row r="6" spans="1:24" x14ac:dyDescent="0.25">
      <c r="A6" s="33" t="s">
        <v>27</v>
      </c>
      <c r="B6" s="33" t="s">
        <v>131</v>
      </c>
      <c r="C6" s="33" t="s">
        <v>7</v>
      </c>
      <c r="D6" s="33">
        <v>301600</v>
      </c>
      <c r="E6" s="33">
        <v>2976000</v>
      </c>
      <c r="F6" s="33">
        <v>0.1014</v>
      </c>
      <c r="G6" s="33">
        <v>39.13507741591031</v>
      </c>
      <c r="H6" s="33">
        <v>120</v>
      </c>
      <c r="I6" s="38">
        <v>3.6670191854306546</v>
      </c>
      <c r="J6" s="35"/>
      <c r="K6" s="33"/>
      <c r="L6" s="33"/>
      <c r="M6" s="33"/>
      <c r="N6" s="33"/>
      <c r="O6" s="33"/>
      <c r="P6" s="33"/>
      <c r="Q6" s="33"/>
      <c r="R6" s="33"/>
      <c r="S6" s="33"/>
      <c r="T6" s="11">
        <v>15</v>
      </c>
      <c r="U6" s="12">
        <v>0.2215435330618577</v>
      </c>
      <c r="V6" s="12">
        <v>0.17992525360384412</v>
      </c>
      <c r="W6" s="12">
        <v>0.19782304773317358</v>
      </c>
      <c r="X6" s="12">
        <v>0.19976394479962514</v>
      </c>
    </row>
    <row r="7" spans="1:24" ht="15.75" thickBot="1" x14ac:dyDescent="0.3">
      <c r="A7" s="34" t="s">
        <v>28</v>
      </c>
      <c r="B7" s="34" t="s">
        <v>131</v>
      </c>
      <c r="C7" s="34" t="s">
        <v>7</v>
      </c>
      <c r="D7" s="34">
        <v>268700</v>
      </c>
      <c r="E7" s="34">
        <v>3273000</v>
      </c>
      <c r="F7" s="34">
        <v>8.2089999999999996E-2</v>
      </c>
      <c r="G7" s="34">
        <v>39.275014979029358</v>
      </c>
      <c r="H7" s="34">
        <v>120</v>
      </c>
      <c r="I7" s="37">
        <v>3.6705885655300108</v>
      </c>
      <c r="J7" s="36"/>
      <c r="K7" s="34"/>
      <c r="L7" s="34"/>
      <c r="M7" s="34"/>
      <c r="N7" s="34"/>
      <c r="O7" s="34"/>
      <c r="P7" s="34"/>
      <c r="Q7" s="34"/>
      <c r="R7" s="34"/>
      <c r="S7" s="34"/>
      <c r="T7" s="14">
        <v>0</v>
      </c>
      <c r="U7" s="15">
        <v>1</v>
      </c>
      <c r="V7" s="15">
        <v>1</v>
      </c>
      <c r="W7" s="15">
        <v>1</v>
      </c>
      <c r="X7" s="15">
        <v>1</v>
      </c>
    </row>
    <row r="8" spans="1:24" ht="16.5" thickTop="1" thickBot="1" x14ac:dyDescent="0.3">
      <c r="A8" s="33" t="s">
        <v>29</v>
      </c>
      <c r="B8" s="33" t="s">
        <v>131</v>
      </c>
      <c r="C8" s="33" t="s">
        <v>7</v>
      </c>
      <c r="D8" s="33">
        <v>286200</v>
      </c>
      <c r="E8" s="33">
        <v>2812000</v>
      </c>
      <c r="F8" s="33">
        <v>0.1018</v>
      </c>
      <c r="G8" s="33">
        <v>57.242582897033159</v>
      </c>
      <c r="H8" s="33">
        <v>60</v>
      </c>
      <c r="I8" s="38">
        <v>4.0472980776574952</v>
      </c>
      <c r="J8" s="35"/>
      <c r="K8" s="33"/>
      <c r="L8" s="33"/>
      <c r="M8" s="33"/>
      <c r="N8" s="33"/>
      <c r="O8" s="33"/>
      <c r="P8" s="33"/>
      <c r="Q8" s="33"/>
      <c r="R8" s="33"/>
      <c r="S8" s="33"/>
    </row>
    <row r="9" spans="1:24" x14ac:dyDescent="0.25">
      <c r="A9" s="34" t="s">
        <v>30</v>
      </c>
      <c r="B9" s="34" t="s">
        <v>131</v>
      </c>
      <c r="C9" s="34" t="s">
        <v>7</v>
      </c>
      <c r="D9" s="34">
        <v>343100</v>
      </c>
      <c r="E9" s="34">
        <v>2555000</v>
      </c>
      <c r="F9" s="34">
        <v>0.1343</v>
      </c>
      <c r="G9" s="34">
        <v>61.091831286705819</v>
      </c>
      <c r="H9" s="34">
        <v>60</v>
      </c>
      <c r="I9" s="37">
        <v>4.1123781630777545</v>
      </c>
      <c r="J9" s="36"/>
      <c r="K9" s="34"/>
      <c r="L9" s="34"/>
      <c r="M9" s="34"/>
      <c r="N9" s="34"/>
      <c r="O9" s="34"/>
      <c r="P9" s="34"/>
      <c r="Q9" s="34"/>
      <c r="R9" s="34"/>
      <c r="S9" s="34"/>
      <c r="T9" s="21" t="s">
        <v>158</v>
      </c>
      <c r="U9" s="29">
        <v>-1.2944709615731753E-3</v>
      </c>
    </row>
    <row r="10" spans="1:24" x14ac:dyDescent="0.25">
      <c r="A10" s="33" t="s">
        <v>31</v>
      </c>
      <c r="B10" s="33" t="s">
        <v>131</v>
      </c>
      <c r="C10" s="33" t="s">
        <v>7</v>
      </c>
      <c r="D10" s="33">
        <v>353600</v>
      </c>
      <c r="E10" s="33">
        <v>2526000</v>
      </c>
      <c r="F10" s="33">
        <v>0.14000000000000001</v>
      </c>
      <c r="G10" s="33">
        <v>97.104054323946485</v>
      </c>
      <c r="H10" s="33">
        <v>60</v>
      </c>
      <c r="I10" s="38">
        <v>4.5757831285342156</v>
      </c>
      <c r="J10" s="35"/>
      <c r="K10" s="33"/>
      <c r="L10" s="33"/>
      <c r="M10" s="33"/>
      <c r="N10" s="33"/>
      <c r="O10" s="33"/>
      <c r="P10" s="33"/>
      <c r="Q10" s="33"/>
      <c r="R10" s="33"/>
      <c r="S10" s="33"/>
      <c r="T10" s="23" t="s">
        <v>159</v>
      </c>
      <c r="U10" s="24">
        <v>3.9581604783300106</v>
      </c>
    </row>
    <row r="11" spans="1:24" ht="17.25" x14ac:dyDescent="0.25">
      <c r="A11" s="34" t="s">
        <v>32</v>
      </c>
      <c r="B11" s="34" t="s">
        <v>131</v>
      </c>
      <c r="C11" s="34" t="s">
        <v>7</v>
      </c>
      <c r="D11" s="34">
        <v>258400</v>
      </c>
      <c r="E11" s="34">
        <v>2417</v>
      </c>
      <c r="F11" s="34">
        <v>106.9</v>
      </c>
      <c r="G11" s="34">
        <v>103604.07213496219</v>
      </c>
      <c r="H11" s="34">
        <v>30</v>
      </c>
      <c r="I11" s="37" t="s">
        <v>189</v>
      </c>
      <c r="J11" s="36"/>
      <c r="K11" s="34"/>
      <c r="L11" s="34"/>
      <c r="M11" s="34"/>
      <c r="N11" s="34"/>
      <c r="O11" s="34"/>
      <c r="P11" s="34"/>
      <c r="Q11" s="34"/>
      <c r="R11" s="34"/>
      <c r="S11" s="34"/>
      <c r="T11" s="23" t="s">
        <v>160</v>
      </c>
      <c r="U11" s="25">
        <v>9.4800458781507373E-3</v>
      </c>
    </row>
    <row r="12" spans="1:24" ht="18" x14ac:dyDescent="0.35">
      <c r="A12" s="33" t="s">
        <v>33</v>
      </c>
      <c r="B12" s="33" t="s">
        <v>131</v>
      </c>
      <c r="C12" s="33" t="s">
        <v>7</v>
      </c>
      <c r="D12" s="33">
        <v>294600</v>
      </c>
      <c r="E12" s="33">
        <v>636.70000000000005</v>
      </c>
      <c r="F12" s="33">
        <v>462.8</v>
      </c>
      <c r="G12" s="33">
        <v>308834.2498665243</v>
      </c>
      <c r="H12" s="33">
        <v>30</v>
      </c>
      <c r="I12" s="38" t="s">
        <v>190</v>
      </c>
      <c r="J12" s="35"/>
      <c r="K12" s="33"/>
      <c r="L12" s="33"/>
      <c r="M12" s="33"/>
      <c r="N12" s="33"/>
      <c r="O12" s="33"/>
      <c r="P12" s="33"/>
      <c r="Q12" s="33"/>
      <c r="R12" s="33"/>
      <c r="S12" s="33"/>
      <c r="T12" s="23" t="s">
        <v>161</v>
      </c>
      <c r="U12" s="26">
        <v>535.46753935488903</v>
      </c>
    </row>
    <row r="13" spans="1:24" ht="18.75" x14ac:dyDescent="0.35">
      <c r="A13" s="34" t="s">
        <v>34</v>
      </c>
      <c r="B13" s="34" t="s">
        <v>131</v>
      </c>
      <c r="C13" s="34" t="s">
        <v>7</v>
      </c>
      <c r="D13" s="34">
        <v>285200</v>
      </c>
      <c r="E13" s="34">
        <v>228.7</v>
      </c>
      <c r="F13" s="34">
        <v>1247</v>
      </c>
      <c r="G13" s="34">
        <v>1245213.9404833231</v>
      </c>
      <c r="H13" s="34">
        <v>30</v>
      </c>
      <c r="I13" s="37" t="s">
        <v>191</v>
      </c>
      <c r="J13" s="36"/>
      <c r="K13" s="34"/>
      <c r="L13" s="34"/>
      <c r="M13" s="34"/>
      <c r="N13" s="34"/>
      <c r="O13" s="34"/>
      <c r="P13" s="34"/>
      <c r="Q13" s="34"/>
      <c r="R13" s="34"/>
      <c r="S13" s="34"/>
      <c r="T13" s="23" t="s">
        <v>162</v>
      </c>
      <c r="U13" s="26">
        <v>2.5889419231463506</v>
      </c>
    </row>
    <row r="14" spans="1:24" ht="15.75" thickBot="1" x14ac:dyDescent="0.3">
      <c r="A14" s="33" t="s">
        <v>35</v>
      </c>
      <c r="B14" s="33" t="s">
        <v>131</v>
      </c>
      <c r="C14" s="33" t="s">
        <v>7</v>
      </c>
      <c r="D14" s="33">
        <v>186800</v>
      </c>
      <c r="E14" s="33">
        <v>2847000</v>
      </c>
      <c r="F14" s="33">
        <v>6.5610000000000002E-2</v>
      </c>
      <c r="G14" s="33">
        <v>22.154353306185769</v>
      </c>
      <c r="H14" s="33">
        <v>15</v>
      </c>
      <c r="I14" s="38">
        <v>3.0980340147054921</v>
      </c>
      <c r="J14" s="35"/>
      <c r="K14" s="33"/>
      <c r="L14" s="33"/>
      <c r="M14" s="33"/>
      <c r="N14" s="33"/>
      <c r="O14" s="33"/>
      <c r="P14" s="33"/>
      <c r="Q14" s="33"/>
      <c r="R14" s="33"/>
      <c r="S14" s="33"/>
      <c r="T14" s="27" t="s">
        <v>146</v>
      </c>
      <c r="U14" s="28" t="s">
        <v>176</v>
      </c>
    </row>
    <row r="15" spans="1:24" x14ac:dyDescent="0.25">
      <c r="A15" s="34" t="s">
        <v>36</v>
      </c>
      <c r="B15" s="34" t="s">
        <v>131</v>
      </c>
      <c r="C15" s="34" t="s">
        <v>7</v>
      </c>
      <c r="D15" s="34">
        <v>196200</v>
      </c>
      <c r="E15" s="34">
        <v>2815000</v>
      </c>
      <c r="F15" s="34">
        <v>6.9720000000000004E-2</v>
      </c>
      <c r="G15" s="34">
        <v>17.992525360384413</v>
      </c>
      <c r="H15" s="34">
        <v>15</v>
      </c>
      <c r="I15" s="37">
        <v>2.8899564138963649</v>
      </c>
      <c r="J15" s="36"/>
      <c r="K15" s="34"/>
      <c r="L15" s="34"/>
      <c r="M15" s="34"/>
      <c r="N15" s="34"/>
      <c r="O15" s="34"/>
      <c r="P15" s="34"/>
      <c r="Q15" s="34"/>
      <c r="R15" s="34"/>
      <c r="S15" s="34"/>
    </row>
    <row r="16" spans="1:24" x14ac:dyDescent="0.25">
      <c r="A16" s="33" t="s">
        <v>37</v>
      </c>
      <c r="B16" s="33" t="s">
        <v>131</v>
      </c>
      <c r="C16" s="33" t="s">
        <v>7</v>
      </c>
      <c r="D16" s="33">
        <v>179400</v>
      </c>
      <c r="E16" s="33">
        <v>2868000</v>
      </c>
      <c r="F16" s="33">
        <v>6.2570000000000001E-2</v>
      </c>
      <c r="G16" s="33">
        <v>19.782304773317357</v>
      </c>
      <c r="H16" s="33">
        <v>15</v>
      </c>
      <c r="I16" s="38">
        <v>2.9847878397967524</v>
      </c>
      <c r="J16" s="35"/>
      <c r="K16" s="33"/>
      <c r="L16" s="33"/>
      <c r="M16" s="33"/>
      <c r="N16" s="33"/>
      <c r="O16" s="33"/>
      <c r="P16" s="33"/>
      <c r="Q16" s="33"/>
      <c r="R16" s="33"/>
      <c r="S16" s="33"/>
    </row>
    <row r="17" spans="1:24" x14ac:dyDescent="0.25">
      <c r="A17" s="34" t="s">
        <v>38</v>
      </c>
      <c r="B17" s="34" t="s">
        <v>131</v>
      </c>
      <c r="C17" s="34" t="s">
        <v>7</v>
      </c>
      <c r="D17" s="34">
        <v>245900</v>
      </c>
      <c r="E17" s="34">
        <v>1686000</v>
      </c>
      <c r="F17" s="34">
        <v>0.1459</v>
      </c>
      <c r="G17" s="34">
        <v>100</v>
      </c>
      <c r="H17" s="34">
        <v>0</v>
      </c>
      <c r="I17" s="37">
        <v>4.6051701859880918</v>
      </c>
      <c r="J17" s="36"/>
      <c r="K17" s="34"/>
      <c r="L17" s="34"/>
      <c r="M17" s="34"/>
      <c r="N17" s="34"/>
      <c r="O17" s="34"/>
      <c r="P17" s="34"/>
      <c r="Q17" s="34"/>
      <c r="R17" s="34"/>
      <c r="S17" s="34"/>
    </row>
    <row r="18" spans="1:24" x14ac:dyDescent="0.25">
      <c r="A18" s="33" t="s">
        <v>39</v>
      </c>
      <c r="B18" s="33" t="s">
        <v>131</v>
      </c>
      <c r="C18" s="33" t="s">
        <v>7</v>
      </c>
      <c r="D18" s="33">
        <v>152800</v>
      </c>
      <c r="E18" s="33">
        <v>793800</v>
      </c>
      <c r="F18" s="33">
        <v>0.19259999999999999</v>
      </c>
      <c r="G18" s="33">
        <v>100</v>
      </c>
      <c r="H18" s="33">
        <v>0</v>
      </c>
      <c r="I18" s="38">
        <v>4.6051701859880918</v>
      </c>
      <c r="J18" s="35"/>
      <c r="K18" s="33"/>
      <c r="L18" s="33"/>
      <c r="M18" s="33"/>
      <c r="N18" s="33"/>
      <c r="O18" s="33"/>
      <c r="P18" s="33"/>
      <c r="Q18" s="33"/>
      <c r="R18" s="33"/>
      <c r="S18" s="33"/>
    </row>
    <row r="19" spans="1:24" x14ac:dyDescent="0.25">
      <c r="A19" s="34" t="s">
        <v>40</v>
      </c>
      <c r="B19" s="34" t="s">
        <v>131</v>
      </c>
      <c r="C19" s="34" t="s">
        <v>7</v>
      </c>
      <c r="D19" s="34">
        <v>323200</v>
      </c>
      <c r="E19" s="34">
        <v>2262000</v>
      </c>
      <c r="F19" s="34">
        <v>0.1429</v>
      </c>
      <c r="G19" s="34">
        <v>100</v>
      </c>
      <c r="H19" s="34">
        <v>0</v>
      </c>
      <c r="I19" s="37">
        <v>4.6051701859880918</v>
      </c>
      <c r="J19" s="36"/>
      <c r="K19" s="34"/>
      <c r="L19" s="34"/>
      <c r="M19" s="34"/>
      <c r="N19" s="34"/>
      <c r="O19" s="34"/>
      <c r="P19" s="34"/>
      <c r="Q19" s="34"/>
      <c r="R19" s="34"/>
      <c r="S19" s="34"/>
    </row>
    <row r="20" spans="1:24" x14ac:dyDescent="0.25">
      <c r="A20" s="90" t="s">
        <v>267</v>
      </c>
      <c r="B20" s="87" t="s">
        <v>131</v>
      </c>
      <c r="C20" s="87" t="s">
        <v>7</v>
      </c>
      <c r="D20" s="87">
        <v>288276</v>
      </c>
      <c r="E20" s="87">
        <v>2601060</v>
      </c>
      <c r="F20" s="87">
        <v>0.11083</v>
      </c>
      <c r="G20" s="87"/>
      <c r="H20" s="87">
        <v>120</v>
      </c>
      <c r="I20" s="88"/>
      <c r="J20" s="89"/>
      <c r="K20" s="87"/>
      <c r="L20" s="87"/>
      <c r="M20" s="87"/>
      <c r="N20" s="87"/>
      <c r="O20" s="87"/>
      <c r="P20" s="87"/>
      <c r="Q20" s="87"/>
      <c r="R20" s="87"/>
      <c r="S20" s="87"/>
    </row>
    <row r="21" spans="1:24" x14ac:dyDescent="0.25">
      <c r="A21" s="91" t="s">
        <v>268</v>
      </c>
      <c r="B21" s="34" t="s">
        <v>131</v>
      </c>
      <c r="C21" s="34" t="s">
        <v>7</v>
      </c>
      <c r="D21" s="34">
        <v>181499</v>
      </c>
      <c r="E21" s="34">
        <v>910805</v>
      </c>
      <c r="F21" s="34">
        <v>0.19927</v>
      </c>
      <c r="G21" s="34"/>
      <c r="H21" s="34">
        <v>120</v>
      </c>
      <c r="I21" s="37"/>
      <c r="J21" s="36"/>
      <c r="K21" s="34"/>
      <c r="L21" s="34"/>
      <c r="M21" s="34"/>
      <c r="N21" s="34"/>
      <c r="O21" s="34"/>
      <c r="P21" s="34"/>
      <c r="Q21" s="34"/>
      <c r="R21" s="34"/>
      <c r="S21" s="34"/>
    </row>
    <row r="22" spans="1:24" x14ac:dyDescent="0.25">
      <c r="A22" s="90" t="s">
        <v>269</v>
      </c>
      <c r="B22" s="87" t="s">
        <v>131</v>
      </c>
      <c r="C22" s="87" t="s">
        <v>7</v>
      </c>
      <c r="D22" s="87">
        <v>675397</v>
      </c>
      <c r="E22" s="87">
        <v>1843275</v>
      </c>
      <c r="F22" s="93" t="s">
        <v>274</v>
      </c>
      <c r="G22" s="87">
        <f>AVERAGE(F20:F22)/AVERAGE(F17:F19)*100</f>
        <v>96.624428749480671</v>
      </c>
      <c r="H22" s="87">
        <v>120</v>
      </c>
      <c r="I22" s="88"/>
      <c r="J22" s="89"/>
      <c r="K22" s="87"/>
      <c r="L22" s="87"/>
      <c r="M22" s="87"/>
      <c r="N22" s="87"/>
      <c r="O22" s="87"/>
      <c r="P22" s="87"/>
      <c r="Q22" s="87"/>
      <c r="R22" s="87"/>
      <c r="S22" s="87"/>
    </row>
    <row r="23" spans="1:24" ht="15.75" thickBo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5"/>
      <c r="K23" s="33"/>
      <c r="L23" s="33"/>
      <c r="M23" s="33"/>
      <c r="N23" s="33"/>
      <c r="O23" s="33"/>
      <c r="P23" s="33"/>
      <c r="Q23" s="33"/>
      <c r="R23" s="33"/>
      <c r="S23" s="33"/>
    </row>
    <row r="24" spans="1:24" ht="16.5" thickTop="1" thickBot="1" x14ac:dyDescent="0.3">
      <c r="A24" s="34" t="s">
        <v>8</v>
      </c>
      <c r="B24" s="34" t="s">
        <v>132</v>
      </c>
      <c r="C24" s="34" t="s">
        <v>7</v>
      </c>
      <c r="D24" s="34">
        <v>119500</v>
      </c>
      <c r="E24" s="34">
        <v>2892000</v>
      </c>
      <c r="F24" s="34">
        <v>4.1309999999999999E-2</v>
      </c>
      <c r="G24" s="34"/>
      <c r="H24" s="34"/>
      <c r="I24" s="34"/>
      <c r="J24" s="36"/>
      <c r="K24" s="34"/>
      <c r="L24" s="34"/>
      <c r="M24" s="34"/>
      <c r="N24" s="34"/>
      <c r="O24" s="34"/>
      <c r="P24" s="34"/>
      <c r="Q24" s="34"/>
      <c r="R24" s="34" t="s">
        <v>166</v>
      </c>
      <c r="S24" s="34"/>
      <c r="T24" s="10" t="s">
        <v>152</v>
      </c>
      <c r="U24" s="10" t="s">
        <v>154</v>
      </c>
      <c r="V24" s="10" t="s">
        <v>155</v>
      </c>
      <c r="W24" s="10" t="s">
        <v>156</v>
      </c>
      <c r="X24" s="10" t="s">
        <v>157</v>
      </c>
    </row>
    <row r="25" spans="1:24" ht="15.75" thickTop="1" x14ac:dyDescent="0.25">
      <c r="A25" s="33" t="s">
        <v>9</v>
      </c>
      <c r="B25" s="33" t="s">
        <v>132</v>
      </c>
      <c r="C25" s="33" t="s">
        <v>7</v>
      </c>
      <c r="D25" s="33">
        <v>171700</v>
      </c>
      <c r="E25" s="33">
        <v>3436000</v>
      </c>
      <c r="F25" s="33">
        <v>4.9970000000000001E-2</v>
      </c>
      <c r="G25" s="33"/>
      <c r="H25" s="33"/>
      <c r="I25" s="33"/>
      <c r="J25" s="35"/>
      <c r="K25" s="33"/>
      <c r="L25" s="33"/>
      <c r="M25" s="33"/>
      <c r="N25" s="33"/>
      <c r="O25" s="33"/>
      <c r="P25" s="33"/>
      <c r="Q25" s="33"/>
      <c r="R25" s="33" t="s">
        <v>152</v>
      </c>
      <c r="S25" s="33"/>
      <c r="T25" s="11">
        <v>120</v>
      </c>
      <c r="U25" s="13">
        <v>6.9526813880126186</v>
      </c>
      <c r="V25" s="12">
        <v>0.81060958585388565</v>
      </c>
      <c r="W25" s="12">
        <v>0.21687289088863898</v>
      </c>
      <c r="X25" s="13">
        <v>2.6600546215850476</v>
      </c>
    </row>
    <row r="26" spans="1:24" x14ac:dyDescent="0.25">
      <c r="A26" s="34" t="s">
        <v>10</v>
      </c>
      <c r="B26" s="34" t="s">
        <v>132</v>
      </c>
      <c r="C26" s="34" t="s">
        <v>7</v>
      </c>
      <c r="D26" s="34">
        <v>145900</v>
      </c>
      <c r="E26" s="34">
        <v>3942000</v>
      </c>
      <c r="F26" s="34">
        <v>3.6999999999999998E-2</v>
      </c>
      <c r="G26" s="34"/>
      <c r="H26" s="34"/>
      <c r="I26" s="34"/>
      <c r="J26" s="36"/>
      <c r="K26" s="34"/>
      <c r="L26" s="34"/>
      <c r="M26" s="34"/>
      <c r="N26" s="34"/>
      <c r="O26" s="34"/>
      <c r="P26" s="34"/>
      <c r="Q26" s="34"/>
      <c r="R26" s="34" t="s">
        <v>153</v>
      </c>
      <c r="S26" s="34"/>
      <c r="T26" s="11">
        <v>60</v>
      </c>
      <c r="U26" s="13">
        <v>6.4574132492113563</v>
      </c>
      <c r="V26" s="13">
        <v>1.0200093066542577</v>
      </c>
      <c r="W26" s="13">
        <v>2.2708661417322835</v>
      </c>
      <c r="X26" s="13">
        <v>3.2494295658659653</v>
      </c>
    </row>
    <row r="27" spans="1:24" x14ac:dyDescent="0.25">
      <c r="A27" s="33" t="s">
        <v>11</v>
      </c>
      <c r="B27" s="33" t="s">
        <v>132</v>
      </c>
      <c r="C27" s="33" t="s">
        <v>7</v>
      </c>
      <c r="D27" s="33">
        <v>237000</v>
      </c>
      <c r="E27" s="33">
        <v>3657000</v>
      </c>
      <c r="F27" s="33">
        <v>6.4799999999999996E-2</v>
      </c>
      <c r="G27" s="33">
        <v>695.2681388012619</v>
      </c>
      <c r="H27" s="33">
        <v>120</v>
      </c>
      <c r="I27" s="38">
        <v>6.5442975823836163</v>
      </c>
      <c r="J27" s="35"/>
      <c r="K27" s="33"/>
      <c r="L27" s="33"/>
      <c r="M27" s="33"/>
      <c r="N27" s="33"/>
      <c r="O27" s="33"/>
      <c r="P27" s="33"/>
      <c r="Q27" s="33"/>
      <c r="R27" s="33"/>
      <c r="S27" s="33"/>
      <c r="T27" s="11">
        <v>30</v>
      </c>
      <c r="U27" s="18" t="s">
        <v>192</v>
      </c>
      <c r="V27" s="18" t="s">
        <v>193</v>
      </c>
      <c r="W27" s="18" t="s">
        <v>194</v>
      </c>
      <c r="X27" s="18" t="s">
        <v>185</v>
      </c>
    </row>
    <row r="28" spans="1:24" x14ac:dyDescent="0.25">
      <c r="A28" s="34" t="s">
        <v>12</v>
      </c>
      <c r="B28" s="34" t="s">
        <v>132</v>
      </c>
      <c r="C28" s="34" t="s">
        <v>7</v>
      </c>
      <c r="D28" s="34">
        <v>231200</v>
      </c>
      <c r="E28" s="34">
        <v>2979000</v>
      </c>
      <c r="F28" s="34">
        <v>7.7600000000000002E-2</v>
      </c>
      <c r="G28" s="34">
        <v>81.060958585388562</v>
      </c>
      <c r="H28" s="34">
        <v>120</v>
      </c>
      <c r="I28" s="37">
        <v>4.3952014467580289</v>
      </c>
      <c r="J28" s="36"/>
      <c r="K28" s="34"/>
      <c r="L28" s="34"/>
      <c r="M28" s="34"/>
      <c r="N28" s="34"/>
      <c r="O28" s="34"/>
      <c r="P28" s="34"/>
      <c r="Q28" s="34"/>
      <c r="R28" s="34"/>
      <c r="S28" s="34"/>
      <c r="T28" s="11">
        <v>15</v>
      </c>
      <c r="U28" s="12">
        <v>0.21135646687697288</v>
      </c>
      <c r="V28" s="16">
        <v>7.2824569567240607E-2</v>
      </c>
      <c r="W28" s="12">
        <v>0.20967379077615303</v>
      </c>
      <c r="X28" s="12">
        <v>0.16461827574012219</v>
      </c>
    </row>
    <row r="29" spans="1:24" ht="15.75" thickBot="1" x14ac:dyDescent="0.3">
      <c r="A29" s="33" t="s">
        <v>13</v>
      </c>
      <c r="B29" s="33" t="s">
        <v>132</v>
      </c>
      <c r="C29" s="33" t="s">
        <v>7</v>
      </c>
      <c r="D29" s="33">
        <v>168200</v>
      </c>
      <c r="E29" s="33">
        <v>3211000</v>
      </c>
      <c r="F29" s="33">
        <v>5.2400000000000002E-2</v>
      </c>
      <c r="G29" s="33">
        <v>21.687289088863899</v>
      </c>
      <c r="H29" s="33">
        <v>120</v>
      </c>
      <c r="I29" s="38">
        <v>3.0767263326506322</v>
      </c>
      <c r="J29" s="35"/>
      <c r="K29" s="33"/>
      <c r="L29" s="33"/>
      <c r="M29" s="33"/>
      <c r="N29" s="33"/>
      <c r="O29" s="33"/>
      <c r="P29" s="33"/>
      <c r="Q29" s="33"/>
      <c r="R29" s="33"/>
      <c r="S29" s="33"/>
      <c r="T29" s="14">
        <v>0</v>
      </c>
      <c r="U29" s="15">
        <v>1</v>
      </c>
      <c r="V29" s="15">
        <v>1</v>
      </c>
      <c r="W29" s="15">
        <v>1</v>
      </c>
      <c r="X29" s="15">
        <v>1</v>
      </c>
    </row>
    <row r="30" spans="1:24" ht="16.5" thickTop="1" thickBot="1" x14ac:dyDescent="0.3">
      <c r="A30" s="34" t="s">
        <v>14</v>
      </c>
      <c r="B30" s="34" t="s">
        <v>132</v>
      </c>
      <c r="C30" s="34" t="s">
        <v>7</v>
      </c>
      <c r="D30" s="34">
        <v>193500</v>
      </c>
      <c r="E30" s="34">
        <v>3060000</v>
      </c>
      <c r="F30" s="34">
        <v>6.3229999999999995E-2</v>
      </c>
      <c r="G30" s="34">
        <v>645.74132492113563</v>
      </c>
      <c r="H30" s="34">
        <v>60</v>
      </c>
      <c r="I30" s="37">
        <v>6.4703989977720999</v>
      </c>
      <c r="J30" s="36"/>
      <c r="K30" s="34"/>
      <c r="L30" s="34"/>
      <c r="M30" s="34"/>
      <c r="N30" s="34"/>
      <c r="O30" s="34"/>
      <c r="P30" s="34"/>
      <c r="Q30" s="34"/>
      <c r="R30" s="34"/>
      <c r="S30" s="34"/>
    </row>
    <row r="31" spans="1:24" x14ac:dyDescent="0.25">
      <c r="A31" s="33" t="s">
        <v>15</v>
      </c>
      <c r="B31" s="33" t="s">
        <v>132</v>
      </c>
      <c r="C31" s="33" t="s">
        <v>7</v>
      </c>
      <c r="D31" s="33">
        <v>251800</v>
      </c>
      <c r="E31" s="33">
        <v>2907000</v>
      </c>
      <c r="F31" s="33">
        <v>8.6599999999999996E-2</v>
      </c>
      <c r="G31" s="33">
        <v>102.00093066542577</v>
      </c>
      <c r="H31" s="33">
        <v>60</v>
      </c>
      <c r="I31" s="38">
        <v>4.6249819374134873</v>
      </c>
      <c r="J31" s="35"/>
      <c r="K31" s="33"/>
      <c r="L31" s="33"/>
      <c r="M31" s="33"/>
      <c r="N31" s="33"/>
      <c r="O31" s="33"/>
      <c r="P31" s="33"/>
      <c r="Q31" s="33"/>
      <c r="R31" s="33"/>
      <c r="S31" s="33"/>
      <c r="T31" s="21" t="s">
        <v>158</v>
      </c>
      <c r="U31" s="22">
        <v>9.1117143066546374E-3</v>
      </c>
    </row>
    <row r="32" spans="1:24" x14ac:dyDescent="0.25">
      <c r="A32" s="34" t="s">
        <v>16</v>
      </c>
      <c r="B32" s="34" t="s">
        <v>132</v>
      </c>
      <c r="C32" s="34" t="s">
        <v>7</v>
      </c>
      <c r="D32" s="34">
        <v>355300</v>
      </c>
      <c r="E32" s="34">
        <v>2473000</v>
      </c>
      <c r="F32" s="34">
        <v>0.14369999999999999</v>
      </c>
      <c r="G32" s="34">
        <v>227.08661417322836</v>
      </c>
      <c r="H32" s="34">
        <v>60</v>
      </c>
      <c r="I32" s="37">
        <v>5.4253315049402939</v>
      </c>
      <c r="J32" s="36"/>
      <c r="K32" s="34"/>
      <c r="L32" s="34"/>
      <c r="M32" s="34"/>
      <c r="N32" s="34"/>
      <c r="O32" s="34"/>
      <c r="P32" s="34"/>
      <c r="Q32" s="34"/>
      <c r="R32" s="34"/>
      <c r="S32" s="34"/>
      <c r="T32" s="23" t="s">
        <v>159</v>
      </c>
      <c r="U32" s="24">
        <v>3.9251243895035612</v>
      </c>
    </row>
    <row r="33" spans="1:24" ht="17.25" x14ac:dyDescent="0.25">
      <c r="A33" s="33" t="s">
        <v>17</v>
      </c>
      <c r="B33" s="33" t="s">
        <v>132</v>
      </c>
      <c r="C33" s="33" t="s">
        <v>7</v>
      </c>
      <c r="D33" s="33">
        <v>200900</v>
      </c>
      <c r="E33" s="33">
        <v>3385</v>
      </c>
      <c r="F33" s="33">
        <v>59.37</v>
      </c>
      <c r="G33" s="33">
        <v>1871521.7665615147</v>
      </c>
      <c r="H33" s="33">
        <v>30</v>
      </c>
      <c r="I33" s="38" t="s">
        <v>195</v>
      </c>
      <c r="J33" s="35"/>
      <c r="K33" s="33"/>
      <c r="L33" s="33"/>
      <c r="M33" s="33"/>
      <c r="N33" s="33"/>
      <c r="O33" s="33"/>
      <c r="P33" s="33"/>
      <c r="Q33" s="33"/>
      <c r="R33" s="33"/>
      <c r="S33" s="33"/>
      <c r="T33" s="23" t="s">
        <v>160</v>
      </c>
      <c r="U33" s="30">
        <v>0.10174210661405829</v>
      </c>
    </row>
    <row r="34" spans="1:24" ht="18" x14ac:dyDescent="0.35">
      <c r="A34" s="34" t="s">
        <v>18</v>
      </c>
      <c r="B34" s="34" t="s">
        <v>132</v>
      </c>
      <c r="C34" s="34" t="s">
        <v>7</v>
      </c>
      <c r="D34" s="34">
        <v>271900</v>
      </c>
      <c r="E34" s="34">
        <v>222.7</v>
      </c>
      <c r="F34" s="34">
        <v>1221</v>
      </c>
      <c r="G34" s="34">
        <v>2840756.7240577014</v>
      </c>
      <c r="H34" s="34">
        <v>30</v>
      </c>
      <c r="I34" s="37" t="s">
        <v>196</v>
      </c>
      <c r="J34" s="36"/>
      <c r="K34" s="34"/>
      <c r="L34" s="34"/>
      <c r="M34" s="34"/>
      <c r="N34" s="34"/>
      <c r="O34" s="34"/>
      <c r="P34" s="34"/>
      <c r="Q34" s="34"/>
      <c r="R34" s="34"/>
      <c r="S34" s="34"/>
      <c r="T34" s="23" t="s">
        <v>161</v>
      </c>
      <c r="U34" s="26" t="s">
        <v>185</v>
      </c>
    </row>
    <row r="35" spans="1:24" ht="18.75" x14ac:dyDescent="0.35">
      <c r="A35" s="33" t="s">
        <v>19</v>
      </c>
      <c r="B35" s="33" t="s">
        <v>132</v>
      </c>
      <c r="C35" s="33" t="s">
        <v>7</v>
      </c>
      <c r="D35" s="33">
        <v>287300</v>
      </c>
      <c r="E35" s="33">
        <v>263.5</v>
      </c>
      <c r="F35" s="33">
        <v>1090</v>
      </c>
      <c r="G35" s="33">
        <v>2452097.2778402702</v>
      </c>
      <c r="H35" s="33">
        <v>30</v>
      </c>
      <c r="I35" s="38" t="s">
        <v>197</v>
      </c>
      <c r="J35" s="35"/>
      <c r="K35" s="33"/>
      <c r="L35" s="33"/>
      <c r="M35" s="33"/>
      <c r="N35" s="33"/>
      <c r="O35" s="33"/>
      <c r="P35" s="33"/>
      <c r="Q35" s="33"/>
      <c r="R35" s="33"/>
      <c r="S35" s="33"/>
      <c r="T35" s="23" t="s">
        <v>162</v>
      </c>
      <c r="U35" s="26">
        <v>0</v>
      </c>
    </row>
    <row r="36" spans="1:24" ht="15.75" thickBot="1" x14ac:dyDescent="0.3">
      <c r="A36" s="34" t="s">
        <v>20</v>
      </c>
      <c r="B36" s="34" t="s">
        <v>132</v>
      </c>
      <c r="C36" s="34" t="s">
        <v>7</v>
      </c>
      <c r="D36" s="34">
        <v>144200</v>
      </c>
      <c r="E36" s="34">
        <v>3320000</v>
      </c>
      <c r="F36" s="34">
        <v>4.3430000000000003E-2</v>
      </c>
      <c r="G36" s="34">
        <v>21.135646687697289</v>
      </c>
      <c r="H36" s="34">
        <v>15</v>
      </c>
      <c r="I36" s="37">
        <v>3.050961031501783</v>
      </c>
      <c r="J36" s="36"/>
      <c r="K36" s="34"/>
      <c r="L36" s="34"/>
      <c r="M36" s="34"/>
      <c r="N36" s="34"/>
      <c r="O36" s="34"/>
      <c r="P36" s="34"/>
      <c r="Q36" s="34"/>
      <c r="R36" s="34"/>
      <c r="S36" s="34"/>
      <c r="T36" s="27" t="s">
        <v>146</v>
      </c>
      <c r="U36" s="28" t="s">
        <v>177</v>
      </c>
    </row>
    <row r="37" spans="1:24" x14ac:dyDescent="0.25">
      <c r="A37" s="33" t="s">
        <v>21</v>
      </c>
      <c r="B37" s="33" t="s">
        <v>132</v>
      </c>
      <c r="C37" s="33" t="s">
        <v>7</v>
      </c>
      <c r="D37" s="33">
        <v>141400</v>
      </c>
      <c r="E37" s="33">
        <v>3081000</v>
      </c>
      <c r="F37" s="33">
        <v>4.589E-2</v>
      </c>
      <c r="G37" s="33">
        <v>7.2824569567240607</v>
      </c>
      <c r="H37" s="33">
        <v>15</v>
      </c>
      <c r="I37" s="38">
        <v>1.9854682993257893</v>
      </c>
      <c r="J37" s="35"/>
      <c r="K37" s="33"/>
      <c r="L37" s="33"/>
      <c r="M37" s="33"/>
      <c r="N37" s="33"/>
      <c r="O37" s="33"/>
      <c r="P37" s="33"/>
      <c r="Q37" s="33"/>
      <c r="R37" s="33"/>
      <c r="S37" s="33"/>
    </row>
    <row r="38" spans="1:24" x14ac:dyDescent="0.25">
      <c r="A38" s="34" t="s">
        <v>22</v>
      </c>
      <c r="B38" s="34" t="s">
        <v>132</v>
      </c>
      <c r="C38" s="34" t="s">
        <v>7</v>
      </c>
      <c r="D38" s="34">
        <v>159500</v>
      </c>
      <c r="E38" s="34">
        <v>3062000</v>
      </c>
      <c r="F38" s="34">
        <v>5.2080000000000001E-2</v>
      </c>
      <c r="G38" s="34">
        <v>20.967379077615302</v>
      </c>
      <c r="H38" s="34">
        <v>15</v>
      </c>
      <c r="I38" s="37">
        <v>3.0429678527256776</v>
      </c>
      <c r="J38" s="36"/>
      <c r="K38" s="34"/>
      <c r="L38" s="34"/>
      <c r="M38" s="34"/>
      <c r="N38" s="34"/>
      <c r="O38" s="34"/>
      <c r="P38" s="34"/>
      <c r="Q38" s="34"/>
      <c r="R38" s="34"/>
      <c r="S38" s="34"/>
    </row>
    <row r="39" spans="1:24" x14ac:dyDescent="0.25">
      <c r="A39" s="33" t="s">
        <v>23</v>
      </c>
      <c r="B39" s="33" t="s">
        <v>132</v>
      </c>
      <c r="C39" s="33" t="s">
        <v>7</v>
      </c>
      <c r="D39" s="33">
        <v>102200</v>
      </c>
      <c r="E39" s="33">
        <v>2225000</v>
      </c>
      <c r="F39" s="33">
        <v>4.5929999999999999E-2</v>
      </c>
      <c r="G39" s="33">
        <v>100</v>
      </c>
      <c r="H39" s="33">
        <v>0</v>
      </c>
      <c r="I39" s="38">
        <v>4.6051701859880918</v>
      </c>
      <c r="J39" s="35"/>
      <c r="K39" s="33"/>
      <c r="L39" s="33"/>
      <c r="M39" s="33"/>
      <c r="N39" s="33"/>
      <c r="O39" s="33"/>
      <c r="P39" s="33"/>
      <c r="Q39" s="33"/>
      <c r="R39" s="33"/>
      <c r="S39" s="33"/>
    </row>
    <row r="40" spans="1:24" x14ac:dyDescent="0.25">
      <c r="A40" s="34" t="s">
        <v>24</v>
      </c>
      <c r="B40" s="34" t="s">
        <v>132</v>
      </c>
      <c r="C40" s="34" t="s">
        <v>7</v>
      </c>
      <c r="D40" s="34">
        <v>136300</v>
      </c>
      <c r="E40" s="34">
        <v>1590000</v>
      </c>
      <c r="F40" s="34">
        <v>8.5739999999999997E-2</v>
      </c>
      <c r="G40" s="34">
        <v>100</v>
      </c>
      <c r="H40" s="34">
        <v>0</v>
      </c>
      <c r="I40" s="37">
        <v>4.6051701859880918</v>
      </c>
      <c r="J40" s="36"/>
      <c r="K40" s="34"/>
      <c r="L40" s="34"/>
      <c r="M40" s="34"/>
      <c r="N40" s="34"/>
      <c r="O40" s="34"/>
      <c r="P40" s="34"/>
      <c r="Q40" s="34"/>
      <c r="R40" s="34"/>
      <c r="S40" s="34"/>
    </row>
    <row r="41" spans="1:24" x14ac:dyDescent="0.25">
      <c r="A41" s="33" t="s">
        <v>25</v>
      </c>
      <c r="B41" s="33" t="s">
        <v>132</v>
      </c>
      <c r="C41" s="33" t="s">
        <v>7</v>
      </c>
      <c r="D41" s="33">
        <v>155200</v>
      </c>
      <c r="E41" s="33">
        <v>1779000</v>
      </c>
      <c r="F41" s="33">
        <v>8.7209999999999996E-2</v>
      </c>
      <c r="G41" s="33">
        <v>100</v>
      </c>
      <c r="H41" s="33">
        <v>0</v>
      </c>
      <c r="I41" s="38">
        <v>4.6051701859880918</v>
      </c>
      <c r="J41" s="35"/>
      <c r="K41" s="33"/>
      <c r="L41" s="33"/>
      <c r="M41" s="33"/>
      <c r="N41" s="33"/>
      <c r="O41" s="33"/>
      <c r="P41" s="33"/>
      <c r="Q41" s="33"/>
      <c r="R41" s="33"/>
      <c r="S41" s="33"/>
    </row>
    <row r="42" spans="1:24" x14ac:dyDescent="0.25">
      <c r="A42" s="91" t="s">
        <v>270</v>
      </c>
      <c r="B42" s="34" t="s">
        <v>131</v>
      </c>
      <c r="C42" s="34" t="s">
        <v>7</v>
      </c>
      <c r="D42" s="34">
        <v>93976.705199999997</v>
      </c>
      <c r="E42" s="34">
        <v>1626029</v>
      </c>
      <c r="F42" s="34">
        <v>5.7799999999999997E-2</v>
      </c>
      <c r="G42" s="34"/>
      <c r="H42" s="34"/>
      <c r="I42" s="34"/>
      <c r="J42" s="36"/>
      <c r="K42" s="34"/>
      <c r="L42" s="34"/>
      <c r="M42" s="34"/>
      <c r="N42" s="34"/>
      <c r="O42" s="34"/>
      <c r="P42" s="34"/>
      <c r="Q42" s="34"/>
      <c r="R42" s="34"/>
      <c r="S42" s="34"/>
    </row>
    <row r="43" spans="1:24" x14ac:dyDescent="0.25">
      <c r="A43" s="90" t="s">
        <v>271</v>
      </c>
      <c r="B43" s="87" t="s">
        <v>131</v>
      </c>
      <c r="C43" s="87" t="s">
        <v>7</v>
      </c>
      <c r="D43" s="87">
        <v>118490</v>
      </c>
      <c r="E43" s="87">
        <v>3100148</v>
      </c>
      <c r="F43" s="87">
        <v>3.8219999999999997E-2</v>
      </c>
      <c r="G43" s="87"/>
      <c r="H43" s="87"/>
      <c r="I43" s="87"/>
      <c r="J43" s="89"/>
      <c r="K43" s="87"/>
      <c r="L43" s="87"/>
      <c r="M43" s="87"/>
      <c r="N43" s="87"/>
      <c r="O43" s="87"/>
      <c r="P43" s="87"/>
      <c r="Q43" s="87"/>
      <c r="R43" s="87"/>
      <c r="S43" s="87"/>
    </row>
    <row r="44" spans="1:24" x14ac:dyDescent="0.25">
      <c r="A44" s="91" t="s">
        <v>272</v>
      </c>
      <c r="B44" s="34" t="s">
        <v>131</v>
      </c>
      <c r="C44" s="34" t="s">
        <v>7</v>
      </c>
      <c r="D44" s="34">
        <v>760077</v>
      </c>
      <c r="E44" s="34">
        <v>2460923</v>
      </c>
      <c r="F44" s="92" t="s">
        <v>273</v>
      </c>
      <c r="G44" s="34">
        <f>AVERAGE(F42:F44)/AVERAGE(F39:F41)*100</f>
        <v>65.803179824561383</v>
      </c>
      <c r="H44" s="34"/>
      <c r="I44" s="34"/>
      <c r="J44" s="36"/>
      <c r="K44" s="34"/>
      <c r="L44" s="34"/>
      <c r="M44" s="34"/>
      <c r="N44" s="34"/>
      <c r="O44" s="34"/>
      <c r="P44" s="34"/>
      <c r="Q44" s="34"/>
      <c r="R44" s="34"/>
      <c r="S44" s="34"/>
    </row>
    <row r="45" spans="1:24" ht="15.75" thickBot="1" x14ac:dyDescent="0.3">
      <c r="A45" s="87"/>
      <c r="B45" s="87"/>
      <c r="C45" s="87"/>
      <c r="D45" s="87"/>
      <c r="E45" s="87"/>
      <c r="F45" s="87"/>
      <c r="G45" s="87"/>
      <c r="H45" s="87"/>
      <c r="I45" s="87"/>
      <c r="J45" s="89"/>
      <c r="K45" s="87"/>
      <c r="L45" s="87"/>
      <c r="M45" s="87"/>
      <c r="N45" s="87"/>
      <c r="O45" s="87"/>
      <c r="P45" s="87"/>
      <c r="Q45" s="87"/>
      <c r="R45" s="87"/>
      <c r="S45" s="87"/>
    </row>
    <row r="46" spans="1:24" ht="16.5" thickTop="1" thickBot="1" x14ac:dyDescent="0.3">
      <c r="A46" s="33" t="s">
        <v>8</v>
      </c>
      <c r="B46" s="33" t="s">
        <v>137</v>
      </c>
      <c r="C46" s="33" t="s">
        <v>136</v>
      </c>
      <c r="D46" s="33">
        <v>17830</v>
      </c>
      <c r="E46" s="33">
        <v>2892000</v>
      </c>
      <c r="F46" s="33">
        <v>6.1659999999999996E-3</v>
      </c>
      <c r="G46" s="33"/>
      <c r="H46" s="33"/>
      <c r="I46" s="33"/>
      <c r="J46" s="35"/>
      <c r="K46" s="33"/>
      <c r="L46" s="33"/>
      <c r="M46" s="33"/>
      <c r="N46" s="33"/>
      <c r="O46" s="33"/>
      <c r="P46" s="33"/>
      <c r="Q46" s="33"/>
      <c r="R46" s="33" t="s">
        <v>167</v>
      </c>
      <c r="S46" s="33"/>
      <c r="T46" s="10" t="s">
        <v>152</v>
      </c>
      <c r="U46" s="10" t="s">
        <v>154</v>
      </c>
      <c r="V46" s="10" t="s">
        <v>155</v>
      </c>
      <c r="W46" s="10" t="s">
        <v>156</v>
      </c>
      <c r="X46" s="10" t="s">
        <v>157</v>
      </c>
    </row>
    <row r="47" spans="1:24" ht="15.75" thickTop="1" x14ac:dyDescent="0.25">
      <c r="A47" s="34" t="s">
        <v>9</v>
      </c>
      <c r="B47" s="34" t="s">
        <v>137</v>
      </c>
      <c r="C47" s="34" t="s">
        <v>136</v>
      </c>
      <c r="D47" s="34">
        <v>25770</v>
      </c>
      <c r="E47" s="34">
        <v>3436000</v>
      </c>
      <c r="F47" s="34">
        <v>7.502E-3</v>
      </c>
      <c r="G47" s="34"/>
      <c r="H47" s="34"/>
      <c r="I47" s="34"/>
      <c r="J47" s="36"/>
      <c r="K47" s="34"/>
      <c r="L47" s="34"/>
      <c r="M47" s="34"/>
      <c r="N47" s="34"/>
      <c r="O47" s="34"/>
      <c r="P47" s="34"/>
      <c r="Q47" s="34"/>
      <c r="R47" s="34" t="s">
        <v>152</v>
      </c>
      <c r="S47" s="34"/>
      <c r="T47" s="11">
        <v>120</v>
      </c>
      <c r="U47" s="12">
        <v>0.77539784075399365</v>
      </c>
      <c r="V47" s="12">
        <v>0.93756610108827521</v>
      </c>
      <c r="W47" s="12">
        <v>0.84633773050313277</v>
      </c>
      <c r="X47" s="12">
        <v>0.85310055744846724</v>
      </c>
    </row>
    <row r="48" spans="1:24" x14ac:dyDescent="0.25">
      <c r="A48" s="33" t="s">
        <v>10</v>
      </c>
      <c r="B48" s="33" t="s">
        <v>137</v>
      </c>
      <c r="C48" s="33" t="s">
        <v>136</v>
      </c>
      <c r="D48" s="33">
        <v>20740</v>
      </c>
      <c r="E48" s="33">
        <v>3942000</v>
      </c>
      <c r="F48" s="33">
        <v>5.2599999999999999E-3</v>
      </c>
      <c r="G48" s="33"/>
      <c r="H48" s="33"/>
      <c r="I48" s="33"/>
      <c r="J48" s="35"/>
      <c r="K48" s="33"/>
      <c r="L48" s="33"/>
      <c r="M48" s="33"/>
      <c r="N48" s="33"/>
      <c r="O48" s="33"/>
      <c r="P48" s="33"/>
      <c r="Q48" s="33"/>
      <c r="R48" s="33" t="s">
        <v>153</v>
      </c>
      <c r="S48" s="33"/>
      <c r="T48" s="11">
        <v>60</v>
      </c>
      <c r="U48" s="13">
        <v>1.0676075186417271</v>
      </c>
      <c r="V48" s="13">
        <v>1.056933114866639</v>
      </c>
      <c r="W48" s="12">
        <v>0.97767300357737819</v>
      </c>
      <c r="X48" s="13">
        <v>1.0340712123619149</v>
      </c>
    </row>
    <row r="49" spans="1:24" x14ac:dyDescent="0.25">
      <c r="A49" s="34" t="s">
        <v>86</v>
      </c>
      <c r="B49" s="34" t="s">
        <v>137</v>
      </c>
      <c r="C49" s="34" t="s">
        <v>136</v>
      </c>
      <c r="D49" s="34">
        <v>6714000</v>
      </c>
      <c r="E49" s="34">
        <v>1308000</v>
      </c>
      <c r="F49" s="34">
        <v>5.133</v>
      </c>
      <c r="G49" s="34">
        <v>77.539784075399368</v>
      </c>
      <c r="H49" s="34">
        <v>120</v>
      </c>
      <c r="I49" s="37">
        <v>4.3507911475522842</v>
      </c>
      <c r="J49" s="36"/>
      <c r="K49" s="34"/>
      <c r="L49" s="34"/>
      <c r="M49" s="34"/>
      <c r="N49" s="34"/>
      <c r="O49" s="34"/>
      <c r="P49" s="34"/>
      <c r="Q49" s="34"/>
      <c r="R49" s="34"/>
      <c r="S49" s="34"/>
      <c r="T49" s="11">
        <v>30</v>
      </c>
      <c r="U49" s="13" t="s">
        <v>198</v>
      </c>
      <c r="V49" s="17"/>
      <c r="W49" s="13" t="s">
        <v>199</v>
      </c>
      <c r="X49" s="13" t="s">
        <v>185</v>
      </c>
    </row>
    <row r="50" spans="1:24" x14ac:dyDescent="0.25">
      <c r="A50" s="33" t="s">
        <v>87</v>
      </c>
      <c r="B50" s="33" t="s">
        <v>137</v>
      </c>
      <c r="C50" s="33" t="s">
        <v>136</v>
      </c>
      <c r="D50" s="33">
        <v>15280000</v>
      </c>
      <c r="E50" s="33">
        <v>2240000</v>
      </c>
      <c r="F50" s="33">
        <v>6.8239999999999998</v>
      </c>
      <c r="G50" s="33">
        <v>93.756610108827516</v>
      </c>
      <c r="H50" s="33">
        <v>120</v>
      </c>
      <c r="I50" s="38">
        <v>4.5407021701924535</v>
      </c>
      <c r="J50" s="35"/>
      <c r="K50" s="33"/>
      <c r="L50" s="33"/>
      <c r="M50" s="33"/>
      <c r="N50" s="33"/>
      <c r="O50" s="33"/>
      <c r="P50" s="33"/>
      <c r="Q50" s="33"/>
      <c r="R50" s="33"/>
      <c r="S50" s="33"/>
      <c r="T50" s="11">
        <v>15</v>
      </c>
      <c r="U50" s="13">
        <v>1.0254095372076288</v>
      </c>
      <c r="V50" s="13">
        <v>1.1248677978234498</v>
      </c>
      <c r="W50" s="13">
        <v>1.0278722635079787</v>
      </c>
      <c r="X50" s="13">
        <v>1.059383199513019</v>
      </c>
    </row>
    <row r="51" spans="1:24" ht="15.75" thickBot="1" x14ac:dyDescent="0.3">
      <c r="A51" s="34" t="s">
        <v>88</v>
      </c>
      <c r="B51" s="34" t="s">
        <v>137</v>
      </c>
      <c r="C51" s="34" t="s">
        <v>136</v>
      </c>
      <c r="D51" s="34">
        <v>15750000</v>
      </c>
      <c r="E51" s="34">
        <v>2712000</v>
      </c>
      <c r="F51" s="34">
        <v>5.806</v>
      </c>
      <c r="G51" s="34">
        <v>84.63377305031328</v>
      </c>
      <c r="H51" s="34">
        <v>120</v>
      </c>
      <c r="I51" s="37">
        <v>4.4383333955821564</v>
      </c>
      <c r="J51" s="36"/>
      <c r="K51" s="34"/>
      <c r="L51" s="34"/>
      <c r="M51" s="34"/>
      <c r="N51" s="34"/>
      <c r="O51" s="34"/>
      <c r="P51" s="34"/>
      <c r="Q51" s="34"/>
      <c r="R51" s="34"/>
      <c r="S51" s="34"/>
      <c r="T51" s="14">
        <v>0</v>
      </c>
      <c r="U51" s="15">
        <v>1</v>
      </c>
      <c r="V51" s="15">
        <v>1</v>
      </c>
      <c r="W51" s="15">
        <v>1</v>
      </c>
      <c r="X51" s="15">
        <v>1</v>
      </c>
    </row>
    <row r="52" spans="1:24" ht="16.5" thickTop="1" thickBot="1" x14ac:dyDescent="0.3">
      <c r="A52" s="33" t="s">
        <v>89</v>
      </c>
      <c r="B52" s="33" t="s">
        <v>137</v>
      </c>
      <c r="C52" s="33" t="s">
        <v>136</v>
      </c>
      <c r="D52" s="33">
        <v>17560000</v>
      </c>
      <c r="E52" s="33">
        <v>2486000</v>
      </c>
      <c r="F52" s="33">
        <v>7.0650000000000004</v>
      </c>
      <c r="G52" s="33">
        <v>106.7607518641727</v>
      </c>
      <c r="H52" s="33">
        <v>60</v>
      </c>
      <c r="I52" s="38">
        <v>4.6705903670759001</v>
      </c>
      <c r="J52" s="35"/>
      <c r="K52" s="33"/>
      <c r="L52" s="33"/>
      <c r="M52" s="33"/>
      <c r="N52" s="33"/>
      <c r="O52" s="33"/>
      <c r="P52" s="33"/>
      <c r="Q52" s="33"/>
      <c r="R52" s="33"/>
      <c r="S52" s="33"/>
    </row>
    <row r="53" spans="1:24" x14ac:dyDescent="0.25">
      <c r="A53" s="34" t="s">
        <v>90</v>
      </c>
      <c r="B53" s="34" t="s">
        <v>137</v>
      </c>
      <c r="C53" s="34" t="s">
        <v>136</v>
      </c>
      <c r="D53" s="34">
        <v>18400000</v>
      </c>
      <c r="E53" s="34">
        <v>2392000</v>
      </c>
      <c r="F53" s="34">
        <v>7.6920000000000002</v>
      </c>
      <c r="G53" s="34">
        <v>105.6933114866639</v>
      </c>
      <c r="H53" s="34">
        <v>60</v>
      </c>
      <c r="I53" s="37">
        <v>4.6605416126021728</v>
      </c>
      <c r="J53" s="36"/>
      <c r="K53" s="34"/>
      <c r="L53" s="34"/>
      <c r="M53" s="34"/>
      <c r="N53" s="34"/>
      <c r="O53" s="34"/>
      <c r="P53" s="34"/>
      <c r="Q53" s="34"/>
      <c r="R53" s="34"/>
      <c r="S53" s="34"/>
      <c r="T53" s="21" t="s">
        <v>158</v>
      </c>
      <c r="U53" s="22">
        <v>-1.5004436942274769E-3</v>
      </c>
    </row>
    <row r="54" spans="1:24" x14ac:dyDescent="0.25">
      <c r="A54" s="33" t="s">
        <v>91</v>
      </c>
      <c r="B54" s="33" t="s">
        <v>137</v>
      </c>
      <c r="C54" s="33" t="s">
        <v>136</v>
      </c>
      <c r="D54" s="33">
        <v>18550000</v>
      </c>
      <c r="E54" s="33">
        <v>2766000</v>
      </c>
      <c r="F54" s="33">
        <v>6.7060000000000004</v>
      </c>
      <c r="G54" s="33">
        <v>97.767300357737824</v>
      </c>
      <c r="H54" s="33">
        <v>60</v>
      </c>
      <c r="I54" s="38">
        <v>4.5825901689622528</v>
      </c>
      <c r="J54" s="35"/>
      <c r="K54" s="33"/>
      <c r="L54" s="33"/>
      <c r="M54" s="33"/>
      <c r="N54" s="33"/>
      <c r="O54" s="33"/>
      <c r="P54" s="33"/>
      <c r="Q54" s="33"/>
      <c r="R54" s="33"/>
      <c r="S54" s="33"/>
      <c r="T54" s="23" t="s">
        <v>159</v>
      </c>
      <c r="U54" s="24">
        <v>4.6602148365030018</v>
      </c>
    </row>
    <row r="55" spans="1:24" ht="17.25" x14ac:dyDescent="0.25">
      <c r="A55" s="34" t="s">
        <v>92</v>
      </c>
      <c r="B55" s="34" t="s">
        <v>137</v>
      </c>
      <c r="C55" s="34" t="s">
        <v>136</v>
      </c>
      <c r="D55" s="34">
        <v>57520</v>
      </c>
      <c r="E55" s="34">
        <v>1539</v>
      </c>
      <c r="F55" s="34">
        <v>37.380000000000003</v>
      </c>
      <c r="G55" s="34">
        <v>565.26677594112084</v>
      </c>
      <c r="H55" s="34">
        <v>30</v>
      </c>
      <c r="I55" s="37" t="s">
        <v>200</v>
      </c>
      <c r="J55" s="36"/>
      <c r="K55" s="34"/>
      <c r="L55" s="34"/>
      <c r="M55" s="34"/>
      <c r="N55" s="34"/>
      <c r="O55" s="34"/>
      <c r="P55" s="34"/>
      <c r="Q55" s="34"/>
      <c r="R55" s="34"/>
      <c r="S55" s="34"/>
      <c r="T55" s="23" t="s">
        <v>160</v>
      </c>
      <c r="U55" s="25">
        <v>0.50828385538571452</v>
      </c>
    </row>
    <row r="56" spans="1:24" ht="18" x14ac:dyDescent="0.35">
      <c r="A56" s="33" t="s">
        <v>93</v>
      </c>
      <c r="B56" s="33" t="s">
        <v>137</v>
      </c>
      <c r="C56" s="33" t="s">
        <v>136</v>
      </c>
      <c r="D56" s="33">
        <v>27520</v>
      </c>
      <c r="E56" s="33" t="s">
        <v>6</v>
      </c>
      <c r="F56" s="33" t="s">
        <v>6</v>
      </c>
      <c r="G56" s="33" t="e">
        <v>#VALUE!</v>
      </c>
      <c r="H56" s="33">
        <v>30</v>
      </c>
      <c r="I56" s="38" t="e">
        <v>#VALUE!</v>
      </c>
      <c r="J56" s="35"/>
      <c r="K56" s="33"/>
      <c r="L56" s="33"/>
      <c r="M56" s="33"/>
      <c r="N56" s="33"/>
      <c r="O56" s="33"/>
      <c r="P56" s="33"/>
      <c r="Q56" s="33"/>
      <c r="R56" s="33"/>
      <c r="S56" s="33"/>
      <c r="T56" s="23" t="s">
        <v>161</v>
      </c>
      <c r="U56" s="32">
        <v>461.96147394709214</v>
      </c>
    </row>
    <row r="57" spans="1:24" ht="18.75" x14ac:dyDescent="0.35">
      <c r="A57" s="34" t="s">
        <v>94</v>
      </c>
      <c r="B57" s="34" t="s">
        <v>137</v>
      </c>
      <c r="C57" s="34" t="s">
        <v>136</v>
      </c>
      <c r="D57" s="34">
        <v>18660</v>
      </c>
      <c r="E57" s="34">
        <v>839.8</v>
      </c>
      <c r="F57" s="34">
        <v>22.22</v>
      </c>
      <c r="G57" s="34">
        <v>324.16012552149829</v>
      </c>
      <c r="H57" s="34">
        <v>30</v>
      </c>
      <c r="I57" s="37" t="s">
        <v>201</v>
      </c>
      <c r="J57" s="36"/>
      <c r="K57" s="34"/>
      <c r="L57" s="34"/>
      <c r="M57" s="34"/>
      <c r="N57" s="34"/>
      <c r="O57" s="34"/>
      <c r="P57" s="34"/>
      <c r="Q57" s="34"/>
      <c r="R57" s="34"/>
      <c r="S57" s="34"/>
      <c r="T57" s="23" t="s">
        <v>162</v>
      </c>
      <c r="U57" s="24">
        <v>3.0008873884549536</v>
      </c>
    </row>
    <row r="58" spans="1:24" ht="15.75" thickBot="1" x14ac:dyDescent="0.3">
      <c r="A58" s="33" t="s">
        <v>95</v>
      </c>
      <c r="B58" s="33" t="s">
        <v>137</v>
      </c>
      <c r="C58" s="33" t="s">
        <v>136</v>
      </c>
      <c r="D58" s="33">
        <v>17880000</v>
      </c>
      <c r="E58" s="33">
        <v>2635000</v>
      </c>
      <c r="F58" s="33">
        <v>6.7859999999999996</v>
      </c>
      <c r="G58" s="33">
        <v>102.54095372076289</v>
      </c>
      <c r="H58" s="33">
        <v>15</v>
      </c>
      <c r="I58" s="38">
        <v>4.630262267275465</v>
      </c>
      <c r="J58" s="35"/>
      <c r="K58" s="33"/>
      <c r="L58" s="33"/>
      <c r="M58" s="33"/>
      <c r="N58" s="33"/>
      <c r="O58" s="33"/>
      <c r="P58" s="33"/>
      <c r="Q58" s="33"/>
      <c r="R58" s="33"/>
      <c r="S58" s="33"/>
      <c r="T58" s="27" t="s">
        <v>146</v>
      </c>
      <c r="U58" s="28" t="s">
        <v>178</v>
      </c>
    </row>
    <row r="59" spans="1:24" x14ac:dyDescent="0.25">
      <c r="A59" s="34" t="s">
        <v>96</v>
      </c>
      <c r="B59" s="34" t="s">
        <v>137</v>
      </c>
      <c r="C59" s="34" t="s">
        <v>136</v>
      </c>
      <c r="D59" s="34">
        <v>21270000</v>
      </c>
      <c r="E59" s="34">
        <v>2599000</v>
      </c>
      <c r="F59" s="34">
        <v>8.1859999999999999</v>
      </c>
      <c r="G59" s="34">
        <v>112.48677978234498</v>
      </c>
      <c r="H59" s="34">
        <v>15</v>
      </c>
      <c r="I59" s="37">
        <v>4.7228357016934535</v>
      </c>
      <c r="J59" s="36"/>
      <c r="K59" s="34"/>
      <c r="L59" s="34"/>
      <c r="M59" s="34"/>
      <c r="N59" s="34"/>
      <c r="O59" s="34"/>
      <c r="P59" s="34"/>
      <c r="Q59" s="34"/>
      <c r="R59" s="34"/>
      <c r="S59" s="34"/>
    </row>
    <row r="60" spans="1:24" x14ac:dyDescent="0.25">
      <c r="A60" s="33" t="s">
        <v>97</v>
      </c>
      <c r="B60" s="33" t="s">
        <v>137</v>
      </c>
      <c r="C60" s="33" t="s">
        <v>136</v>
      </c>
      <c r="D60" s="33">
        <v>19270000</v>
      </c>
      <c r="E60" s="33">
        <v>2734000</v>
      </c>
      <c r="F60" s="33">
        <v>7.05</v>
      </c>
      <c r="G60" s="33">
        <v>102.78722635079787</v>
      </c>
      <c r="H60" s="33">
        <v>15</v>
      </c>
      <c r="I60" s="38">
        <v>4.6326610880125303</v>
      </c>
      <c r="J60" s="35"/>
      <c r="K60" s="33"/>
      <c r="L60" s="33"/>
      <c r="M60" s="33"/>
      <c r="N60" s="33"/>
      <c r="O60" s="33"/>
      <c r="P60" s="33"/>
      <c r="Q60" s="33"/>
      <c r="R60" s="33"/>
      <c r="S60" s="33"/>
    </row>
    <row r="61" spans="1:24" x14ac:dyDescent="0.25">
      <c r="A61" s="34" t="s">
        <v>98</v>
      </c>
      <c r="B61" s="34" t="s">
        <v>137</v>
      </c>
      <c r="C61" s="34" t="s">
        <v>136</v>
      </c>
      <c r="D61" s="34">
        <v>13690000</v>
      </c>
      <c r="E61" s="34">
        <v>2069000</v>
      </c>
      <c r="F61" s="34">
        <v>6.6180000000000003</v>
      </c>
      <c r="G61" s="34">
        <v>100</v>
      </c>
      <c r="H61" s="34">
        <v>0</v>
      </c>
      <c r="I61" s="37">
        <v>4.6051701859880918</v>
      </c>
      <c r="J61" s="36"/>
      <c r="K61" s="34"/>
      <c r="L61" s="34"/>
      <c r="M61" s="34"/>
      <c r="N61" s="34"/>
      <c r="O61" s="34"/>
      <c r="P61" s="34"/>
      <c r="Q61" s="34"/>
      <c r="R61" s="34"/>
      <c r="S61" s="34"/>
    </row>
    <row r="62" spans="1:24" x14ac:dyDescent="0.25">
      <c r="A62" s="33" t="s">
        <v>99</v>
      </c>
      <c r="B62" s="33" t="s">
        <v>137</v>
      </c>
      <c r="C62" s="33" t="s">
        <v>136</v>
      </c>
      <c r="D62" s="33">
        <v>17080000</v>
      </c>
      <c r="E62" s="33">
        <v>2347000</v>
      </c>
      <c r="F62" s="33">
        <v>7.2779999999999996</v>
      </c>
      <c r="G62" s="33">
        <v>100</v>
      </c>
      <c r="H62" s="33">
        <v>0</v>
      </c>
      <c r="I62" s="38">
        <v>4.6051701859880918</v>
      </c>
      <c r="J62" s="35"/>
      <c r="K62" s="33"/>
      <c r="L62" s="33"/>
      <c r="M62" s="33"/>
      <c r="N62" s="33"/>
      <c r="O62" s="33"/>
      <c r="P62" s="33"/>
      <c r="Q62" s="33"/>
      <c r="R62" s="33"/>
      <c r="S62" s="33"/>
    </row>
    <row r="63" spans="1:24" x14ac:dyDescent="0.25">
      <c r="A63" s="34" t="s">
        <v>100</v>
      </c>
      <c r="B63" s="34" t="s">
        <v>137</v>
      </c>
      <c r="C63" s="34" t="s">
        <v>136</v>
      </c>
      <c r="D63" s="34">
        <v>17420000</v>
      </c>
      <c r="E63" s="34">
        <v>2540000</v>
      </c>
      <c r="F63" s="34">
        <v>6.859</v>
      </c>
      <c r="G63" s="34">
        <v>100</v>
      </c>
      <c r="H63" s="34">
        <v>0</v>
      </c>
      <c r="I63" s="37">
        <v>4.6051701859880918</v>
      </c>
      <c r="J63" s="36"/>
      <c r="K63" s="34"/>
      <c r="L63" s="34"/>
      <c r="M63" s="34"/>
      <c r="N63" s="34"/>
      <c r="O63" s="34"/>
      <c r="P63" s="34"/>
      <c r="Q63" s="34"/>
      <c r="R63" s="34"/>
      <c r="S63" s="34"/>
    </row>
    <row r="64" spans="1:24" x14ac:dyDescent="0.25">
      <c r="A64" s="90" t="s">
        <v>275</v>
      </c>
      <c r="B64" s="87" t="s">
        <v>137</v>
      </c>
      <c r="C64" s="87" t="s">
        <v>136</v>
      </c>
      <c r="D64" s="87">
        <v>15865560</v>
      </c>
      <c r="E64" s="87">
        <v>2854119.6</v>
      </c>
      <c r="F64" s="87">
        <v>5.5588300000000004</v>
      </c>
      <c r="G64" s="87"/>
      <c r="H64" s="87"/>
      <c r="I64" s="88"/>
      <c r="J64" s="89"/>
      <c r="K64" s="87"/>
      <c r="L64" s="87"/>
      <c r="M64" s="87"/>
      <c r="N64" s="87"/>
      <c r="O64" s="87"/>
      <c r="P64" s="87"/>
      <c r="Q64" s="87"/>
      <c r="R64" s="87"/>
      <c r="S64" s="87"/>
    </row>
    <row r="65" spans="1:24" x14ac:dyDescent="0.25">
      <c r="A65" s="91" t="s">
        <v>276</v>
      </c>
      <c r="B65" s="34" t="s">
        <v>137</v>
      </c>
      <c r="C65" s="34" t="s">
        <v>136</v>
      </c>
      <c r="D65" s="34">
        <v>15149922.710000001</v>
      </c>
      <c r="E65" s="34">
        <v>3463005.2</v>
      </c>
      <c r="F65" s="34">
        <v>4.37479</v>
      </c>
      <c r="G65" s="34"/>
      <c r="H65" s="34"/>
      <c r="I65" s="37"/>
      <c r="J65" s="36"/>
      <c r="K65" s="34"/>
      <c r="L65" s="34"/>
      <c r="M65" s="34"/>
      <c r="N65" s="34"/>
      <c r="O65" s="34"/>
      <c r="P65" s="34"/>
      <c r="Q65" s="34"/>
      <c r="R65" s="34"/>
      <c r="S65" s="34"/>
    </row>
    <row r="66" spans="1:24" x14ac:dyDescent="0.25">
      <c r="A66" s="90" t="s">
        <v>277</v>
      </c>
      <c r="B66" s="87" t="s">
        <v>137</v>
      </c>
      <c r="C66" s="87" t="s">
        <v>136</v>
      </c>
      <c r="D66" s="87">
        <v>9907696.4739999995</v>
      </c>
      <c r="E66" s="87">
        <v>3721902.7</v>
      </c>
      <c r="F66" s="87">
        <v>2.6619999999999999</v>
      </c>
      <c r="G66" s="87">
        <f>AVERAGE(F64:F66)/AVERAGE(F61:F63)*100</f>
        <v>60.687159720549268</v>
      </c>
      <c r="H66" s="87"/>
      <c r="I66" s="88"/>
      <c r="J66" s="89"/>
      <c r="K66" s="87"/>
      <c r="L66" s="87"/>
      <c r="M66" s="87"/>
      <c r="N66" s="87"/>
      <c r="O66" s="87"/>
      <c r="P66" s="87"/>
      <c r="Q66" s="87"/>
      <c r="R66" s="87"/>
      <c r="S66" s="87"/>
    </row>
    <row r="67" spans="1:24" ht="15.75" thickBot="1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5"/>
      <c r="K67" s="33"/>
      <c r="L67" s="33"/>
      <c r="M67" s="33"/>
      <c r="N67" s="33"/>
      <c r="O67" s="33"/>
      <c r="P67" s="33"/>
      <c r="Q67" s="33"/>
      <c r="R67" s="33"/>
      <c r="S67" s="33"/>
    </row>
    <row r="68" spans="1:24" ht="16.5" thickTop="1" thickBot="1" x14ac:dyDescent="0.3">
      <c r="A68" s="34" t="s">
        <v>8</v>
      </c>
      <c r="B68" s="34" t="s">
        <v>135</v>
      </c>
      <c r="C68" s="34" t="s">
        <v>136</v>
      </c>
      <c r="D68" s="34">
        <v>17830</v>
      </c>
      <c r="E68" s="34">
        <v>2892000</v>
      </c>
      <c r="F68" s="34">
        <v>6.1659999999999996E-3</v>
      </c>
      <c r="G68" s="34"/>
      <c r="H68" s="34"/>
      <c r="I68" s="34"/>
      <c r="J68" s="36"/>
      <c r="K68" s="34"/>
      <c r="L68" s="34"/>
      <c r="M68" s="34"/>
      <c r="N68" s="34"/>
      <c r="O68" s="34"/>
      <c r="P68" s="34"/>
      <c r="Q68" s="34"/>
      <c r="R68" s="34" t="s">
        <v>168</v>
      </c>
      <c r="S68" s="34"/>
      <c r="T68" s="10" t="s">
        <v>152</v>
      </c>
      <c r="U68" s="10" t="s">
        <v>154</v>
      </c>
      <c r="V68" s="10" t="s">
        <v>155</v>
      </c>
      <c r="W68" s="10" t="s">
        <v>156</v>
      </c>
      <c r="X68" s="10" t="s">
        <v>157</v>
      </c>
    </row>
    <row r="69" spans="1:24" ht="15.75" thickTop="1" x14ac:dyDescent="0.25">
      <c r="A69" s="33" t="s">
        <v>9</v>
      </c>
      <c r="B69" s="33" t="s">
        <v>135</v>
      </c>
      <c r="C69" s="33" t="s">
        <v>136</v>
      </c>
      <c r="D69" s="33">
        <v>25770</v>
      </c>
      <c r="E69" s="33">
        <v>3436000</v>
      </c>
      <c r="F69" s="33">
        <v>7.502E-3</v>
      </c>
      <c r="G69" s="33"/>
      <c r="H69" s="33"/>
      <c r="I69" s="33"/>
      <c r="J69" s="35"/>
      <c r="K69" s="33"/>
      <c r="L69" s="33"/>
      <c r="M69" s="33"/>
      <c r="N69" s="33"/>
      <c r="O69" s="33"/>
      <c r="P69" s="33"/>
      <c r="Q69" s="33"/>
      <c r="R69" s="33" t="s">
        <v>152</v>
      </c>
      <c r="S69" s="33"/>
      <c r="T69" s="11">
        <v>120</v>
      </c>
      <c r="U69" s="12">
        <v>0.68962629838597134</v>
      </c>
      <c r="V69" s="12">
        <v>0.58130594411796011</v>
      </c>
      <c r="W69" s="12">
        <v>0.61477838521519435</v>
      </c>
      <c r="X69" s="12">
        <v>0.62857020923970852</v>
      </c>
    </row>
    <row r="70" spans="1:24" x14ac:dyDescent="0.25">
      <c r="A70" s="34" t="s">
        <v>10</v>
      </c>
      <c r="B70" s="34" t="s">
        <v>135</v>
      </c>
      <c r="C70" s="34" t="s">
        <v>136</v>
      </c>
      <c r="D70" s="34">
        <v>20740</v>
      </c>
      <c r="E70" s="34">
        <v>3942000</v>
      </c>
      <c r="F70" s="34">
        <v>5.2599999999999999E-3</v>
      </c>
      <c r="G70" s="34"/>
      <c r="H70" s="34"/>
      <c r="I70" s="34"/>
      <c r="J70" s="36"/>
      <c r="K70" s="34"/>
      <c r="L70" s="34"/>
      <c r="M70" s="34"/>
      <c r="N70" s="34"/>
      <c r="O70" s="34"/>
      <c r="P70" s="34"/>
      <c r="Q70" s="34"/>
      <c r="R70" s="34" t="s">
        <v>153</v>
      </c>
      <c r="S70" s="34"/>
      <c r="T70" s="11">
        <v>60</v>
      </c>
      <c r="U70" s="12">
        <v>0.81779162596230814</v>
      </c>
      <c r="V70" s="12">
        <v>0.66588724267183796</v>
      </c>
      <c r="W70" s="12">
        <v>0.77127466622152174</v>
      </c>
      <c r="X70" s="12">
        <v>0.75165117828522254</v>
      </c>
    </row>
    <row r="71" spans="1:24" x14ac:dyDescent="0.25">
      <c r="A71" s="33" t="s">
        <v>71</v>
      </c>
      <c r="B71" s="33" t="s">
        <v>135</v>
      </c>
      <c r="C71" s="33" t="s">
        <v>136</v>
      </c>
      <c r="D71" s="33">
        <v>1696000</v>
      </c>
      <c r="E71" s="33">
        <v>2601000</v>
      </c>
      <c r="F71" s="33">
        <v>0.65200000000000002</v>
      </c>
      <c r="G71" s="33">
        <v>68.962629838597138</v>
      </c>
      <c r="H71" s="33">
        <v>120</v>
      </c>
      <c r="I71" s="38">
        <v>4.2335647613388057</v>
      </c>
      <c r="J71" s="35"/>
      <c r="K71" s="33"/>
      <c r="L71" s="33"/>
      <c r="M71" s="33"/>
      <c r="N71" s="33"/>
      <c r="O71" s="33"/>
      <c r="P71" s="33"/>
      <c r="Q71" s="33"/>
      <c r="R71" s="33"/>
      <c r="S71" s="33"/>
      <c r="T71" s="11">
        <v>30</v>
      </c>
      <c r="U71" s="13" t="s">
        <v>202</v>
      </c>
      <c r="V71" s="17"/>
      <c r="W71" s="17"/>
      <c r="X71" s="13" t="s">
        <v>185</v>
      </c>
    </row>
    <row r="72" spans="1:24" x14ac:dyDescent="0.25">
      <c r="A72" s="34" t="s">
        <v>72</v>
      </c>
      <c r="B72" s="34" t="s">
        <v>135</v>
      </c>
      <c r="C72" s="34" t="s">
        <v>136</v>
      </c>
      <c r="D72" s="34">
        <v>1474000</v>
      </c>
      <c r="E72" s="34">
        <v>2777000</v>
      </c>
      <c r="F72" s="34">
        <v>0.53069999999999995</v>
      </c>
      <c r="G72" s="34">
        <v>58.130594411796011</v>
      </c>
      <c r="H72" s="34">
        <v>120</v>
      </c>
      <c r="I72" s="37">
        <v>4.0626921072208617</v>
      </c>
      <c r="J72" s="36"/>
      <c r="K72" s="34"/>
      <c r="L72" s="34"/>
      <c r="M72" s="34"/>
      <c r="N72" s="34"/>
      <c r="O72" s="34"/>
      <c r="P72" s="34"/>
      <c r="Q72" s="34"/>
      <c r="R72" s="34"/>
      <c r="S72" s="34"/>
      <c r="T72" s="11">
        <v>15</v>
      </c>
      <c r="U72" s="13">
        <v>1.1317966785243332</v>
      </c>
      <c r="V72" s="12">
        <v>0.9960092703172484</v>
      </c>
      <c r="W72" s="13">
        <v>1.0787296675216445</v>
      </c>
      <c r="X72" s="13">
        <v>1.0688452054544086</v>
      </c>
    </row>
    <row r="73" spans="1:24" ht="15.75" thickBot="1" x14ac:dyDescent="0.3">
      <c r="A73" s="33" t="s">
        <v>73</v>
      </c>
      <c r="B73" s="33" t="s">
        <v>135</v>
      </c>
      <c r="C73" s="33" t="s">
        <v>136</v>
      </c>
      <c r="D73" s="33">
        <v>1457000</v>
      </c>
      <c r="E73" s="33">
        <v>2818000</v>
      </c>
      <c r="F73" s="33">
        <v>0.51700000000000002</v>
      </c>
      <c r="G73" s="33">
        <v>61.477838521519438</v>
      </c>
      <c r="H73" s="33">
        <v>120</v>
      </c>
      <c r="I73" s="38">
        <v>4.1186767606274959</v>
      </c>
      <c r="J73" s="35"/>
      <c r="K73" s="33"/>
      <c r="L73" s="33"/>
      <c r="M73" s="33"/>
      <c r="N73" s="33"/>
      <c r="O73" s="33"/>
      <c r="P73" s="33"/>
      <c r="Q73" s="33"/>
      <c r="R73" s="33"/>
      <c r="S73" s="33"/>
      <c r="T73" s="14">
        <v>0</v>
      </c>
      <c r="U73" s="15">
        <v>1</v>
      </c>
      <c r="V73" s="15">
        <v>1</v>
      </c>
      <c r="W73" s="15">
        <v>1</v>
      </c>
      <c r="X73" s="15">
        <v>1</v>
      </c>
    </row>
    <row r="74" spans="1:24" ht="16.5" thickTop="1" thickBot="1" x14ac:dyDescent="0.3">
      <c r="A74" s="34" t="s">
        <v>74</v>
      </c>
      <c r="B74" s="34" t="s">
        <v>135</v>
      </c>
      <c r="C74" s="34" t="s">
        <v>136</v>
      </c>
      <c r="D74" s="34">
        <v>1807000</v>
      </c>
      <c r="E74" s="34">
        <v>2341000</v>
      </c>
      <c r="F74" s="34">
        <v>0.77200000000000002</v>
      </c>
      <c r="G74" s="34">
        <v>81.779162596230819</v>
      </c>
      <c r="H74" s="34">
        <v>60</v>
      </c>
      <c r="I74" s="37">
        <v>4.4040224751705805</v>
      </c>
      <c r="J74" s="36"/>
      <c r="K74" s="34"/>
      <c r="L74" s="34"/>
      <c r="M74" s="34"/>
      <c r="N74" s="34"/>
      <c r="O74" s="34"/>
      <c r="P74" s="34"/>
      <c r="Q74" s="34"/>
      <c r="R74" s="34"/>
      <c r="S74" s="34"/>
    </row>
    <row r="75" spans="1:24" x14ac:dyDescent="0.25">
      <c r="A75" s="33" t="s">
        <v>75</v>
      </c>
      <c r="B75" s="33" t="s">
        <v>135</v>
      </c>
      <c r="C75" s="33" t="s">
        <v>136</v>
      </c>
      <c r="D75" s="33">
        <v>1442000</v>
      </c>
      <c r="E75" s="33">
        <v>2375000</v>
      </c>
      <c r="F75" s="33">
        <v>0.60699999999999998</v>
      </c>
      <c r="G75" s="33">
        <v>66.588724267183792</v>
      </c>
      <c r="H75" s="33">
        <v>60</v>
      </c>
      <c r="I75" s="38">
        <v>4.1985352579150428</v>
      </c>
      <c r="J75" s="35"/>
      <c r="K75" s="33"/>
      <c r="L75" s="33"/>
      <c r="M75" s="33"/>
      <c r="N75" s="33"/>
      <c r="O75" s="33"/>
      <c r="P75" s="33"/>
      <c r="Q75" s="33"/>
      <c r="R75" s="33"/>
      <c r="S75" s="33"/>
      <c r="T75" s="21" t="s">
        <v>158</v>
      </c>
      <c r="U75" s="22">
        <v>-4.4406835124929881E-3</v>
      </c>
    </row>
    <row r="76" spans="1:24" x14ac:dyDescent="0.25">
      <c r="A76" s="34" t="s">
        <v>76</v>
      </c>
      <c r="B76" s="34" t="s">
        <v>135</v>
      </c>
      <c r="C76" s="34" t="s">
        <v>136</v>
      </c>
      <c r="D76" s="34">
        <v>1734000</v>
      </c>
      <c r="E76" s="34">
        <v>2680000</v>
      </c>
      <c r="F76" s="34">
        <v>0.64700000000000002</v>
      </c>
      <c r="G76" s="34">
        <v>77.12746662215217</v>
      </c>
      <c r="H76" s="34">
        <v>60</v>
      </c>
      <c r="I76" s="37">
        <v>4.3454594638490081</v>
      </c>
      <c r="J76" s="36"/>
      <c r="K76" s="34"/>
      <c r="L76" s="34"/>
      <c r="M76" s="34"/>
      <c r="N76" s="34"/>
      <c r="O76" s="34"/>
      <c r="P76" s="34"/>
      <c r="Q76" s="34"/>
      <c r="R76" s="34"/>
      <c r="S76" s="34"/>
      <c r="T76" s="23" t="s">
        <v>159</v>
      </c>
      <c r="U76" s="24">
        <v>4.6489469624214186</v>
      </c>
    </row>
    <row r="77" spans="1:24" ht="17.25" x14ac:dyDescent="0.25">
      <c r="A77" s="33" t="s">
        <v>77</v>
      </c>
      <c r="B77" s="33" t="s">
        <v>135</v>
      </c>
      <c r="C77" s="33" t="s">
        <v>136</v>
      </c>
      <c r="D77" s="33">
        <v>26300</v>
      </c>
      <c r="E77" s="33">
        <v>1887</v>
      </c>
      <c r="F77" s="33">
        <v>13.94</v>
      </c>
      <c r="G77" s="33">
        <v>1488.1800238672322</v>
      </c>
      <c r="H77" s="33">
        <v>30</v>
      </c>
      <c r="I77" s="38" t="s">
        <v>203</v>
      </c>
      <c r="J77" s="35"/>
      <c r="K77" s="33"/>
      <c r="L77" s="33"/>
      <c r="M77" s="33"/>
      <c r="N77" s="33"/>
      <c r="O77" s="33"/>
      <c r="P77" s="33"/>
      <c r="Q77" s="33"/>
      <c r="R77" s="33"/>
      <c r="S77" s="33"/>
      <c r="T77" s="23" t="s">
        <v>160</v>
      </c>
      <c r="U77" s="31">
        <v>0.85189141669620938</v>
      </c>
    </row>
    <row r="78" spans="1:24" ht="18" x14ac:dyDescent="0.35">
      <c r="A78" s="34" t="s">
        <v>78</v>
      </c>
      <c r="B78" s="34" t="s">
        <v>135</v>
      </c>
      <c r="C78" s="34" t="s">
        <v>136</v>
      </c>
      <c r="D78" s="34">
        <v>25650</v>
      </c>
      <c r="E78" s="34" t="s">
        <v>6</v>
      </c>
      <c r="F78" s="34" t="s">
        <v>6</v>
      </c>
      <c r="G78" s="34" t="e">
        <v>#VALUE!</v>
      </c>
      <c r="H78" s="34">
        <v>30</v>
      </c>
      <c r="I78" s="37" t="e">
        <v>#VALUE!</v>
      </c>
      <c r="J78" s="36"/>
      <c r="K78" s="34"/>
      <c r="L78" s="34"/>
      <c r="M78" s="34"/>
      <c r="N78" s="34"/>
      <c r="O78" s="34"/>
      <c r="P78" s="34"/>
      <c r="Q78" s="34"/>
      <c r="R78" s="34"/>
      <c r="S78" s="34"/>
      <c r="T78" s="23" t="s">
        <v>161</v>
      </c>
      <c r="U78" s="32">
        <v>156.09020066616148</v>
      </c>
    </row>
    <row r="79" spans="1:24" ht="18.75" x14ac:dyDescent="0.35">
      <c r="A79" s="33" t="s">
        <v>79</v>
      </c>
      <c r="B79" s="33" t="s">
        <v>135</v>
      </c>
      <c r="C79" s="33" t="s">
        <v>136</v>
      </c>
      <c r="D79" s="33">
        <v>25260</v>
      </c>
      <c r="E79" s="33" t="s">
        <v>6</v>
      </c>
      <c r="F79" s="33" t="s">
        <v>6</v>
      </c>
      <c r="G79" s="33" t="e">
        <v>#VALUE!</v>
      </c>
      <c r="H79" s="33">
        <v>30</v>
      </c>
      <c r="I79" s="38" t="e">
        <v>#VALUE!</v>
      </c>
      <c r="J79" s="35"/>
      <c r="K79" s="33"/>
      <c r="L79" s="33"/>
      <c r="M79" s="33"/>
      <c r="N79" s="33"/>
      <c r="O79" s="33"/>
      <c r="P79" s="33"/>
      <c r="Q79" s="33"/>
      <c r="R79" s="33"/>
      <c r="S79" s="33"/>
      <c r="T79" s="23" t="s">
        <v>162</v>
      </c>
      <c r="U79" s="26">
        <v>8.8813670249859769</v>
      </c>
    </row>
    <row r="80" spans="1:24" ht="15.75" thickBot="1" x14ac:dyDescent="0.3">
      <c r="A80" s="34" t="s">
        <v>80</v>
      </c>
      <c r="B80" s="34" t="s">
        <v>135</v>
      </c>
      <c r="C80" s="34" t="s">
        <v>136</v>
      </c>
      <c r="D80" s="34">
        <v>2857000</v>
      </c>
      <c r="E80" s="34">
        <v>2678000</v>
      </c>
      <c r="F80" s="34">
        <v>1.0660000000000001</v>
      </c>
      <c r="G80" s="34">
        <v>113.17966785243331</v>
      </c>
      <c r="H80" s="34">
        <v>15</v>
      </c>
      <c r="I80" s="37">
        <v>4.728976537025793</v>
      </c>
      <c r="J80" s="36"/>
      <c r="K80" s="34"/>
      <c r="L80" s="34"/>
      <c r="M80" s="34"/>
      <c r="N80" s="34"/>
      <c r="O80" s="34"/>
      <c r="P80" s="34"/>
      <c r="Q80" s="34"/>
      <c r="R80" s="34"/>
      <c r="S80" s="34"/>
      <c r="T80" s="27" t="s">
        <v>146</v>
      </c>
      <c r="U80" s="28" t="s">
        <v>179</v>
      </c>
    </row>
    <row r="81" spans="1:24" x14ac:dyDescent="0.25">
      <c r="A81" s="33" t="s">
        <v>81</v>
      </c>
      <c r="B81" s="33" t="s">
        <v>135</v>
      </c>
      <c r="C81" s="33" t="s">
        <v>136</v>
      </c>
      <c r="D81" s="33">
        <v>2270000</v>
      </c>
      <c r="E81" s="33">
        <v>2509000</v>
      </c>
      <c r="F81" s="33">
        <v>0.90480000000000005</v>
      </c>
      <c r="G81" s="33">
        <v>99.600927031724837</v>
      </c>
      <c r="H81" s="33">
        <v>15</v>
      </c>
      <c r="I81" s="38">
        <v>4.6011714720946761</v>
      </c>
      <c r="J81" s="35"/>
      <c r="K81" s="33"/>
      <c r="L81" s="33"/>
      <c r="M81" s="33"/>
      <c r="N81" s="33"/>
      <c r="O81" s="33"/>
      <c r="P81" s="33"/>
      <c r="Q81" s="33"/>
      <c r="R81" s="33"/>
      <c r="S81" s="33"/>
    </row>
    <row r="82" spans="1:24" x14ac:dyDescent="0.25">
      <c r="A82" s="34" t="s">
        <v>82</v>
      </c>
      <c r="B82" s="34" t="s">
        <v>135</v>
      </c>
      <c r="C82" s="34" t="s">
        <v>136</v>
      </c>
      <c r="D82" s="34">
        <v>2398000</v>
      </c>
      <c r="E82" s="34">
        <v>2658000</v>
      </c>
      <c r="F82" s="34">
        <v>0.90239999999999998</v>
      </c>
      <c r="G82" s="34">
        <v>107.87296675216444</v>
      </c>
      <c r="H82" s="34">
        <v>15</v>
      </c>
      <c r="I82" s="37">
        <v>4.6809543010420871</v>
      </c>
      <c r="J82" s="36"/>
      <c r="K82" s="34"/>
      <c r="L82" s="34"/>
      <c r="M82" s="34"/>
      <c r="N82" s="34"/>
      <c r="O82" s="34"/>
      <c r="P82" s="34"/>
      <c r="Q82" s="34"/>
      <c r="R82" s="34"/>
      <c r="S82" s="34"/>
    </row>
    <row r="83" spans="1:24" x14ac:dyDescent="0.25">
      <c r="A83" s="33" t="s">
        <v>83</v>
      </c>
      <c r="B83" s="33" t="s">
        <v>135</v>
      </c>
      <c r="C83" s="33" t="s">
        <v>136</v>
      </c>
      <c r="D83" s="33">
        <v>815600</v>
      </c>
      <c r="E83" s="33">
        <v>865300</v>
      </c>
      <c r="F83" s="33">
        <v>0.94259999999999999</v>
      </c>
      <c r="G83" s="33">
        <v>100</v>
      </c>
      <c r="H83" s="33">
        <v>0</v>
      </c>
      <c r="I83" s="38">
        <v>4.6051701859880918</v>
      </c>
      <c r="J83" s="35"/>
      <c r="K83" s="33"/>
      <c r="L83" s="33"/>
      <c r="M83" s="33"/>
      <c r="N83" s="33"/>
      <c r="O83" s="33"/>
      <c r="P83" s="33"/>
      <c r="Q83" s="33"/>
      <c r="R83" s="33"/>
      <c r="S83" s="33"/>
    </row>
    <row r="84" spans="1:24" x14ac:dyDescent="0.25">
      <c r="A84" s="34" t="s">
        <v>84</v>
      </c>
      <c r="B84" s="34" t="s">
        <v>135</v>
      </c>
      <c r="C84" s="34" t="s">
        <v>136</v>
      </c>
      <c r="D84" s="34">
        <v>1075000</v>
      </c>
      <c r="E84" s="34">
        <v>1183000</v>
      </c>
      <c r="F84" s="34">
        <v>0.90839999999999999</v>
      </c>
      <c r="G84" s="34">
        <v>100</v>
      </c>
      <c r="H84" s="34">
        <v>0</v>
      </c>
      <c r="I84" s="37">
        <v>4.6051701859880918</v>
      </c>
      <c r="J84" s="36"/>
      <c r="K84" s="34"/>
      <c r="L84" s="34"/>
      <c r="M84" s="34"/>
      <c r="N84" s="34"/>
      <c r="O84" s="34"/>
      <c r="P84" s="34"/>
      <c r="Q84" s="34"/>
      <c r="R84" s="34"/>
      <c r="S84" s="34"/>
    </row>
    <row r="85" spans="1:24" x14ac:dyDescent="0.25">
      <c r="A85" s="33" t="s">
        <v>85</v>
      </c>
      <c r="B85" s="33" t="s">
        <v>135</v>
      </c>
      <c r="C85" s="33" t="s">
        <v>136</v>
      </c>
      <c r="D85" s="33">
        <v>1272000</v>
      </c>
      <c r="E85" s="33">
        <v>1520000</v>
      </c>
      <c r="F85" s="33">
        <v>0.83699999999999997</v>
      </c>
      <c r="G85" s="33">
        <v>100</v>
      </c>
      <c r="H85" s="33">
        <v>0</v>
      </c>
      <c r="I85" s="38">
        <v>4.6051701859880918</v>
      </c>
      <c r="J85" s="35"/>
      <c r="K85" s="33"/>
      <c r="L85" s="33"/>
      <c r="M85" s="33"/>
      <c r="N85" s="33"/>
      <c r="O85" s="33"/>
      <c r="P85" s="33"/>
      <c r="Q85" s="33"/>
      <c r="R85" s="33"/>
      <c r="S85" s="33"/>
    </row>
    <row r="86" spans="1:24" x14ac:dyDescent="0.25">
      <c r="A86" s="91" t="s">
        <v>278</v>
      </c>
      <c r="B86" s="34" t="s">
        <v>135</v>
      </c>
      <c r="C86" s="34" t="s">
        <v>136</v>
      </c>
      <c r="D86" s="34">
        <v>2150606.3760000002</v>
      </c>
      <c r="E86" s="34">
        <v>2507889</v>
      </c>
      <c r="F86" s="34">
        <v>8.5753999999999997E-2</v>
      </c>
      <c r="G86" s="34"/>
      <c r="H86" s="34"/>
      <c r="I86" s="34"/>
      <c r="J86" s="36"/>
      <c r="K86" s="34"/>
      <c r="L86" s="34"/>
      <c r="M86" s="34"/>
      <c r="N86" s="34"/>
      <c r="O86" s="34"/>
      <c r="P86" s="34"/>
      <c r="Q86" s="34"/>
      <c r="R86" s="34"/>
      <c r="S86" s="34"/>
    </row>
    <row r="87" spans="1:24" x14ac:dyDescent="0.25">
      <c r="A87" s="90" t="s">
        <v>279</v>
      </c>
      <c r="B87" s="87" t="s">
        <v>135</v>
      </c>
      <c r="C87" s="87" t="s">
        <v>136</v>
      </c>
      <c r="D87" s="87">
        <v>588205.71229000005</v>
      </c>
      <c r="E87" s="87">
        <v>736057.78</v>
      </c>
      <c r="F87" s="87">
        <v>0.79913000000000001</v>
      </c>
      <c r="G87" s="87"/>
      <c r="H87" s="87"/>
      <c r="I87" s="87"/>
      <c r="J87" s="89"/>
      <c r="K87" s="87"/>
      <c r="L87" s="87"/>
      <c r="M87" s="87"/>
      <c r="N87" s="87"/>
      <c r="O87" s="87"/>
      <c r="P87" s="87"/>
      <c r="Q87" s="87"/>
      <c r="R87" s="87"/>
      <c r="S87" s="87"/>
    </row>
    <row r="88" spans="1:24" x14ac:dyDescent="0.25">
      <c r="A88" s="91" t="s">
        <v>280</v>
      </c>
      <c r="B88" s="34" t="s">
        <v>135</v>
      </c>
      <c r="C88" s="34" t="s">
        <v>136</v>
      </c>
      <c r="D88" s="34">
        <v>1341457.446</v>
      </c>
      <c r="E88" s="34">
        <v>1915255.1</v>
      </c>
      <c r="F88" s="34">
        <v>0.70040999999999998</v>
      </c>
      <c r="G88" s="34">
        <f>AVERAGE(F86:F88)/AVERAGE(F83:F85)*100</f>
        <v>58.976711309523822</v>
      </c>
      <c r="H88" s="34"/>
      <c r="I88" s="34"/>
      <c r="J88" s="36"/>
      <c r="K88" s="34"/>
      <c r="L88" s="34"/>
      <c r="M88" s="34"/>
      <c r="N88" s="34"/>
      <c r="O88" s="34"/>
      <c r="P88" s="34"/>
      <c r="Q88" s="34"/>
      <c r="R88" s="34"/>
      <c r="S88" s="34"/>
    </row>
    <row r="89" spans="1:24" ht="15.75" thickBot="1" x14ac:dyDescent="0.3">
      <c r="A89" s="87"/>
      <c r="B89" s="87"/>
      <c r="C89" s="87"/>
      <c r="D89" s="87"/>
      <c r="E89" s="87"/>
      <c r="F89" s="87"/>
      <c r="G89" s="87"/>
      <c r="H89" s="87"/>
      <c r="I89" s="87"/>
      <c r="J89" s="89"/>
      <c r="K89" s="87"/>
      <c r="L89" s="87"/>
      <c r="M89" s="87"/>
      <c r="N89" s="87"/>
      <c r="O89" s="87"/>
      <c r="P89" s="87"/>
      <c r="Q89" s="87"/>
      <c r="R89" s="87"/>
      <c r="S89" s="87"/>
    </row>
    <row r="90" spans="1:24" ht="16.5" thickTop="1" thickBot="1" x14ac:dyDescent="0.3">
      <c r="A90" s="33" t="s">
        <v>8</v>
      </c>
      <c r="B90" s="33" t="s">
        <v>140</v>
      </c>
      <c r="C90" s="33" t="s">
        <v>139</v>
      </c>
      <c r="D90" s="33">
        <v>168</v>
      </c>
      <c r="E90" s="33">
        <v>2892000</v>
      </c>
      <c r="F90" s="33">
        <v>5.8090000000000001E-5</v>
      </c>
      <c r="G90" s="33"/>
      <c r="H90" s="33"/>
      <c r="I90" s="33"/>
      <c r="J90" s="35"/>
      <c r="K90" s="33"/>
      <c r="L90" s="33"/>
      <c r="M90" s="33"/>
      <c r="N90" s="33"/>
      <c r="O90" s="33"/>
      <c r="P90" s="33"/>
      <c r="Q90" s="33"/>
      <c r="R90" s="33" t="s">
        <v>169</v>
      </c>
      <c r="S90" s="33"/>
      <c r="T90" s="10" t="s">
        <v>152</v>
      </c>
      <c r="U90" s="10" t="s">
        <v>154</v>
      </c>
      <c r="V90" s="10" t="s">
        <v>155</v>
      </c>
      <c r="W90" s="10" t="s">
        <v>156</v>
      </c>
      <c r="X90" s="10" t="s">
        <v>157</v>
      </c>
    </row>
    <row r="91" spans="1:24" ht="15.75" thickTop="1" x14ac:dyDescent="0.25">
      <c r="A91" s="34" t="s">
        <v>9</v>
      </c>
      <c r="B91" s="34" t="s">
        <v>140</v>
      </c>
      <c r="C91" s="34" t="s">
        <v>139</v>
      </c>
      <c r="D91" s="34">
        <v>547.9</v>
      </c>
      <c r="E91" s="34">
        <v>3436000</v>
      </c>
      <c r="F91" s="34">
        <v>1.595E-4</v>
      </c>
      <c r="G91" s="34"/>
      <c r="H91" s="34"/>
      <c r="I91" s="34"/>
      <c r="J91" s="36"/>
      <c r="K91" s="34"/>
      <c r="L91" s="34"/>
      <c r="M91" s="34"/>
      <c r="N91" s="34"/>
      <c r="O91" s="34"/>
      <c r="P91" s="34"/>
      <c r="Q91" s="34"/>
      <c r="R91" s="34" t="s">
        <v>152</v>
      </c>
      <c r="S91" s="34"/>
      <c r="T91" s="11">
        <v>120</v>
      </c>
      <c r="U91" s="16" t="s">
        <v>204</v>
      </c>
      <c r="V91" s="16" t="s">
        <v>205</v>
      </c>
      <c r="W91" s="16" t="s">
        <v>206</v>
      </c>
      <c r="X91" s="16" t="s">
        <v>185</v>
      </c>
    </row>
    <row r="92" spans="1:24" x14ac:dyDescent="0.25">
      <c r="A92" s="33" t="s">
        <v>10</v>
      </c>
      <c r="B92" s="33" t="s">
        <v>140</v>
      </c>
      <c r="C92" s="33" t="s">
        <v>139</v>
      </c>
      <c r="D92" s="33">
        <v>375.3</v>
      </c>
      <c r="E92" s="33">
        <v>3942000</v>
      </c>
      <c r="F92" s="33">
        <v>9.5199999999999997E-5</v>
      </c>
      <c r="G92" s="33"/>
      <c r="H92" s="33"/>
      <c r="I92" s="33"/>
      <c r="J92" s="35"/>
      <c r="K92" s="33"/>
      <c r="L92" s="33"/>
      <c r="M92" s="33"/>
      <c r="N92" s="33"/>
      <c r="O92" s="33"/>
      <c r="P92" s="33"/>
      <c r="Q92" s="33"/>
      <c r="R92" s="33" t="s">
        <v>153</v>
      </c>
      <c r="S92" s="33"/>
      <c r="T92" s="11">
        <v>60</v>
      </c>
      <c r="U92" s="12" t="s">
        <v>207</v>
      </c>
      <c r="V92" s="12" t="s">
        <v>208</v>
      </c>
      <c r="W92" s="12" t="s">
        <v>209</v>
      </c>
      <c r="X92" s="12" t="s">
        <v>185</v>
      </c>
    </row>
    <row r="93" spans="1:24" x14ac:dyDescent="0.25">
      <c r="A93" s="34" t="s">
        <v>116</v>
      </c>
      <c r="B93" s="34" t="s">
        <v>140</v>
      </c>
      <c r="C93" s="34" t="s">
        <v>139</v>
      </c>
      <c r="D93" s="34">
        <v>56030</v>
      </c>
      <c r="E93" s="34">
        <v>1948000</v>
      </c>
      <c r="F93" s="34">
        <v>2.8760000000000001E-2</v>
      </c>
      <c r="G93" s="34">
        <v>3.2979488168049134</v>
      </c>
      <c r="H93" s="34">
        <v>120</v>
      </c>
      <c r="I93" s="37" t="s">
        <v>210</v>
      </c>
      <c r="J93" s="36"/>
      <c r="K93" s="34"/>
      <c r="L93" s="34"/>
      <c r="M93" s="34"/>
      <c r="N93" s="34"/>
      <c r="O93" s="34"/>
      <c r="P93" s="34"/>
      <c r="Q93" s="34"/>
      <c r="R93" s="34"/>
      <c r="S93" s="34"/>
      <c r="T93" s="11">
        <v>30</v>
      </c>
      <c r="U93" s="12" t="s">
        <v>211</v>
      </c>
      <c r="V93" s="13" t="s">
        <v>212</v>
      </c>
      <c r="W93" s="13" t="s">
        <v>213</v>
      </c>
      <c r="X93" s="13" t="s">
        <v>185</v>
      </c>
    </row>
    <row r="94" spans="1:24" x14ac:dyDescent="0.25">
      <c r="A94" s="33" t="s">
        <v>117</v>
      </c>
      <c r="B94" s="33" t="s">
        <v>140</v>
      </c>
      <c r="C94" s="33" t="s">
        <v>139</v>
      </c>
      <c r="D94" s="33">
        <v>63590</v>
      </c>
      <c r="E94" s="33">
        <v>2130000</v>
      </c>
      <c r="F94" s="33">
        <v>2.9860000000000001E-2</v>
      </c>
      <c r="G94" s="33">
        <v>3.0132521652304449</v>
      </c>
      <c r="H94" s="33">
        <v>120</v>
      </c>
      <c r="I94" s="38" t="s">
        <v>214</v>
      </c>
      <c r="J94" s="35"/>
      <c r="K94" s="33"/>
      <c r="L94" s="33"/>
      <c r="M94" s="33"/>
      <c r="N94" s="33"/>
      <c r="O94" s="33"/>
      <c r="P94" s="33"/>
      <c r="Q94" s="33"/>
      <c r="R94" s="33"/>
      <c r="S94" s="33"/>
      <c r="T94" s="11">
        <v>15</v>
      </c>
      <c r="U94" s="12">
        <v>0.27390597815531542</v>
      </c>
      <c r="V94" s="12">
        <v>0.26804747285305575</v>
      </c>
      <c r="W94" s="12">
        <v>0.15562418570153819</v>
      </c>
      <c r="X94" s="12">
        <v>0.23252587890330312</v>
      </c>
    </row>
    <row r="95" spans="1:24" ht="15.75" thickBot="1" x14ac:dyDescent="0.3">
      <c r="A95" s="34" t="s">
        <v>118</v>
      </c>
      <c r="B95" s="34" t="s">
        <v>140</v>
      </c>
      <c r="C95" s="34" t="s">
        <v>139</v>
      </c>
      <c r="D95" s="34">
        <v>51360</v>
      </c>
      <c r="E95" s="34">
        <v>2375000</v>
      </c>
      <c r="F95" s="34">
        <v>2.163E-2</v>
      </c>
      <c r="G95" s="34">
        <v>3.2619905646609699</v>
      </c>
      <c r="H95" s="34">
        <v>120</v>
      </c>
      <c r="I95" s="37" t="s">
        <v>215</v>
      </c>
      <c r="J95" s="36"/>
      <c r="K95" s="34"/>
      <c r="L95" s="34"/>
      <c r="M95" s="34"/>
      <c r="N95" s="34"/>
      <c r="O95" s="34"/>
      <c r="P95" s="34"/>
      <c r="Q95" s="34"/>
      <c r="R95" s="34"/>
      <c r="S95" s="34"/>
      <c r="T95" s="14">
        <v>0</v>
      </c>
      <c r="U95" s="15">
        <v>1</v>
      </c>
      <c r="V95" s="15">
        <v>1</v>
      </c>
      <c r="W95" s="15">
        <v>1</v>
      </c>
      <c r="X95" s="15">
        <v>1</v>
      </c>
    </row>
    <row r="96" spans="1:24" ht="16.5" thickTop="1" thickBot="1" x14ac:dyDescent="0.3">
      <c r="A96" s="33" t="s">
        <v>119</v>
      </c>
      <c r="B96" s="33" t="s">
        <v>140</v>
      </c>
      <c r="C96" s="33" t="s">
        <v>139</v>
      </c>
      <c r="D96" s="33">
        <v>258600</v>
      </c>
      <c r="E96" s="33">
        <v>2237000</v>
      </c>
      <c r="F96" s="33">
        <v>0.11559999999999999</v>
      </c>
      <c r="G96" s="33">
        <v>13.292243452562152</v>
      </c>
      <c r="H96" s="33">
        <v>60</v>
      </c>
      <c r="I96" s="38" t="s">
        <v>216</v>
      </c>
      <c r="J96" s="35"/>
      <c r="K96" s="33"/>
      <c r="L96" s="33"/>
      <c r="M96" s="33"/>
      <c r="N96" s="33"/>
      <c r="O96" s="33"/>
      <c r="P96" s="33"/>
      <c r="Q96" s="33"/>
      <c r="R96" s="33"/>
      <c r="S96" s="33"/>
    </row>
    <row r="97" spans="1:24" x14ac:dyDescent="0.25">
      <c r="A97" s="34" t="s">
        <v>120</v>
      </c>
      <c r="B97" s="34" t="s">
        <v>140</v>
      </c>
      <c r="C97" s="34" t="s">
        <v>139</v>
      </c>
      <c r="D97" s="34">
        <v>225900</v>
      </c>
      <c r="E97" s="34">
        <v>2123000</v>
      </c>
      <c r="F97" s="34">
        <v>0.10639999999999999</v>
      </c>
      <c r="G97" s="34">
        <v>10.764171704221468</v>
      </c>
      <c r="H97" s="34">
        <v>60</v>
      </c>
      <c r="I97" s="37" t="s">
        <v>217</v>
      </c>
      <c r="J97" s="36"/>
      <c r="K97" s="34"/>
      <c r="L97" s="34"/>
      <c r="M97" s="34"/>
      <c r="N97" s="34"/>
      <c r="O97" s="34"/>
      <c r="P97" s="34"/>
      <c r="Q97" s="34"/>
      <c r="R97" s="34"/>
      <c r="S97" s="34"/>
      <c r="T97" s="21" t="s">
        <v>158</v>
      </c>
      <c r="U97" s="29">
        <v>-9.9374951061425118E-2</v>
      </c>
    </row>
    <row r="98" spans="1:24" x14ac:dyDescent="0.25">
      <c r="A98" s="33" t="s">
        <v>121</v>
      </c>
      <c r="B98" s="33" t="s">
        <v>140</v>
      </c>
      <c r="C98" s="33" t="s">
        <v>139</v>
      </c>
      <c r="D98" s="33">
        <v>175500</v>
      </c>
      <c r="E98" s="33">
        <v>2252000</v>
      </c>
      <c r="F98" s="33">
        <v>7.7950000000000005E-2</v>
      </c>
      <c r="G98" s="33">
        <v>11.796672162164448</v>
      </c>
      <c r="H98" s="33">
        <v>60</v>
      </c>
      <c r="I98" s="38" t="s">
        <v>218</v>
      </c>
      <c r="J98" s="35"/>
      <c r="K98" s="33"/>
      <c r="L98" s="33"/>
      <c r="M98" s="33"/>
      <c r="N98" s="33"/>
      <c r="O98" s="33"/>
      <c r="P98" s="33"/>
      <c r="Q98" s="33"/>
      <c r="R98" s="33"/>
      <c r="S98" s="33"/>
      <c r="T98" s="23" t="s">
        <v>159</v>
      </c>
      <c r="U98" s="24">
        <v>4.6051701859880918</v>
      </c>
    </row>
    <row r="99" spans="1:24" ht="17.25" x14ac:dyDescent="0.25">
      <c r="A99" s="34" t="s">
        <v>122</v>
      </c>
      <c r="B99" s="34" t="s">
        <v>140</v>
      </c>
      <c r="C99" s="34" t="s">
        <v>139</v>
      </c>
      <c r="D99" s="34">
        <v>253.4</v>
      </c>
      <c r="E99" s="34">
        <v>536.70000000000005</v>
      </c>
      <c r="F99" s="34">
        <v>0.47220000000000001</v>
      </c>
      <c r="G99" s="34">
        <v>54.332840724683649</v>
      </c>
      <c r="H99" s="34">
        <v>30</v>
      </c>
      <c r="I99" s="37" t="s">
        <v>219</v>
      </c>
      <c r="J99" s="36"/>
      <c r="K99" s="34"/>
      <c r="L99" s="34"/>
      <c r="M99" s="34"/>
      <c r="N99" s="34"/>
      <c r="O99" s="34"/>
      <c r="P99" s="34"/>
      <c r="Q99" s="34"/>
      <c r="R99" s="34"/>
      <c r="S99" s="34"/>
      <c r="T99" s="23" t="s">
        <v>160</v>
      </c>
      <c r="U99" s="31">
        <v>0.94199374571010641</v>
      </c>
    </row>
    <row r="100" spans="1:24" ht="18" x14ac:dyDescent="0.35">
      <c r="A100" s="33" t="s">
        <v>123</v>
      </c>
      <c r="B100" s="33" t="s">
        <v>140</v>
      </c>
      <c r="C100" s="33" t="s">
        <v>139</v>
      </c>
      <c r="D100" s="33">
        <v>1126</v>
      </c>
      <c r="E100" s="33">
        <v>542.4</v>
      </c>
      <c r="F100" s="33">
        <v>2.0760000000000001</v>
      </c>
      <c r="G100" s="33">
        <v>210.21819736396435</v>
      </c>
      <c r="H100" s="33">
        <v>30</v>
      </c>
      <c r="I100" s="38" t="s">
        <v>220</v>
      </c>
      <c r="J100" s="35"/>
      <c r="K100" s="33"/>
      <c r="L100" s="33"/>
      <c r="M100" s="33"/>
      <c r="N100" s="33"/>
      <c r="O100" s="33"/>
      <c r="P100" s="33"/>
      <c r="Q100" s="33"/>
      <c r="R100" s="33"/>
      <c r="S100" s="33"/>
      <c r="T100" s="23" t="s">
        <v>161</v>
      </c>
      <c r="U100" s="26">
        <v>6.975069402866934</v>
      </c>
    </row>
    <row r="101" spans="1:24" ht="18.75" x14ac:dyDescent="0.35">
      <c r="A101" s="34" t="s">
        <v>124</v>
      </c>
      <c r="B101" s="34" t="s">
        <v>140</v>
      </c>
      <c r="C101" s="34" t="s">
        <v>139</v>
      </c>
      <c r="D101" s="34">
        <v>999.9</v>
      </c>
      <c r="E101" s="34">
        <v>686</v>
      </c>
      <c r="F101" s="34">
        <v>1.458</v>
      </c>
      <c r="G101" s="34">
        <v>220.9281945100812</v>
      </c>
      <c r="H101" s="34">
        <v>30</v>
      </c>
      <c r="I101" s="37" t="s">
        <v>221</v>
      </c>
      <c r="J101" s="36"/>
      <c r="K101" s="34"/>
      <c r="L101" s="34"/>
      <c r="M101" s="34"/>
      <c r="N101" s="34"/>
      <c r="O101" s="34"/>
      <c r="P101" s="34"/>
      <c r="Q101" s="34"/>
      <c r="R101" s="34"/>
      <c r="S101" s="34"/>
      <c r="T101" s="23" t="s">
        <v>162</v>
      </c>
      <c r="U101" s="26">
        <v>198.74990212285024</v>
      </c>
    </row>
    <row r="102" spans="1:24" ht="15.75" thickBot="1" x14ac:dyDescent="0.3">
      <c r="A102" s="33" t="s">
        <v>125</v>
      </c>
      <c r="B102" s="33" t="s">
        <v>140</v>
      </c>
      <c r="C102" s="33" t="s">
        <v>139</v>
      </c>
      <c r="D102" s="33">
        <v>593700</v>
      </c>
      <c r="E102" s="33">
        <v>2493000</v>
      </c>
      <c r="F102" s="33">
        <v>0.23810000000000001</v>
      </c>
      <c r="G102" s="33">
        <v>27.390597815531542</v>
      </c>
      <c r="H102" s="33">
        <v>15</v>
      </c>
      <c r="I102" s="38">
        <v>3.3101998090876066</v>
      </c>
      <c r="J102" s="35"/>
      <c r="K102" s="33"/>
      <c r="L102" s="33"/>
      <c r="M102" s="33"/>
      <c r="N102" s="33"/>
      <c r="O102" s="33"/>
      <c r="P102" s="33"/>
      <c r="Q102" s="33"/>
      <c r="R102" s="33"/>
      <c r="S102" s="33"/>
      <c r="T102" s="27" t="s">
        <v>146</v>
      </c>
      <c r="U102" s="28" t="s">
        <v>182</v>
      </c>
    </row>
    <row r="103" spans="1:24" x14ac:dyDescent="0.25">
      <c r="A103" s="34" t="s">
        <v>126</v>
      </c>
      <c r="B103" s="34" t="s">
        <v>140</v>
      </c>
      <c r="C103" s="34" t="s">
        <v>139</v>
      </c>
      <c r="D103" s="34">
        <v>695500</v>
      </c>
      <c r="E103" s="34">
        <v>2627000</v>
      </c>
      <c r="F103" s="34">
        <v>0.26479999999999998</v>
      </c>
      <c r="G103" s="34">
        <v>26.804747285305574</v>
      </c>
      <c r="H103" s="34">
        <v>15</v>
      </c>
      <c r="I103" s="37">
        <v>3.2885790093412166</v>
      </c>
      <c r="J103" s="36"/>
      <c r="K103" s="34"/>
      <c r="L103" s="34"/>
      <c r="M103" s="34"/>
      <c r="N103" s="34"/>
      <c r="O103" s="34"/>
      <c r="P103" s="34"/>
      <c r="Q103" s="34"/>
      <c r="R103" s="34"/>
      <c r="S103" s="34"/>
    </row>
    <row r="104" spans="1:24" x14ac:dyDescent="0.25">
      <c r="A104" s="33" t="s">
        <v>127</v>
      </c>
      <c r="B104" s="33" t="s">
        <v>140</v>
      </c>
      <c r="C104" s="33" t="s">
        <v>139</v>
      </c>
      <c r="D104" s="33">
        <v>249200</v>
      </c>
      <c r="E104" s="33">
        <v>2423000</v>
      </c>
      <c r="F104" s="33">
        <v>0.1028</v>
      </c>
      <c r="G104" s="33">
        <v>15.562418570153818</v>
      </c>
      <c r="H104" s="33">
        <v>15</v>
      </c>
      <c r="I104" s="38">
        <v>2.7448589417713221</v>
      </c>
      <c r="J104" s="35"/>
      <c r="K104" s="33"/>
      <c r="L104" s="33"/>
      <c r="M104" s="33"/>
      <c r="N104" s="33"/>
      <c r="O104" s="33"/>
      <c r="P104" s="33"/>
      <c r="Q104" s="33"/>
      <c r="R104" s="33"/>
      <c r="S104" s="33"/>
    </row>
    <row r="105" spans="1:24" x14ac:dyDescent="0.25">
      <c r="A105" s="34" t="s">
        <v>128</v>
      </c>
      <c r="B105" s="34" t="s">
        <v>140</v>
      </c>
      <c r="C105" s="34" t="s">
        <v>139</v>
      </c>
      <c r="D105" s="34">
        <v>1998000</v>
      </c>
      <c r="E105" s="34">
        <v>2299000</v>
      </c>
      <c r="F105" s="34">
        <v>0.86899999999999999</v>
      </c>
      <c r="G105" s="34">
        <v>100</v>
      </c>
      <c r="H105" s="34">
        <v>0</v>
      </c>
      <c r="I105" s="37">
        <v>4.6051701859880918</v>
      </c>
      <c r="J105" s="36"/>
      <c r="K105" s="34"/>
      <c r="L105" s="34"/>
      <c r="M105" s="34"/>
      <c r="N105" s="34"/>
      <c r="O105" s="34"/>
      <c r="P105" s="34"/>
      <c r="Q105" s="34"/>
      <c r="R105" s="34"/>
      <c r="S105" s="34"/>
    </row>
    <row r="106" spans="1:24" x14ac:dyDescent="0.25">
      <c r="A106" s="33" t="s">
        <v>129</v>
      </c>
      <c r="B106" s="33" t="s">
        <v>140</v>
      </c>
      <c r="C106" s="33" t="s">
        <v>139</v>
      </c>
      <c r="D106" s="33">
        <v>2096000</v>
      </c>
      <c r="E106" s="33">
        <v>2122000</v>
      </c>
      <c r="F106" s="33">
        <v>0.98760000000000003</v>
      </c>
      <c r="G106" s="33">
        <v>100</v>
      </c>
      <c r="H106" s="33">
        <v>0</v>
      </c>
      <c r="I106" s="38">
        <v>4.6051701859880918</v>
      </c>
      <c r="J106" s="35"/>
      <c r="K106" s="33"/>
      <c r="L106" s="33"/>
      <c r="M106" s="33"/>
      <c r="N106" s="33"/>
      <c r="O106" s="33"/>
      <c r="P106" s="33"/>
      <c r="Q106" s="33"/>
      <c r="R106" s="33"/>
      <c r="S106" s="33"/>
    </row>
    <row r="107" spans="1:24" x14ac:dyDescent="0.25">
      <c r="A107" s="34" t="s">
        <v>130</v>
      </c>
      <c r="B107" s="34" t="s">
        <v>140</v>
      </c>
      <c r="C107" s="34" t="s">
        <v>139</v>
      </c>
      <c r="D107" s="34">
        <v>1643000</v>
      </c>
      <c r="E107" s="34">
        <v>2489000</v>
      </c>
      <c r="F107" s="34">
        <v>0.66</v>
      </c>
      <c r="G107" s="34">
        <v>100</v>
      </c>
      <c r="H107" s="34">
        <v>0</v>
      </c>
      <c r="I107" s="37">
        <v>4.6051701859880918</v>
      </c>
      <c r="J107" s="36"/>
      <c r="K107" s="34"/>
      <c r="L107" s="34"/>
      <c r="M107" s="34"/>
      <c r="N107" s="34"/>
      <c r="O107" s="34"/>
      <c r="P107" s="34"/>
      <c r="Q107" s="34"/>
      <c r="R107" s="34"/>
      <c r="S107" s="34"/>
    </row>
    <row r="108" spans="1:24" x14ac:dyDescent="0.25">
      <c r="A108" s="91" t="s">
        <v>281</v>
      </c>
      <c r="B108" s="34" t="s">
        <v>140</v>
      </c>
      <c r="C108" s="34" t="s">
        <v>139</v>
      </c>
      <c r="D108" s="34">
        <v>248584.99765</v>
      </c>
      <c r="E108" s="34">
        <v>3160700.4517899998</v>
      </c>
      <c r="F108" s="34">
        <v>7.8649999999999998E-2</v>
      </c>
      <c r="G108" s="33"/>
      <c r="H108" s="33"/>
      <c r="I108" s="33"/>
      <c r="J108" s="35"/>
      <c r="K108" s="33"/>
      <c r="L108" s="33"/>
      <c r="M108" s="33"/>
      <c r="N108" s="33"/>
      <c r="O108" s="33"/>
      <c r="P108" s="33"/>
      <c r="Q108" s="33"/>
      <c r="R108" s="33"/>
      <c r="S108" s="33"/>
    </row>
    <row r="109" spans="1:24" x14ac:dyDescent="0.25">
      <c r="A109" s="94" t="s">
        <v>282</v>
      </c>
      <c r="B109" s="33" t="s">
        <v>140</v>
      </c>
      <c r="C109" s="33" t="s">
        <v>139</v>
      </c>
      <c r="D109" s="33">
        <v>225963.02613000001</v>
      </c>
      <c r="E109" s="33">
        <v>3559666.44515</v>
      </c>
      <c r="F109" s="33">
        <v>6.3479999999999995E-2</v>
      </c>
      <c r="G109" s="33"/>
      <c r="H109" s="33"/>
      <c r="I109" s="33"/>
      <c r="J109" s="35"/>
      <c r="K109" s="33"/>
      <c r="L109" s="33"/>
      <c r="M109" s="33"/>
      <c r="N109" s="33"/>
      <c r="O109" s="33"/>
      <c r="P109" s="33"/>
      <c r="Q109" s="33"/>
      <c r="R109" s="33"/>
      <c r="S109" s="33"/>
    </row>
    <row r="110" spans="1:24" x14ac:dyDescent="0.25">
      <c r="A110" s="91" t="s">
        <v>283</v>
      </c>
      <c r="B110" s="34" t="s">
        <v>140</v>
      </c>
      <c r="C110" s="34" t="s">
        <v>139</v>
      </c>
      <c r="D110" s="34">
        <v>126909.34232</v>
      </c>
      <c r="E110" s="34">
        <v>4864621.8989700004</v>
      </c>
      <c r="F110" s="34">
        <v>2.6089999999999999E-2</v>
      </c>
      <c r="G110" s="33">
        <f>AVERAGE(F108:F110)/AVERAGE(F105:F107)*100</f>
        <v>6.6844154812048</v>
      </c>
      <c r="H110" s="33"/>
      <c r="I110" s="33"/>
      <c r="J110" s="35"/>
      <c r="K110" s="33"/>
      <c r="L110" s="33"/>
      <c r="M110" s="33"/>
      <c r="N110" s="33"/>
      <c r="O110" s="33"/>
      <c r="P110" s="33"/>
      <c r="Q110" s="33"/>
      <c r="R110" s="33"/>
      <c r="S110" s="33"/>
    </row>
    <row r="111" spans="1:24" ht="15.75" thickBot="1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5"/>
      <c r="K111" s="33"/>
      <c r="L111" s="33"/>
      <c r="M111" s="33"/>
      <c r="N111" s="33"/>
      <c r="O111" s="33"/>
      <c r="P111" s="33"/>
      <c r="Q111" s="33"/>
      <c r="R111" s="33"/>
      <c r="S111" s="33"/>
    </row>
    <row r="112" spans="1:24" ht="16.5" thickTop="1" thickBot="1" x14ac:dyDescent="0.3">
      <c r="A112" s="34" t="s">
        <v>8</v>
      </c>
      <c r="B112" s="34" t="s">
        <v>138</v>
      </c>
      <c r="C112" s="34" t="s">
        <v>139</v>
      </c>
      <c r="D112" s="34">
        <v>168</v>
      </c>
      <c r="E112" s="34">
        <v>2892000</v>
      </c>
      <c r="F112" s="34">
        <v>5.8090000000000001E-5</v>
      </c>
      <c r="G112" s="34"/>
      <c r="H112" s="34"/>
      <c r="I112" s="34"/>
      <c r="J112" s="36"/>
      <c r="K112" s="34"/>
      <c r="L112" s="34"/>
      <c r="M112" s="34"/>
      <c r="N112" s="34"/>
      <c r="O112" s="34"/>
      <c r="P112" s="34"/>
      <c r="Q112" s="34"/>
      <c r="R112" s="34" t="s">
        <v>170</v>
      </c>
      <c r="S112" s="34"/>
      <c r="T112" s="10" t="s">
        <v>152</v>
      </c>
      <c r="U112" s="10" t="s">
        <v>154</v>
      </c>
      <c r="V112" s="10" t="s">
        <v>155</v>
      </c>
      <c r="W112" s="10" t="s">
        <v>156</v>
      </c>
      <c r="X112" s="10" t="s">
        <v>157</v>
      </c>
    </row>
    <row r="113" spans="1:24" ht="15.75" thickTop="1" x14ac:dyDescent="0.25">
      <c r="A113" s="33" t="s">
        <v>9</v>
      </c>
      <c r="B113" s="33" t="s">
        <v>138</v>
      </c>
      <c r="C113" s="33" t="s">
        <v>139</v>
      </c>
      <c r="D113" s="33">
        <v>547.9</v>
      </c>
      <c r="E113" s="33">
        <v>3436000</v>
      </c>
      <c r="F113" s="33">
        <v>1.595E-4</v>
      </c>
      <c r="G113" s="33"/>
      <c r="H113" s="33"/>
      <c r="I113" s="33"/>
      <c r="J113" s="35"/>
      <c r="K113" s="33"/>
      <c r="L113" s="33"/>
      <c r="M113" s="33"/>
      <c r="N113" s="33"/>
      <c r="O113" s="33"/>
      <c r="P113" s="33"/>
      <c r="Q113" s="33"/>
      <c r="R113" s="33" t="s">
        <v>152</v>
      </c>
      <c r="S113" s="33"/>
      <c r="T113" s="11">
        <v>120</v>
      </c>
      <c r="U113" s="16" t="s">
        <v>222</v>
      </c>
      <c r="V113" s="16" t="s">
        <v>223</v>
      </c>
      <c r="W113" s="16" t="s">
        <v>224</v>
      </c>
      <c r="X113" s="16" t="s">
        <v>185</v>
      </c>
    </row>
    <row r="114" spans="1:24" x14ac:dyDescent="0.25">
      <c r="A114" s="34" t="s">
        <v>10</v>
      </c>
      <c r="B114" s="34" t="s">
        <v>138</v>
      </c>
      <c r="C114" s="34" t="s">
        <v>139</v>
      </c>
      <c r="D114" s="34">
        <v>375.3</v>
      </c>
      <c r="E114" s="34">
        <v>3942000</v>
      </c>
      <c r="F114" s="34">
        <v>9.5199999999999997E-5</v>
      </c>
      <c r="G114" s="34"/>
      <c r="H114" s="34"/>
      <c r="I114" s="34"/>
      <c r="J114" s="36"/>
      <c r="K114" s="34"/>
      <c r="L114" s="34"/>
      <c r="M114" s="34"/>
      <c r="N114" s="34"/>
      <c r="O114" s="34"/>
      <c r="P114" s="34"/>
      <c r="Q114" s="34"/>
      <c r="R114" s="34" t="s">
        <v>153</v>
      </c>
      <c r="S114" s="34"/>
      <c r="T114" s="11">
        <v>60</v>
      </c>
      <c r="U114" s="16" t="s">
        <v>225</v>
      </c>
      <c r="V114" s="16" t="s">
        <v>226</v>
      </c>
      <c r="W114" s="16" t="s">
        <v>227</v>
      </c>
      <c r="X114" s="16" t="s">
        <v>185</v>
      </c>
    </row>
    <row r="115" spans="1:24" x14ac:dyDescent="0.25">
      <c r="A115" s="33" t="s">
        <v>101</v>
      </c>
      <c r="B115" s="33" t="s">
        <v>138</v>
      </c>
      <c r="C115" s="33" t="s">
        <v>139</v>
      </c>
      <c r="D115" s="33">
        <v>10680</v>
      </c>
      <c r="E115" s="33">
        <v>2623000</v>
      </c>
      <c r="F115" s="33">
        <v>4.0720000000000001E-3</v>
      </c>
      <c r="G115" s="33">
        <v>1.4010580502971557</v>
      </c>
      <c r="H115" s="33">
        <v>120</v>
      </c>
      <c r="I115" s="38" t="s">
        <v>228</v>
      </c>
      <c r="J115" s="35"/>
      <c r="K115" s="33"/>
      <c r="L115" s="33"/>
      <c r="M115" s="33"/>
      <c r="N115" s="33"/>
      <c r="O115" s="33"/>
      <c r="P115" s="33"/>
      <c r="Q115" s="33"/>
      <c r="R115" s="33"/>
      <c r="S115" s="33"/>
      <c r="T115" s="11">
        <v>30</v>
      </c>
      <c r="U115" s="13" t="s">
        <v>229</v>
      </c>
      <c r="V115" s="12" t="s">
        <v>230</v>
      </c>
      <c r="W115" s="17"/>
      <c r="X115" s="12" t="s">
        <v>185</v>
      </c>
    </row>
    <row r="116" spans="1:24" x14ac:dyDescent="0.25">
      <c r="A116" s="34" t="s">
        <v>102</v>
      </c>
      <c r="B116" s="34" t="s">
        <v>138</v>
      </c>
      <c r="C116" s="34" t="s">
        <v>139</v>
      </c>
      <c r="D116" s="34">
        <v>9651</v>
      </c>
      <c r="E116" s="34">
        <v>2266000</v>
      </c>
      <c r="F116" s="34">
        <v>4.2579999999999996E-3</v>
      </c>
      <c r="G116" s="34">
        <v>1.1922466980819637</v>
      </c>
      <c r="H116" s="34">
        <v>120</v>
      </c>
      <c r="I116" s="37" t="s">
        <v>231</v>
      </c>
      <c r="J116" s="36"/>
      <c r="K116" s="34"/>
      <c r="L116" s="34"/>
      <c r="M116" s="34"/>
      <c r="N116" s="34"/>
      <c r="O116" s="34"/>
      <c r="P116" s="34"/>
      <c r="Q116" s="34"/>
      <c r="R116" s="34"/>
      <c r="S116" s="34"/>
      <c r="T116" s="11">
        <v>15</v>
      </c>
      <c r="U116" s="12">
        <v>0.16594789603765342</v>
      </c>
      <c r="V116" s="12">
        <v>0.14711929932629009</v>
      </c>
      <c r="W116" s="12">
        <v>0.13424013431567736</v>
      </c>
      <c r="X116" s="12">
        <v>0.14910244322654029</v>
      </c>
    </row>
    <row r="117" spans="1:24" ht="15.75" thickBot="1" x14ac:dyDescent="0.3">
      <c r="A117" s="33" t="s">
        <v>103</v>
      </c>
      <c r="B117" s="33" t="s">
        <v>138</v>
      </c>
      <c r="C117" s="33" t="s">
        <v>139</v>
      </c>
      <c r="D117" s="33">
        <v>8401</v>
      </c>
      <c r="E117" s="33">
        <v>2737000</v>
      </c>
      <c r="F117" s="33">
        <v>3.0690000000000001E-3</v>
      </c>
      <c r="G117" s="33">
        <v>1.0769279257878326</v>
      </c>
      <c r="H117" s="33">
        <v>120</v>
      </c>
      <c r="I117" s="38" t="s">
        <v>232</v>
      </c>
      <c r="J117" s="35"/>
      <c r="K117" s="33"/>
      <c r="L117" s="33"/>
      <c r="M117" s="33"/>
      <c r="N117" s="33"/>
      <c r="O117" s="33"/>
      <c r="P117" s="33"/>
      <c r="Q117" s="33"/>
      <c r="R117" s="33"/>
      <c r="S117" s="33"/>
      <c r="T117" s="14">
        <v>0</v>
      </c>
      <c r="U117" s="15">
        <v>1</v>
      </c>
      <c r="V117" s="15">
        <v>1</v>
      </c>
      <c r="W117" s="15">
        <v>1</v>
      </c>
      <c r="X117" s="15">
        <v>1</v>
      </c>
    </row>
    <row r="118" spans="1:24" ht="16.5" thickTop="1" thickBot="1" x14ac:dyDescent="0.3">
      <c r="A118" s="34" t="s">
        <v>104</v>
      </c>
      <c r="B118" s="34" t="s">
        <v>138</v>
      </c>
      <c r="C118" s="34" t="s">
        <v>139</v>
      </c>
      <c r="D118" s="34">
        <v>39580</v>
      </c>
      <c r="E118" s="34">
        <v>2176000</v>
      </c>
      <c r="F118" s="34">
        <v>1.8190000000000001E-2</v>
      </c>
      <c r="G118" s="34">
        <v>6.3863025904074053</v>
      </c>
      <c r="H118" s="34">
        <v>60</v>
      </c>
      <c r="I118" s="37" t="s">
        <v>233</v>
      </c>
      <c r="J118" s="36"/>
      <c r="K118" s="34"/>
      <c r="L118" s="34"/>
      <c r="M118" s="34"/>
      <c r="N118" s="34"/>
      <c r="O118" s="34"/>
      <c r="P118" s="34"/>
      <c r="Q118" s="34"/>
      <c r="R118" s="34"/>
      <c r="S118" s="34"/>
    </row>
    <row r="119" spans="1:24" x14ac:dyDescent="0.25">
      <c r="A119" s="33" t="s">
        <v>105</v>
      </c>
      <c r="B119" s="33" t="s">
        <v>138</v>
      </c>
      <c r="C119" s="33" t="s">
        <v>139</v>
      </c>
      <c r="D119" s="33">
        <v>33360</v>
      </c>
      <c r="E119" s="33">
        <v>2112000</v>
      </c>
      <c r="F119" s="33">
        <v>1.5800000000000002E-2</v>
      </c>
      <c r="G119" s="33">
        <v>4.5051460206827452</v>
      </c>
      <c r="H119" s="33">
        <v>60</v>
      </c>
      <c r="I119" s="38" t="s">
        <v>234</v>
      </c>
      <c r="J119" s="35"/>
      <c r="K119" s="33"/>
      <c r="L119" s="33"/>
      <c r="M119" s="33"/>
      <c r="N119" s="33"/>
      <c r="O119" s="33"/>
      <c r="P119" s="33"/>
      <c r="Q119" s="33"/>
      <c r="R119" s="33"/>
      <c r="S119" s="33"/>
      <c r="T119" s="21" t="s">
        <v>158</v>
      </c>
      <c r="U119" s="29">
        <v>-0.12712706480410327</v>
      </c>
    </row>
    <row r="120" spans="1:24" x14ac:dyDescent="0.25">
      <c r="A120" s="34" t="s">
        <v>106</v>
      </c>
      <c r="B120" s="34" t="s">
        <v>138</v>
      </c>
      <c r="C120" s="34" t="s">
        <v>139</v>
      </c>
      <c r="D120" s="34">
        <v>21280</v>
      </c>
      <c r="E120" s="34">
        <v>2375000</v>
      </c>
      <c r="F120" s="34">
        <v>8.9599999999999992E-3</v>
      </c>
      <c r="G120" s="34">
        <v>3.216808503427484</v>
      </c>
      <c r="H120" s="34">
        <v>60</v>
      </c>
      <c r="I120" s="37" t="s">
        <v>235</v>
      </c>
      <c r="J120" s="36"/>
      <c r="K120" s="34"/>
      <c r="L120" s="34"/>
      <c r="M120" s="34"/>
      <c r="N120" s="34"/>
      <c r="O120" s="34"/>
      <c r="P120" s="34"/>
      <c r="Q120" s="34"/>
      <c r="R120" s="34"/>
      <c r="S120" s="34"/>
      <c r="T120" s="23" t="s">
        <v>159</v>
      </c>
      <c r="U120" s="24">
        <v>4.6051701859880918</v>
      </c>
    </row>
    <row r="121" spans="1:24" ht="17.25" x14ac:dyDescent="0.25">
      <c r="A121" s="33" t="s">
        <v>107</v>
      </c>
      <c r="B121" s="33" t="s">
        <v>138</v>
      </c>
      <c r="C121" s="33" t="s">
        <v>139</v>
      </c>
      <c r="D121" s="33">
        <v>953.8</v>
      </c>
      <c r="E121" s="33">
        <v>3201</v>
      </c>
      <c r="F121" s="33">
        <v>0.29799999999999999</v>
      </c>
      <c r="G121" s="33">
        <v>105.19075610848709</v>
      </c>
      <c r="H121" s="33">
        <v>30</v>
      </c>
      <c r="I121" s="38" t="s">
        <v>236</v>
      </c>
      <c r="J121" s="35"/>
      <c r="K121" s="33"/>
      <c r="L121" s="33"/>
      <c r="M121" s="33"/>
      <c r="N121" s="33"/>
      <c r="O121" s="33"/>
      <c r="P121" s="33"/>
      <c r="Q121" s="33"/>
      <c r="R121" s="33"/>
      <c r="S121" s="33"/>
      <c r="T121" s="23" t="s">
        <v>160</v>
      </c>
      <c r="U121" s="31">
        <v>0.99484295968068592</v>
      </c>
    </row>
    <row r="122" spans="1:24" ht="18" x14ac:dyDescent="0.35">
      <c r="A122" s="34" t="s">
        <v>108</v>
      </c>
      <c r="B122" s="34" t="s">
        <v>138</v>
      </c>
      <c r="C122" s="34" t="s">
        <v>139</v>
      </c>
      <c r="D122" s="34">
        <v>268.39999999999998</v>
      </c>
      <c r="E122" s="34">
        <v>1254</v>
      </c>
      <c r="F122" s="34">
        <v>0.21410000000000001</v>
      </c>
      <c r="G122" s="34">
        <v>61.423178915478701</v>
      </c>
      <c r="H122" s="34">
        <v>30</v>
      </c>
      <c r="I122" s="37" t="s">
        <v>237</v>
      </c>
      <c r="J122" s="36"/>
      <c r="K122" s="34"/>
      <c r="L122" s="34"/>
      <c r="M122" s="34"/>
      <c r="N122" s="34"/>
      <c r="O122" s="34"/>
      <c r="P122" s="34"/>
      <c r="Q122" s="34"/>
      <c r="R122" s="34"/>
      <c r="S122" s="34"/>
      <c r="T122" s="23" t="s">
        <v>161</v>
      </c>
      <c r="U122" s="26">
        <v>5.4523966366096159</v>
      </c>
    </row>
    <row r="123" spans="1:24" ht="18.75" x14ac:dyDescent="0.35">
      <c r="A123" s="33" t="s">
        <v>109</v>
      </c>
      <c r="B123" s="33" t="s">
        <v>138</v>
      </c>
      <c r="C123" s="33" t="s">
        <v>139</v>
      </c>
      <c r="D123" s="33">
        <v>1752</v>
      </c>
      <c r="E123" s="33" t="s">
        <v>6</v>
      </c>
      <c r="F123" s="33" t="s">
        <v>6</v>
      </c>
      <c r="G123" s="33" t="e">
        <v>#VALUE!</v>
      </c>
      <c r="H123" s="33">
        <v>30</v>
      </c>
      <c r="I123" s="38" t="e">
        <v>#VALUE!</v>
      </c>
      <c r="J123" s="35"/>
      <c r="K123" s="33"/>
      <c r="L123" s="33"/>
      <c r="M123" s="33"/>
      <c r="N123" s="33"/>
      <c r="O123" s="33"/>
      <c r="P123" s="33"/>
      <c r="Q123" s="33"/>
      <c r="R123" s="33"/>
      <c r="S123" s="33"/>
      <c r="T123" s="23" t="s">
        <v>162</v>
      </c>
      <c r="U123" s="26">
        <v>254.25412960820654</v>
      </c>
    </row>
    <row r="124" spans="1:24" ht="15.75" thickBot="1" x14ac:dyDescent="0.3">
      <c r="A124" s="34" t="s">
        <v>110</v>
      </c>
      <c r="B124" s="34" t="s">
        <v>138</v>
      </c>
      <c r="C124" s="34" t="s">
        <v>139</v>
      </c>
      <c r="D124" s="34">
        <v>117500</v>
      </c>
      <c r="E124" s="34">
        <v>2494000</v>
      </c>
      <c r="F124" s="34">
        <v>4.7100000000000003E-2</v>
      </c>
      <c r="G124" s="34">
        <v>16.594789603765342</v>
      </c>
      <c r="H124" s="34">
        <v>15</v>
      </c>
      <c r="I124" s="37">
        <v>2.809088766800838</v>
      </c>
      <c r="J124" s="36"/>
      <c r="K124" s="34"/>
      <c r="L124" s="34"/>
      <c r="M124" s="34"/>
      <c r="N124" s="34"/>
      <c r="O124" s="34"/>
      <c r="P124" s="34"/>
      <c r="Q124" s="34"/>
      <c r="R124" s="34"/>
      <c r="S124" s="34"/>
      <c r="T124" s="27" t="s">
        <v>146</v>
      </c>
      <c r="U124" s="28" t="s">
        <v>183</v>
      </c>
    </row>
    <row r="125" spans="1:24" x14ac:dyDescent="0.25">
      <c r="A125" s="33" t="s">
        <v>111</v>
      </c>
      <c r="B125" s="33" t="s">
        <v>138</v>
      </c>
      <c r="C125" s="33" t="s">
        <v>139</v>
      </c>
      <c r="D125" s="33">
        <v>123500</v>
      </c>
      <c r="E125" s="33">
        <v>2405000</v>
      </c>
      <c r="F125" s="33">
        <v>5.1360000000000003E-2</v>
      </c>
      <c r="G125" s="33">
        <v>14.711929932629008</v>
      </c>
      <c r="H125" s="33">
        <v>15</v>
      </c>
      <c r="I125" s="38">
        <v>2.688658724690693</v>
      </c>
      <c r="J125" s="35"/>
      <c r="K125" s="33"/>
      <c r="L125" s="33"/>
      <c r="M125" s="33"/>
      <c r="N125" s="33"/>
      <c r="O125" s="33"/>
      <c r="P125" s="33"/>
      <c r="Q125" s="33"/>
      <c r="R125" s="33"/>
      <c r="S125" s="33"/>
    </row>
    <row r="126" spans="1:24" x14ac:dyDescent="0.25">
      <c r="A126" s="34" t="s">
        <v>112</v>
      </c>
      <c r="B126" s="34" t="s">
        <v>138</v>
      </c>
      <c r="C126" s="34" t="s">
        <v>139</v>
      </c>
      <c r="D126" s="34">
        <v>99450</v>
      </c>
      <c r="E126" s="34">
        <v>2683000</v>
      </c>
      <c r="F126" s="34">
        <v>3.7060000000000003E-2</v>
      </c>
      <c r="G126" s="34">
        <v>13.424013431567735</v>
      </c>
      <c r="H126" s="34">
        <v>15</v>
      </c>
      <c r="I126" s="37">
        <v>2.5970451502880962</v>
      </c>
      <c r="J126" s="36"/>
      <c r="K126" s="34"/>
      <c r="L126" s="34"/>
      <c r="M126" s="34"/>
      <c r="N126" s="34"/>
      <c r="O126" s="34"/>
      <c r="P126" s="34"/>
      <c r="Q126" s="34"/>
      <c r="R126" s="34"/>
      <c r="S126" s="34"/>
    </row>
    <row r="127" spans="1:24" x14ac:dyDescent="0.25">
      <c r="A127" s="33" t="s">
        <v>113</v>
      </c>
      <c r="B127" s="33" t="s">
        <v>138</v>
      </c>
      <c r="C127" s="33" t="s">
        <v>139</v>
      </c>
      <c r="D127" s="33">
        <v>388900</v>
      </c>
      <c r="E127" s="33">
        <v>1373000</v>
      </c>
      <c r="F127" s="33">
        <v>0.2833</v>
      </c>
      <c r="G127" s="33">
        <v>100</v>
      </c>
      <c r="H127" s="33">
        <v>0</v>
      </c>
      <c r="I127" s="38">
        <v>4.6051701859880918</v>
      </c>
      <c r="J127" s="35"/>
      <c r="K127" s="33"/>
      <c r="L127" s="33"/>
      <c r="M127" s="33"/>
      <c r="N127" s="33"/>
      <c r="O127" s="33"/>
      <c r="P127" s="33"/>
      <c r="Q127" s="33"/>
      <c r="R127" s="33"/>
      <c r="S127" s="33"/>
    </row>
    <row r="128" spans="1:24" x14ac:dyDescent="0.25">
      <c r="A128" s="34" t="s">
        <v>114</v>
      </c>
      <c r="B128" s="34" t="s">
        <v>138</v>
      </c>
      <c r="C128" s="34" t="s">
        <v>139</v>
      </c>
      <c r="D128" s="34">
        <v>301200</v>
      </c>
      <c r="E128" s="34">
        <v>864500</v>
      </c>
      <c r="F128" s="34">
        <v>0.34849999999999998</v>
      </c>
      <c r="G128" s="34">
        <v>100</v>
      </c>
      <c r="H128" s="34">
        <v>0</v>
      </c>
      <c r="I128" s="37">
        <v>4.6051701859880918</v>
      </c>
      <c r="J128" s="36"/>
      <c r="K128" s="34"/>
      <c r="L128" s="34"/>
      <c r="M128" s="34"/>
      <c r="N128" s="34"/>
      <c r="O128" s="34"/>
      <c r="P128" s="34"/>
      <c r="Q128" s="34"/>
      <c r="R128" s="34"/>
      <c r="S128" s="34"/>
    </row>
    <row r="129" spans="1:24" x14ac:dyDescent="0.25">
      <c r="A129" s="33" t="s">
        <v>115</v>
      </c>
      <c r="B129" s="33" t="s">
        <v>138</v>
      </c>
      <c r="C129" s="33" t="s">
        <v>139</v>
      </c>
      <c r="D129" s="33">
        <v>351400</v>
      </c>
      <c r="E129" s="33">
        <v>1276000</v>
      </c>
      <c r="F129" s="33">
        <v>0.27539999999999998</v>
      </c>
      <c r="G129" s="33">
        <v>100</v>
      </c>
      <c r="H129" s="33">
        <v>0</v>
      </c>
      <c r="I129" s="38">
        <v>4.6051701859880918</v>
      </c>
      <c r="J129" s="35"/>
      <c r="K129" s="33"/>
      <c r="L129" s="33"/>
      <c r="M129" s="33"/>
      <c r="N129" s="33"/>
      <c r="O129" s="33"/>
      <c r="P129" s="33"/>
      <c r="Q129" s="33"/>
      <c r="R129" s="33"/>
      <c r="S129" s="33"/>
    </row>
    <row r="130" spans="1:24" x14ac:dyDescent="0.25">
      <c r="A130" s="34" t="s">
        <v>284</v>
      </c>
      <c r="B130" s="34" t="s">
        <v>138</v>
      </c>
      <c r="C130" s="34" t="s">
        <v>139</v>
      </c>
      <c r="D130" s="34">
        <v>43359.828560000002</v>
      </c>
      <c r="E130" s="34">
        <v>1041702.76108</v>
      </c>
      <c r="F130" s="34">
        <v>4.1619999999999997E-2</v>
      </c>
      <c r="G130" s="34"/>
      <c r="H130" s="34"/>
      <c r="I130" s="34"/>
      <c r="J130" s="36"/>
      <c r="K130" s="34"/>
      <c r="L130" s="34"/>
      <c r="M130" s="34"/>
      <c r="N130" s="34"/>
      <c r="O130" s="34"/>
      <c r="P130" s="34"/>
      <c r="Q130" s="34"/>
      <c r="R130" s="34"/>
      <c r="S130" s="34"/>
    </row>
    <row r="131" spans="1:24" x14ac:dyDescent="0.25">
      <c r="A131" s="34" t="s">
        <v>285</v>
      </c>
      <c r="B131" s="34" t="s">
        <v>138</v>
      </c>
      <c r="C131" s="34" t="s">
        <v>139</v>
      </c>
      <c r="D131" s="34">
        <v>40180.712919999998</v>
      </c>
      <c r="E131" s="34">
        <v>941817.97233000002</v>
      </c>
      <c r="F131" s="34">
        <v>4.2659999999999997E-2</v>
      </c>
      <c r="G131" s="34"/>
      <c r="H131" s="34"/>
      <c r="I131" s="34"/>
      <c r="J131" s="36"/>
      <c r="K131" s="34"/>
      <c r="L131" s="34"/>
      <c r="M131" s="34"/>
      <c r="N131" s="34"/>
      <c r="O131" s="34"/>
      <c r="P131" s="34"/>
      <c r="Q131" s="34"/>
      <c r="R131" s="34"/>
      <c r="S131" s="34"/>
    </row>
    <row r="132" spans="1:24" x14ac:dyDescent="0.25">
      <c r="A132" s="34" t="s">
        <v>286</v>
      </c>
      <c r="B132" s="34" t="s">
        <v>138</v>
      </c>
      <c r="C132" s="34" t="s">
        <v>139</v>
      </c>
      <c r="D132" s="34">
        <v>53315.13291</v>
      </c>
      <c r="E132" s="34">
        <v>2533656.9191999999</v>
      </c>
      <c r="F132" s="34">
        <v>2.104E-2</v>
      </c>
      <c r="G132" s="34">
        <f>AVERAGE(F130:F132)/AVERAGE(F127:F129)*100</f>
        <v>11.609347442680779</v>
      </c>
      <c r="H132" s="34"/>
      <c r="I132" s="34"/>
      <c r="J132" s="36"/>
      <c r="K132" s="34"/>
      <c r="L132" s="34"/>
      <c r="M132" s="34"/>
      <c r="N132" s="34"/>
      <c r="O132" s="34"/>
      <c r="P132" s="34"/>
      <c r="Q132" s="34"/>
      <c r="R132" s="34"/>
      <c r="S132" s="34"/>
    </row>
    <row r="133" spans="1:24" ht="15.75" thickBot="1" x14ac:dyDescent="0.3">
      <c r="A133" s="34"/>
      <c r="B133" s="34"/>
      <c r="C133" s="34"/>
      <c r="D133" s="34"/>
      <c r="E133" s="34"/>
      <c r="F133" s="34"/>
      <c r="G133" s="34"/>
      <c r="H133" s="34"/>
      <c r="I133" s="34"/>
      <c r="J133" s="36"/>
      <c r="K133" s="34"/>
      <c r="L133" s="34"/>
      <c r="M133" s="34"/>
      <c r="N133" s="34"/>
      <c r="O133" s="34"/>
      <c r="P133" s="34"/>
      <c r="Q133" s="34"/>
      <c r="R133" s="34"/>
      <c r="S133" s="34"/>
    </row>
    <row r="134" spans="1:24" ht="16.5" thickTop="1" thickBot="1" x14ac:dyDescent="0.3">
      <c r="A134" s="33" t="s">
        <v>8</v>
      </c>
      <c r="B134" s="33" t="s">
        <v>134</v>
      </c>
      <c r="C134" s="33" t="s">
        <v>7</v>
      </c>
      <c r="D134" s="33">
        <v>114800</v>
      </c>
      <c r="E134" s="33">
        <v>2892000</v>
      </c>
      <c r="F134" s="33">
        <v>3.968E-2</v>
      </c>
      <c r="G134" s="33"/>
      <c r="H134" s="33"/>
      <c r="I134" s="33"/>
      <c r="J134" s="35"/>
      <c r="K134" s="33"/>
      <c r="L134" s="33"/>
      <c r="M134" s="33"/>
      <c r="N134" s="33"/>
      <c r="O134" s="33"/>
      <c r="P134" s="33"/>
      <c r="Q134" s="33"/>
      <c r="R134" s="33" t="s">
        <v>171</v>
      </c>
      <c r="S134" s="33"/>
      <c r="T134" s="10" t="s">
        <v>152</v>
      </c>
      <c r="U134" s="10" t="s">
        <v>154</v>
      </c>
      <c r="V134" s="10" t="s">
        <v>155</v>
      </c>
      <c r="W134" s="10" t="s">
        <v>156</v>
      </c>
      <c r="X134" s="10" t="s">
        <v>157</v>
      </c>
    </row>
    <row r="135" spans="1:24" ht="15.75" thickTop="1" x14ac:dyDescent="0.25">
      <c r="A135" s="34" t="s">
        <v>9</v>
      </c>
      <c r="B135" s="34" t="s">
        <v>134</v>
      </c>
      <c r="C135" s="34" t="s">
        <v>7</v>
      </c>
      <c r="D135" s="34">
        <v>160700</v>
      </c>
      <c r="E135" s="34">
        <v>3436000</v>
      </c>
      <c r="F135" s="34">
        <v>4.6760000000000003E-2</v>
      </c>
      <c r="G135" s="34"/>
      <c r="H135" s="34"/>
      <c r="I135" s="34"/>
      <c r="J135" s="36"/>
      <c r="K135" s="34"/>
      <c r="L135" s="34"/>
      <c r="M135" s="34"/>
      <c r="N135" s="34"/>
      <c r="O135" s="34"/>
      <c r="P135" s="34"/>
      <c r="Q135" s="34"/>
      <c r="R135" s="34" t="s">
        <v>152</v>
      </c>
      <c r="S135" s="34"/>
      <c r="T135" s="11">
        <v>120</v>
      </c>
      <c r="U135" s="13">
        <v>1.4143241261305299</v>
      </c>
      <c r="V135" s="12">
        <v>0.86769570011025332</v>
      </c>
      <c r="W135" s="12">
        <v>0.23903766921718661</v>
      </c>
      <c r="X135" s="12">
        <v>0.84035249848599003</v>
      </c>
    </row>
    <row r="136" spans="1:24" x14ac:dyDescent="0.25">
      <c r="A136" s="33" t="s">
        <v>10</v>
      </c>
      <c r="B136" s="33" t="s">
        <v>134</v>
      </c>
      <c r="C136" s="33" t="s">
        <v>7</v>
      </c>
      <c r="D136" s="33">
        <v>96570</v>
      </c>
      <c r="E136" s="33">
        <v>3942000</v>
      </c>
      <c r="F136" s="33">
        <v>2.4500000000000001E-2</v>
      </c>
      <c r="G136" s="33"/>
      <c r="H136" s="33"/>
      <c r="I136" s="33"/>
      <c r="J136" s="35"/>
      <c r="K136" s="33"/>
      <c r="L136" s="33"/>
      <c r="M136" s="33"/>
      <c r="N136" s="33"/>
      <c r="O136" s="33"/>
      <c r="P136" s="33"/>
      <c r="Q136" s="33"/>
      <c r="R136" s="33" t="s">
        <v>153</v>
      </c>
      <c r="S136" s="33"/>
      <c r="T136" s="11">
        <v>60</v>
      </c>
      <c r="U136" s="12">
        <v>0.55866536299193337</v>
      </c>
      <c r="V136" s="12">
        <v>0.35729051819184127</v>
      </c>
      <c r="W136" s="12">
        <v>0.21990876986462624</v>
      </c>
      <c r="X136" s="12">
        <v>0.37862155034946698</v>
      </c>
    </row>
    <row r="137" spans="1:24" x14ac:dyDescent="0.25">
      <c r="A137" s="34" t="s">
        <v>56</v>
      </c>
      <c r="B137" s="34" t="s">
        <v>134</v>
      </c>
      <c r="C137" s="34" t="s">
        <v>7</v>
      </c>
      <c r="D137" s="34">
        <v>386400</v>
      </c>
      <c r="E137" s="34">
        <v>2530000</v>
      </c>
      <c r="F137" s="34">
        <v>0.1527</v>
      </c>
      <c r="G137" s="34">
        <v>141.432412613053</v>
      </c>
      <c r="H137" s="34">
        <v>120</v>
      </c>
      <c r="I137" s="37">
        <v>4.9518219535947727</v>
      </c>
      <c r="J137" s="36"/>
      <c r="K137" s="34"/>
      <c r="L137" s="34"/>
      <c r="M137" s="34"/>
      <c r="N137" s="34"/>
      <c r="O137" s="34"/>
      <c r="P137" s="34"/>
      <c r="Q137" s="34"/>
      <c r="R137" s="34"/>
      <c r="S137" s="34"/>
      <c r="T137" s="11">
        <v>30</v>
      </c>
      <c r="U137" s="18" t="s">
        <v>238</v>
      </c>
      <c r="V137" s="17"/>
      <c r="W137" s="18" t="s">
        <v>239</v>
      </c>
      <c r="X137" s="18" t="s">
        <v>185</v>
      </c>
    </row>
    <row r="138" spans="1:24" x14ac:dyDescent="0.25">
      <c r="A138" s="33" t="s">
        <v>57</v>
      </c>
      <c r="B138" s="33" t="s">
        <v>134</v>
      </c>
      <c r="C138" s="33" t="s">
        <v>7</v>
      </c>
      <c r="D138" s="33">
        <v>295500</v>
      </c>
      <c r="E138" s="33">
        <v>1814000</v>
      </c>
      <c r="F138" s="33">
        <v>0.16289999999999999</v>
      </c>
      <c r="G138" s="33">
        <v>86.769570011025337</v>
      </c>
      <c r="H138" s="33">
        <v>120</v>
      </c>
      <c r="I138" s="38">
        <v>4.4632559842903579</v>
      </c>
      <c r="J138" s="35"/>
      <c r="K138" s="33"/>
      <c r="L138" s="33"/>
      <c r="M138" s="33"/>
      <c r="N138" s="33"/>
      <c r="O138" s="33"/>
      <c r="P138" s="33"/>
      <c r="Q138" s="33"/>
      <c r="R138" s="33"/>
      <c r="S138" s="33"/>
      <c r="T138" s="11">
        <v>15</v>
      </c>
      <c r="U138" s="12">
        <v>0.60608653141041291</v>
      </c>
      <c r="V138" s="12">
        <v>0.43240077177508268</v>
      </c>
      <c r="W138" s="12">
        <v>0.36602413184226018</v>
      </c>
      <c r="X138" s="12">
        <v>0.46817047834258524</v>
      </c>
    </row>
    <row r="139" spans="1:24" ht="15.75" thickBot="1" x14ac:dyDescent="0.3">
      <c r="A139" s="34" t="s">
        <v>58</v>
      </c>
      <c r="B139" s="34" t="s">
        <v>134</v>
      </c>
      <c r="C139" s="34" t="s">
        <v>7</v>
      </c>
      <c r="D139" s="34">
        <v>216900</v>
      </c>
      <c r="E139" s="34">
        <v>3122000</v>
      </c>
      <c r="F139" s="34">
        <v>6.9470000000000004E-2</v>
      </c>
      <c r="G139" s="34">
        <v>23.90376692171866</v>
      </c>
      <c r="H139" s="34">
        <v>120</v>
      </c>
      <c r="I139" s="37">
        <v>3.1740360583054237</v>
      </c>
      <c r="J139" s="36"/>
      <c r="K139" s="34"/>
      <c r="L139" s="34"/>
      <c r="M139" s="34"/>
      <c r="N139" s="34"/>
      <c r="O139" s="34"/>
      <c r="P139" s="34"/>
      <c r="Q139" s="34"/>
      <c r="R139" s="34"/>
      <c r="S139" s="34"/>
      <c r="T139" s="14">
        <v>0</v>
      </c>
      <c r="U139" s="15">
        <v>1</v>
      </c>
      <c r="V139" s="15">
        <v>1</v>
      </c>
      <c r="W139" s="15">
        <v>1</v>
      </c>
      <c r="X139" s="15">
        <v>1</v>
      </c>
    </row>
    <row r="140" spans="1:24" ht="16.5" thickTop="1" thickBot="1" x14ac:dyDescent="0.3">
      <c r="A140" s="33" t="s">
        <v>59</v>
      </c>
      <c r="B140" s="33" t="s">
        <v>134</v>
      </c>
      <c r="C140" s="33" t="s">
        <v>7</v>
      </c>
      <c r="D140" s="33">
        <v>223500</v>
      </c>
      <c r="E140" s="33">
        <v>2703000</v>
      </c>
      <c r="F140" s="33">
        <v>8.269E-2</v>
      </c>
      <c r="G140" s="33">
        <v>55.866536299193335</v>
      </c>
      <c r="H140" s="33">
        <v>60</v>
      </c>
      <c r="I140" s="38">
        <v>4.0229655658304919</v>
      </c>
      <c r="J140" s="35"/>
      <c r="K140" s="33"/>
      <c r="L140" s="33"/>
      <c r="M140" s="33"/>
      <c r="N140" s="33"/>
      <c r="O140" s="33"/>
      <c r="P140" s="33"/>
      <c r="Q140" s="33"/>
      <c r="R140" s="33"/>
      <c r="S140" s="33"/>
    </row>
    <row r="141" spans="1:24" x14ac:dyDescent="0.25">
      <c r="A141" s="34" t="s">
        <v>60</v>
      </c>
      <c r="B141" s="34" t="s">
        <v>134</v>
      </c>
      <c r="C141" s="34" t="s">
        <v>7</v>
      </c>
      <c r="D141" s="34">
        <v>253400</v>
      </c>
      <c r="E141" s="34">
        <v>2853000</v>
      </c>
      <c r="F141" s="34">
        <v>8.8830000000000006E-2</v>
      </c>
      <c r="G141" s="34">
        <v>35.729051819184129</v>
      </c>
      <c r="H141" s="34">
        <v>60</v>
      </c>
      <c r="I141" s="37">
        <v>3.5759641342968012</v>
      </c>
      <c r="J141" s="36"/>
      <c r="K141" s="34"/>
      <c r="L141" s="34"/>
      <c r="M141" s="34"/>
      <c r="N141" s="34"/>
      <c r="O141" s="34"/>
      <c r="P141" s="34"/>
      <c r="Q141" s="34"/>
      <c r="R141" s="34"/>
      <c r="S141" s="34"/>
      <c r="T141" s="21" t="s">
        <v>158</v>
      </c>
      <c r="U141" s="29">
        <v>-1.6604553097380491E-3</v>
      </c>
    </row>
    <row r="142" spans="1:24" x14ac:dyDescent="0.25">
      <c r="A142" s="33" t="s">
        <v>61</v>
      </c>
      <c r="B142" s="33" t="s">
        <v>134</v>
      </c>
      <c r="C142" s="33" t="s">
        <v>7</v>
      </c>
      <c r="D142" s="33">
        <v>188900</v>
      </c>
      <c r="E142" s="33">
        <v>2824000</v>
      </c>
      <c r="F142" s="33">
        <v>6.6869999999999999E-2</v>
      </c>
      <c r="G142" s="33">
        <v>21.990876986462624</v>
      </c>
      <c r="H142" s="33">
        <v>60</v>
      </c>
      <c r="I142" s="38">
        <v>3.0906276849202614</v>
      </c>
      <c r="J142" s="35"/>
      <c r="K142" s="33"/>
      <c r="L142" s="33"/>
      <c r="M142" s="33"/>
      <c r="N142" s="33"/>
      <c r="O142" s="33"/>
      <c r="P142" s="33"/>
      <c r="Q142" s="33"/>
      <c r="R142" s="33"/>
      <c r="S142" s="33"/>
      <c r="T142" s="23" t="s">
        <v>159</v>
      </c>
      <c r="U142" s="24">
        <v>4.1280723266040997</v>
      </c>
    </row>
    <row r="143" spans="1:24" ht="17.25" x14ac:dyDescent="0.25">
      <c r="A143" s="34" t="s">
        <v>62</v>
      </c>
      <c r="B143" s="34" t="s">
        <v>134</v>
      </c>
      <c r="C143" s="34" t="s">
        <v>7</v>
      </c>
      <c r="D143" s="34">
        <v>231000</v>
      </c>
      <c r="E143" s="34">
        <v>2757</v>
      </c>
      <c r="F143" s="34">
        <v>83.77</v>
      </c>
      <c r="G143" s="34">
        <v>102338.08359814226</v>
      </c>
      <c r="H143" s="34">
        <v>30</v>
      </c>
      <c r="I143" s="37" t="s">
        <v>240</v>
      </c>
      <c r="J143" s="36"/>
      <c r="K143" s="34"/>
      <c r="L143" s="34"/>
      <c r="M143" s="34"/>
      <c r="N143" s="34"/>
      <c r="O143" s="34"/>
      <c r="P143" s="34"/>
      <c r="Q143" s="34"/>
      <c r="R143" s="34"/>
      <c r="S143" s="34"/>
      <c r="T143" s="23" t="s">
        <v>160</v>
      </c>
      <c r="U143" s="25">
        <v>1.7557780639315731E-2</v>
      </c>
    </row>
    <row r="144" spans="1:24" ht="18" x14ac:dyDescent="0.35">
      <c r="A144" s="33" t="s">
        <v>63</v>
      </c>
      <c r="B144" s="33" t="s">
        <v>134</v>
      </c>
      <c r="C144" s="33" t="s">
        <v>7</v>
      </c>
      <c r="D144" s="33">
        <v>336700</v>
      </c>
      <c r="E144" s="33" t="s">
        <v>6</v>
      </c>
      <c r="F144" s="33" t="s">
        <v>6</v>
      </c>
      <c r="G144" s="33" t="e">
        <v>#VALUE!</v>
      </c>
      <c r="H144" s="33">
        <v>30</v>
      </c>
      <c r="I144" s="38" t="e">
        <v>#VALUE!</v>
      </c>
      <c r="J144" s="35"/>
      <c r="K144" s="33"/>
      <c r="L144" s="33"/>
      <c r="M144" s="33"/>
      <c r="N144" s="33"/>
      <c r="O144" s="33"/>
      <c r="P144" s="33"/>
      <c r="Q144" s="33"/>
      <c r="R144" s="33"/>
      <c r="S144" s="33"/>
      <c r="T144" s="23" t="s">
        <v>161</v>
      </c>
      <c r="U144" s="26">
        <v>417.444044711625</v>
      </c>
    </row>
    <row r="145" spans="1:24" ht="18.75" x14ac:dyDescent="0.35">
      <c r="A145" s="34" t="s">
        <v>64</v>
      </c>
      <c r="B145" s="34" t="s">
        <v>134</v>
      </c>
      <c r="C145" s="34" t="s">
        <v>7</v>
      </c>
      <c r="D145" s="34">
        <v>336200</v>
      </c>
      <c r="E145" s="34">
        <v>842.7</v>
      </c>
      <c r="F145" s="34">
        <v>398.9</v>
      </c>
      <c r="G145" s="34">
        <v>293454.25250147143</v>
      </c>
      <c r="H145" s="34">
        <v>30</v>
      </c>
      <c r="I145" s="37" t="s">
        <v>241</v>
      </c>
      <c r="J145" s="36"/>
      <c r="K145" s="34"/>
      <c r="L145" s="34"/>
      <c r="M145" s="34"/>
      <c r="N145" s="34"/>
      <c r="O145" s="34"/>
      <c r="P145" s="34"/>
      <c r="Q145" s="34"/>
      <c r="R145" s="34"/>
      <c r="S145" s="34"/>
      <c r="T145" s="23" t="s">
        <v>162</v>
      </c>
      <c r="U145" s="26">
        <v>3.3209106194760984</v>
      </c>
    </row>
    <row r="146" spans="1:24" ht="15.75" thickBot="1" x14ac:dyDescent="0.3">
      <c r="A146" s="33" t="s">
        <v>65</v>
      </c>
      <c r="B146" s="33" t="s">
        <v>134</v>
      </c>
      <c r="C146" s="33" t="s">
        <v>7</v>
      </c>
      <c r="D146" s="33">
        <v>233400</v>
      </c>
      <c r="E146" s="33">
        <v>2696000</v>
      </c>
      <c r="F146" s="33">
        <v>8.6569999999999994E-2</v>
      </c>
      <c r="G146" s="33">
        <v>60.608653141041287</v>
      </c>
      <c r="H146" s="33">
        <v>15</v>
      </c>
      <c r="I146" s="38">
        <v>4.1044376739878814</v>
      </c>
      <c r="J146" s="35"/>
      <c r="K146" s="33"/>
      <c r="L146" s="33"/>
      <c r="M146" s="33"/>
      <c r="N146" s="33"/>
      <c r="O146" s="33"/>
      <c r="P146" s="33"/>
      <c r="Q146" s="33"/>
      <c r="R146" s="33"/>
      <c r="S146" s="33"/>
      <c r="T146" s="27" t="s">
        <v>146</v>
      </c>
      <c r="U146" s="28" t="s">
        <v>180</v>
      </c>
    </row>
    <row r="147" spans="1:24" x14ac:dyDescent="0.25">
      <c r="A147" s="34" t="s">
        <v>66</v>
      </c>
      <c r="B147" s="34" t="s">
        <v>134</v>
      </c>
      <c r="C147" s="34" t="s">
        <v>7</v>
      </c>
      <c r="D147" s="34">
        <v>266500</v>
      </c>
      <c r="E147" s="34">
        <v>2672000</v>
      </c>
      <c r="F147" s="34">
        <v>9.9729999999999999E-2</v>
      </c>
      <c r="G147" s="34">
        <v>43.240077177508269</v>
      </c>
      <c r="H147" s="34">
        <v>15</v>
      </c>
      <c r="I147" s="37">
        <v>3.7667677776331581</v>
      </c>
      <c r="J147" s="36"/>
      <c r="K147" s="34"/>
      <c r="L147" s="34"/>
      <c r="M147" s="34"/>
      <c r="N147" s="34"/>
      <c r="O147" s="34"/>
      <c r="P147" s="34"/>
      <c r="Q147" s="34"/>
      <c r="R147" s="34"/>
      <c r="S147" s="34"/>
    </row>
    <row r="148" spans="1:24" x14ac:dyDescent="0.25">
      <c r="A148" s="33" t="s">
        <v>67</v>
      </c>
      <c r="B148" s="33" t="s">
        <v>134</v>
      </c>
      <c r="C148" s="33" t="s">
        <v>7</v>
      </c>
      <c r="D148" s="33">
        <v>228200</v>
      </c>
      <c r="E148" s="33">
        <v>2632000</v>
      </c>
      <c r="F148" s="33">
        <v>8.6730000000000002E-2</v>
      </c>
      <c r="G148" s="33">
        <v>36.602413184226016</v>
      </c>
      <c r="H148" s="33">
        <v>15</v>
      </c>
      <c r="I148" s="38">
        <v>3.6001141722290164</v>
      </c>
      <c r="J148" s="35"/>
      <c r="K148" s="33"/>
      <c r="L148" s="33"/>
      <c r="M148" s="33"/>
      <c r="N148" s="33"/>
      <c r="O148" s="33"/>
      <c r="P148" s="33"/>
      <c r="Q148" s="33"/>
      <c r="R148" s="33"/>
      <c r="S148" s="33"/>
    </row>
    <row r="149" spans="1:24" x14ac:dyDescent="0.25">
      <c r="A149" s="34" t="s">
        <v>68</v>
      </c>
      <c r="B149" s="34" t="s">
        <v>134</v>
      </c>
      <c r="C149" s="34" t="s">
        <v>7</v>
      </c>
      <c r="D149" s="34">
        <v>339700</v>
      </c>
      <c r="E149" s="34">
        <v>2860000</v>
      </c>
      <c r="F149" s="34">
        <v>0.1188</v>
      </c>
      <c r="G149" s="34">
        <v>100</v>
      </c>
      <c r="H149" s="34">
        <v>0</v>
      </c>
      <c r="I149" s="37">
        <v>4.6051701859880918</v>
      </c>
      <c r="J149" s="36"/>
      <c r="K149" s="34"/>
      <c r="L149" s="34"/>
      <c r="M149" s="34"/>
      <c r="N149" s="34"/>
      <c r="O149" s="34"/>
      <c r="P149" s="34"/>
      <c r="Q149" s="34"/>
      <c r="R149" s="34"/>
      <c r="S149" s="34"/>
    </row>
    <row r="150" spans="1:24" x14ac:dyDescent="0.25">
      <c r="A150" s="33" t="s">
        <v>69</v>
      </c>
      <c r="B150" s="33" t="s">
        <v>134</v>
      </c>
      <c r="C150" s="33" t="s">
        <v>7</v>
      </c>
      <c r="D150" s="33">
        <v>453100</v>
      </c>
      <c r="E150" s="33">
        <v>2489000</v>
      </c>
      <c r="F150" s="33">
        <v>0.18210000000000001</v>
      </c>
      <c r="G150" s="33">
        <v>100</v>
      </c>
      <c r="H150" s="33">
        <v>0</v>
      </c>
      <c r="I150" s="38">
        <v>4.6051701859880918</v>
      </c>
      <c r="J150" s="35"/>
      <c r="K150" s="33"/>
      <c r="L150" s="33"/>
      <c r="M150" s="33"/>
      <c r="N150" s="33"/>
      <c r="O150" s="33"/>
      <c r="P150" s="33"/>
      <c r="Q150" s="33"/>
      <c r="R150" s="33"/>
      <c r="S150" s="33"/>
    </row>
    <row r="151" spans="1:24" x14ac:dyDescent="0.25">
      <c r="A151" s="34" t="s">
        <v>70</v>
      </c>
      <c r="B151" s="34" t="s">
        <v>134</v>
      </c>
      <c r="C151" s="34" t="s">
        <v>7</v>
      </c>
      <c r="D151" s="34">
        <v>418700</v>
      </c>
      <c r="E151" s="34">
        <v>2422000</v>
      </c>
      <c r="F151" s="34">
        <v>0.1729</v>
      </c>
      <c r="G151" s="34">
        <v>100</v>
      </c>
      <c r="H151" s="34">
        <v>0</v>
      </c>
      <c r="I151" s="37">
        <v>4.6051701859880918</v>
      </c>
      <c r="J151" s="36"/>
      <c r="K151" s="34"/>
      <c r="L151" s="34"/>
      <c r="M151" s="34"/>
      <c r="N151" s="34"/>
      <c r="O151" s="34"/>
      <c r="P151" s="34"/>
      <c r="Q151" s="34"/>
      <c r="R151" s="34"/>
      <c r="S151" s="34"/>
    </row>
    <row r="152" spans="1:24" x14ac:dyDescent="0.25">
      <c r="A152" s="33" t="s">
        <v>290</v>
      </c>
      <c r="B152" s="33" t="s">
        <v>134</v>
      </c>
      <c r="C152" s="33" t="s">
        <v>7</v>
      </c>
      <c r="D152" s="33">
        <v>296587.89870000002</v>
      </c>
      <c r="E152" s="33">
        <v>4659061.8426799998</v>
      </c>
      <c r="F152" s="33">
        <v>6.3659999999999994E-2</v>
      </c>
      <c r="G152" s="33"/>
      <c r="H152" s="33"/>
      <c r="I152" s="33"/>
      <c r="J152" s="35"/>
      <c r="K152" s="33"/>
      <c r="L152" s="33"/>
      <c r="M152" s="33"/>
      <c r="N152" s="33"/>
      <c r="O152" s="33"/>
      <c r="P152" s="33"/>
      <c r="Q152" s="33"/>
      <c r="R152" s="33"/>
      <c r="S152" s="33"/>
    </row>
    <row r="153" spans="1:24" x14ac:dyDescent="0.25">
      <c r="A153" s="33" t="s">
        <v>291</v>
      </c>
      <c r="B153" s="33" t="s">
        <v>134</v>
      </c>
      <c r="C153" s="33" t="s">
        <v>7</v>
      </c>
      <c r="D153" s="33">
        <v>432524.68608000001</v>
      </c>
      <c r="E153" s="33">
        <v>4356638.7388899997</v>
      </c>
      <c r="F153" s="33">
        <v>9.9279999999999993E-2</v>
      </c>
      <c r="G153" s="33"/>
      <c r="H153" s="33"/>
      <c r="I153" s="33"/>
      <c r="J153" s="35"/>
      <c r="K153" s="33"/>
      <c r="L153" s="33"/>
      <c r="M153" s="33"/>
      <c r="N153" s="33"/>
      <c r="O153" s="33"/>
      <c r="P153" s="33"/>
      <c r="Q153" s="33"/>
      <c r="R153" s="33"/>
      <c r="S153" s="33"/>
    </row>
    <row r="154" spans="1:24" x14ac:dyDescent="0.25">
      <c r="A154" s="33" t="s">
        <v>292</v>
      </c>
      <c r="B154" s="33" t="s">
        <v>134</v>
      </c>
      <c r="C154" s="33" t="s">
        <v>7</v>
      </c>
      <c r="D154" s="33">
        <v>2017984.1209199999</v>
      </c>
      <c r="E154" s="33">
        <v>3578240.2689499999</v>
      </c>
      <c r="F154" s="33">
        <v>0.56396000000000002</v>
      </c>
      <c r="G154" s="33">
        <f>AVERAGE(F152:F154)/AVERAGE(F149:F151)*100</f>
        <v>153.41916420430559</v>
      </c>
      <c r="H154" s="33"/>
      <c r="I154" s="33"/>
      <c r="J154" s="35"/>
      <c r="K154" s="33"/>
      <c r="L154" s="33"/>
      <c r="M154" s="33"/>
      <c r="N154" s="33"/>
      <c r="O154" s="33"/>
      <c r="P154" s="33"/>
      <c r="Q154" s="33"/>
      <c r="R154" s="33"/>
      <c r="S154" s="33"/>
    </row>
    <row r="155" spans="1:24" ht="15.75" thickBot="1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5"/>
      <c r="K155" s="33"/>
      <c r="L155" s="33"/>
      <c r="M155" s="33"/>
      <c r="N155" s="33"/>
      <c r="O155" s="33"/>
      <c r="P155" s="33"/>
      <c r="Q155" s="33"/>
      <c r="R155" s="33"/>
      <c r="S155" s="33"/>
    </row>
    <row r="156" spans="1:24" ht="16.5" thickTop="1" thickBot="1" x14ac:dyDescent="0.3">
      <c r="A156" s="34" t="s">
        <v>8</v>
      </c>
      <c r="B156" s="34" t="s">
        <v>133</v>
      </c>
      <c r="C156" s="34" t="s">
        <v>7</v>
      </c>
      <c r="D156" s="34">
        <v>114800</v>
      </c>
      <c r="E156" s="34">
        <v>2892000</v>
      </c>
      <c r="F156" s="34">
        <v>3.968E-2</v>
      </c>
      <c r="G156" s="34"/>
      <c r="H156" s="34"/>
      <c r="I156" s="34"/>
      <c r="J156" s="36"/>
      <c r="K156" s="34"/>
      <c r="L156" s="34"/>
      <c r="M156" s="34"/>
      <c r="N156" s="34"/>
      <c r="O156" s="34"/>
      <c r="P156" s="34"/>
      <c r="Q156" s="34"/>
      <c r="R156" s="34" t="s">
        <v>172</v>
      </c>
      <c r="S156" s="34"/>
      <c r="T156" s="10" t="s">
        <v>152</v>
      </c>
      <c r="U156" s="10" t="s">
        <v>154</v>
      </c>
      <c r="V156" s="10" t="s">
        <v>155</v>
      </c>
      <c r="W156" s="10" t="s">
        <v>156</v>
      </c>
      <c r="X156" s="10" t="s">
        <v>157</v>
      </c>
    </row>
    <row r="157" spans="1:24" ht="15.75" thickTop="1" x14ac:dyDescent="0.25">
      <c r="A157" s="33" t="s">
        <v>9</v>
      </c>
      <c r="B157" s="33" t="s">
        <v>133</v>
      </c>
      <c r="C157" s="33" t="s">
        <v>7</v>
      </c>
      <c r="D157" s="33">
        <v>160700</v>
      </c>
      <c r="E157" s="33">
        <v>3436000</v>
      </c>
      <c r="F157" s="33">
        <v>4.6760000000000003E-2</v>
      </c>
      <c r="G157" s="33"/>
      <c r="H157" s="33"/>
      <c r="I157" s="33"/>
      <c r="J157" s="35"/>
      <c r="K157" s="33"/>
      <c r="L157" s="33"/>
      <c r="M157" s="33"/>
      <c r="N157" s="33"/>
      <c r="O157" s="33"/>
      <c r="P157" s="33"/>
      <c r="Q157" s="33"/>
      <c r="R157" s="33" t="s">
        <v>152</v>
      </c>
      <c r="S157" s="33"/>
      <c r="T157" s="11">
        <v>120</v>
      </c>
      <c r="U157" s="12">
        <v>0.88536155202821876</v>
      </c>
      <c r="V157" s="12">
        <v>0.23517030233448144</v>
      </c>
      <c r="W157" s="12">
        <v>0.47602899906454627</v>
      </c>
      <c r="X157" s="12">
        <v>0.53218695114241554</v>
      </c>
    </row>
    <row r="158" spans="1:24" x14ac:dyDescent="0.25">
      <c r="A158" s="34" t="s">
        <v>10</v>
      </c>
      <c r="B158" s="34" t="s">
        <v>133</v>
      </c>
      <c r="C158" s="34" t="s">
        <v>7</v>
      </c>
      <c r="D158" s="34">
        <v>96570</v>
      </c>
      <c r="E158" s="34">
        <v>3942000</v>
      </c>
      <c r="F158" s="34">
        <v>2.4500000000000001E-2</v>
      </c>
      <c r="G158" s="34"/>
      <c r="H158" s="34"/>
      <c r="I158" s="34"/>
      <c r="J158" s="36"/>
      <c r="K158" s="34"/>
      <c r="L158" s="34"/>
      <c r="M158" s="34"/>
      <c r="N158" s="34"/>
      <c r="O158" s="34"/>
      <c r="P158" s="34"/>
      <c r="Q158" s="34"/>
      <c r="R158" s="34" t="s">
        <v>153</v>
      </c>
      <c r="S158" s="34"/>
      <c r="T158" s="11">
        <v>60</v>
      </c>
      <c r="U158" s="12">
        <v>0.79607583774250457</v>
      </c>
      <c r="V158" s="12">
        <v>0.42403367776502099</v>
      </c>
      <c r="W158" s="12">
        <v>0.44328811973807297</v>
      </c>
      <c r="X158" s="12">
        <v>0.55446587841519945</v>
      </c>
    </row>
    <row r="159" spans="1:24" x14ac:dyDescent="0.25">
      <c r="A159" s="33" t="s">
        <v>41</v>
      </c>
      <c r="B159" s="33" t="s">
        <v>133</v>
      </c>
      <c r="C159" s="33" t="s">
        <v>7</v>
      </c>
      <c r="D159" s="33">
        <v>317600</v>
      </c>
      <c r="E159" s="33">
        <v>2707000</v>
      </c>
      <c r="F159" s="33">
        <v>0.1173</v>
      </c>
      <c r="G159" s="33">
        <v>88.536155202821874</v>
      </c>
      <c r="H159" s="33">
        <v>120</v>
      </c>
      <c r="I159" s="38">
        <v>4.483411001952069</v>
      </c>
      <c r="J159" s="35"/>
      <c r="K159" s="33"/>
      <c r="L159" s="33"/>
      <c r="M159" s="33"/>
      <c r="N159" s="33"/>
      <c r="O159" s="33"/>
      <c r="P159" s="33"/>
      <c r="Q159" s="33"/>
      <c r="R159" s="33"/>
      <c r="S159" s="33"/>
      <c r="T159" s="11">
        <v>30</v>
      </c>
      <c r="U159" s="18" t="s">
        <v>242</v>
      </c>
      <c r="V159" s="18" t="s">
        <v>243</v>
      </c>
      <c r="W159" s="17"/>
      <c r="X159" s="18" t="s">
        <v>185</v>
      </c>
    </row>
    <row r="160" spans="1:24" x14ac:dyDescent="0.25">
      <c r="A160" s="34" t="s">
        <v>42</v>
      </c>
      <c r="B160" s="34" t="s">
        <v>133</v>
      </c>
      <c r="C160" s="34" t="s">
        <v>7</v>
      </c>
      <c r="D160" s="34">
        <v>183400</v>
      </c>
      <c r="E160" s="34">
        <v>2980000</v>
      </c>
      <c r="F160" s="34">
        <v>6.1559999999999997E-2</v>
      </c>
      <c r="G160" s="34">
        <v>23.517030233448143</v>
      </c>
      <c r="H160" s="34">
        <v>120</v>
      </c>
      <c r="I160" s="37">
        <v>3.1577248494735684</v>
      </c>
      <c r="J160" s="36"/>
      <c r="K160" s="34"/>
      <c r="L160" s="34"/>
      <c r="M160" s="34"/>
      <c r="N160" s="34"/>
      <c r="O160" s="34"/>
      <c r="P160" s="34"/>
      <c r="Q160" s="34"/>
      <c r="R160" s="34"/>
      <c r="S160" s="34"/>
      <c r="T160" s="11">
        <v>15</v>
      </c>
      <c r="U160" s="12">
        <v>0.43507495590828926</v>
      </c>
      <c r="V160" s="12">
        <v>0.95407577497129736</v>
      </c>
      <c r="W160" s="12">
        <v>0.58571094480823194</v>
      </c>
      <c r="X160" s="12">
        <v>0.65828722522927274</v>
      </c>
    </row>
    <row r="161" spans="1:24" ht="15.75" thickBot="1" x14ac:dyDescent="0.3">
      <c r="A161" s="33" t="s">
        <v>43</v>
      </c>
      <c r="B161" s="33" t="s">
        <v>133</v>
      </c>
      <c r="C161" s="33" t="s">
        <v>7</v>
      </c>
      <c r="D161" s="33">
        <v>206100</v>
      </c>
      <c r="E161" s="33">
        <v>2653000</v>
      </c>
      <c r="F161" s="33">
        <v>7.7689999999999995E-2</v>
      </c>
      <c r="G161" s="33">
        <v>47.602899906454624</v>
      </c>
      <c r="H161" s="33">
        <v>120</v>
      </c>
      <c r="I161" s="38">
        <v>3.862893681786189</v>
      </c>
      <c r="J161" s="35"/>
      <c r="K161" s="33"/>
      <c r="L161" s="33"/>
      <c r="M161" s="33"/>
      <c r="N161" s="33"/>
      <c r="O161" s="33"/>
      <c r="P161" s="33"/>
      <c r="Q161" s="33"/>
      <c r="R161" s="33"/>
      <c r="S161" s="33"/>
      <c r="T161" s="14">
        <v>0</v>
      </c>
      <c r="U161" s="15">
        <v>1</v>
      </c>
      <c r="V161" s="15">
        <v>1</v>
      </c>
      <c r="W161" s="15">
        <v>1</v>
      </c>
      <c r="X161" s="15">
        <v>1</v>
      </c>
    </row>
    <row r="162" spans="1:24" ht="16.5" thickTop="1" thickBot="1" x14ac:dyDescent="0.3">
      <c r="A162" s="34" t="s">
        <v>44</v>
      </c>
      <c r="B162" s="34" t="s">
        <v>133</v>
      </c>
      <c r="C162" s="34" t="s">
        <v>7</v>
      </c>
      <c r="D162" s="34">
        <v>281300</v>
      </c>
      <c r="E162" s="34">
        <v>2578000</v>
      </c>
      <c r="F162" s="34">
        <v>0.10920000000000001</v>
      </c>
      <c r="G162" s="34">
        <v>79.607583774250458</v>
      </c>
      <c r="H162" s="34">
        <v>60</v>
      </c>
      <c r="I162" s="37">
        <v>4.3771093618579613</v>
      </c>
      <c r="J162" s="36"/>
      <c r="K162" s="34"/>
      <c r="L162" s="34"/>
      <c r="M162" s="34"/>
      <c r="N162" s="34"/>
      <c r="O162" s="34"/>
      <c r="P162" s="34"/>
      <c r="Q162" s="34"/>
      <c r="R162" s="34"/>
      <c r="S162" s="34"/>
    </row>
    <row r="163" spans="1:24" x14ac:dyDescent="0.25">
      <c r="A163" s="33" t="s">
        <v>45</v>
      </c>
      <c r="B163" s="33" t="s">
        <v>133</v>
      </c>
      <c r="C163" s="33" t="s">
        <v>7</v>
      </c>
      <c r="D163" s="33">
        <v>233900</v>
      </c>
      <c r="E163" s="33">
        <v>2876000</v>
      </c>
      <c r="F163" s="33">
        <v>8.1299999999999997E-2</v>
      </c>
      <c r="G163" s="33">
        <v>42.403367776502101</v>
      </c>
      <c r="H163" s="33">
        <v>60</v>
      </c>
      <c r="I163" s="38">
        <v>3.7472277877747078</v>
      </c>
      <c r="J163" s="35"/>
      <c r="K163" s="33"/>
      <c r="L163" s="33"/>
      <c r="M163" s="33"/>
      <c r="N163" s="33"/>
      <c r="O163" s="33"/>
      <c r="P163" s="33"/>
      <c r="Q163" s="33"/>
      <c r="R163" s="33"/>
      <c r="S163" s="33"/>
      <c r="T163" s="21" t="s">
        <v>158</v>
      </c>
      <c r="U163" s="29">
        <v>-5.2887674615127826E-3</v>
      </c>
    </row>
    <row r="164" spans="1:24" x14ac:dyDescent="0.25">
      <c r="A164" s="34" t="s">
        <v>46</v>
      </c>
      <c r="B164" s="34" t="s">
        <v>133</v>
      </c>
      <c r="C164" s="34" t="s">
        <v>7</v>
      </c>
      <c r="D164" s="34">
        <v>232700</v>
      </c>
      <c r="E164" s="34">
        <v>3107000</v>
      </c>
      <c r="F164" s="34">
        <v>7.4889999999999998E-2</v>
      </c>
      <c r="G164" s="34">
        <v>44.328811973807298</v>
      </c>
      <c r="H164" s="34">
        <v>60</v>
      </c>
      <c r="I164" s="37">
        <v>3.791634848799545</v>
      </c>
      <c r="J164" s="36"/>
      <c r="K164" s="34"/>
      <c r="L164" s="34"/>
      <c r="M164" s="34"/>
      <c r="N164" s="34"/>
      <c r="O164" s="34"/>
      <c r="P164" s="34"/>
      <c r="Q164" s="34"/>
      <c r="R164" s="34"/>
      <c r="S164" s="34"/>
      <c r="T164" s="23" t="s">
        <v>159</v>
      </c>
      <c r="U164" s="24">
        <v>4.3942311334090478</v>
      </c>
    </row>
    <row r="165" spans="1:24" ht="17.25" x14ac:dyDescent="0.25">
      <c r="A165" s="33" t="s">
        <v>47</v>
      </c>
      <c r="B165" s="33" t="s">
        <v>133</v>
      </c>
      <c r="C165" s="33" t="s">
        <v>7</v>
      </c>
      <c r="D165" s="33">
        <v>370600</v>
      </c>
      <c r="E165" s="33">
        <v>2186</v>
      </c>
      <c r="F165" s="33">
        <v>169.5</v>
      </c>
      <c r="G165" s="33">
        <v>186797.86155202825</v>
      </c>
      <c r="H165" s="33">
        <v>30</v>
      </c>
      <c r="I165" s="38" t="s">
        <v>244</v>
      </c>
      <c r="J165" s="35"/>
      <c r="K165" s="33"/>
      <c r="L165" s="33"/>
      <c r="M165" s="33"/>
      <c r="N165" s="33"/>
      <c r="O165" s="33"/>
      <c r="P165" s="33"/>
      <c r="Q165" s="33"/>
      <c r="R165" s="33"/>
      <c r="S165" s="33"/>
      <c r="T165" s="23" t="s">
        <v>160</v>
      </c>
      <c r="U165" s="25">
        <v>0.29802506135718876</v>
      </c>
    </row>
    <row r="166" spans="1:24" ht="18" x14ac:dyDescent="0.35">
      <c r="A166" s="34" t="s">
        <v>48</v>
      </c>
      <c r="B166" s="34" t="s">
        <v>133</v>
      </c>
      <c r="C166" s="34" t="s">
        <v>7</v>
      </c>
      <c r="D166" s="34">
        <v>382200</v>
      </c>
      <c r="E166" s="34">
        <v>520.29999999999995</v>
      </c>
      <c r="F166" s="34">
        <v>734.5</v>
      </c>
      <c r="G166" s="34">
        <v>702700.93761959451</v>
      </c>
      <c r="H166" s="34">
        <v>30</v>
      </c>
      <c r="I166" s="37" t="s">
        <v>245</v>
      </c>
      <c r="J166" s="36"/>
      <c r="K166" s="34"/>
      <c r="L166" s="34"/>
      <c r="M166" s="34"/>
      <c r="N166" s="34"/>
      <c r="O166" s="34"/>
      <c r="P166" s="34"/>
      <c r="Q166" s="34"/>
      <c r="R166" s="34"/>
      <c r="S166" s="34"/>
      <c r="T166" s="23" t="s">
        <v>161</v>
      </c>
      <c r="U166" s="26">
        <v>131.06024902854767</v>
      </c>
    </row>
    <row r="167" spans="1:24" ht="18.75" x14ac:dyDescent="0.35">
      <c r="A167" s="33" t="s">
        <v>49</v>
      </c>
      <c r="B167" s="33" t="s">
        <v>133</v>
      </c>
      <c r="C167" s="33" t="s">
        <v>7</v>
      </c>
      <c r="D167" s="33">
        <v>366900</v>
      </c>
      <c r="E167" s="33" t="s">
        <v>6</v>
      </c>
      <c r="F167" s="33" t="s">
        <v>6</v>
      </c>
      <c r="G167" s="33" t="e">
        <v>#VALUE!</v>
      </c>
      <c r="H167" s="33">
        <v>30</v>
      </c>
      <c r="I167" s="38" t="e">
        <v>#VALUE!</v>
      </c>
      <c r="J167" s="35"/>
      <c r="K167" s="33"/>
      <c r="L167" s="33"/>
      <c r="M167" s="33"/>
      <c r="N167" s="33"/>
      <c r="O167" s="33"/>
      <c r="P167" s="33"/>
      <c r="Q167" s="33"/>
      <c r="R167" s="33"/>
      <c r="S167" s="33"/>
      <c r="T167" s="23" t="s">
        <v>162</v>
      </c>
      <c r="U167" s="26">
        <v>10.577534923025565</v>
      </c>
    </row>
    <row r="168" spans="1:24" ht="15.75" thickBot="1" x14ac:dyDescent="0.3">
      <c r="A168" s="34" t="s">
        <v>50</v>
      </c>
      <c r="B168" s="34" t="s">
        <v>133</v>
      </c>
      <c r="C168" s="34" t="s">
        <v>7</v>
      </c>
      <c r="D168" s="34">
        <v>216600</v>
      </c>
      <c r="E168" s="34">
        <v>2833000</v>
      </c>
      <c r="F168" s="34">
        <v>7.6450000000000004E-2</v>
      </c>
      <c r="G168" s="34">
        <v>43.507495590828924</v>
      </c>
      <c r="H168" s="34">
        <v>15</v>
      </c>
      <c r="I168" s="37">
        <v>3.7729332356834053</v>
      </c>
      <c r="J168" s="36"/>
      <c r="K168" s="34"/>
      <c r="L168" s="34"/>
      <c r="M168" s="34"/>
      <c r="N168" s="34"/>
      <c r="O168" s="34"/>
      <c r="P168" s="34"/>
      <c r="Q168" s="34"/>
      <c r="R168" s="34"/>
      <c r="S168" s="34"/>
      <c r="T168" s="27" t="s">
        <v>146</v>
      </c>
      <c r="U168" s="28" t="s">
        <v>181</v>
      </c>
    </row>
    <row r="169" spans="1:24" x14ac:dyDescent="0.25">
      <c r="A169" s="33" t="s">
        <v>51</v>
      </c>
      <c r="B169" s="33" t="s">
        <v>133</v>
      </c>
      <c r="C169" s="33" t="s">
        <v>7</v>
      </c>
      <c r="D169" s="33">
        <v>368900</v>
      </c>
      <c r="E169" s="33">
        <v>2700000</v>
      </c>
      <c r="F169" s="33">
        <v>0.13669999999999999</v>
      </c>
      <c r="G169" s="33">
        <v>95.407577497129736</v>
      </c>
      <c r="H169" s="33">
        <v>15</v>
      </c>
      <c r="I169" s="38">
        <v>4.5581580039910365</v>
      </c>
      <c r="J169" s="35"/>
      <c r="K169" s="33"/>
      <c r="L169" s="33"/>
      <c r="M169" s="33"/>
      <c r="N169" s="33"/>
      <c r="O169" s="33"/>
      <c r="P169" s="33"/>
      <c r="Q169" s="33"/>
      <c r="R169" s="33"/>
      <c r="S169" s="33"/>
    </row>
    <row r="170" spans="1:24" x14ac:dyDescent="0.25">
      <c r="A170" s="34" t="s">
        <v>52</v>
      </c>
      <c r="B170" s="34" t="s">
        <v>133</v>
      </c>
      <c r="C170" s="34" t="s">
        <v>7</v>
      </c>
      <c r="D170" s="34">
        <v>244300</v>
      </c>
      <c r="E170" s="34">
        <v>2806000</v>
      </c>
      <c r="F170" s="34">
        <v>8.7069999999999995E-2</v>
      </c>
      <c r="G170" s="34">
        <v>58.571094480823191</v>
      </c>
      <c r="H170" s="34">
        <v>15</v>
      </c>
      <c r="I170" s="37">
        <v>4.0702413066408267</v>
      </c>
      <c r="J170" s="36"/>
      <c r="K170" s="34"/>
      <c r="L170" s="34"/>
      <c r="M170" s="34"/>
      <c r="N170" s="34"/>
      <c r="O170" s="34"/>
      <c r="P170" s="34"/>
      <c r="Q170" s="34"/>
      <c r="R170" s="34"/>
      <c r="S170" s="34"/>
    </row>
    <row r="171" spans="1:24" x14ac:dyDescent="0.25">
      <c r="A171" s="33" t="s">
        <v>53</v>
      </c>
      <c r="B171" s="33" t="s">
        <v>133</v>
      </c>
      <c r="C171" s="33" t="s">
        <v>7</v>
      </c>
      <c r="D171" s="33">
        <v>220100</v>
      </c>
      <c r="E171" s="33">
        <v>1724000</v>
      </c>
      <c r="F171" s="33">
        <v>0.12770000000000001</v>
      </c>
      <c r="G171" s="33">
        <v>100</v>
      </c>
      <c r="H171" s="33">
        <v>0</v>
      </c>
      <c r="I171" s="38">
        <v>4.6051701859880918</v>
      </c>
      <c r="J171" s="35"/>
      <c r="K171" s="33"/>
      <c r="L171" s="33"/>
      <c r="M171" s="33"/>
      <c r="N171" s="33"/>
      <c r="O171" s="33"/>
      <c r="P171" s="33"/>
      <c r="Q171" s="33"/>
      <c r="R171" s="33"/>
      <c r="S171" s="33"/>
    </row>
    <row r="172" spans="1:24" x14ac:dyDescent="0.25">
      <c r="A172" s="34" t="s">
        <v>54</v>
      </c>
      <c r="B172" s="34" t="s">
        <v>133</v>
      </c>
      <c r="C172" s="34" t="s">
        <v>7</v>
      </c>
      <c r="D172" s="34">
        <v>233300</v>
      </c>
      <c r="E172" s="34">
        <v>1649000</v>
      </c>
      <c r="F172" s="34">
        <v>0.14149999999999999</v>
      </c>
      <c r="G172" s="34">
        <v>100</v>
      </c>
      <c r="H172" s="34">
        <v>0</v>
      </c>
      <c r="I172" s="37">
        <v>4.6051701859880918</v>
      </c>
      <c r="J172" s="36"/>
      <c r="K172" s="34"/>
      <c r="L172" s="34"/>
      <c r="M172" s="34"/>
      <c r="N172" s="34"/>
      <c r="O172" s="34"/>
      <c r="P172" s="34"/>
      <c r="Q172" s="34"/>
      <c r="R172" s="34"/>
      <c r="S172" s="34"/>
    </row>
    <row r="173" spans="1:24" x14ac:dyDescent="0.25">
      <c r="A173" s="33" t="s">
        <v>55</v>
      </c>
      <c r="B173" s="33" t="s">
        <v>133</v>
      </c>
      <c r="C173" s="33" t="s">
        <v>7</v>
      </c>
      <c r="D173" s="33">
        <v>242200</v>
      </c>
      <c r="E173" s="33">
        <v>1978000</v>
      </c>
      <c r="F173" s="33">
        <v>0.1225</v>
      </c>
      <c r="G173" s="33">
        <v>100</v>
      </c>
      <c r="H173" s="33">
        <v>0</v>
      </c>
      <c r="I173" s="38">
        <v>4.6051701859880918</v>
      </c>
      <c r="J173" s="35"/>
      <c r="K173" s="33"/>
      <c r="L173" s="33"/>
      <c r="M173" s="33"/>
      <c r="N173" s="33"/>
      <c r="O173" s="33"/>
      <c r="P173" s="33"/>
      <c r="Q173" s="33"/>
      <c r="R173" s="33"/>
      <c r="S173" s="33"/>
    </row>
    <row r="174" spans="1:24" x14ac:dyDescent="0.25">
      <c r="A174" s="1" t="s">
        <v>287</v>
      </c>
      <c r="B174" s="1" t="s">
        <v>133</v>
      </c>
      <c r="C174" s="1" t="s">
        <v>7</v>
      </c>
      <c r="D174" s="1">
        <v>239865.91584</v>
      </c>
      <c r="E174" s="1">
        <v>2582775.2528599999</v>
      </c>
      <c r="F174" s="1">
        <v>9.2869999999999994E-2</v>
      </c>
    </row>
    <row r="175" spans="1:24" x14ac:dyDescent="0.25">
      <c r="A175" s="1" t="s">
        <v>288</v>
      </c>
      <c r="B175" s="1" t="s">
        <v>133</v>
      </c>
      <c r="C175" s="1" t="s">
        <v>7</v>
      </c>
      <c r="D175" s="1">
        <v>482057.01131999999</v>
      </c>
      <c r="E175" s="1">
        <v>1895714.7000200001</v>
      </c>
      <c r="F175" s="1">
        <v>0.25429000000000002</v>
      </c>
    </row>
    <row r="176" spans="1:24" x14ac:dyDescent="0.25">
      <c r="A176" s="1" t="s">
        <v>289</v>
      </c>
      <c r="B176" s="1" t="s">
        <v>133</v>
      </c>
      <c r="C176" s="1" t="s">
        <v>7</v>
      </c>
      <c r="D176" s="1">
        <v>575745.06145000004</v>
      </c>
      <c r="E176" s="1">
        <v>2480125.0605500001</v>
      </c>
      <c r="F176" s="1">
        <v>0.23214000000000001</v>
      </c>
      <c r="G176" s="1">
        <f>AVERAGE(F174:F176)/AVERAGE(F171:F173)*100</f>
        <v>147.89379627265765</v>
      </c>
    </row>
  </sheetData>
  <sortState ref="A2:L370">
    <sortCondition ref="H2:H370"/>
    <sortCondition ref="L2:L370"/>
    <sortCondition ref="B2:B370"/>
    <sortCondition ref="G2:G370"/>
    <sortCondition descending="1" ref="J2:J370"/>
    <sortCondition ref="K2:K370"/>
  </sortState>
  <conditionalFormatting sqref="I5">
    <cfRule type="expression" dxfId="314" priority="542">
      <formula>ISTEXT($I$5)</formula>
    </cfRule>
  </conditionalFormatting>
  <conditionalFormatting sqref="I6">
    <cfRule type="expression" dxfId="313" priority="541">
      <formula>ISTEXT($I$6)</formula>
    </cfRule>
  </conditionalFormatting>
  <conditionalFormatting sqref="I7">
    <cfRule type="expression" dxfId="312" priority="540">
      <formula>ISTEXT($I$7)</formula>
    </cfRule>
  </conditionalFormatting>
  <conditionalFormatting sqref="I8">
    <cfRule type="expression" dxfId="311" priority="539">
      <formula>ISTEXT($I$8)</formula>
    </cfRule>
  </conditionalFormatting>
  <conditionalFormatting sqref="I9">
    <cfRule type="expression" dxfId="310" priority="538">
      <formula>ISTEXT($I$9)</formula>
    </cfRule>
  </conditionalFormatting>
  <conditionalFormatting sqref="I10">
    <cfRule type="expression" dxfId="309" priority="537">
      <formula>ISTEXT($I$10)</formula>
    </cfRule>
  </conditionalFormatting>
  <conditionalFormatting sqref="I11">
    <cfRule type="expression" dxfId="308" priority="536">
      <formula>ISTEXT($I$11)</formula>
    </cfRule>
  </conditionalFormatting>
  <conditionalFormatting sqref="I12">
    <cfRule type="expression" dxfId="307" priority="535">
      <formula>ISTEXT($I$12)</formula>
    </cfRule>
  </conditionalFormatting>
  <conditionalFormatting sqref="I13">
    <cfRule type="expression" dxfId="306" priority="534">
      <formula>ISTEXT($I$13)</formula>
    </cfRule>
  </conditionalFormatting>
  <conditionalFormatting sqref="I14">
    <cfRule type="expression" dxfId="305" priority="533">
      <formula>ISTEXT($I$14)</formula>
    </cfRule>
  </conditionalFormatting>
  <conditionalFormatting sqref="I15">
    <cfRule type="expression" dxfId="304" priority="532">
      <formula>ISTEXT($I$15)</formula>
    </cfRule>
  </conditionalFormatting>
  <conditionalFormatting sqref="I16">
    <cfRule type="expression" dxfId="303" priority="531">
      <formula>ISTEXT($I$16)</formula>
    </cfRule>
  </conditionalFormatting>
  <conditionalFormatting sqref="I17">
    <cfRule type="expression" dxfId="302" priority="530">
      <formula>ISTEXT($I$17)</formula>
    </cfRule>
  </conditionalFormatting>
  <conditionalFormatting sqref="I18">
    <cfRule type="expression" dxfId="301" priority="529">
      <formula>ISTEXT($I$18)</formula>
    </cfRule>
  </conditionalFormatting>
  <conditionalFormatting sqref="I19:I22">
    <cfRule type="expression" dxfId="300" priority="528">
      <formula>ISTEXT($I$19)</formula>
    </cfRule>
  </conditionalFormatting>
  <conditionalFormatting sqref="I27">
    <cfRule type="expression" dxfId="299" priority="527">
      <formula>ISTEXT($I$27)</formula>
    </cfRule>
  </conditionalFormatting>
  <conditionalFormatting sqref="I28">
    <cfRule type="expression" dxfId="298" priority="526">
      <formula>ISTEXT($I$28)</formula>
    </cfRule>
  </conditionalFormatting>
  <conditionalFormatting sqref="I29">
    <cfRule type="expression" dxfId="297" priority="525">
      <formula>ISTEXT($I$29)</formula>
    </cfRule>
  </conditionalFormatting>
  <conditionalFormatting sqref="I30">
    <cfRule type="expression" dxfId="296" priority="524">
      <formula>ISTEXT($I$30)</formula>
    </cfRule>
  </conditionalFormatting>
  <conditionalFormatting sqref="I31">
    <cfRule type="expression" dxfId="295" priority="523">
      <formula>ISTEXT($I$31)</formula>
    </cfRule>
  </conditionalFormatting>
  <conditionalFormatting sqref="I32">
    <cfRule type="expression" dxfId="294" priority="522">
      <formula>ISTEXT($I$32)</formula>
    </cfRule>
  </conditionalFormatting>
  <conditionalFormatting sqref="I33">
    <cfRule type="expression" dxfId="293" priority="521">
      <formula>ISTEXT($I$33)</formula>
    </cfRule>
  </conditionalFormatting>
  <conditionalFormatting sqref="I34">
    <cfRule type="expression" dxfId="292" priority="520">
      <formula>ISTEXT($I$34)</formula>
    </cfRule>
  </conditionalFormatting>
  <conditionalFormatting sqref="I35">
    <cfRule type="expression" dxfId="291" priority="519">
      <formula>ISTEXT($I$35)</formula>
    </cfRule>
  </conditionalFormatting>
  <conditionalFormatting sqref="I36">
    <cfRule type="expression" dxfId="290" priority="518">
      <formula>ISTEXT($I$36)</formula>
    </cfRule>
  </conditionalFormatting>
  <conditionalFormatting sqref="I37">
    <cfRule type="expression" dxfId="289" priority="517">
      <formula>ISTEXT($I$37)</formula>
    </cfRule>
  </conditionalFormatting>
  <conditionalFormatting sqref="I38">
    <cfRule type="expression" dxfId="288" priority="516">
      <formula>ISTEXT($I$38)</formula>
    </cfRule>
  </conditionalFormatting>
  <conditionalFormatting sqref="I39">
    <cfRule type="expression" dxfId="287" priority="515">
      <formula>ISTEXT($I$39)</formula>
    </cfRule>
  </conditionalFormatting>
  <conditionalFormatting sqref="I40">
    <cfRule type="expression" dxfId="286" priority="514">
      <formula>ISTEXT($I$40)</formula>
    </cfRule>
  </conditionalFormatting>
  <conditionalFormatting sqref="I41">
    <cfRule type="expression" dxfId="285" priority="513">
      <formula>ISTEXT($I$41)</formula>
    </cfRule>
  </conditionalFormatting>
  <conditionalFormatting sqref="I49">
    <cfRule type="expression" dxfId="284" priority="482">
      <formula>ISTEXT($I$49)</formula>
    </cfRule>
  </conditionalFormatting>
  <conditionalFormatting sqref="I50">
    <cfRule type="expression" dxfId="283" priority="481">
      <formula>ISTEXT($I$50)</formula>
    </cfRule>
  </conditionalFormatting>
  <conditionalFormatting sqref="I51">
    <cfRule type="expression" dxfId="282" priority="480">
      <formula>ISTEXT($I$51)</formula>
    </cfRule>
  </conditionalFormatting>
  <conditionalFormatting sqref="I52">
    <cfRule type="expression" dxfId="281" priority="479">
      <formula>ISTEXT($I$52)</formula>
    </cfRule>
  </conditionalFormatting>
  <conditionalFormatting sqref="I53">
    <cfRule type="expression" dxfId="280" priority="478">
      <formula>ISTEXT($I$53)</formula>
    </cfRule>
  </conditionalFormatting>
  <conditionalFormatting sqref="I54">
    <cfRule type="expression" dxfId="279" priority="477">
      <formula>ISTEXT($I$54)</formula>
    </cfRule>
  </conditionalFormatting>
  <conditionalFormatting sqref="I55">
    <cfRule type="expression" dxfId="278" priority="476">
      <formula>ISTEXT($I$55)</formula>
    </cfRule>
  </conditionalFormatting>
  <conditionalFormatting sqref="I56">
    <cfRule type="expression" dxfId="277" priority="475">
      <formula>ISTEXT($I$56)</formula>
    </cfRule>
  </conditionalFormatting>
  <conditionalFormatting sqref="I57">
    <cfRule type="expression" dxfId="276" priority="474">
      <formula>ISTEXT($I$57)</formula>
    </cfRule>
  </conditionalFormatting>
  <conditionalFormatting sqref="I58">
    <cfRule type="expression" dxfId="275" priority="473">
      <formula>ISTEXT($I$58)</formula>
    </cfRule>
  </conditionalFormatting>
  <conditionalFormatting sqref="I59">
    <cfRule type="expression" dxfId="274" priority="472">
      <formula>ISTEXT($I$59)</formula>
    </cfRule>
  </conditionalFormatting>
  <conditionalFormatting sqref="I60">
    <cfRule type="expression" dxfId="273" priority="471">
      <formula>ISTEXT($I$60)</formula>
    </cfRule>
  </conditionalFormatting>
  <conditionalFormatting sqref="I61">
    <cfRule type="expression" dxfId="272" priority="470">
      <formula>ISTEXT($I$61)</formula>
    </cfRule>
  </conditionalFormatting>
  <conditionalFormatting sqref="I62">
    <cfRule type="expression" dxfId="271" priority="469">
      <formula>ISTEXT($I$62)</formula>
    </cfRule>
  </conditionalFormatting>
  <conditionalFormatting sqref="I63:I66">
    <cfRule type="expression" dxfId="270" priority="468">
      <formula>ISTEXT($I$63)</formula>
    </cfRule>
  </conditionalFormatting>
  <conditionalFormatting sqref="I71">
    <cfRule type="expression" dxfId="269" priority="467">
      <formula>ISTEXT($I$71)</formula>
    </cfRule>
  </conditionalFormatting>
  <conditionalFormatting sqref="I72">
    <cfRule type="expression" dxfId="268" priority="466">
      <formula>ISTEXT($I$72)</formula>
    </cfRule>
  </conditionalFormatting>
  <conditionalFormatting sqref="I73">
    <cfRule type="expression" dxfId="267" priority="465">
      <formula>ISTEXT($I$73)</formula>
    </cfRule>
  </conditionalFormatting>
  <conditionalFormatting sqref="I74">
    <cfRule type="expression" dxfId="266" priority="464">
      <formula>ISTEXT($I$74)</formula>
    </cfRule>
  </conditionalFormatting>
  <conditionalFormatting sqref="I75">
    <cfRule type="expression" dxfId="265" priority="463">
      <formula>ISTEXT($I$75)</formula>
    </cfRule>
  </conditionalFormatting>
  <conditionalFormatting sqref="I76">
    <cfRule type="expression" dxfId="264" priority="462">
      <formula>ISTEXT($I$76)</formula>
    </cfRule>
  </conditionalFormatting>
  <conditionalFormatting sqref="I77">
    <cfRule type="expression" dxfId="263" priority="461">
      <formula>ISTEXT($I$77)</formula>
    </cfRule>
  </conditionalFormatting>
  <conditionalFormatting sqref="I78">
    <cfRule type="expression" dxfId="262" priority="460">
      <formula>ISTEXT($I$78)</formula>
    </cfRule>
  </conditionalFormatting>
  <conditionalFormatting sqref="I79">
    <cfRule type="expression" dxfId="261" priority="459">
      <formula>ISTEXT($I$79)</formula>
    </cfRule>
  </conditionalFormatting>
  <conditionalFormatting sqref="I80">
    <cfRule type="expression" dxfId="260" priority="458">
      <formula>ISTEXT($I$80)</formula>
    </cfRule>
  </conditionalFormatting>
  <conditionalFormatting sqref="I81">
    <cfRule type="expression" dxfId="259" priority="457">
      <formula>ISTEXT($I$81)</formula>
    </cfRule>
  </conditionalFormatting>
  <conditionalFormatting sqref="I82">
    <cfRule type="expression" dxfId="258" priority="456">
      <formula>ISTEXT($I$82)</formula>
    </cfRule>
  </conditionalFormatting>
  <conditionalFormatting sqref="I83">
    <cfRule type="expression" dxfId="257" priority="455">
      <formula>ISTEXT($I$83)</formula>
    </cfRule>
  </conditionalFormatting>
  <conditionalFormatting sqref="I84">
    <cfRule type="expression" dxfId="256" priority="454">
      <formula>ISTEXT($I$84)</formula>
    </cfRule>
  </conditionalFormatting>
  <conditionalFormatting sqref="I85">
    <cfRule type="expression" dxfId="255" priority="453">
      <formula>ISTEXT($I$85)</formula>
    </cfRule>
  </conditionalFormatting>
  <conditionalFormatting sqref="I93">
    <cfRule type="expression" dxfId="254" priority="452">
      <formula>ISTEXT($I$93)</formula>
    </cfRule>
  </conditionalFormatting>
  <conditionalFormatting sqref="I94">
    <cfRule type="expression" dxfId="253" priority="451">
      <formula>ISTEXT($I$94)</formula>
    </cfRule>
  </conditionalFormatting>
  <conditionalFormatting sqref="I95">
    <cfRule type="expression" dxfId="252" priority="450">
      <formula>ISTEXT($I$95)</formula>
    </cfRule>
  </conditionalFormatting>
  <conditionalFormatting sqref="I96">
    <cfRule type="expression" dxfId="251" priority="449">
      <formula>ISTEXT($I$96)</formula>
    </cfRule>
  </conditionalFormatting>
  <conditionalFormatting sqref="I97">
    <cfRule type="expression" dxfId="250" priority="448">
      <formula>ISTEXT($I$97)</formula>
    </cfRule>
  </conditionalFormatting>
  <conditionalFormatting sqref="I98">
    <cfRule type="expression" dxfId="249" priority="447">
      <formula>ISTEXT($I$98)</formula>
    </cfRule>
  </conditionalFormatting>
  <conditionalFormatting sqref="I99">
    <cfRule type="expression" dxfId="248" priority="446">
      <formula>ISTEXT($I$99)</formula>
    </cfRule>
  </conditionalFormatting>
  <conditionalFormatting sqref="I100">
    <cfRule type="expression" dxfId="247" priority="445">
      <formula>ISTEXT($I$100)</formula>
    </cfRule>
  </conditionalFormatting>
  <conditionalFormatting sqref="I101">
    <cfRule type="expression" dxfId="246" priority="444">
      <formula>ISTEXT($I$101)</formula>
    </cfRule>
  </conditionalFormatting>
  <conditionalFormatting sqref="I102">
    <cfRule type="expression" dxfId="245" priority="443">
      <formula>ISTEXT($I$102)</formula>
    </cfRule>
  </conditionalFormatting>
  <conditionalFormatting sqref="I103">
    <cfRule type="expression" dxfId="244" priority="442">
      <formula>ISTEXT($I$103)</formula>
    </cfRule>
  </conditionalFormatting>
  <conditionalFormatting sqref="I104">
    <cfRule type="expression" dxfId="243" priority="441">
      <formula>ISTEXT($I$104)</formula>
    </cfRule>
  </conditionalFormatting>
  <conditionalFormatting sqref="I105">
    <cfRule type="expression" dxfId="242" priority="440">
      <formula>ISTEXT($I$105)</formula>
    </cfRule>
  </conditionalFormatting>
  <conditionalFormatting sqref="I106">
    <cfRule type="expression" dxfId="241" priority="439">
      <formula>ISTEXT($I$106)</formula>
    </cfRule>
  </conditionalFormatting>
  <conditionalFormatting sqref="I107">
    <cfRule type="expression" dxfId="240" priority="438">
      <formula>ISTEXT($I$107)</formula>
    </cfRule>
  </conditionalFormatting>
  <conditionalFormatting sqref="I115">
    <cfRule type="expression" dxfId="239" priority="437">
      <formula>ISTEXT($I$115)</formula>
    </cfRule>
  </conditionalFormatting>
  <conditionalFormatting sqref="I116">
    <cfRule type="expression" dxfId="238" priority="436">
      <formula>ISTEXT($I$116)</formula>
    </cfRule>
  </conditionalFormatting>
  <conditionalFormatting sqref="I117">
    <cfRule type="expression" dxfId="237" priority="435">
      <formula>ISTEXT($I$117)</formula>
    </cfRule>
  </conditionalFormatting>
  <conditionalFormatting sqref="I118">
    <cfRule type="expression" dxfId="236" priority="434">
      <formula>ISTEXT($I$118)</formula>
    </cfRule>
  </conditionalFormatting>
  <conditionalFormatting sqref="I119">
    <cfRule type="expression" dxfId="235" priority="433">
      <formula>ISTEXT($I$119)</formula>
    </cfRule>
  </conditionalFormatting>
  <conditionalFormatting sqref="I120">
    <cfRule type="expression" dxfId="234" priority="432">
      <formula>ISTEXT($I$120)</formula>
    </cfRule>
  </conditionalFormatting>
  <conditionalFormatting sqref="I121">
    <cfRule type="expression" dxfId="233" priority="431">
      <formula>ISTEXT($I$121)</formula>
    </cfRule>
  </conditionalFormatting>
  <conditionalFormatting sqref="I122">
    <cfRule type="expression" dxfId="232" priority="430">
      <formula>ISTEXT($I$122)</formula>
    </cfRule>
  </conditionalFormatting>
  <conditionalFormatting sqref="I123">
    <cfRule type="expression" dxfId="231" priority="429">
      <formula>ISTEXT($I$123)</formula>
    </cfRule>
  </conditionalFormatting>
  <conditionalFormatting sqref="I124">
    <cfRule type="expression" dxfId="230" priority="428">
      <formula>ISTEXT($I$124)</formula>
    </cfRule>
  </conditionalFormatting>
  <conditionalFormatting sqref="I125">
    <cfRule type="expression" dxfId="229" priority="427">
      <formula>ISTEXT($I$125)</formula>
    </cfRule>
  </conditionalFormatting>
  <conditionalFormatting sqref="I126">
    <cfRule type="expression" dxfId="228" priority="426">
      <formula>ISTEXT($I$126)</formula>
    </cfRule>
  </conditionalFormatting>
  <conditionalFormatting sqref="I127">
    <cfRule type="expression" dxfId="227" priority="425">
      <formula>ISTEXT($I$127)</formula>
    </cfRule>
  </conditionalFormatting>
  <conditionalFormatting sqref="I128">
    <cfRule type="expression" dxfId="226" priority="424">
      <formula>ISTEXT($I$128)</formula>
    </cfRule>
  </conditionalFormatting>
  <conditionalFormatting sqref="I129">
    <cfRule type="expression" dxfId="225" priority="423">
      <formula>ISTEXT($I$129)</formula>
    </cfRule>
  </conditionalFormatting>
  <conditionalFormatting sqref="I137">
    <cfRule type="expression" dxfId="224" priority="392">
      <formula>ISTEXT($I$137)</formula>
    </cfRule>
  </conditionalFormatting>
  <conditionalFormatting sqref="I138">
    <cfRule type="expression" dxfId="223" priority="391">
      <formula>ISTEXT($I$138)</formula>
    </cfRule>
  </conditionalFormatting>
  <conditionalFormatting sqref="I139">
    <cfRule type="expression" dxfId="222" priority="390">
      <formula>ISTEXT($I$139)</formula>
    </cfRule>
  </conditionalFormatting>
  <conditionalFormatting sqref="I140">
    <cfRule type="expression" dxfId="221" priority="389">
      <formula>ISTEXT($I$140)</formula>
    </cfRule>
  </conditionalFormatting>
  <conditionalFormatting sqref="I141">
    <cfRule type="expression" dxfId="220" priority="388">
      <formula>ISTEXT($I$141)</formula>
    </cfRule>
  </conditionalFormatting>
  <conditionalFormatting sqref="I142">
    <cfRule type="expression" dxfId="219" priority="387">
      <formula>ISTEXT($I$142)</formula>
    </cfRule>
  </conditionalFormatting>
  <conditionalFormatting sqref="I143">
    <cfRule type="expression" dxfId="218" priority="386">
      <formula>ISTEXT($I$143)</formula>
    </cfRule>
  </conditionalFormatting>
  <conditionalFormatting sqref="I144">
    <cfRule type="expression" dxfId="217" priority="385">
      <formula>ISTEXT($I$144)</formula>
    </cfRule>
  </conditionalFormatting>
  <conditionalFormatting sqref="I145">
    <cfRule type="expression" dxfId="216" priority="384">
      <formula>ISTEXT($I$145)</formula>
    </cfRule>
  </conditionalFormatting>
  <conditionalFormatting sqref="I146">
    <cfRule type="expression" dxfId="215" priority="383">
      <formula>ISTEXT($I$146)</formula>
    </cfRule>
  </conditionalFormatting>
  <conditionalFormatting sqref="I147">
    <cfRule type="expression" dxfId="214" priority="382">
      <formula>ISTEXT($I$147)</formula>
    </cfRule>
  </conditionalFormatting>
  <conditionalFormatting sqref="I148">
    <cfRule type="expression" dxfId="213" priority="381">
      <formula>ISTEXT($I$148)</formula>
    </cfRule>
  </conditionalFormatting>
  <conditionalFormatting sqref="I149">
    <cfRule type="expression" dxfId="212" priority="380">
      <formula>ISTEXT($I$149)</formula>
    </cfRule>
  </conditionalFormatting>
  <conditionalFormatting sqref="I150">
    <cfRule type="expression" dxfId="211" priority="379">
      <formula>ISTEXT($I$150)</formula>
    </cfRule>
  </conditionalFormatting>
  <conditionalFormatting sqref="I151">
    <cfRule type="expression" dxfId="210" priority="378">
      <formula>ISTEXT($I$151)</formula>
    </cfRule>
  </conditionalFormatting>
  <conditionalFormatting sqref="I159">
    <cfRule type="expression" dxfId="209" priority="377">
      <formula>ISTEXT($I$159)</formula>
    </cfRule>
  </conditionalFormatting>
  <conditionalFormatting sqref="I160">
    <cfRule type="expression" dxfId="208" priority="376">
      <formula>ISTEXT($I$160)</formula>
    </cfRule>
  </conditionalFormatting>
  <conditionalFormatting sqref="I161">
    <cfRule type="expression" dxfId="207" priority="375">
      <formula>ISTEXT($I$161)</formula>
    </cfRule>
  </conditionalFormatting>
  <conditionalFormatting sqref="I162">
    <cfRule type="expression" dxfId="206" priority="374">
      <formula>ISTEXT($I$162)</formula>
    </cfRule>
  </conditionalFormatting>
  <conditionalFormatting sqref="I163">
    <cfRule type="expression" dxfId="205" priority="373">
      <formula>ISTEXT($I$163)</formula>
    </cfRule>
  </conditionalFormatting>
  <conditionalFormatting sqref="I164">
    <cfRule type="expression" dxfId="204" priority="372">
      <formula>ISTEXT($I$164)</formula>
    </cfRule>
  </conditionalFormatting>
  <conditionalFormatting sqref="I165">
    <cfRule type="expression" dxfId="203" priority="371">
      <formula>ISTEXT($I$165)</formula>
    </cfRule>
  </conditionalFormatting>
  <conditionalFormatting sqref="I166">
    <cfRule type="expression" dxfId="202" priority="370">
      <formula>ISTEXT($I$166)</formula>
    </cfRule>
  </conditionalFormatting>
  <conditionalFormatting sqref="I167">
    <cfRule type="expression" dxfId="201" priority="369">
      <formula>ISTEXT($I$167)</formula>
    </cfRule>
  </conditionalFormatting>
  <conditionalFormatting sqref="I168">
    <cfRule type="expression" dxfId="200" priority="368">
      <formula>ISTEXT($I$168)</formula>
    </cfRule>
  </conditionalFormatting>
  <conditionalFormatting sqref="I169">
    <cfRule type="expression" dxfId="199" priority="367">
      <formula>ISTEXT($I$169)</formula>
    </cfRule>
  </conditionalFormatting>
  <conditionalFormatting sqref="I170">
    <cfRule type="expression" dxfId="198" priority="366">
      <formula>ISTEXT($I$170)</formula>
    </cfRule>
  </conditionalFormatting>
  <conditionalFormatting sqref="I171">
    <cfRule type="expression" dxfId="197" priority="365">
      <formula>ISTEXT($I$171)</formula>
    </cfRule>
  </conditionalFormatting>
  <conditionalFormatting sqref="I172">
    <cfRule type="expression" dxfId="196" priority="364">
      <formula>ISTEXT($I$172)</formula>
    </cfRule>
  </conditionalFormatting>
  <conditionalFormatting sqref="I173">
    <cfRule type="expression" dxfId="195" priority="363">
      <formula>ISTEXT($I$173)</formula>
    </cfRule>
  </conditionalFormatting>
  <conditionalFormatting sqref="U3">
    <cfRule type="expression" dxfId="194" priority="242">
      <formula>ISTEXT($U$3)</formula>
    </cfRule>
  </conditionalFormatting>
  <conditionalFormatting sqref="V3">
    <cfRule type="expression" dxfId="193" priority="241">
      <formula>ISTEXT($V$3)</formula>
    </cfRule>
  </conditionalFormatting>
  <conditionalFormatting sqref="W3">
    <cfRule type="expression" dxfId="192" priority="240">
      <formula>ISTEXT($W$3)</formula>
    </cfRule>
  </conditionalFormatting>
  <conditionalFormatting sqref="X3">
    <cfRule type="expression" dxfId="191" priority="239">
      <formula>ISTEXT($X$3)</formula>
    </cfRule>
  </conditionalFormatting>
  <conditionalFormatting sqref="U4">
    <cfRule type="expression" dxfId="190" priority="238">
      <formula>ISTEXT($U$4)</formula>
    </cfRule>
  </conditionalFormatting>
  <conditionalFormatting sqref="V4">
    <cfRule type="expression" dxfId="189" priority="237">
      <formula>ISTEXT($V$4)</formula>
    </cfRule>
  </conditionalFormatting>
  <conditionalFormatting sqref="W4">
    <cfRule type="expression" dxfId="188" priority="236">
      <formula>ISTEXT($W$4)</formula>
    </cfRule>
  </conditionalFormatting>
  <conditionalFormatting sqref="X4">
    <cfRule type="expression" dxfId="187" priority="235">
      <formula>ISTEXT($X$4)</formula>
    </cfRule>
  </conditionalFormatting>
  <conditionalFormatting sqref="U5">
    <cfRule type="expression" dxfId="186" priority="234">
      <formula>ISTEXT($U$5)</formula>
    </cfRule>
  </conditionalFormatting>
  <conditionalFormatting sqref="V5">
    <cfRule type="expression" dxfId="185" priority="233">
      <formula>ISTEXT($V$5)</formula>
    </cfRule>
  </conditionalFormatting>
  <conditionalFormatting sqref="W5">
    <cfRule type="expression" dxfId="184" priority="232">
      <formula>ISTEXT($W$5)</formula>
    </cfRule>
  </conditionalFormatting>
  <conditionalFormatting sqref="X5">
    <cfRule type="expression" dxfId="183" priority="231">
      <formula>ISTEXT($X$5)</formula>
    </cfRule>
  </conditionalFormatting>
  <conditionalFormatting sqref="U6">
    <cfRule type="expression" dxfId="182" priority="230">
      <formula>ISTEXT($U$6)</formula>
    </cfRule>
  </conditionalFormatting>
  <conditionalFormatting sqref="V6">
    <cfRule type="expression" dxfId="181" priority="229">
      <formula>ISTEXT($V$6)</formula>
    </cfRule>
  </conditionalFormatting>
  <conditionalFormatting sqref="W6">
    <cfRule type="expression" dxfId="180" priority="228">
      <formula>ISTEXT($W$6)</formula>
    </cfRule>
  </conditionalFormatting>
  <conditionalFormatting sqref="X6">
    <cfRule type="expression" dxfId="179" priority="227">
      <formula>ISTEXT($X$6)</formula>
    </cfRule>
  </conditionalFormatting>
  <conditionalFormatting sqref="U7">
    <cfRule type="expression" dxfId="178" priority="226">
      <formula>ISTEXT($U$7)</formula>
    </cfRule>
  </conditionalFormatting>
  <conditionalFormatting sqref="V7">
    <cfRule type="expression" dxfId="177" priority="225">
      <formula>ISTEXT($V$7)</formula>
    </cfRule>
  </conditionalFormatting>
  <conditionalFormatting sqref="W7">
    <cfRule type="expression" dxfId="176" priority="224">
      <formula>ISTEXT($W$7)</formula>
    </cfRule>
  </conditionalFormatting>
  <conditionalFormatting sqref="X7">
    <cfRule type="expression" dxfId="175" priority="223">
      <formula>ISTEXT($X$7)</formula>
    </cfRule>
  </conditionalFormatting>
  <conditionalFormatting sqref="U25">
    <cfRule type="expression" dxfId="174" priority="222">
      <formula>ISTEXT($U$25)</formula>
    </cfRule>
  </conditionalFormatting>
  <conditionalFormatting sqref="V25">
    <cfRule type="expression" dxfId="173" priority="221">
      <formula>ISTEXT($V$25)</formula>
    </cfRule>
  </conditionalFormatting>
  <conditionalFormatting sqref="W25">
    <cfRule type="expression" dxfId="172" priority="220">
      <formula>ISTEXT($W$25)</formula>
    </cfRule>
  </conditionalFormatting>
  <conditionalFormatting sqref="X25">
    <cfRule type="expression" dxfId="171" priority="219">
      <formula>ISTEXT($X$25)</formula>
    </cfRule>
  </conditionalFormatting>
  <conditionalFormatting sqref="U26">
    <cfRule type="expression" dxfId="170" priority="218">
      <formula>ISTEXT($U$26)</formula>
    </cfRule>
  </conditionalFormatting>
  <conditionalFormatting sqref="V26">
    <cfRule type="expression" dxfId="169" priority="217">
      <formula>ISTEXT($V$26)</formula>
    </cfRule>
  </conditionalFormatting>
  <conditionalFormatting sqref="W26">
    <cfRule type="expression" dxfId="168" priority="216">
      <formula>ISTEXT($W$26)</formula>
    </cfRule>
  </conditionalFormatting>
  <conditionalFormatting sqref="X26">
    <cfRule type="expression" dxfId="167" priority="215">
      <formula>ISTEXT($X$26)</formula>
    </cfRule>
  </conditionalFormatting>
  <conditionalFormatting sqref="U27">
    <cfRule type="expression" dxfId="166" priority="214">
      <formula>ISTEXT($U$27)</formula>
    </cfRule>
  </conditionalFormatting>
  <conditionalFormatting sqref="V27">
    <cfRule type="expression" dxfId="165" priority="213">
      <formula>ISTEXT($V$27)</formula>
    </cfRule>
  </conditionalFormatting>
  <conditionalFormatting sqref="W27">
    <cfRule type="expression" dxfId="164" priority="212">
      <formula>ISTEXT($W$27)</formula>
    </cfRule>
  </conditionalFormatting>
  <conditionalFormatting sqref="X27">
    <cfRule type="expression" dxfId="163" priority="211">
      <formula>ISTEXT($X$27)</formula>
    </cfRule>
  </conditionalFormatting>
  <conditionalFormatting sqref="U28">
    <cfRule type="expression" dxfId="162" priority="210">
      <formula>ISTEXT($U$28)</formula>
    </cfRule>
  </conditionalFormatting>
  <conditionalFormatting sqref="V28">
    <cfRule type="expression" dxfId="161" priority="209">
      <formula>ISTEXT($V$28)</formula>
    </cfRule>
  </conditionalFormatting>
  <conditionalFormatting sqref="W28">
    <cfRule type="expression" dxfId="160" priority="208">
      <formula>ISTEXT($W$28)</formula>
    </cfRule>
  </conditionalFormatting>
  <conditionalFormatting sqref="X28">
    <cfRule type="expression" dxfId="159" priority="207">
      <formula>ISTEXT($X$28)</formula>
    </cfRule>
  </conditionalFormatting>
  <conditionalFormatting sqref="U29">
    <cfRule type="expression" dxfId="158" priority="206">
      <formula>ISTEXT($U$29)</formula>
    </cfRule>
  </conditionalFormatting>
  <conditionalFormatting sqref="V29">
    <cfRule type="expression" dxfId="157" priority="205">
      <formula>ISTEXT($V$29)</formula>
    </cfRule>
  </conditionalFormatting>
  <conditionalFormatting sqref="W29">
    <cfRule type="expression" dxfId="156" priority="204">
      <formula>ISTEXT($W$29)</formula>
    </cfRule>
  </conditionalFormatting>
  <conditionalFormatting sqref="X29">
    <cfRule type="expression" dxfId="155" priority="203">
      <formula>ISTEXT($X$29)</formula>
    </cfRule>
  </conditionalFormatting>
  <conditionalFormatting sqref="U47">
    <cfRule type="expression" dxfId="154" priority="162">
      <formula>ISTEXT($U$47)</formula>
    </cfRule>
  </conditionalFormatting>
  <conditionalFormatting sqref="V47">
    <cfRule type="expression" dxfId="153" priority="161">
      <formula>ISTEXT($V$47)</formula>
    </cfRule>
  </conditionalFormatting>
  <conditionalFormatting sqref="W47">
    <cfRule type="expression" dxfId="152" priority="160">
      <formula>ISTEXT($W$47)</formula>
    </cfRule>
  </conditionalFormatting>
  <conditionalFormatting sqref="X47">
    <cfRule type="expression" dxfId="151" priority="159">
      <formula>ISTEXT($X$47)</formula>
    </cfRule>
  </conditionalFormatting>
  <conditionalFormatting sqref="U48">
    <cfRule type="expression" dxfId="150" priority="158">
      <formula>ISTEXT($U$48)</formula>
    </cfRule>
  </conditionalFormatting>
  <conditionalFormatting sqref="V48">
    <cfRule type="expression" dxfId="149" priority="157">
      <formula>ISTEXT($V$48)</formula>
    </cfRule>
  </conditionalFormatting>
  <conditionalFormatting sqref="W48">
    <cfRule type="expression" dxfId="148" priority="156">
      <formula>ISTEXT($W$48)</formula>
    </cfRule>
  </conditionalFormatting>
  <conditionalFormatting sqref="X48">
    <cfRule type="expression" dxfId="147" priority="155">
      <formula>ISTEXT($X$48)</formula>
    </cfRule>
  </conditionalFormatting>
  <conditionalFormatting sqref="U49">
    <cfRule type="expression" dxfId="146" priority="154">
      <formula>ISTEXT($U$49)</formula>
    </cfRule>
  </conditionalFormatting>
  <conditionalFormatting sqref="V49">
    <cfRule type="expression" dxfId="145" priority="153">
      <formula>ISTEXT($V$49)</formula>
    </cfRule>
  </conditionalFormatting>
  <conditionalFormatting sqref="W49">
    <cfRule type="expression" dxfId="144" priority="152">
      <formula>ISTEXT($W$49)</formula>
    </cfRule>
  </conditionalFormatting>
  <conditionalFormatting sqref="X49">
    <cfRule type="expression" dxfId="143" priority="151">
      <formula>ISTEXT($X$49)</formula>
    </cfRule>
  </conditionalFormatting>
  <conditionalFormatting sqref="U50">
    <cfRule type="expression" dxfId="142" priority="150">
      <formula>ISTEXT($U$50)</formula>
    </cfRule>
  </conditionalFormatting>
  <conditionalFormatting sqref="V50">
    <cfRule type="expression" dxfId="141" priority="149">
      <formula>ISTEXT($V$50)</formula>
    </cfRule>
  </conditionalFormatting>
  <conditionalFormatting sqref="W50">
    <cfRule type="expression" dxfId="140" priority="148">
      <formula>ISTEXT($W$50)</formula>
    </cfRule>
  </conditionalFormatting>
  <conditionalFormatting sqref="X50">
    <cfRule type="expression" dxfId="139" priority="147">
      <formula>ISTEXT($X$50)</formula>
    </cfRule>
  </conditionalFormatting>
  <conditionalFormatting sqref="U51">
    <cfRule type="expression" dxfId="138" priority="146">
      <formula>ISTEXT($U$51)</formula>
    </cfRule>
  </conditionalFormatting>
  <conditionalFormatting sqref="V51">
    <cfRule type="expression" dxfId="137" priority="145">
      <formula>ISTEXT($V$51)</formula>
    </cfRule>
  </conditionalFormatting>
  <conditionalFormatting sqref="W51">
    <cfRule type="expression" dxfId="136" priority="144">
      <formula>ISTEXT($W$51)</formula>
    </cfRule>
  </conditionalFormatting>
  <conditionalFormatting sqref="X51">
    <cfRule type="expression" dxfId="135" priority="143">
      <formula>ISTEXT($X$51)</formula>
    </cfRule>
  </conditionalFormatting>
  <conditionalFormatting sqref="U69">
    <cfRule type="expression" dxfId="134" priority="142">
      <formula>ISTEXT($U$69)</formula>
    </cfRule>
  </conditionalFormatting>
  <conditionalFormatting sqref="V69">
    <cfRule type="expression" dxfId="133" priority="141">
      <formula>ISTEXT($V$69)</formula>
    </cfRule>
  </conditionalFormatting>
  <conditionalFormatting sqref="W69">
    <cfRule type="expression" dxfId="132" priority="140">
      <formula>ISTEXT($W$69)</formula>
    </cfRule>
  </conditionalFormatting>
  <conditionalFormatting sqref="X69">
    <cfRule type="expression" dxfId="131" priority="139">
      <formula>ISTEXT($X$69)</formula>
    </cfRule>
  </conditionalFormatting>
  <conditionalFormatting sqref="U70">
    <cfRule type="expression" dxfId="130" priority="138">
      <formula>ISTEXT($U$70)</formula>
    </cfRule>
  </conditionalFormatting>
  <conditionalFormatting sqref="V70">
    <cfRule type="expression" dxfId="129" priority="137">
      <formula>ISTEXT($V$70)</formula>
    </cfRule>
  </conditionalFormatting>
  <conditionalFormatting sqref="W70">
    <cfRule type="expression" dxfId="128" priority="136">
      <formula>ISTEXT($W$70)</formula>
    </cfRule>
  </conditionalFormatting>
  <conditionalFormatting sqref="X70">
    <cfRule type="expression" dxfId="127" priority="135">
      <formula>ISTEXT($X$70)</formula>
    </cfRule>
  </conditionalFormatting>
  <conditionalFormatting sqref="U71">
    <cfRule type="expression" dxfId="126" priority="134">
      <formula>ISTEXT($U$71)</formula>
    </cfRule>
  </conditionalFormatting>
  <conditionalFormatting sqref="V71">
    <cfRule type="expression" dxfId="125" priority="133">
      <formula>ISTEXT($V$71)</formula>
    </cfRule>
  </conditionalFormatting>
  <conditionalFormatting sqref="W71">
    <cfRule type="expression" dxfId="124" priority="132">
      <formula>ISTEXT($W$71)</formula>
    </cfRule>
  </conditionalFormatting>
  <conditionalFormatting sqref="X71">
    <cfRule type="expression" dxfId="123" priority="131">
      <formula>ISTEXT($X$71)</formula>
    </cfRule>
  </conditionalFormatting>
  <conditionalFormatting sqref="U72">
    <cfRule type="expression" dxfId="122" priority="130">
      <formula>ISTEXT($U$72)</formula>
    </cfRule>
  </conditionalFormatting>
  <conditionalFormatting sqref="V72">
    <cfRule type="expression" dxfId="121" priority="129">
      <formula>ISTEXT($V$72)</formula>
    </cfRule>
  </conditionalFormatting>
  <conditionalFormatting sqref="W72">
    <cfRule type="expression" dxfId="120" priority="128">
      <formula>ISTEXT($W$72)</formula>
    </cfRule>
  </conditionalFormatting>
  <conditionalFormatting sqref="X72">
    <cfRule type="expression" dxfId="119" priority="127">
      <formula>ISTEXT($X$72)</formula>
    </cfRule>
  </conditionalFormatting>
  <conditionalFormatting sqref="U73">
    <cfRule type="expression" dxfId="118" priority="126">
      <formula>ISTEXT($U$73)</formula>
    </cfRule>
  </conditionalFormatting>
  <conditionalFormatting sqref="V73">
    <cfRule type="expression" dxfId="117" priority="125">
      <formula>ISTEXT($V$73)</formula>
    </cfRule>
  </conditionalFormatting>
  <conditionalFormatting sqref="W73">
    <cfRule type="expression" dxfId="116" priority="124">
      <formula>ISTEXT($W$73)</formula>
    </cfRule>
  </conditionalFormatting>
  <conditionalFormatting sqref="X73">
    <cfRule type="expression" dxfId="115" priority="123">
      <formula>ISTEXT($X$73)</formula>
    </cfRule>
  </conditionalFormatting>
  <conditionalFormatting sqref="U91">
    <cfRule type="expression" dxfId="114" priority="122">
      <formula>ISTEXT($U$91)</formula>
    </cfRule>
  </conditionalFormatting>
  <conditionalFormatting sqref="V91">
    <cfRule type="expression" dxfId="113" priority="121">
      <formula>ISTEXT($V$91)</formula>
    </cfRule>
  </conditionalFormatting>
  <conditionalFormatting sqref="W91">
    <cfRule type="expression" dxfId="112" priority="120">
      <formula>ISTEXT($W$91)</formula>
    </cfRule>
  </conditionalFormatting>
  <conditionalFormatting sqref="X91">
    <cfRule type="expression" dxfId="111" priority="119">
      <formula>ISTEXT($X$91)</formula>
    </cfRule>
  </conditionalFormatting>
  <conditionalFormatting sqref="U92">
    <cfRule type="expression" dxfId="110" priority="118">
      <formula>ISTEXT($U$92)</formula>
    </cfRule>
  </conditionalFormatting>
  <conditionalFormatting sqref="V92">
    <cfRule type="expression" dxfId="109" priority="117">
      <formula>ISTEXT($V$92)</formula>
    </cfRule>
  </conditionalFormatting>
  <conditionalFormatting sqref="W92">
    <cfRule type="expression" dxfId="108" priority="116">
      <formula>ISTEXT($W$92)</formula>
    </cfRule>
  </conditionalFormatting>
  <conditionalFormatting sqref="X92">
    <cfRule type="expression" dxfId="107" priority="115">
      <formula>ISTEXT($X$92)</formula>
    </cfRule>
  </conditionalFormatting>
  <conditionalFormatting sqref="U93">
    <cfRule type="expression" dxfId="106" priority="114">
      <formula>ISTEXT($U$93)</formula>
    </cfRule>
  </conditionalFormatting>
  <conditionalFormatting sqref="V93">
    <cfRule type="expression" dxfId="105" priority="113">
      <formula>ISTEXT($V$93)</formula>
    </cfRule>
  </conditionalFormatting>
  <conditionalFormatting sqref="W93">
    <cfRule type="expression" dxfId="104" priority="112">
      <formula>ISTEXT($W$93)</formula>
    </cfRule>
  </conditionalFormatting>
  <conditionalFormatting sqref="X93">
    <cfRule type="expression" dxfId="103" priority="111">
      <formula>ISTEXT($X$93)</formula>
    </cfRule>
  </conditionalFormatting>
  <conditionalFormatting sqref="U94">
    <cfRule type="expression" dxfId="102" priority="110">
      <formula>ISTEXT($U$94)</formula>
    </cfRule>
  </conditionalFormatting>
  <conditionalFormatting sqref="V94">
    <cfRule type="expression" dxfId="101" priority="109">
      <formula>ISTEXT($V$94)</formula>
    </cfRule>
  </conditionalFormatting>
  <conditionalFormatting sqref="W94">
    <cfRule type="expression" dxfId="100" priority="108">
      <formula>ISTEXT($W$94)</formula>
    </cfRule>
  </conditionalFormatting>
  <conditionalFormatting sqref="X94">
    <cfRule type="expression" dxfId="99" priority="107">
      <formula>ISTEXT($X$94)</formula>
    </cfRule>
  </conditionalFormatting>
  <conditionalFormatting sqref="U95">
    <cfRule type="expression" dxfId="98" priority="106">
      <formula>ISTEXT($U$95)</formula>
    </cfRule>
  </conditionalFormatting>
  <conditionalFormatting sqref="V95">
    <cfRule type="expression" dxfId="97" priority="105">
      <formula>ISTEXT($V$95)</formula>
    </cfRule>
  </conditionalFormatting>
  <conditionalFormatting sqref="W95">
    <cfRule type="expression" dxfId="96" priority="104">
      <formula>ISTEXT($W$95)</formula>
    </cfRule>
  </conditionalFormatting>
  <conditionalFormatting sqref="X95">
    <cfRule type="expression" dxfId="95" priority="103">
      <formula>ISTEXT($X$95)</formula>
    </cfRule>
  </conditionalFormatting>
  <conditionalFormatting sqref="U113">
    <cfRule type="expression" dxfId="94" priority="102">
      <formula>ISTEXT($U$113)</formula>
    </cfRule>
  </conditionalFormatting>
  <conditionalFormatting sqref="V113">
    <cfRule type="expression" dxfId="93" priority="101">
      <formula>ISTEXT($V$113)</formula>
    </cfRule>
  </conditionalFormatting>
  <conditionalFormatting sqref="W113">
    <cfRule type="expression" dxfId="92" priority="100">
      <formula>ISTEXT($W$113)</formula>
    </cfRule>
  </conditionalFormatting>
  <conditionalFormatting sqref="X113">
    <cfRule type="expression" dxfId="91" priority="99">
      <formula>ISTEXT($X$113)</formula>
    </cfRule>
  </conditionalFormatting>
  <conditionalFormatting sqref="U114">
    <cfRule type="expression" dxfId="90" priority="98">
      <formula>ISTEXT($U$114)</formula>
    </cfRule>
  </conditionalFormatting>
  <conditionalFormatting sqref="V114">
    <cfRule type="expression" dxfId="89" priority="97">
      <formula>ISTEXT($V$114)</formula>
    </cfRule>
  </conditionalFormatting>
  <conditionalFormatting sqref="W114">
    <cfRule type="expression" dxfId="88" priority="96">
      <formula>ISTEXT($W$114)</formula>
    </cfRule>
  </conditionalFormatting>
  <conditionalFormatting sqref="X114">
    <cfRule type="expression" dxfId="87" priority="95">
      <formula>ISTEXT($X$114)</formula>
    </cfRule>
  </conditionalFormatting>
  <conditionalFormatting sqref="U115">
    <cfRule type="expression" dxfId="86" priority="94">
      <formula>ISTEXT($U$115)</formula>
    </cfRule>
  </conditionalFormatting>
  <conditionalFormatting sqref="V115">
    <cfRule type="expression" dxfId="85" priority="93">
      <formula>ISTEXT($V$115)</formula>
    </cfRule>
  </conditionalFormatting>
  <conditionalFormatting sqref="W115">
    <cfRule type="expression" dxfId="84" priority="92">
      <formula>ISTEXT($W$115)</formula>
    </cfRule>
  </conditionalFormatting>
  <conditionalFormatting sqref="X115">
    <cfRule type="expression" dxfId="83" priority="91">
      <formula>ISTEXT($X$115)</formula>
    </cfRule>
  </conditionalFormatting>
  <conditionalFormatting sqref="U116">
    <cfRule type="expression" dxfId="82" priority="90">
      <formula>ISTEXT($U$116)</formula>
    </cfRule>
  </conditionalFormatting>
  <conditionalFormatting sqref="V116">
    <cfRule type="expression" dxfId="81" priority="89">
      <formula>ISTEXT($V$116)</formula>
    </cfRule>
  </conditionalFormatting>
  <conditionalFormatting sqref="W116">
    <cfRule type="expression" dxfId="80" priority="88">
      <formula>ISTEXT($W$116)</formula>
    </cfRule>
  </conditionalFormatting>
  <conditionalFormatting sqref="X116">
    <cfRule type="expression" dxfId="79" priority="87">
      <formula>ISTEXT($X$116)</formula>
    </cfRule>
  </conditionalFormatting>
  <conditionalFormatting sqref="U117">
    <cfRule type="expression" dxfId="78" priority="86">
      <formula>ISTEXT($U$117)</formula>
    </cfRule>
  </conditionalFormatting>
  <conditionalFormatting sqref="V117">
    <cfRule type="expression" dxfId="77" priority="85">
      <formula>ISTEXT($V$117)</formula>
    </cfRule>
  </conditionalFormatting>
  <conditionalFormatting sqref="W117">
    <cfRule type="expression" dxfId="76" priority="84">
      <formula>ISTEXT($W$117)</formula>
    </cfRule>
  </conditionalFormatting>
  <conditionalFormatting sqref="X117">
    <cfRule type="expression" dxfId="75" priority="83">
      <formula>ISTEXT($X$117)</formula>
    </cfRule>
  </conditionalFormatting>
  <conditionalFormatting sqref="U135">
    <cfRule type="expression" dxfId="74" priority="42">
      <formula>ISTEXT($U$135)</formula>
    </cfRule>
  </conditionalFormatting>
  <conditionalFormatting sqref="V135">
    <cfRule type="expression" dxfId="73" priority="41">
      <formula>ISTEXT($V$135)</formula>
    </cfRule>
  </conditionalFormatting>
  <conditionalFormatting sqref="W135">
    <cfRule type="expression" dxfId="72" priority="40">
      <formula>ISTEXT($W$135)</formula>
    </cfRule>
  </conditionalFormatting>
  <conditionalFormatting sqref="X135">
    <cfRule type="expression" dxfId="71" priority="39">
      <formula>ISTEXT($X$135)</formula>
    </cfRule>
  </conditionalFormatting>
  <conditionalFormatting sqref="U136">
    <cfRule type="expression" dxfId="70" priority="38">
      <formula>ISTEXT($U$136)</formula>
    </cfRule>
  </conditionalFormatting>
  <conditionalFormatting sqref="V136">
    <cfRule type="expression" dxfId="69" priority="37">
      <formula>ISTEXT($V$136)</formula>
    </cfRule>
  </conditionalFormatting>
  <conditionalFormatting sqref="W136">
    <cfRule type="expression" dxfId="68" priority="36">
      <formula>ISTEXT($W$136)</formula>
    </cfRule>
  </conditionalFormatting>
  <conditionalFormatting sqref="X136">
    <cfRule type="expression" dxfId="67" priority="35">
      <formula>ISTEXT($X$136)</formula>
    </cfRule>
  </conditionalFormatting>
  <conditionalFormatting sqref="U137">
    <cfRule type="expression" dxfId="66" priority="34">
      <formula>ISTEXT($U$137)</formula>
    </cfRule>
  </conditionalFormatting>
  <conditionalFormatting sqref="V137">
    <cfRule type="expression" dxfId="65" priority="33">
      <formula>ISTEXT($V$137)</formula>
    </cfRule>
  </conditionalFormatting>
  <conditionalFormatting sqref="W137">
    <cfRule type="expression" dxfId="64" priority="32">
      <formula>ISTEXT($W$137)</formula>
    </cfRule>
  </conditionalFormatting>
  <conditionalFormatting sqref="X137">
    <cfRule type="expression" dxfId="63" priority="31">
      <formula>ISTEXT($X$137)</formula>
    </cfRule>
  </conditionalFormatting>
  <conditionalFormatting sqref="U138">
    <cfRule type="expression" dxfId="62" priority="30">
      <formula>ISTEXT($U$138)</formula>
    </cfRule>
  </conditionalFormatting>
  <conditionalFormatting sqref="V138">
    <cfRule type="expression" dxfId="61" priority="29">
      <formula>ISTEXT($V$138)</formula>
    </cfRule>
  </conditionalFormatting>
  <conditionalFormatting sqref="W138">
    <cfRule type="expression" dxfId="60" priority="28">
      <formula>ISTEXT($W$138)</formula>
    </cfRule>
  </conditionalFormatting>
  <conditionalFormatting sqref="X138">
    <cfRule type="expression" dxfId="59" priority="27">
      <formula>ISTEXT($X$138)</formula>
    </cfRule>
  </conditionalFormatting>
  <conditionalFormatting sqref="U139">
    <cfRule type="expression" dxfId="58" priority="26">
      <formula>ISTEXT($U$139)</formula>
    </cfRule>
  </conditionalFormatting>
  <conditionalFormatting sqref="V139">
    <cfRule type="expression" dxfId="57" priority="25">
      <formula>ISTEXT($V$139)</formula>
    </cfRule>
  </conditionalFormatting>
  <conditionalFormatting sqref="W139">
    <cfRule type="expression" dxfId="56" priority="24">
      <formula>ISTEXT($W$139)</formula>
    </cfRule>
  </conditionalFormatting>
  <conditionalFormatting sqref="X139">
    <cfRule type="expression" dxfId="55" priority="23">
      <formula>ISTEXT($X$139)</formula>
    </cfRule>
  </conditionalFormatting>
  <conditionalFormatting sqref="U157">
    <cfRule type="expression" dxfId="54" priority="22">
      <formula>ISTEXT($U$157)</formula>
    </cfRule>
  </conditionalFormatting>
  <conditionalFormatting sqref="V157">
    <cfRule type="expression" dxfId="53" priority="21">
      <formula>ISTEXT($V$157)</formula>
    </cfRule>
  </conditionalFormatting>
  <conditionalFormatting sqref="W157">
    <cfRule type="expression" dxfId="52" priority="20">
      <formula>ISTEXT($W$157)</formula>
    </cfRule>
  </conditionalFormatting>
  <conditionalFormatting sqref="X157">
    <cfRule type="expression" dxfId="51" priority="19">
      <formula>ISTEXT($X$157)</formula>
    </cfRule>
  </conditionalFormatting>
  <conditionalFormatting sqref="U158">
    <cfRule type="expression" dxfId="50" priority="18">
      <formula>ISTEXT($U$158)</formula>
    </cfRule>
  </conditionalFormatting>
  <conditionalFormatting sqref="V158">
    <cfRule type="expression" dxfId="49" priority="17">
      <formula>ISTEXT($V$158)</formula>
    </cfRule>
  </conditionalFormatting>
  <conditionalFormatting sqref="W158">
    <cfRule type="expression" dxfId="48" priority="16">
      <formula>ISTEXT($W$158)</formula>
    </cfRule>
  </conditionalFormatting>
  <conditionalFormatting sqref="X158">
    <cfRule type="expression" dxfId="47" priority="15">
      <formula>ISTEXT($X$158)</formula>
    </cfRule>
  </conditionalFormatting>
  <conditionalFormatting sqref="U159">
    <cfRule type="expression" dxfId="46" priority="14">
      <formula>ISTEXT($U$159)</formula>
    </cfRule>
  </conditionalFormatting>
  <conditionalFormatting sqref="V159">
    <cfRule type="expression" dxfId="45" priority="13">
      <formula>ISTEXT($V$159)</formula>
    </cfRule>
  </conditionalFormatting>
  <conditionalFormatting sqref="W159">
    <cfRule type="expression" dxfId="44" priority="12">
      <formula>ISTEXT($W$159)</formula>
    </cfRule>
  </conditionalFormatting>
  <conditionalFormatting sqref="X159">
    <cfRule type="expression" dxfId="43" priority="11">
      <formula>ISTEXT($X$159)</formula>
    </cfRule>
  </conditionalFormatting>
  <conditionalFormatting sqref="U160">
    <cfRule type="expression" dxfId="42" priority="10">
      <formula>ISTEXT($U$160)</formula>
    </cfRule>
  </conditionalFormatting>
  <conditionalFormatting sqref="V160">
    <cfRule type="expression" dxfId="41" priority="9">
      <formula>ISTEXT($V$160)</formula>
    </cfRule>
  </conditionalFormatting>
  <conditionalFormatting sqref="W160">
    <cfRule type="expression" dxfId="40" priority="8">
      <formula>ISTEXT($W$160)</formula>
    </cfRule>
  </conditionalFormatting>
  <conditionalFormatting sqref="X160">
    <cfRule type="expression" dxfId="39" priority="7">
      <formula>ISTEXT($X$160)</formula>
    </cfRule>
  </conditionalFormatting>
  <conditionalFormatting sqref="U161">
    <cfRule type="expression" dxfId="38" priority="6">
      <formula>ISTEXT($U$161)</formula>
    </cfRule>
  </conditionalFormatting>
  <conditionalFormatting sqref="V161">
    <cfRule type="expression" dxfId="37" priority="5">
      <formula>ISTEXT($V$161)</formula>
    </cfRule>
  </conditionalFormatting>
  <conditionalFormatting sqref="W161">
    <cfRule type="expression" dxfId="36" priority="4">
      <formula>ISTEXT($W$161)</formula>
    </cfRule>
  </conditionalFormatting>
  <conditionalFormatting sqref="X161">
    <cfRule type="expression" dxfId="35" priority="3">
      <formula>ISTEXT($X$161)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1"/>
  <sheetViews>
    <sheetView workbookViewId="0">
      <pane ySplit="1" topLeftCell="A2" activePane="bottomLeft" state="frozenSplit"/>
      <selection pane="bottomLeft" activeCell="B27" sqref="B27"/>
    </sheetView>
  </sheetViews>
  <sheetFormatPr defaultRowHeight="15" x14ac:dyDescent="0.25"/>
  <cols>
    <col min="1" max="1" width="69.42578125" style="43" bestFit="1" customWidth="1"/>
    <col min="2" max="2" width="21.7109375" style="43" bestFit="1" customWidth="1"/>
    <col min="3" max="3" width="16.5703125" style="43" bestFit="1" customWidth="1"/>
    <col min="4" max="4" width="10" style="43" bestFit="1" customWidth="1"/>
    <col min="5" max="5" width="11" style="43" bestFit="1" customWidth="1"/>
    <col min="6" max="6" width="8.7109375" style="43" customWidth="1"/>
    <col min="7" max="7" width="12.42578125" style="43" bestFit="1" customWidth="1"/>
    <col min="8" max="8" width="11.5703125" style="43" bestFit="1" customWidth="1"/>
    <col min="9" max="9" width="14.7109375" style="43" bestFit="1" customWidth="1"/>
    <col min="10" max="10" width="8.7109375" style="46" customWidth="1"/>
    <col min="11" max="11" width="8.7109375" style="43" hidden="1" customWidth="1"/>
    <col min="12" max="17" width="8.7109375" style="43" customWidth="1"/>
    <col min="18" max="18" width="28.28515625" style="43" bestFit="1" customWidth="1"/>
    <col min="19" max="19" width="8.7109375" style="43" customWidth="1"/>
    <col min="20" max="21" width="8.7109375" style="43" hidden="1" customWidth="1"/>
    <col min="22" max="25" width="8.7109375" style="43" customWidth="1"/>
    <col min="26" max="26" width="20.5703125" style="46" bestFit="1" customWidth="1"/>
    <col min="27" max="29" width="21" style="46" bestFit="1" customWidth="1"/>
    <col min="30" max="30" width="9.140625" style="43" bestFit="1" customWidth="1"/>
    <col min="31" max="44" width="8.7109375" style="43" customWidth="1"/>
    <col min="45" max="16384" width="9.140625" style="43"/>
  </cols>
  <sheetData>
    <row r="1" spans="1:30" ht="15.75" thickBot="1" x14ac:dyDescent="0.3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1" t="s">
        <v>147</v>
      </c>
      <c r="H1" s="41" t="s">
        <v>148</v>
      </c>
      <c r="I1" s="41" t="s">
        <v>149</v>
      </c>
      <c r="J1" s="42"/>
      <c r="K1" s="41"/>
      <c r="R1" s="44" t="s">
        <v>151</v>
      </c>
      <c r="Z1" s="45" t="s">
        <v>150</v>
      </c>
    </row>
    <row r="2" spans="1:30" ht="16.5" thickTop="1" thickBot="1" x14ac:dyDescent="0.3">
      <c r="A2" s="47" t="s">
        <v>247</v>
      </c>
      <c r="B2" s="47" t="s">
        <v>173</v>
      </c>
      <c r="C2" s="47" t="s">
        <v>174</v>
      </c>
      <c r="D2" s="47">
        <v>1.29</v>
      </c>
      <c r="E2" s="47">
        <v>137526.891</v>
      </c>
      <c r="F2" s="47">
        <v>9.38E-6</v>
      </c>
      <c r="G2" s="47"/>
      <c r="H2" s="47"/>
      <c r="I2" s="47"/>
      <c r="J2" s="48"/>
      <c r="K2" s="47"/>
      <c r="L2" s="47"/>
      <c r="M2" s="47"/>
      <c r="N2" s="47"/>
      <c r="O2" s="47"/>
      <c r="P2" s="47"/>
      <c r="Q2" s="47"/>
      <c r="R2" s="49" t="s">
        <v>248</v>
      </c>
      <c r="S2" s="47"/>
      <c r="T2" s="47">
        <v>1</v>
      </c>
      <c r="U2" s="47"/>
      <c r="V2" s="47"/>
      <c r="W2" s="47"/>
      <c r="X2" s="47"/>
      <c r="Y2" s="47"/>
      <c r="Z2" s="50" t="s">
        <v>152</v>
      </c>
      <c r="AA2" s="50" t="s">
        <v>154</v>
      </c>
      <c r="AB2" s="50" t="s">
        <v>155</v>
      </c>
      <c r="AC2" s="50" t="s">
        <v>156</v>
      </c>
      <c r="AD2" s="50" t="s">
        <v>157</v>
      </c>
    </row>
    <row r="3" spans="1:30" ht="15.75" thickTop="1" x14ac:dyDescent="0.25">
      <c r="A3" s="51" t="s">
        <v>249</v>
      </c>
      <c r="B3" s="51" t="s">
        <v>173</v>
      </c>
      <c r="C3" s="51" t="s">
        <v>174</v>
      </c>
      <c r="D3" s="51">
        <v>4.4999999999999998E-2</v>
      </c>
      <c r="E3" s="51">
        <v>97055.351999999999</v>
      </c>
      <c r="F3" s="51">
        <v>4.637E-7</v>
      </c>
      <c r="G3" s="51"/>
      <c r="H3" s="51"/>
      <c r="I3" s="51"/>
      <c r="J3" s="52"/>
      <c r="K3" s="51"/>
      <c r="L3" s="51"/>
      <c r="M3" s="51"/>
      <c r="N3" s="51"/>
      <c r="O3" s="51"/>
      <c r="P3" s="51"/>
      <c r="Q3" s="51"/>
      <c r="R3" s="51" t="s">
        <v>152</v>
      </c>
      <c r="S3" s="51"/>
      <c r="T3" s="51">
        <v>4</v>
      </c>
      <c r="U3" s="51"/>
      <c r="V3" s="51"/>
      <c r="W3" s="51"/>
      <c r="X3" s="51"/>
      <c r="Y3" s="51"/>
      <c r="Z3" s="53">
        <f>$H$4</f>
        <v>120</v>
      </c>
      <c r="AA3" s="54">
        <f>IF(ISTEXT($I$4),TEXT($G$4/100,"0.00%"),$G$4 / 100)</f>
        <v>9.9715998458085771E-3</v>
      </c>
      <c r="AB3" s="54">
        <f>IF(ISTEXT($I$5),TEXT($G$5/100,"0.00%"),$G$5 / 100)</f>
        <v>1.4688649722823801E-2</v>
      </c>
      <c r="AC3" s="55">
        <f>IF(ISTEXT($I$6),TEXT($G$6/100,"0.00%"),$G$6 / 100)</f>
        <v>1.5727999997319161E-2</v>
      </c>
      <c r="AD3" s="54">
        <f>IFERROR(AVERAGE($AA$3:$AC$3),"")</f>
        <v>1.3462749855317179E-2</v>
      </c>
    </row>
    <row r="4" spans="1:30" x14ac:dyDescent="0.25">
      <c r="A4" s="47" t="s">
        <v>250</v>
      </c>
      <c r="B4" s="47" t="s">
        <v>173</v>
      </c>
      <c r="C4" s="47" t="s">
        <v>174</v>
      </c>
      <c r="D4" s="47">
        <v>4475.83</v>
      </c>
      <c r="E4" s="47">
        <v>122594</v>
      </c>
      <c r="F4" s="47">
        <v>3.6509372399999997E-2</v>
      </c>
      <c r="G4" s="47">
        <f>($F$4 -  AVERAGE($F$2,$F$3) ) / ($F$16 -  AVERAGE($F$2,$F$3) ) * 100</f>
        <v>0.99715998458085775</v>
      </c>
      <c r="H4" s="47">
        <v>120</v>
      </c>
      <c r="I4" s="56">
        <f>LN($G$4)</f>
        <v>-2.844055914792633E-3</v>
      </c>
      <c r="J4" s="48"/>
      <c r="K4" s="47"/>
      <c r="L4" s="47"/>
      <c r="M4" s="47"/>
      <c r="N4" s="47"/>
      <c r="O4" s="47"/>
      <c r="P4" s="47"/>
      <c r="Q4" s="47"/>
      <c r="R4" s="47" t="s">
        <v>153</v>
      </c>
      <c r="S4" s="47"/>
      <c r="T4" s="47">
        <v>18</v>
      </c>
      <c r="U4" s="47">
        <f>IF(ISTEXT($I$4),"",1)</f>
        <v>1</v>
      </c>
      <c r="V4" s="47">
        <f t="shared" ref="V4:V18" si="0">IFERROR(INDEX($H$4:$H$18,SMALL($U$4:$U$18,ROW(W1)),1),"")</f>
        <v>120</v>
      </c>
      <c r="W4" s="47"/>
      <c r="X4" s="47"/>
      <c r="Y4" s="47"/>
      <c r="Z4" s="53">
        <f>$H$7</f>
        <v>60</v>
      </c>
      <c r="AA4" s="55">
        <f>IF(ISTEXT($I$7),TEXT($G$7/100,"0.00%"),$G$7 / 100)</f>
        <v>7.1374710165749561E-2</v>
      </c>
      <c r="AB4" s="55">
        <f>IF(ISTEXT($I$8),TEXT($G$8/100,"0.00%"),$G$8 / 100)</f>
        <v>8.786383925610193E-2</v>
      </c>
      <c r="AC4" s="55">
        <f>IF(ISTEXT($I$9),TEXT($G$9/100,"0.00%"),$G$9 / 100)</f>
        <v>7.054594693317856E-2</v>
      </c>
      <c r="AD4" s="55">
        <f>IFERROR(AVERAGE($AA$4:$AC$4),"")</f>
        <v>7.6594832118343351E-2</v>
      </c>
    </row>
    <row r="5" spans="1:30" x14ac:dyDescent="0.25">
      <c r="A5" s="51" t="s">
        <v>251</v>
      </c>
      <c r="B5" s="51" t="s">
        <v>173</v>
      </c>
      <c r="C5" s="51" t="s">
        <v>174</v>
      </c>
      <c r="D5" s="51">
        <v>4535.5940000000001</v>
      </c>
      <c r="E5" s="51">
        <v>113096.383</v>
      </c>
      <c r="F5" s="51">
        <v>4.01037936E-2</v>
      </c>
      <c r="G5" s="51">
        <f>($F$5 -  AVERAGE($F$2,$F$3) ) / ($F$17 -  AVERAGE($F$2,$F$3) ) * 100</f>
        <v>1.4688649722823801</v>
      </c>
      <c r="H5" s="51">
        <v>120</v>
      </c>
      <c r="I5" s="57">
        <f>LN($G$5)</f>
        <v>0.38448997484746039</v>
      </c>
      <c r="J5" s="52"/>
      <c r="K5" s="51"/>
      <c r="L5" s="51"/>
      <c r="M5" s="51"/>
      <c r="N5" s="51"/>
      <c r="O5" s="51"/>
      <c r="P5" s="51"/>
      <c r="Q5" s="51"/>
      <c r="R5" s="51"/>
      <c r="S5" s="51"/>
      <c r="T5" s="51"/>
      <c r="U5" s="51">
        <f>IF(ISTEXT($I$5),"",2)</f>
        <v>2</v>
      </c>
      <c r="V5" s="51">
        <f t="shared" si="0"/>
        <v>120</v>
      </c>
      <c r="W5" s="51"/>
      <c r="X5" s="51"/>
      <c r="Y5" s="51"/>
      <c r="Z5" s="53">
        <f>$H$10</f>
        <v>30</v>
      </c>
      <c r="AA5" s="58">
        <f>IF(ISTEXT($I$10),TEXT($G$10/100,"0.00%"),$G$10 / 100)</f>
        <v>-1.3444584964748346E-6</v>
      </c>
      <c r="AB5" s="58">
        <f>IF(ISTEXT($I$11),TEXT($G$11/100,"0.00%"),$G$11 / 100)</f>
        <v>-1.8029268027542527E-6</v>
      </c>
      <c r="AC5" s="58">
        <f>IF(ISTEXT($I$12),TEXT($G$12/100,"0.00%"),$G$12 / 100)</f>
        <v>-1.433334130909655E-6</v>
      </c>
      <c r="AD5" s="58">
        <f>IFERROR(AVERAGE($AA$5:$AC$5),"")</f>
        <v>-1.5269064767129143E-6</v>
      </c>
    </row>
    <row r="6" spans="1:30" x14ac:dyDescent="0.25">
      <c r="A6" s="47" t="s">
        <v>252</v>
      </c>
      <c r="B6" s="47" t="s">
        <v>173</v>
      </c>
      <c r="C6" s="47" t="s">
        <v>174</v>
      </c>
      <c r="D6" s="47">
        <v>6349.4189999999999</v>
      </c>
      <c r="E6" s="47">
        <v>117554.69500000001</v>
      </c>
      <c r="F6" s="47">
        <v>5.4012466299999999E-2</v>
      </c>
      <c r="G6" s="47">
        <f>($F$6 -  AVERAGE($F$2,$F$3) ) / ($F$18 -  AVERAGE($F$2,$F$3) ) * 100</f>
        <v>1.572799999731916</v>
      </c>
      <c r="H6" s="47">
        <v>120</v>
      </c>
      <c r="I6" s="56">
        <f>LN($G$6)</f>
        <v>0.45285747024031486</v>
      </c>
      <c r="J6" s="48"/>
      <c r="K6" s="47"/>
      <c r="L6" s="47"/>
      <c r="M6" s="47"/>
      <c r="N6" s="47"/>
      <c r="O6" s="47"/>
      <c r="P6" s="47"/>
      <c r="Q6" s="47"/>
      <c r="R6" s="47"/>
      <c r="S6" s="47"/>
      <c r="T6" s="47"/>
      <c r="U6" s="47">
        <f>IF(ISTEXT($I$6),"",3)</f>
        <v>3</v>
      </c>
      <c r="V6" s="47">
        <f t="shared" si="0"/>
        <v>120</v>
      </c>
      <c r="W6" s="47"/>
      <c r="X6" s="47"/>
      <c r="Y6" s="47"/>
      <c r="Z6" s="53">
        <f>$H$13</f>
        <v>15</v>
      </c>
      <c r="AA6" s="58">
        <f>IF(ISTEXT($I$13),TEXT($G$13/100,"0.00%"),$G$13 / 100)</f>
        <v>0.44113990067946041</v>
      </c>
      <c r="AB6" s="58">
        <f>IF(ISTEXT($I$14),TEXT($G$14/100,"0.00%"),$G$14 / 100)</f>
        <v>0.56365585190631451</v>
      </c>
      <c r="AC6" s="58">
        <f>IF(ISTEXT($I$15),TEXT($G$15/100,"0.00%"),$G$15 / 100)</f>
        <v>0.47896145083855357</v>
      </c>
      <c r="AD6" s="58">
        <f>IFERROR(AVERAGE($AA$6:$AC$6),"")</f>
        <v>0.49458573447477616</v>
      </c>
    </row>
    <row r="7" spans="1:30" ht="15.75" thickBot="1" x14ac:dyDescent="0.3">
      <c r="A7" s="51" t="s">
        <v>253</v>
      </c>
      <c r="B7" s="51" t="s">
        <v>173</v>
      </c>
      <c r="C7" s="51" t="s">
        <v>174</v>
      </c>
      <c r="D7" s="51">
        <v>23371.403999999999</v>
      </c>
      <c r="E7" s="51">
        <v>89444.016000000003</v>
      </c>
      <c r="F7" s="51">
        <v>0.26129645159999998</v>
      </c>
      <c r="G7" s="51">
        <f>($F$7 -  AVERAGE($F$2,$F$3) ) / ($F$16 -  AVERAGE($F$2,$F$3) ) * 100</f>
        <v>7.1374710165749562</v>
      </c>
      <c r="H7" s="51">
        <v>60</v>
      </c>
      <c r="I7" s="57">
        <f>LN($G$7)</f>
        <v>1.9653585142488339</v>
      </c>
      <c r="J7" s="52"/>
      <c r="K7" s="51"/>
      <c r="L7" s="51"/>
      <c r="M7" s="51"/>
      <c r="N7" s="51"/>
      <c r="O7" s="51"/>
      <c r="P7" s="51"/>
      <c r="Q7" s="51"/>
      <c r="R7" s="51"/>
      <c r="S7" s="51"/>
      <c r="T7" s="51"/>
      <c r="U7" s="51">
        <f>IF(ISTEXT($I$7),"",4)</f>
        <v>4</v>
      </c>
      <c r="V7" s="51">
        <f t="shared" si="0"/>
        <v>60</v>
      </c>
      <c r="W7" s="51">
        <f t="shared" ref="W7:W18" si="1">IFERROR(INDEX($I$4:$I$18,SMALL($U$4:$U$18,ROW(I4)),1),"")</f>
        <v>1.9653585142488339</v>
      </c>
      <c r="X7" s="51"/>
      <c r="Y7" s="51"/>
      <c r="Z7" s="59">
        <f>$H$16</f>
        <v>0</v>
      </c>
      <c r="AA7" s="60">
        <f>IF(ISTEXT($I$16),TEXT($G$16/100,"0.00%"),$G$16 / 100)</f>
        <v>1</v>
      </c>
      <c r="AB7" s="60">
        <f>IF(ISTEXT($I$17),TEXT($G$17/100,"0.00%"),$G$17 / 100)</f>
        <v>1</v>
      </c>
      <c r="AC7" s="60">
        <f>IF(ISTEXT($I$18),TEXT($G$18/100,"0.00%"),$G$18 / 100)</f>
        <v>1</v>
      </c>
      <c r="AD7" s="60">
        <f>IFERROR(AVERAGE($AA$7:$AC$7),"")</f>
        <v>1</v>
      </c>
    </row>
    <row r="8" spans="1:30" ht="16.5" thickTop="1" thickBot="1" x14ac:dyDescent="0.3">
      <c r="A8" s="47" t="s">
        <v>254</v>
      </c>
      <c r="B8" s="47" t="s">
        <v>173</v>
      </c>
      <c r="C8" s="47" t="s">
        <v>174</v>
      </c>
      <c r="D8" s="47">
        <v>19016.25</v>
      </c>
      <c r="E8" s="47">
        <v>79278.516000000003</v>
      </c>
      <c r="F8" s="47">
        <v>0.23986637190000001</v>
      </c>
      <c r="G8" s="47">
        <f>($F$8 -  AVERAGE($F$2,$F$3) ) / ($F$17 -  AVERAGE($F$2,$F$3) ) * 100</f>
        <v>8.7863839256101937</v>
      </c>
      <c r="H8" s="47">
        <v>60</v>
      </c>
      <c r="I8" s="56">
        <f>LN($G$8)</f>
        <v>2.1732032420277689</v>
      </c>
      <c r="J8" s="48"/>
      <c r="K8" s="47"/>
      <c r="L8" s="47"/>
      <c r="M8" s="47"/>
      <c r="N8" s="47"/>
      <c r="O8" s="47"/>
      <c r="P8" s="47"/>
      <c r="Q8" s="47"/>
      <c r="R8" s="47"/>
      <c r="S8" s="47"/>
      <c r="T8" s="47"/>
      <c r="U8" s="47">
        <f>IF(ISTEXT($I$8),"",5)</f>
        <v>5</v>
      </c>
      <c r="V8" s="47">
        <f t="shared" si="0"/>
        <v>60</v>
      </c>
      <c r="W8" s="47">
        <f t="shared" si="1"/>
        <v>2.1732032420277689</v>
      </c>
      <c r="X8" s="47"/>
      <c r="Y8" s="47"/>
    </row>
    <row r="9" spans="1:30" x14ac:dyDescent="0.25">
      <c r="A9" s="51" t="s">
        <v>255</v>
      </c>
      <c r="B9" s="51" t="s">
        <v>173</v>
      </c>
      <c r="C9" s="51" t="s">
        <v>174</v>
      </c>
      <c r="D9" s="51">
        <v>17288.853999999999</v>
      </c>
      <c r="E9" s="51">
        <v>71368.141000000003</v>
      </c>
      <c r="F9" s="51">
        <v>0.24224890490000001</v>
      </c>
      <c r="G9" s="51">
        <f>($F$9 -  AVERAGE($F$2,$F$3) ) / ($F$18 -  AVERAGE($F$2,$F$3) ) * 100</f>
        <v>7.0545946933178563</v>
      </c>
      <c r="H9" s="51">
        <v>60</v>
      </c>
      <c r="I9" s="57">
        <f>LN($G$9)</f>
        <v>1.9536791340893365</v>
      </c>
      <c r="J9" s="52"/>
      <c r="K9" s="51"/>
      <c r="L9" s="51"/>
      <c r="M9" s="51"/>
      <c r="N9" s="51"/>
      <c r="O9" s="51"/>
      <c r="P9" s="51"/>
      <c r="Q9" s="51"/>
      <c r="R9" s="51"/>
      <c r="S9" s="51"/>
      <c r="T9" s="51"/>
      <c r="U9" s="51">
        <f>IF(ISTEXT($I$9),"",6)</f>
        <v>6</v>
      </c>
      <c r="V9" s="51">
        <f t="shared" si="0"/>
        <v>60</v>
      </c>
      <c r="W9" s="51">
        <f t="shared" si="1"/>
        <v>1.9536791340893365</v>
      </c>
      <c r="X9" s="51"/>
      <c r="Y9" s="51"/>
      <c r="Z9" s="61" t="s">
        <v>158</v>
      </c>
      <c r="AA9" s="62">
        <f>IFERROR(SLOPE($W$4:$W$18,$V$4:$V$18),"")</f>
        <v>-4.2570263332039109E-2</v>
      </c>
    </row>
    <row r="10" spans="1:30" x14ac:dyDescent="0.25">
      <c r="A10" s="47" t="s">
        <v>256</v>
      </c>
      <c r="B10" s="47" t="s">
        <v>173</v>
      </c>
      <c r="C10" s="47" t="s">
        <v>174</v>
      </c>
      <c r="D10" s="47"/>
      <c r="E10" s="47">
        <v>198.26400000000001</v>
      </c>
      <c r="F10" s="47">
        <v>0</v>
      </c>
      <c r="G10" s="47">
        <f>($F$10 -  AVERAGE($F$2,$F$3) ) / ($F$16 -  AVERAGE($F$2,$F$3) ) * 100</f>
        <v>-1.3444584964748346E-4</v>
      </c>
      <c r="H10" s="47">
        <v>30</v>
      </c>
      <c r="I10" s="56" t="e">
        <f>LN($G$10)</f>
        <v>#NUM!</v>
      </c>
      <c r="J10" s="48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>
        <f>IF(ISTEXT($I$10),"",7)</f>
        <v>7</v>
      </c>
      <c r="V10" s="47">
        <f t="shared" si="0"/>
        <v>30</v>
      </c>
      <c r="W10" s="47"/>
      <c r="X10" s="47"/>
      <c r="Y10" s="47"/>
      <c r="Z10" s="63" t="s">
        <v>159</v>
      </c>
      <c r="AA10" s="64">
        <f>IFERROR(INTERCEPT($W$4:$W$18,$V$4:$V$18),"")</f>
        <v>4.5748590520724441</v>
      </c>
    </row>
    <row r="11" spans="1:30" ht="17.25" x14ac:dyDescent="0.25">
      <c r="A11" s="51" t="s">
        <v>257</v>
      </c>
      <c r="B11" s="51" t="s">
        <v>173</v>
      </c>
      <c r="C11" s="51" t="s">
        <v>174</v>
      </c>
      <c r="D11" s="51"/>
      <c r="E11" s="51"/>
      <c r="F11" s="51">
        <v>0</v>
      </c>
      <c r="G11" s="51">
        <f>($F$11 -  AVERAGE($F$2,$F$3) ) / ($F$17 -  AVERAGE($F$2,$F$3) ) * 100</f>
        <v>-1.8029268027542527E-4</v>
      </c>
      <c r="H11" s="51">
        <v>30</v>
      </c>
      <c r="I11" s="57" t="e">
        <f>LN($G$11)</f>
        <v>#NUM!</v>
      </c>
      <c r="J11" s="52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>
        <f>IF(ISTEXT($I$11),"",8)</f>
        <v>8</v>
      </c>
      <c r="V11" s="51">
        <f t="shared" si="0"/>
        <v>30</v>
      </c>
      <c r="W11" s="51"/>
      <c r="X11" s="51"/>
      <c r="Y11" s="51"/>
      <c r="Z11" s="63" t="s">
        <v>160</v>
      </c>
      <c r="AA11" s="65">
        <f>IFERROR(CORREL($W$4:$W$18,$V$4:$V$18)^2,"")</f>
        <v>0.99347904431656164</v>
      </c>
    </row>
    <row r="12" spans="1:30" ht="18" x14ac:dyDescent="0.35">
      <c r="A12" s="47" t="s">
        <v>258</v>
      </c>
      <c r="B12" s="47" t="s">
        <v>173</v>
      </c>
      <c r="C12" s="47" t="s">
        <v>174</v>
      </c>
      <c r="D12" s="47">
        <v>0.24199999999999999</v>
      </c>
      <c r="E12" s="47">
        <v>82.772999999999996</v>
      </c>
      <c r="F12" s="47">
        <v>0</v>
      </c>
      <c r="G12" s="47">
        <f>($F$12 -  AVERAGE($F$2,$F$3) ) / ($F$18 -  AVERAGE($F$2,$F$3) ) * 100</f>
        <v>-1.4333341309096551E-4</v>
      </c>
      <c r="H12" s="47">
        <v>30</v>
      </c>
      <c r="I12" s="56" t="e">
        <f>LN($G$12)</f>
        <v>#NUM!</v>
      </c>
      <c r="J12" s="48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>
        <f>IF(ISTEXT($I$12),"",9)</f>
        <v>9</v>
      </c>
      <c r="V12" s="47">
        <f t="shared" si="0"/>
        <v>30</v>
      </c>
      <c r="W12" s="47"/>
      <c r="X12" s="47"/>
      <c r="Y12" s="47"/>
      <c r="Z12" s="63" t="s">
        <v>161</v>
      </c>
      <c r="AA12" s="66">
        <f>IF(AA9&gt;0,"",IFERROR(LN(2) /ABS(AA9),0))</f>
        <v>16.282426424134211</v>
      </c>
    </row>
    <row r="13" spans="1:30" ht="18.75" x14ac:dyDescent="0.35">
      <c r="A13" s="51" t="s">
        <v>259</v>
      </c>
      <c r="B13" s="51" t="s">
        <v>173</v>
      </c>
      <c r="C13" s="51" t="s">
        <v>174</v>
      </c>
      <c r="D13" s="51">
        <v>139973.32800000001</v>
      </c>
      <c r="E13" s="51">
        <v>86673.562999999995</v>
      </c>
      <c r="F13" s="51">
        <v>1.6149483550999999</v>
      </c>
      <c r="G13" s="51">
        <f>($F$13 -  AVERAGE($F$2,$F$3) ) / ($F$16 -  AVERAGE($F$2,$F$3) ) * 100</f>
        <v>44.113990067946041</v>
      </c>
      <c r="H13" s="51">
        <v>15</v>
      </c>
      <c r="I13" s="57">
        <f>LN($G$13)</f>
        <v>3.7867769672452023</v>
      </c>
      <c r="J13" s="52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>
        <f>IF(ISTEXT($I$13),"",10)</f>
        <v>10</v>
      </c>
      <c r="V13" s="51">
        <f t="shared" si="0"/>
        <v>15</v>
      </c>
      <c r="W13" s="51">
        <f t="shared" si="1"/>
        <v>3.7867769672452023</v>
      </c>
      <c r="X13" s="51"/>
      <c r="Y13" s="51"/>
      <c r="Z13" s="63" t="s">
        <v>162</v>
      </c>
      <c r="AA13" s="66">
        <f>IF(AA9&gt;0,0,IFERROR(ABS(AA9 * 1000 / 0.5),0))</f>
        <v>85.140526664078223</v>
      </c>
    </row>
    <row r="14" spans="1:30" ht="15.75" thickBot="1" x14ac:dyDescent="0.3">
      <c r="A14" s="47" t="s">
        <v>260</v>
      </c>
      <c r="B14" s="47" t="s">
        <v>173</v>
      </c>
      <c r="C14" s="47" t="s">
        <v>174</v>
      </c>
      <c r="D14" s="47">
        <v>129288.914</v>
      </c>
      <c r="E14" s="47">
        <v>84022.5</v>
      </c>
      <c r="F14" s="47">
        <v>1.5387415752</v>
      </c>
      <c r="G14" s="47">
        <f>($F$14 -  AVERAGE($F$2,$F$3) ) / ($F$17 -  AVERAGE($F$2,$F$3) ) * 100</f>
        <v>56.36558519063145</v>
      </c>
      <c r="H14" s="47">
        <v>15</v>
      </c>
      <c r="I14" s="56">
        <f>LN($G$14)</f>
        <v>4.0318587806058481</v>
      </c>
      <c r="J14" s="48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>
        <f>IF(ISTEXT($I$14),"",11)</f>
        <v>11</v>
      </c>
      <c r="V14" s="47">
        <f t="shared" si="0"/>
        <v>15</v>
      </c>
      <c r="W14" s="47">
        <f t="shared" si="1"/>
        <v>4.0318587806058481</v>
      </c>
      <c r="X14" s="47"/>
      <c r="Y14" s="47"/>
      <c r="Z14" s="67" t="s">
        <v>146</v>
      </c>
      <c r="AA14" s="68" t="s">
        <v>163</v>
      </c>
    </row>
    <row r="15" spans="1:30" x14ac:dyDescent="0.25">
      <c r="A15" s="51" t="s">
        <v>261</v>
      </c>
      <c r="B15" s="51" t="s">
        <v>173</v>
      </c>
      <c r="C15" s="51" t="s">
        <v>174</v>
      </c>
      <c r="D15" s="51">
        <v>158469.68799999999</v>
      </c>
      <c r="E15" s="51">
        <v>96352.593999999997</v>
      </c>
      <c r="F15" s="51">
        <v>1.6446852276999999</v>
      </c>
      <c r="G15" s="51">
        <f>($F$15 -  AVERAGE($F$2,$F$3) ) / ($F$18 -  AVERAGE($F$2,$F$3) ) * 100</f>
        <v>47.896145083855359</v>
      </c>
      <c r="H15" s="51">
        <v>15</v>
      </c>
      <c r="I15" s="57">
        <f>LN($G$15)</f>
        <v>3.8690350227619272</v>
      </c>
      <c r="J15" s="52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>
        <f>IF(ISTEXT($I$15),"",12)</f>
        <v>12</v>
      </c>
      <c r="V15" s="51">
        <f t="shared" si="0"/>
        <v>15</v>
      </c>
      <c r="W15" s="51">
        <f t="shared" si="1"/>
        <v>3.8690350227619272</v>
      </c>
      <c r="X15" s="51"/>
      <c r="Y15" s="51"/>
    </row>
    <row r="16" spans="1:30" x14ac:dyDescent="0.25">
      <c r="A16" s="47" t="s">
        <v>262</v>
      </c>
      <c r="B16" s="47" t="s">
        <v>173</v>
      </c>
      <c r="C16" s="47" t="s">
        <v>174</v>
      </c>
      <c r="D16" s="47">
        <v>278113.21899999998</v>
      </c>
      <c r="E16" s="47">
        <v>75969.641000000003</v>
      </c>
      <c r="F16" s="47">
        <v>3.6608468243000001</v>
      </c>
      <c r="G16" s="47">
        <f>($F$16 -  AVERAGE($F$2,$F$3) ) / ($F$16 -  AVERAGE($F$2,$F$3) ) * 100</f>
        <v>100</v>
      </c>
      <c r="H16" s="47">
        <v>0</v>
      </c>
      <c r="I16" s="56">
        <f>LN($G$16)</f>
        <v>4.6051701859880918</v>
      </c>
      <c r="J16" s="48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>
        <f>IF(ISTEXT($I$16),"",13)</f>
        <v>13</v>
      </c>
      <c r="V16" s="47">
        <f t="shared" si="0"/>
        <v>0</v>
      </c>
      <c r="W16" s="47">
        <f t="shared" si="1"/>
        <v>4.6051701859880918</v>
      </c>
      <c r="X16" s="47"/>
      <c r="Y16" s="47"/>
    </row>
    <row r="17" spans="1:25" x14ac:dyDescent="0.25">
      <c r="A17" s="51" t="s">
        <v>263</v>
      </c>
      <c r="B17" s="51" t="s">
        <v>173</v>
      </c>
      <c r="C17" s="51" t="s">
        <v>174</v>
      </c>
      <c r="D17" s="51">
        <v>231500.06299999999</v>
      </c>
      <c r="E17" s="51">
        <v>84800.82</v>
      </c>
      <c r="F17" s="51">
        <v>2.7299271751999998</v>
      </c>
      <c r="G17" s="51">
        <f>($F$17 -  AVERAGE($F$2,$F$3) ) / ($F$17 -  AVERAGE($F$2,$F$3) ) * 100</f>
        <v>100</v>
      </c>
      <c r="H17" s="51">
        <v>0</v>
      </c>
      <c r="I17" s="57">
        <f>LN($G$17)</f>
        <v>4.6051701859880918</v>
      </c>
      <c r="J17" s="52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>
        <f>IF(ISTEXT($I$17),"",14)</f>
        <v>14</v>
      </c>
      <c r="V17" s="51">
        <f t="shared" si="0"/>
        <v>0</v>
      </c>
      <c r="W17" s="51">
        <f t="shared" si="1"/>
        <v>4.6051701859880918</v>
      </c>
      <c r="X17" s="51"/>
      <c r="Y17" s="51"/>
    </row>
    <row r="18" spans="1:25" x14ac:dyDescent="0.25">
      <c r="A18" s="47" t="s">
        <v>264</v>
      </c>
      <c r="B18" s="47" t="s">
        <v>173</v>
      </c>
      <c r="C18" s="47" t="s">
        <v>174</v>
      </c>
      <c r="D18" s="47">
        <v>249841.45300000001</v>
      </c>
      <c r="E18" s="47">
        <v>72758.366999999998</v>
      </c>
      <c r="F18" s="47">
        <v>3.4338518482999998</v>
      </c>
      <c r="G18" s="47">
        <f>($F$18 -  AVERAGE($F$2,$F$3) ) / ($F$18 -  AVERAGE($F$2,$F$3) ) * 100</f>
        <v>100</v>
      </c>
      <c r="H18" s="47">
        <v>0</v>
      </c>
      <c r="I18" s="56">
        <f>LN($G$18)</f>
        <v>4.6051701859880918</v>
      </c>
      <c r="J18" s="48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>
        <f>IF(ISTEXT($I$18),"",15)</f>
        <v>15</v>
      </c>
      <c r="V18" s="47">
        <f t="shared" si="0"/>
        <v>0</v>
      </c>
      <c r="W18" s="47">
        <f t="shared" si="1"/>
        <v>4.6051701859880918</v>
      </c>
      <c r="X18" s="47"/>
      <c r="Y18" s="47"/>
    </row>
    <row r="19" spans="1:25" x14ac:dyDescent="0.25">
      <c r="A19" s="51"/>
      <c r="B19" s="51"/>
      <c r="C19" s="51"/>
      <c r="D19" s="51"/>
      <c r="E19" s="51"/>
      <c r="F19" s="51"/>
      <c r="G19" s="51"/>
      <c r="H19" s="51"/>
      <c r="I19" s="57"/>
      <c r="J19" s="52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</row>
    <row r="20" spans="1:25" x14ac:dyDescent="0.25">
      <c r="A20" s="47"/>
      <c r="B20" s="47"/>
      <c r="C20" s="47"/>
      <c r="D20" s="47"/>
      <c r="E20" s="47"/>
      <c r="F20" s="47"/>
      <c r="G20" s="47"/>
      <c r="H20" s="47"/>
      <c r="I20" s="56"/>
      <c r="J20" s="48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</row>
    <row r="21" spans="1:25" x14ac:dyDescent="0.25">
      <c r="A21" s="51"/>
      <c r="B21" s="51"/>
      <c r="C21" s="51"/>
      <c r="D21" s="51"/>
      <c r="E21" s="51"/>
      <c r="F21" s="51"/>
      <c r="G21" s="51"/>
      <c r="H21" s="51"/>
      <c r="I21" s="51"/>
      <c r="J21" s="52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</row>
  </sheetData>
  <conditionalFormatting sqref="I4">
    <cfRule type="expression" dxfId="34" priority="35">
      <formula>ISTEXT($I$4)</formula>
    </cfRule>
  </conditionalFormatting>
  <conditionalFormatting sqref="I5">
    <cfRule type="expression" dxfId="33" priority="34">
      <formula>ISTEXT($I$5)</formula>
    </cfRule>
  </conditionalFormatting>
  <conditionalFormatting sqref="I6">
    <cfRule type="expression" dxfId="32" priority="33">
      <formula>ISTEXT($I$6)</formula>
    </cfRule>
  </conditionalFormatting>
  <conditionalFormatting sqref="I7">
    <cfRule type="expression" dxfId="31" priority="32">
      <formula>ISTEXT($I$7)</formula>
    </cfRule>
  </conditionalFormatting>
  <conditionalFormatting sqref="I8">
    <cfRule type="expression" dxfId="30" priority="31">
      <formula>ISTEXT($I$8)</formula>
    </cfRule>
  </conditionalFormatting>
  <conditionalFormatting sqref="I9">
    <cfRule type="expression" dxfId="29" priority="30">
      <formula>ISTEXT($I$9)</formula>
    </cfRule>
  </conditionalFormatting>
  <conditionalFormatting sqref="I10">
    <cfRule type="expression" dxfId="28" priority="29">
      <formula>ISTEXT($I$10)</formula>
    </cfRule>
  </conditionalFormatting>
  <conditionalFormatting sqref="I11">
    <cfRule type="expression" dxfId="27" priority="28">
      <formula>ISTEXT($I$11)</formula>
    </cfRule>
  </conditionalFormatting>
  <conditionalFormatting sqref="I12">
    <cfRule type="expression" dxfId="26" priority="27">
      <formula>ISTEXT($I$12)</formula>
    </cfRule>
  </conditionalFormatting>
  <conditionalFormatting sqref="I13">
    <cfRule type="expression" dxfId="25" priority="26">
      <formula>ISTEXT($I$13)</formula>
    </cfRule>
  </conditionalFormatting>
  <conditionalFormatting sqref="I14">
    <cfRule type="expression" dxfId="24" priority="25">
      <formula>ISTEXT($I$14)</formula>
    </cfRule>
  </conditionalFormatting>
  <conditionalFormatting sqref="I15">
    <cfRule type="expression" dxfId="23" priority="24">
      <formula>ISTEXT($I$15)</formula>
    </cfRule>
  </conditionalFormatting>
  <conditionalFormatting sqref="I16">
    <cfRule type="expression" dxfId="22" priority="23">
      <formula>ISTEXT($I$16)</formula>
    </cfRule>
  </conditionalFormatting>
  <conditionalFormatting sqref="I17">
    <cfRule type="expression" dxfId="21" priority="22">
      <formula>ISTEXT($I$17)</formula>
    </cfRule>
  </conditionalFormatting>
  <conditionalFormatting sqref="I18:I20">
    <cfRule type="expression" dxfId="20" priority="21">
      <formula>ISTEXT($I$18)</formula>
    </cfRule>
  </conditionalFormatting>
  <conditionalFormatting sqref="AA3">
    <cfRule type="expression" dxfId="19" priority="20">
      <formula>ISTEXT($AA$3)</formula>
    </cfRule>
  </conditionalFormatting>
  <conditionalFormatting sqref="AB3">
    <cfRule type="expression" dxfId="18" priority="19">
      <formula>ISTEXT($AB$3)</formula>
    </cfRule>
  </conditionalFormatting>
  <conditionalFormatting sqref="AC3">
    <cfRule type="expression" dxfId="17" priority="18">
      <formula>ISTEXT($AC$3)</formula>
    </cfRule>
  </conditionalFormatting>
  <conditionalFormatting sqref="AD3">
    <cfRule type="expression" dxfId="16" priority="17">
      <formula>ISTEXT($AD$3)</formula>
    </cfRule>
  </conditionalFormatting>
  <conditionalFormatting sqref="AA4">
    <cfRule type="expression" dxfId="15" priority="16">
      <formula>ISTEXT($AA$4)</formula>
    </cfRule>
  </conditionalFormatting>
  <conditionalFormatting sqref="AB4">
    <cfRule type="expression" dxfId="14" priority="15">
      <formula>ISTEXT($AB$4)</formula>
    </cfRule>
  </conditionalFormatting>
  <conditionalFormatting sqref="AC4">
    <cfRule type="expression" dxfId="13" priority="14">
      <formula>ISTEXT($AC$4)</formula>
    </cfRule>
  </conditionalFormatting>
  <conditionalFormatting sqref="AD4">
    <cfRule type="expression" dxfId="12" priority="13">
      <formula>ISTEXT($AD$4)</formula>
    </cfRule>
  </conditionalFormatting>
  <conditionalFormatting sqref="AA5">
    <cfRule type="expression" dxfId="11" priority="12">
      <formula>ISTEXT($AA$5)</formula>
    </cfRule>
  </conditionalFormatting>
  <conditionalFormatting sqref="AB5">
    <cfRule type="expression" dxfId="10" priority="11">
      <formula>ISTEXT($AB$5)</formula>
    </cfRule>
  </conditionalFormatting>
  <conditionalFormatting sqref="AC5">
    <cfRule type="expression" dxfId="9" priority="10">
      <formula>ISTEXT($AC$5)</formula>
    </cfRule>
  </conditionalFormatting>
  <conditionalFormatting sqref="AD5">
    <cfRule type="expression" dxfId="8" priority="9">
      <formula>ISTEXT($AD$5)</formula>
    </cfRule>
  </conditionalFormatting>
  <conditionalFormatting sqref="AA6">
    <cfRule type="expression" dxfId="7" priority="8">
      <formula>ISTEXT($AA$6)</formula>
    </cfRule>
  </conditionalFormatting>
  <conditionalFormatting sqref="AB6">
    <cfRule type="expression" dxfId="6" priority="7">
      <formula>ISTEXT($AB$6)</formula>
    </cfRule>
  </conditionalFormatting>
  <conditionalFormatting sqref="AC6">
    <cfRule type="expression" dxfId="5" priority="6">
      <formula>ISTEXT($AC$6)</formula>
    </cfRule>
  </conditionalFormatting>
  <conditionalFormatting sqref="AD6">
    <cfRule type="expression" dxfId="4" priority="5">
      <formula>ISTEXT($AD$6)</formula>
    </cfRule>
  </conditionalFormatting>
  <conditionalFormatting sqref="AA7">
    <cfRule type="expression" dxfId="3" priority="4">
      <formula>ISTEXT($AA$7)</formula>
    </cfRule>
  </conditionalFormatting>
  <conditionalFormatting sqref="AB7">
    <cfRule type="expression" dxfId="2" priority="3">
      <formula>ISTEXT($AB$7)</formula>
    </cfRule>
  </conditionalFormatting>
  <conditionalFormatting sqref="AC7">
    <cfRule type="expression" dxfId="1" priority="2">
      <formula>ISTEXT($AC$7)</formula>
    </cfRule>
  </conditionalFormatting>
  <conditionalFormatting sqref="AD7">
    <cfRule type="expression" dxfId="0" priority="1">
      <formula>ISTEXT($AD$7)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Summary</vt:lpstr>
      <vt:lpstr>Data</vt:lpstr>
      <vt:lpstr>Control</vt:lpstr>
      <vt:lpstr>Summary1</vt:lpstr>
      <vt:lpstr>Control!Table1</vt:lpstr>
      <vt:lpstr>Table11</vt:lpstr>
      <vt:lpstr>Table12</vt:lpstr>
      <vt:lpstr>Table13</vt:lpstr>
      <vt:lpstr>Table14</vt:lpstr>
      <vt:lpstr>Table17</vt:lpstr>
      <vt:lpstr>Table18</vt:lpstr>
      <vt:lpstr>Table7</vt:lpstr>
      <vt:lpstr>Table8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Anshika Parashar</dc:creator>
  <cp:lastModifiedBy>Lau, Janice</cp:lastModifiedBy>
  <dcterms:created xsi:type="dcterms:W3CDTF">2021-03-16T20:41:02Z</dcterms:created>
  <dcterms:modified xsi:type="dcterms:W3CDTF">2021-03-31T21:37:28Z</dcterms:modified>
</cp:coreProperties>
</file>