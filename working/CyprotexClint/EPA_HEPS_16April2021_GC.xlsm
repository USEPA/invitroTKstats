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April 2021\HepStab\"/>
    </mc:Choice>
  </mc:AlternateContent>
  <bookViews>
    <workbookView xWindow="0" yWindow="0" windowWidth="28800" windowHeight="11700" activeTab="3"/>
  </bookViews>
  <sheets>
    <sheet name="Summary" sheetId="1" r:id="rId1"/>
    <sheet name="Data" sheetId="2" r:id="rId2"/>
    <sheet name="Control" sheetId="13" r:id="rId3"/>
    <sheet name="Heat Inactived" sheetId="16" r:id="rId4"/>
    <sheet name="Raw Data" sheetId="15" r:id="rId5"/>
  </sheets>
  <functionGroups builtInGroupCount="18"/>
  <definedNames>
    <definedName name="Summary1">Summary!$A$4:$H$18</definedName>
    <definedName name="Table1" localSheetId="2">Control!$Z$2:$AD$8</definedName>
    <definedName name="Table1">Data!$Z$2:$AD$7</definedName>
    <definedName name="Table10">Data!$Z$106:$AD$111</definedName>
    <definedName name="Table11">Data!$Z$127:$AD$132</definedName>
    <definedName name="Table12">Data!$Z$148:$AD$153</definedName>
    <definedName name="Table13">Data!#REF!</definedName>
    <definedName name="Table14">Data!#REF!</definedName>
    <definedName name="Table15">Data!#REF!</definedName>
    <definedName name="Table2" localSheetId="2">Control!#REF!</definedName>
    <definedName name="Table2">Data!$Z$23:$AD$28</definedName>
    <definedName name="Table3" localSheetId="2">Control!#REF!</definedName>
    <definedName name="Table3">Data!$Z$44:$AD$49</definedName>
    <definedName name="Table4" localSheetId="2">Control!#REF!</definedName>
    <definedName name="Table4">Data!#REF!</definedName>
    <definedName name="Table5" localSheetId="2">Control!#REF!</definedName>
    <definedName name="Table5">Data!$Z$65:$AD$70</definedName>
    <definedName name="Table6" localSheetId="2">Control!#REF!</definedName>
    <definedName name="Table6">Data!#REF!</definedName>
    <definedName name="Table7" localSheetId="2">Control!#REF!</definedName>
    <definedName name="Table7">Data!#REF!</definedName>
    <definedName name="Table8" localSheetId="2">Control!#REF!</definedName>
    <definedName name="Table8">Data!#REF!</definedName>
    <definedName name="Table9">Data!$Z$85:$AD$90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<sst xmlns="http://schemas.openxmlformats.org/spreadsheetml/2006/main" count="1050" uniqueCount="420">
  <si>
    <t>SampleName</t>
  </si>
  <si>
    <t>CompoundName</t>
  </si>
  <si>
    <t>Transition</t>
  </si>
  <si>
    <t>Area</t>
  </si>
  <si>
    <t>ISTD Area</t>
  </si>
  <si>
    <t>ISTDResponseRatio</t>
  </si>
  <si>
    <t>Compound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</si>
  <si>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</si>
  <si>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</si>
  <si>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</si>
  <si>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</si>
  <si>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</si>
  <si>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</si>
  <si>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</si>
  <si>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</si>
  <si>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</si>
  <si>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</si>
  <si>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</si>
  <si>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</si>
  <si>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</si>
  <si>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</si>
  <si>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</si>
  <si>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</si>
  <si>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</si>
  <si>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</si>
  <si>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</si>
  <si>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</si>
  <si>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</si>
  <si>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Area Ratio</t>
  </si>
  <si>
    <t>Midazolam</t>
  </si>
  <si>
    <t>326.121 &gt; 291.203</t>
  </si>
  <si>
    <t>Control</t>
  </si>
  <si>
    <t>NF</t>
  </si>
  <si>
    <t>Filename</t>
  </si>
  <si>
    <t>Sample Name</t>
  </si>
  <si>
    <t>RT</t>
  </si>
  <si>
    <t>Midazolam-1uM - Human</t>
  </si>
  <si>
    <t>Concentration (uM)</t>
  </si>
  <si>
    <t>No peak detected</t>
  </si>
  <si>
    <t>&gt;480</t>
  </si>
  <si>
    <t>Avg % Remaining in HI hepatocytes</t>
  </si>
  <si>
    <t>HepStab</t>
  </si>
  <si>
    <t>blank_Human_2_06</t>
  </si>
  <si>
    <t>blank_Human_3_07</t>
  </si>
  <si>
    <t>blank_Human_4_08</t>
  </si>
  <si>
    <t>DTXSID0021543_10uM_Human__120_1_136</t>
  </si>
  <si>
    <t>DTXSID0021543_10uM_Human__120_2_137</t>
  </si>
  <si>
    <t>DTXSID0021543_10uM_Human__120_3_138</t>
  </si>
  <si>
    <t>DTXSID0021543_10uM_Human__60_1_139</t>
  </si>
  <si>
    <t>DTXSID0021543_10uM_Human__60_2_140</t>
  </si>
  <si>
    <t>DTXSID0021543_10uM_Human__60_3_141</t>
  </si>
  <si>
    <t>DTXSID0021543_10uM_Human__30_1_142</t>
  </si>
  <si>
    <t>DTXSID0021543_10uM_Human__30_2_143</t>
  </si>
  <si>
    <t>DTXSID0021543_10uM_Human__30_3_144</t>
  </si>
  <si>
    <t>DTXSID0021543_10uM_Human__15_1_145</t>
  </si>
  <si>
    <t>DTXSID0021543_10uM_Human__15_2_146</t>
  </si>
  <si>
    <t>DTXSID0021543_10uM_Human__15_3_147</t>
  </si>
  <si>
    <t>DTXSID0021543_10uM_Human__0_1_148</t>
  </si>
  <si>
    <t>DTXSID0021543_10uM_Human__0_2_149</t>
  </si>
  <si>
    <t>DTXSID0021543_10uM_Human__0_3_150</t>
  </si>
  <si>
    <t>DTXSID0021543</t>
  </si>
  <si>
    <t>DTXSID0021543_1uM_Human__120_1_10</t>
  </si>
  <si>
    <t>DTXSID0021543_1uM_Human__120_2_11</t>
  </si>
  <si>
    <t>DTXSID0021543_1uM_Human__120_3_12</t>
  </si>
  <si>
    <t>DTXSID0021543_1uM_Human__60_1_13</t>
  </si>
  <si>
    <t>DTXSID0021543_1uM_Human__60_2_14</t>
  </si>
  <si>
    <t>DTXSID0021543_1uM_Human__60_3_15</t>
  </si>
  <si>
    <t>DTXSID0021543_1uM_Human__30_1_16</t>
  </si>
  <si>
    <t>DTXSID0021543_1uM_Human__30_2_17</t>
  </si>
  <si>
    <t>DTXSID0021543_1uM_Human__30_3_18</t>
  </si>
  <si>
    <t>DTXSID0021543_1uM_Human__15_1_19</t>
  </si>
  <si>
    <t>DTXSID0021543_1uM_Human__15_2_20</t>
  </si>
  <si>
    <t>DTXSID0021543_1uM_Human__15_3_21</t>
  </si>
  <si>
    <t>DTXSID0021543_1uM_Human__0_1_22</t>
  </si>
  <si>
    <t>DTXSID0021543_1uM_Human__0_2_23</t>
  </si>
  <si>
    <t>DTXSID0021543_1uM_Human__0_3_24</t>
  </si>
  <si>
    <t>DTXSID0021543 - Human</t>
  </si>
  <si>
    <t>Blank peak &gt; sample peak</t>
  </si>
  <si>
    <t>DTXSID0021543_10uM_Human__120_1</t>
  </si>
  <si>
    <t>DTXSID0021543_10uM_Human__120_2</t>
  </si>
  <si>
    <t>DTXSID0021543_10uM_Human__120_3</t>
  </si>
  <si>
    <t>DTXSID0021543_10uM_Human__60_1</t>
  </si>
  <si>
    <t>DTXSID0021543_10uM_Human__60_2</t>
  </si>
  <si>
    <t>DTXSID0021543_10uM_Human__60_3</t>
  </si>
  <si>
    <t>DTXSID0021543_10uM_Human__30_1</t>
  </si>
  <si>
    <t>DTXSID0021543_10uM_Human__30_2</t>
  </si>
  <si>
    <t>DTXSID0021543_10uM_Human__30_3</t>
  </si>
  <si>
    <t>DTXSID0021543_10uM_Human__15_1</t>
  </si>
  <si>
    <t>DTXSID0021543_10uM_Human__15_2</t>
  </si>
  <si>
    <t>DTXSID0021543_10uM_Human__15_3</t>
  </si>
  <si>
    <t>DTXSID0021543_10uM_Human__0_1</t>
  </si>
  <si>
    <t>DTXSID0021543_10uM_Human__0_2</t>
  </si>
  <si>
    <t>DTXSID0021543_10uM_Human__0_3</t>
  </si>
  <si>
    <t>DTXSID0021543_1uM_Human__120_1</t>
  </si>
  <si>
    <t>DTXSID0021543_1uM_Human__120_2</t>
  </si>
  <si>
    <t>DTXSID0021543_1uM_Human__120_3</t>
  </si>
  <si>
    <t>DTXSID0021543_1uM_Human__60_1</t>
  </si>
  <si>
    <t>DTXSID0021543_1uM_Human__60_2</t>
  </si>
  <si>
    <t>DTXSID0021543_1uM_Human__60_3</t>
  </si>
  <si>
    <t>DTXSID0021543_1uM_Human__30_1</t>
  </si>
  <si>
    <t>DTXSID0021543_1uM_Human__30_2</t>
  </si>
  <si>
    <t>DTXSID0021543_1uM_Human__30_3</t>
  </si>
  <si>
    <t>DTXSID0021543_1uM_Human__15_1</t>
  </si>
  <si>
    <t>DTXSID0021543_1uM_Human__15_2</t>
  </si>
  <si>
    <t>DTXSID0021543_1uM_Human__15_3</t>
  </si>
  <si>
    <t>DTXSID0021543_1uM_Human__0_1</t>
  </si>
  <si>
    <t>DTXSID0021543_1uM_Human__0_2</t>
  </si>
  <si>
    <t>DTXSID0021543_1uM_Human__0_3</t>
  </si>
  <si>
    <t>blank_Human_2</t>
  </si>
  <si>
    <t>blank_Human_3</t>
  </si>
  <si>
    <t>blank_Human_4</t>
  </si>
  <si>
    <t>DTXSID0027191</t>
  </si>
  <si>
    <t>DTXSID0027191_10uM_Human__120_1_208</t>
  </si>
  <si>
    <t>DTXSID0027191_10uM_Human__120_2_209</t>
  </si>
  <si>
    <t>DTXSID0027191_10uM_Human__120_3_210</t>
  </si>
  <si>
    <t>DTXSID0027191_10uM_Human__60_1_211</t>
  </si>
  <si>
    <t>DTXSID0027191_10uM_Human__60_2_212</t>
  </si>
  <si>
    <t>DTXSID0027191_10uM_Human__60_3_213</t>
  </si>
  <si>
    <t>DTXSID0027191_10uM_Human__30_1_214</t>
  </si>
  <si>
    <t>DTXSID0027191_10uM_Human__30_2_215</t>
  </si>
  <si>
    <t>DTXSID0027191_10uM_Human__30_3_216</t>
  </si>
  <si>
    <t>DTXSID0027191_10uM_Human__15_1_217</t>
  </si>
  <si>
    <t>DTXSID0027191_10uM_Human__15_2_218</t>
  </si>
  <si>
    <t>DTXSID0027191_10uM_Human__15_3_219</t>
  </si>
  <si>
    <t>DTXSID0027191_10uM_Human__0_1_220</t>
  </si>
  <si>
    <t>DTXSID0027191_10uM_Human__0_2_221</t>
  </si>
  <si>
    <t>DTXSID0027191_10uM_Human__0_3_222</t>
  </si>
  <si>
    <t>DTXSID0027191 - Human</t>
  </si>
  <si>
    <t>DTXSID0027191_1uM_Human__120_1_82</t>
  </si>
  <si>
    <t>DTXSID0027191_1uM_Human__120_2_83</t>
  </si>
  <si>
    <t>DTXSID0027191_1uM_Human__120_3_84</t>
  </si>
  <si>
    <t>DTXSID0027191_1uM_Human__60_1_85</t>
  </si>
  <si>
    <t>DTXSID0027191_1uM_Human__60_2_86</t>
  </si>
  <si>
    <t>DTXSID0027191_1uM_Human__60_3_87</t>
  </si>
  <si>
    <t>DTXSID0027191_1uM_Human__30_1_88</t>
  </si>
  <si>
    <t>DTXSID0027191_1uM_Human__30_2_89</t>
  </si>
  <si>
    <t>DTXSID0027191_1uM_Human__30_3_90</t>
  </si>
  <si>
    <t>DTXSID0027191_1uM_Human__15_1_91</t>
  </si>
  <si>
    <t>DTXSID0027191_1uM_Human__15_2_92</t>
  </si>
  <si>
    <t>DTXSID0027191_1uM_Human__15_3_93</t>
  </si>
  <si>
    <t>DTXSID0027191_1uM_Human__0_1_94</t>
  </si>
  <si>
    <t>DTXSID0027191_1uM_Human__0_2_95</t>
  </si>
  <si>
    <t>DTXSID0027191_1uM_Human__0_3_96</t>
  </si>
  <si>
    <t>DTXSID0026838_10uM_Human__120_1_190</t>
  </si>
  <si>
    <t>DTXSID0026838_10uM_Human__120_2_191</t>
  </si>
  <si>
    <t>DTXSID0026838_10uM_Human__120_3_192</t>
  </si>
  <si>
    <t>DTXSID0026838_10uM_Human__60_1_193</t>
  </si>
  <si>
    <t>DTXSID0026838_10uM_Human__60_2_194</t>
  </si>
  <si>
    <t>DTXSID0026838_10uM_Human__60_3_195</t>
  </si>
  <si>
    <t>DTXSID0026838_10uM_Human__30_1_196</t>
  </si>
  <si>
    <t>DTXSID0026838_10uM_Human__30_2_197</t>
  </si>
  <si>
    <t>DTXSID0026838_10uM_Human__30_3_198</t>
  </si>
  <si>
    <t>DTXSID0026838_10uM_Human__15_1_199</t>
  </si>
  <si>
    <t>DTXSID0026838_10uM_Human__15_2_200</t>
  </si>
  <si>
    <t>DTXSID0026838_10uM_Human__15_3_201</t>
  </si>
  <si>
    <t>DTXSID0026838_10uM_Human__0_1_202</t>
  </si>
  <si>
    <t>DTXSID0026838_10uM_Human__0_2_203</t>
  </si>
  <si>
    <t>DTXSID0026838_10uM_Human__0_3_204</t>
  </si>
  <si>
    <t>DTXSID0026838 - Human</t>
  </si>
  <si>
    <t>DTXSID0026838</t>
  </si>
  <si>
    <t>DTXSID0026838_1uM_Human__120_1_64</t>
  </si>
  <si>
    <t>DTXSID0026838_1uM_Human__120_2_65</t>
  </si>
  <si>
    <t>DTXSID0026838_1uM_Human__120_3_66</t>
  </si>
  <si>
    <t>DTXSID0026838_1uM_Human__60_1_67</t>
  </si>
  <si>
    <t>DTXSID0026838_1uM_Human__60_2_68</t>
  </si>
  <si>
    <t>DTXSID0026838_1uM_Human__60_3_69</t>
  </si>
  <si>
    <t>DTXSID0026838_1uM_Human__30_1_70</t>
  </si>
  <si>
    <t>DTXSID0026838_1uM_Human__30_2_71</t>
  </si>
  <si>
    <t>DTXSID0026838_1uM_Human__30_3_72</t>
  </si>
  <si>
    <t>DTXSID0026838_1uM_Human__15_1_73</t>
  </si>
  <si>
    <t>DTXSID0026838_1uM_Human__15_2_74</t>
  </si>
  <si>
    <t>DTXSID0026838_1uM_Human__15_3_75</t>
  </si>
  <si>
    <t>DTXSID0026838_1uM_Human__0_1_76</t>
  </si>
  <si>
    <t>DTXSID0026838_1uM_Human__0_2_77</t>
  </si>
  <si>
    <t>DTXSID0026838_1uM_Human__0_3_78</t>
  </si>
  <si>
    <t>DTXSID6042234_1uM_Human__120_1_28</t>
  </si>
  <si>
    <t>DTXSID6042234_1uM_Human__120_2_29</t>
  </si>
  <si>
    <t>DTXSID6042234_1uM_Human__120_3_30</t>
  </si>
  <si>
    <t>DTXSID6042234_1uM_Human__60_1_31</t>
  </si>
  <si>
    <t>DTXSID6042234_1uM_Human__60_2_274</t>
  </si>
  <si>
    <t>DTXSID6042234_1uM_Human__60_3_275</t>
  </si>
  <si>
    <t>DTXSID6042234_1uM_Human__30_1_34</t>
  </si>
  <si>
    <t>DTXSID6042234_1uM_Human__30_2_35</t>
  </si>
  <si>
    <t>DTXSID6042234_1uM_Human__30_3_36</t>
  </si>
  <si>
    <t>DTXSID6042234_1uM_Human__15_1_37</t>
  </si>
  <si>
    <t>DTXSID6042234_1uM_Human__15_2_38</t>
  </si>
  <si>
    <t>DTXSID6042234_1uM_Human__15_3_39</t>
  </si>
  <si>
    <t>DTXSID6042234_1uM_Human__0_1_40</t>
  </si>
  <si>
    <t>DTXSID6042234_1uM_Human__0_2_41</t>
  </si>
  <si>
    <t>DTXSID6042234_1uM_Human__0_3_42</t>
  </si>
  <si>
    <t>DTXSID6042234</t>
  </si>
  <si>
    <t>DTXSID6042234 - Human</t>
  </si>
  <si>
    <t xml:space="preserve">Points Deleted: (120,5.0080) (60,7.3200) (30,5.0640) </t>
  </si>
  <si>
    <t>DTXSID6042234_10uM_Human__120_1_154</t>
  </si>
  <si>
    <t>DTXSID6042234_10uM_Human__120_2_155</t>
  </si>
  <si>
    <t>DTXSID6042234_10uM_Human__120_3_156</t>
  </si>
  <si>
    <t>DTXSID6042234_10uM_Human__60_1_157</t>
  </si>
  <si>
    <t>DTXSID6042234_10uM_Human__60_2_158</t>
  </si>
  <si>
    <t>DTXSID6042234_10uM_Human__60_3_159</t>
  </si>
  <si>
    <t>DTXSID6042234_10uM_Human__30_1_160</t>
  </si>
  <si>
    <t>DTXSID6042234_10uM_Human__30_2_161</t>
  </si>
  <si>
    <t>DTXSID6042234_10uM_Human__30_3_162</t>
  </si>
  <si>
    <t>DTXSID6042234_10uM_Human__15_1_163</t>
  </si>
  <si>
    <t>DTXSID6042234_10uM_Human__15_2_164</t>
  </si>
  <si>
    <t>DTXSID6042234_10uM_Human__15_3_165</t>
  </si>
  <si>
    <t>DTXSID6042234_10uM_Human__0_1_166</t>
  </si>
  <si>
    <t>DTXSID6042234_10uM_Human__0_2_167</t>
  </si>
  <si>
    <t>DTXSID6042234_10uM_Human__0_3_168</t>
  </si>
  <si>
    <t>DTXSID5025023</t>
  </si>
  <si>
    <t>DTXSID3020415</t>
  </si>
  <si>
    <t>DTXSID6020430</t>
  </si>
  <si>
    <t>Midazolam_1uM_Human__0_1_____5P5_Inj 2021April16_EPA_28</t>
  </si>
  <si>
    <t>Midazolam_1uM_Human__0_2_____5P5_Inj 2021April16_EPA_29</t>
  </si>
  <si>
    <t>Midazolam_1uM_Human__0_3_____5P5_Inj 2021April16_EPA_30</t>
  </si>
  <si>
    <t>Midazolam_1uM_Human__120_1_____5P1_Inj 2021April16_EPA_16</t>
  </si>
  <si>
    <t>Midazolam_1uM_Human__120_2_____5P1_Inj 2021April16_EPA_17</t>
  </si>
  <si>
    <t>Midazolam_1uM_Human__120_3_____5P1_Inj 2021April16_EPA_18</t>
  </si>
  <si>
    <t>Midazolam_1uM_Human__15_1_____5P4_Inj 2021April16_EPA_25</t>
  </si>
  <si>
    <t>Midazolam_1uM_Human__15_2_____5P4_Inj 2021April16_EPA_26</t>
  </si>
  <si>
    <t>Midazolam_1uM_Human__15_3_____5P4_Inj 2021April16_EPA_27</t>
  </si>
  <si>
    <t>Midazolam_1uM_Human__30_1_____5P3_Inj 2021April16_EPA_22</t>
  </si>
  <si>
    <t>Midazolam_1uM_Human__30_2_____5P3_Inj 2021April16_EPA_23</t>
  </si>
  <si>
    <t>Midazolam_1uM_Human__30_3_____5P3_Inj 2021April16_EPA_24</t>
  </si>
  <si>
    <t>Midazolam_1uM_Human__60_1_____5P2_Inj 2021April16_EPA_19</t>
  </si>
  <si>
    <t>Midazolam_1uM_Human__60_2_____5P2_Inj 2021April16_EPA_20</t>
  </si>
  <si>
    <t>Midazolam_1uM_Human__60_3_____5P2_Inj 2021April16_EPA_21</t>
  </si>
  <si>
    <t>Blank_1uM_Human__120_1_____5P1_Inj 2021April16_EPA_3</t>
  </si>
  <si>
    <t>Blank_1uM_Human__120_2_____5P1_Inj 2021April16_EPA_4</t>
  </si>
  <si>
    <t>Blank_1uM_Human__120_3_____5P1_Inj 2021April16_EPA_5</t>
  </si>
  <si>
    <t>DTXSID0027191_10uM_Human__0_1</t>
  </si>
  <si>
    <t>DTXSID0027191_10uM_Human__0_2</t>
  </si>
  <si>
    <t>DTXSID0027191_10uM_Human__0_3</t>
  </si>
  <si>
    <t>DTXSID0027191_10uM_Human__120_1</t>
  </si>
  <si>
    <t>DTXSID0027191_10uM_Human__120_2</t>
  </si>
  <si>
    <t>DTXSID0027191_10uM_Human__120_3</t>
  </si>
  <si>
    <t>DTXSID0027191_10uM_Human__15_1</t>
  </si>
  <si>
    <t>DTXSID0027191_10uM_Human__15_2</t>
  </si>
  <si>
    <t>DTXSID0027191_10uM_Human__15_3</t>
  </si>
  <si>
    <t>DTXSID0027191_10uM_Human__30_1</t>
  </si>
  <si>
    <t>DTXSID0027191_10uM_Human__30_2</t>
  </si>
  <si>
    <t>DTXSID0027191_10uM_Human__30_3</t>
  </si>
  <si>
    <t>DTXSID0027191_10uM_Human__60_1</t>
  </si>
  <si>
    <t>DTXSID0027191_10uM_Human__60_2</t>
  </si>
  <si>
    <t>DTXSID0027191_10uM_Human__60_3</t>
  </si>
  <si>
    <t>DTXSID0027191_1uM_Human__0_1</t>
  </si>
  <si>
    <t>DTXSID0027191_1uM_Human__0_2</t>
  </si>
  <si>
    <t>DTXSID0027191_1uM_Human__0_3</t>
  </si>
  <si>
    <t>DTXSID0027191_1uM_Human__120_1</t>
  </si>
  <si>
    <t>DTXSID0027191_1uM_Human__120_2</t>
  </si>
  <si>
    <t>DTXSID0027191_1uM_Human__120_3</t>
  </si>
  <si>
    <t>DTXSID0027191_1uM_Human__15_1</t>
  </si>
  <si>
    <t>DTXSID0027191_1uM_Human__15_2</t>
  </si>
  <si>
    <t>DTXSID0027191_1uM_Human__15_3</t>
  </si>
  <si>
    <t>DTXSID0027191_1uM_Human__30_1</t>
  </si>
  <si>
    <t>DTXSID0027191_1uM_Human__30_2</t>
  </si>
  <si>
    <t>DTXSID0027191_1uM_Human__30_3</t>
  </si>
  <si>
    <t>DTXSID0027191_1uM_Human__60_1</t>
  </si>
  <si>
    <t>DTXSID0027191_1uM_Human__60_2</t>
  </si>
  <si>
    <t>DTXSID0027191_1uM_Human__60_3</t>
  </si>
  <si>
    <t>DTXSID0026838_10uM_Human__0_1</t>
  </si>
  <si>
    <t>DTXSID0026838_10uM_Human__0_2</t>
  </si>
  <si>
    <t>DTXSID0026838_10uM_Human__0_3</t>
  </si>
  <si>
    <t>DTXSID0026838_10uM_Human__120_1</t>
  </si>
  <si>
    <t>DTXSID0026838_10uM_Human__120_2</t>
  </si>
  <si>
    <t>DTXSID0026838_10uM_Human__120_3</t>
  </si>
  <si>
    <t>DTXSID0026838_10uM_Human__15_1</t>
  </si>
  <si>
    <t>DTXSID0026838_10uM_Human__15_2</t>
  </si>
  <si>
    <t>DTXSID0026838_10uM_Human__15_3</t>
  </si>
  <si>
    <t>DTXSID0026838_10uM_Human__30_1</t>
  </si>
  <si>
    <t>DTXSID0026838_10uM_Human__30_2</t>
  </si>
  <si>
    <t>DTXSID0026838_10uM_Human__30_3</t>
  </si>
  <si>
    <t>DTXSID0026838_10uM_Human__60_1</t>
  </si>
  <si>
    <t>DTXSID0026838_10uM_Human__60_2</t>
  </si>
  <si>
    <t>DTXSID0026838_10uM_Human__60_3</t>
  </si>
  <si>
    <t>DTXSID0026838_1uM_Human__0_1</t>
  </si>
  <si>
    <t>DTXSID0026838_1uM_Human__0_2</t>
  </si>
  <si>
    <t>DTXSID0026838_1uM_Human__0_3</t>
  </si>
  <si>
    <t>DTXSID0026838_1uM_Human__120_1</t>
  </si>
  <si>
    <t>DTXSID0026838_1uM_Human__120_2</t>
  </si>
  <si>
    <t>DTXSID0026838_1uM_Human__120_3</t>
  </si>
  <si>
    <t>DTXSID0026838_1uM_Human__15_1</t>
  </si>
  <si>
    <t>DTXSID0026838_1uM_Human__15_2</t>
  </si>
  <si>
    <t>DTXSID0026838_1uM_Human__15_3</t>
  </si>
  <si>
    <t>DTXSID0026838_1uM_Human__30_1</t>
  </si>
  <si>
    <t>DTXSID0026838_1uM_Human__30_2</t>
  </si>
  <si>
    <t>DTXSID0026838_1uM_Human__30_3</t>
  </si>
  <si>
    <t>DTXSID0026838_1uM_Human__60_1</t>
  </si>
  <si>
    <t>DTXSID0026838_1uM_Human__60_2</t>
  </si>
  <si>
    <t>DTXSID0026838_1uM_Human__60_3</t>
  </si>
  <si>
    <t>DTXSID6042234_10uM_Human__0_1</t>
  </si>
  <si>
    <t>DTXSID6042234_10uM_Human__0_2</t>
  </si>
  <si>
    <t>DTXSID6042234_10uM_Human__0_3</t>
  </si>
  <si>
    <t>DTXSID6042234_10uM_Human__120_1</t>
  </si>
  <si>
    <t>DTXSID6042234_10uM_Human__120_2</t>
  </si>
  <si>
    <t>DTXSID6042234_10uM_Human__120_3</t>
  </si>
  <si>
    <t>DTXSID6042234_10uM_Human__15_1</t>
  </si>
  <si>
    <t>DTXSID6042234_10uM_Human__15_2</t>
  </si>
  <si>
    <t>DTXSID6042234_10uM_Human__15_3</t>
  </si>
  <si>
    <t>DTXSID6042234_10uM_Human__30_1</t>
  </si>
  <si>
    <t>DTXSID6042234_10uM_Human__30_2</t>
  </si>
  <si>
    <t>DTXSID6042234_10uM_Human__30_3</t>
  </si>
  <si>
    <t>DTXSID6042234_10uM_Human__60_1</t>
  </si>
  <si>
    <t>DTXSID6042234_10uM_Human__60_2</t>
  </si>
  <si>
    <t>DTXSID6042234_10uM_Human__60_3</t>
  </si>
  <si>
    <t>DTXSID6042234_1uM_Human__0_1</t>
  </si>
  <si>
    <t>DTXSID6042234_1uM_Human__0_2</t>
  </si>
  <si>
    <t>DTXSID6042234_1uM_Human__0_3</t>
  </si>
  <si>
    <t>DTXSID6042234_1uM_Human__120_1</t>
  </si>
  <si>
    <t>DTXSID6042234_1uM_Human__120_2</t>
  </si>
  <si>
    <t>DTXSID6042234_1uM_Human__120_3</t>
  </si>
  <si>
    <t>DTXSID6042234_1uM_Human__15_1</t>
  </si>
  <si>
    <t>DTXSID6042234_1uM_Human__15_2</t>
  </si>
  <si>
    <t>DTXSID6042234_1uM_Human__15_3</t>
  </si>
  <si>
    <t>DTXSID6042234_1uM_Human__30_1</t>
  </si>
  <si>
    <t>DTXSID6042234_1uM_Human__30_2</t>
  </si>
  <si>
    <t>DTXSID6042234_1uM_Human__30_3</t>
  </si>
  <si>
    <t>DTXSID6042234_1uM_Human__60_1</t>
  </si>
  <si>
    <t>DTXSID6042234_1uM_Human__60_2</t>
  </si>
  <si>
    <t>DTXSID6042234_1uM_Human__60_3</t>
  </si>
  <si>
    <t>Blank_10uM_Human__HI_1_____5P6_Inj2021April22_EPA120min_94</t>
  </si>
  <si>
    <t>Blank_10uM_Human__HI_1_____5P6_Inj2021April22_EPA120min</t>
  </si>
  <si>
    <t>Blank_10uM_Human__HI_2_____5P6_Inj2021April22_EPA120min_95</t>
  </si>
  <si>
    <t>Blank_10uM_Human__HI_2_____5P6_Inj2021April22_EPA120min</t>
  </si>
  <si>
    <t>Blank_10uM_Human__HI_3_____5P6_Inj2021April22_EPA120min_96</t>
  </si>
  <si>
    <t>Blank_10uM_Human__HI_3_____5P6_Inj2021April22_EPA120min</t>
  </si>
  <si>
    <t>Blank_1uM_Human__HI_1_____5P6_Inj2021April22_EPA120min_91</t>
  </si>
  <si>
    <t>Blank_1uM_Human__HI_1_____5P6_Inj2021April22_EPA120min</t>
  </si>
  <si>
    <t>Blank_1uM_Human__HI_2_____5P6_Inj2021April22_EPA120min_92</t>
  </si>
  <si>
    <t>Blank_1uM_Human__HI_2_____5P6_Inj2021April22_EPA120min</t>
  </si>
  <si>
    <t>Blank_1uM_Human__HI_3_____5P6_Inj2021April22_EPA120min_93</t>
  </si>
  <si>
    <t>Blank_1uM_Human__HI_3_____5P6_Inj2021April22_EPA120min</t>
  </si>
  <si>
    <t>DTXSID0026838_10uM_Human__HI_1_____5P6_Inj2021April22_EPA0min_24</t>
  </si>
  <si>
    <t>DTXSID0026838_10uM_Human__HI_1_____5P6_Inj2021April22_EPA0min</t>
  </si>
  <si>
    <t>DTXSID0026838_10uM_Human__HI_1_____5P6_Inj2021April22_EPA120min_68</t>
  </si>
  <si>
    <t>DTXSID0026838_10uM_Human__HI_1_____5P6_Inj2021April22_EPA120min</t>
  </si>
  <si>
    <t>DTXSID0026838_10uM_Human__HI_2_____5P6_Inj2021April22_EPA0min_25</t>
  </si>
  <si>
    <t>DTXSID0026838_10uM_Human__HI_2_____5P6_Inj2021April22_EPA0min</t>
  </si>
  <si>
    <t>DTXSID0026838_10uM_Human__HI_2_____5P6_Inj2021April22_EPA120min_69</t>
  </si>
  <si>
    <t>DTXSID0026838_10uM_Human__HI_2_____5P6_Inj2021April22_EPA120min</t>
  </si>
  <si>
    <t>DTXSID0026838_10uM_Human__HI_3_____5P6_Inj2021April22_EPA0min_26</t>
  </si>
  <si>
    <t>DTXSID0026838_10uM_Human__HI_3_____5P6_Inj2021April22_EPA0min</t>
  </si>
  <si>
    <t>DTXSID0026838_10uM_Human__HI_3_____5P6_Inj2021April22_EPA120min_70</t>
  </si>
  <si>
    <t>DTXSID0026838_10uM_Human__HI_3_____5P6_Inj2021April22_EPA120min</t>
  </si>
  <si>
    <t>DTXSID0026838_1uM_Human__HI_1_____5P6_Inj2021April22_EPA0min_21</t>
  </si>
  <si>
    <t>DTXSID0026838_1uM_Human__HI_1_____5P6_Inj2021April22_EPA0min</t>
  </si>
  <si>
    <t>DTXSID0026838_1uM_Human__HI_1_____5P6_Inj2021April22_EPA120min_65</t>
  </si>
  <si>
    <t>DTXSID0026838_1uM_Human__HI_1_____5P6_Inj2021April22_EPA120min</t>
  </si>
  <si>
    <t>DTXSID0026838_1uM_Human__HI_2_____5P6_Inj2021April22_EPA0min_22</t>
  </si>
  <si>
    <t>DTXSID0026838_1uM_Human__HI_2_____5P6_Inj2021April22_EPA0min</t>
  </si>
  <si>
    <t>DTXSID0026838_1uM_Human__HI_2_____5P6_Inj2021April22_EPA120min_66</t>
  </si>
  <si>
    <t>DTXSID0026838_1uM_Human__HI_2_____5P6_Inj2021April22_EPA120min</t>
  </si>
  <si>
    <t>DTXSID0026838_1uM_Human__HI_3_____5P6_Inj2021April22_EPA0min_23</t>
  </si>
  <si>
    <t>DTXSID0026838_1uM_Human__HI_3_____5P6_Inj2021April22_EPA0min</t>
  </si>
  <si>
    <t>DTXSID0026838_1uM_Human__HI_3_____5P6_Inj2021April22_EPA120min_67</t>
  </si>
  <si>
    <t>DTXSID0026838_1uM_Human__HI_3_____5P6_Inj2021April22_EPA120min</t>
  </si>
  <si>
    <t>DTXSID0027191_10uM_Human__HI_1_____5P6_Inj2021April22_EPA0min_30</t>
  </si>
  <si>
    <t>DTXSID0027191_10uM_Human__HI_1_____5P6_Inj2021April22_EPA0min</t>
  </si>
  <si>
    <t>DTXSID0027191_10uM_Human__HI_1_____5P6_Inj2021April22_EPA120min_74</t>
  </si>
  <si>
    <t>DTXSID0027191_10uM_Human__HI_1_____5P6_Inj2021April22_EPA120min</t>
  </si>
  <si>
    <t>DTXSID0027191_10uM_Human__HI_2_____5P6_Inj2021April22_EPA0min_31</t>
  </si>
  <si>
    <t>DTXSID0027191_10uM_Human__HI_2_____5P6_Inj2021April22_EPA0min</t>
  </si>
  <si>
    <t>DTXSID0027191_10uM_Human__HI_2_____5P6_Inj2021April22_EPA120min_75</t>
  </si>
  <si>
    <t>DTXSID0027191_10uM_Human__HI_2_____5P6_Inj2021April22_EPA120min</t>
  </si>
  <si>
    <t>DTXSID0027191_10uM_Human__HI_3_____5P6_Inj2021April22_EPA0min_32</t>
  </si>
  <si>
    <t>DTXSID0027191_10uM_Human__HI_3_____5P6_Inj2021April22_EPA0min</t>
  </si>
  <si>
    <t>DTXSID0027191_10uM_Human__HI_3_____5P6_Inj2021April22_EPA120min_76</t>
  </si>
  <si>
    <t>DTXSID0027191_10uM_Human__HI_3_____5P6_Inj2021April22_EPA120min</t>
  </si>
  <si>
    <t>DTXSID0027191_1uM_Human__HI_1_____5P6_Inj2021April22_EPA0min_27</t>
  </si>
  <si>
    <t>DTXSID0027191_1uM_Human__HI_1_____5P6_Inj2021April22_EPA0min</t>
  </si>
  <si>
    <t>DTXSID0027191_1uM_Human__HI_1_____5P6_Inj2021April22_EPA120min_71</t>
  </si>
  <si>
    <t>DTXSID0027191_1uM_Human__HI_1_____5P6_Inj2021April22_EPA120min</t>
  </si>
  <si>
    <t>DTXSID0027191_1uM_Human__HI_2_____5P6_Inj2021April22_EPA0min_28</t>
  </si>
  <si>
    <t>DTXSID0027191_1uM_Human__HI_2_____5P6_Inj2021April22_EPA0min</t>
  </si>
  <si>
    <t>DTXSID0027191_1uM_Human__HI_2_____5P6_Inj2021April22_EPA120min_72</t>
  </si>
  <si>
    <t>DTXSID0027191_1uM_Human__HI_2_____5P6_Inj2021April22_EPA120min</t>
  </si>
  <si>
    <t>DTXSID0027191_1uM_Human__HI_3_____5P6_Inj2021April22_EPA0min_29</t>
  </si>
  <si>
    <t>DTXSID0027191_1uM_Human__HI_3_____5P6_Inj2021April22_EPA0min</t>
  </si>
  <si>
    <t>DTXSID0027191_1uM_Human__HI_3_____5P6_Inj2021April22_EPA120min_73</t>
  </si>
  <si>
    <t>DTXSID0027191_1uM_Human__HI_3_____5P6_Inj2021April22_EPA120min</t>
  </si>
  <si>
    <t>DTXSID6042234_10uM_Human__HI_1_____5P6_Inj2021April22_EPA120min_56</t>
  </si>
  <si>
    <t>DTXSID6042234_10uM_Human__HI_1_____5P6_Inj2021April22_EPA120min</t>
  </si>
  <si>
    <t>DTXSID6042234_10uM_Human__HI_2_____5P6_Inj2021April22_EPA0min_13</t>
  </si>
  <si>
    <t>DTXSID6042234_10uM_Human__HI_2_____5P6_Inj2021April22_EPA0min</t>
  </si>
  <si>
    <t>DTXSID6042234_10uM_Human__HI_2_____5P6_Inj2021April22_EPA120min_57</t>
  </si>
  <si>
    <t>DTXSID6042234_10uM_Human__HI_2_____5P6_Inj2021April22_EPA120min</t>
  </si>
  <si>
    <t>DTXSID6042234_10uM_Human__HI_3_____5P6_Inj2021April22_EPA0min_14</t>
  </si>
  <si>
    <t>DTXSID6042234_10uM_Human__HI_3_____5P6_Inj2021April22_EPA0min</t>
  </si>
  <si>
    <t>DTXSID6042234_10uM_Human__HI_3_____5P6_Inj2021April22_EPA120min_58</t>
  </si>
  <si>
    <t>DTXSID6042234_10uM_Human__HI_3_____5P6_Inj2021April22_EPA120min</t>
  </si>
  <si>
    <t>DTXSID6042234_1uM_Human__HI_1_____5P6_Inj2021April22_EPA0min_09</t>
  </si>
  <si>
    <t>DTXSID6042234_1uM_Human__HI_1_____5P6_Inj2021April22_EPA0min</t>
  </si>
  <si>
    <t>DTXSID6042234_1uM_Human__HI_1_____5P6_Inj2021April22_EPA120min_53</t>
  </si>
  <si>
    <t>DTXSID6042234_1uM_Human__HI_1_____5P6_Inj2021April22_EPA120min</t>
  </si>
  <si>
    <t>DTXSID6042234_1uM_Human__HI_2_____5P6_Inj2021April22_EPA0min_10</t>
  </si>
  <si>
    <t>DTXSID6042234_1uM_Human__HI_2_____5P6_Inj2021April22_EPA0min</t>
  </si>
  <si>
    <t>DTXSID6042234_1uM_Human__HI_2_____5P6_Inj2021April22_EPA120min_54</t>
  </si>
  <si>
    <t>DTXSID6042234_1uM_Human__HI_2_____5P6_Inj2021April22_EPA120min</t>
  </si>
  <si>
    <t>DTXSID6042234_1uM_Human__HI_3_____5P6_Inj2021April22_EPA0min_11</t>
  </si>
  <si>
    <t>DTXSID6042234_1uM_Human__HI_3_____5P6_Inj2021April22_EPA0min</t>
  </si>
  <si>
    <t>DTXSID6042234_1uM_Human__HI_3_____5P6_Inj2021April22_EPA120min_55</t>
  </si>
  <si>
    <t>DTXSID6042234_1uM_Human__HI_3_____5P6_Inj2021April22_EPA120min</t>
  </si>
  <si>
    <t>DTXSID6042234_10uM_Human__HI_1_____5P6_Inj2021April22_EPA0min_12</t>
  </si>
  <si>
    <t>DTXSID6042234_10uM_Human__HI_1_____5P6_Inj2021April22_EPA0min</t>
  </si>
  <si>
    <t>Area ratio (background subtracted)</t>
  </si>
  <si>
    <t>% remaining</t>
  </si>
  <si>
    <t>average% remaining</t>
  </si>
  <si>
    <t>Excluded</t>
  </si>
  <si>
    <t/>
  </si>
  <si>
    <t>149.63%</t>
  </si>
  <si>
    <t>1510.39%</t>
  </si>
  <si>
    <t>158.27%</t>
  </si>
  <si>
    <t>5.008</t>
  </si>
  <si>
    <t>7.320</t>
  </si>
  <si>
    <t>5.064</t>
  </si>
  <si>
    <t>0.68%</t>
  </si>
  <si>
    <t>0.47%</t>
  </si>
  <si>
    <t>0.53%</t>
  </si>
  <si>
    <t>-0.382</t>
  </si>
  <si>
    <t>-0.756</t>
  </si>
  <si>
    <t>-0.639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</si>
</sst>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 mmm\ yyyy"/>
    <numFmt numFmtId="165" formatCode="0.0%"/>
    <numFmt numFmtId="166" formatCode="0.00000"/>
    <numFmt numFmtId="167" formatCode="0.000"/>
    <numFmt numFmtId="168" formatCode="0.0"/>
    <numFmt numFmtId="169" formatCode="0.0000"/>
    <numFmt numFmtId="171" formatCode="#.00"/>
    <numFmt numFmtId="172" formatCode="0.000%"/>
    <numFmt numFmtId="173" formatCode="0.00000000000000"/>
  </numFmts>
  <fonts count="17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8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2" fillId="0" borderId="0"/>
    <xf numFmtId="0" fontId="15" fillId="0" borderId="0"/>
  </cellStyleXfs>
  <cellXfs count="126">
    <xf numFmtId="0" fontId="0" fillId="0" borderId="0" xfId="0"/>
    <xf numFmtId="0" fontId="3" fillId="0" borderId="0" xfId="1"/>
    <xf numFmtId="0" fontId="5" fillId="0" borderId="0" xfId="1" applyFont="1"/>
    <xf numFmtId="0" fontId="7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1" applyFont="1"/>
    <xf numFmtId="0" fontId="9" fillId="0" borderId="0" xfId="1" applyFont="1"/>
    <xf numFmtId="0" fontId="4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0" xfId="1" applyFont="1" applyFill="1" applyAlignment="1">
      <alignment horizontal="center"/>
    </xf>
    <xf numFmtId="165" fontId="3" fillId="2" borderId="0" xfId="1" applyNumberFormat="1" applyFill="1" applyAlignment="1">
      <alignment horizontal="center"/>
    </xf>
    <xf numFmtId="0" fontId="4" fillId="2" borderId="1" xfId="1" applyFont="1" applyFill="1" applyBorder="1" applyAlignment="1">
      <alignment horizontal="center"/>
    </xf>
    <xf numFmtId="9" fontId="3" fillId="2" borderId="1" xfId="1" applyNumberFormat="1" applyFill="1" applyBorder="1" applyAlignment="1">
      <alignment horizontal="center"/>
    </xf>
    <xf numFmtId="9" fontId="3" fillId="2" borderId="0" xfId="1" applyNumberFormat="1" applyFill="1" applyAlignment="1">
      <alignment horizontal="center"/>
    </xf>
    <xf numFmtId="10" fontId="3" fillId="2" borderId="0" xfId="1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9" fillId="0" borderId="0" xfId="1" applyFont="1" applyAlignment="1">
      <alignment horizontal="center"/>
    </xf>
    <xf numFmtId="0" fontId="4" fillId="0" borderId="8" xfId="1" applyFont="1" applyBorder="1" applyAlignment="1">
      <alignment horizontal="center"/>
    </xf>
    <xf numFmtId="166" fontId="3" fillId="0" borderId="5" xfId="1" applyNumberFormat="1" applyBorder="1" applyAlignment="1">
      <alignment horizontal="center"/>
    </xf>
    <xf numFmtId="0" fontId="4" fillId="0" borderId="9" xfId="1" applyFont="1" applyBorder="1" applyAlignment="1">
      <alignment horizontal="center"/>
    </xf>
    <xf numFmtId="2" fontId="3" fillId="0" borderId="6" xfId="1" applyNumberFormat="1" applyBorder="1" applyAlignment="1">
      <alignment horizontal="center"/>
    </xf>
    <xf numFmtId="167" fontId="3" fillId="0" borderId="6" xfId="1" applyNumberFormat="1" applyBorder="1" applyAlignment="1">
      <alignment horizontal="center"/>
    </xf>
    <xf numFmtId="1" fontId="3" fillId="0" borderId="6" xfId="1" applyNumberFormat="1" applyBorder="1" applyAlignment="1">
      <alignment horizontal="center"/>
    </xf>
    <xf numFmtId="0" fontId="4" fillId="0" borderId="10" xfId="1" applyFont="1" applyBorder="1" applyAlignment="1">
      <alignment horizontal="center"/>
    </xf>
    <xf numFmtId="0" fontId="3" fillId="0" borderId="7" xfId="1" applyBorder="1" applyAlignment="1">
      <alignment horizontal="center"/>
    </xf>
    <xf numFmtId="169" fontId="3" fillId="0" borderId="5" xfId="1" applyNumberFormat="1" applyBorder="1" applyAlignment="1">
      <alignment horizontal="center"/>
    </xf>
    <xf numFmtId="168" fontId="3" fillId="0" borderId="6" xfId="1" applyNumberFormat="1" applyBorder="1" applyAlignment="1">
      <alignment horizontal="center"/>
    </xf>
    <xf numFmtId="0" fontId="5" fillId="3" borderId="0" xfId="1" applyFont="1" applyFill="1"/>
    <xf numFmtId="0" fontId="5" fillId="4" borderId="0" xfId="1" applyFont="1" applyFill="1"/>
    <xf numFmtId="0" fontId="5" fillId="3" borderId="0" xfId="1" applyFont="1" applyFill="1" applyAlignment="1">
      <alignment horizontal="center"/>
    </xf>
    <xf numFmtId="0" fontId="5" fillId="4" borderId="0" xfId="1" applyFont="1" applyFill="1" applyAlignment="1">
      <alignment horizontal="center"/>
    </xf>
    <xf numFmtId="0" fontId="6" fillId="4" borderId="0" xfId="1" applyFont="1" applyFill="1"/>
    <xf numFmtId="0" fontId="6" fillId="3" borderId="0" xfId="1" applyFont="1" applyFill="1"/>
    <xf numFmtId="0" fontId="0" fillId="0" borderId="0" xfId="0" applyAlignment="1">
      <alignment horizontal="center"/>
    </xf>
    <xf numFmtId="0" fontId="5" fillId="5" borderId="0" xfId="1" applyFont="1" applyFill="1"/>
    <xf numFmtId="0" fontId="5" fillId="5" borderId="0" xfId="1" applyFont="1" applyFill="1" applyAlignment="1">
      <alignment horizontal="center"/>
    </xf>
    <xf numFmtId="0" fontId="0" fillId="3" borderId="0" xfId="1" applyFont="1" applyFill="1"/>
    <xf numFmtId="0" fontId="0" fillId="4" borderId="0" xfId="1" applyFont="1" applyFill="1"/>
    <xf numFmtId="0" fontId="5" fillId="6" borderId="0" xfId="1" applyFont="1" applyFill="1"/>
    <xf numFmtId="0" fontId="6" fillId="6" borderId="0" xfId="1" applyFont="1" applyFill="1"/>
    <xf numFmtId="0" fontId="5" fillId="6" borderId="0" xfId="1" applyFont="1" applyFill="1" applyAlignment="1">
      <alignment horizontal="center"/>
    </xf>
    <xf numFmtId="0" fontId="5" fillId="7" borderId="0" xfId="1" applyFont="1" applyFill="1"/>
    <xf numFmtId="0" fontId="5" fillId="7" borderId="0" xfId="1" applyFont="1" applyFill="1" applyAlignment="1">
      <alignment horizontal="center"/>
    </xf>
    <xf numFmtId="0" fontId="0" fillId="7" borderId="0" xfId="1" applyFont="1" applyFill="1"/>
    <xf numFmtId="0" fontId="5" fillId="0" borderId="0" xfId="3" applyFont="1"/>
    <xf numFmtId="0" fontId="4" fillId="0" borderId="0" xfId="3" applyFont="1"/>
    <xf numFmtId="0" fontId="4" fillId="0" borderId="0" xfId="3" applyFont="1" applyAlignment="1">
      <alignment horizontal="center"/>
    </xf>
    <xf numFmtId="0" fontId="2" fillId="0" borderId="0" xfId="3"/>
    <xf numFmtId="0" fontId="9" fillId="0" borderId="0" xfId="3" applyFont="1"/>
    <xf numFmtId="0" fontId="9" fillId="0" borderId="0" xfId="3" applyFont="1" applyAlignment="1">
      <alignment horizontal="center"/>
    </xf>
    <xf numFmtId="0" fontId="2" fillId="0" borderId="0" xfId="3" applyAlignment="1">
      <alignment horizontal="center"/>
    </xf>
    <xf numFmtId="0" fontId="5" fillId="3" borderId="0" xfId="3" applyFont="1" applyFill="1"/>
    <xf numFmtId="0" fontId="5" fillId="3" borderId="0" xfId="3" applyFont="1" applyFill="1" applyAlignment="1">
      <alignment horizontal="center"/>
    </xf>
    <xf numFmtId="0" fontId="0" fillId="3" borderId="0" xfId="3" applyFont="1" applyFill="1"/>
    <xf numFmtId="0" fontId="4" fillId="2" borderId="2" xfId="3" applyFont="1" applyFill="1" applyBorder="1" applyAlignment="1">
      <alignment horizontal="center"/>
    </xf>
    <xf numFmtId="0" fontId="5" fillId="4" borderId="0" xfId="3" applyFont="1" applyFill="1"/>
    <xf numFmtId="0" fontId="5" fillId="4" borderId="0" xfId="3" applyFont="1" applyFill="1" applyAlignment="1">
      <alignment horizontal="center"/>
    </xf>
    <xf numFmtId="0" fontId="4" fillId="2" borderId="0" xfId="3" applyFont="1" applyFill="1" applyAlignment="1">
      <alignment horizontal="center"/>
    </xf>
    <xf numFmtId="172" fontId="2" fillId="2" borderId="0" xfId="3" applyNumberFormat="1" applyFill="1" applyAlignment="1">
      <alignment horizontal="center"/>
    </xf>
    <xf numFmtId="10" fontId="2" fillId="2" borderId="0" xfId="3" applyNumberFormat="1" applyFill="1" applyAlignment="1">
      <alignment horizontal="center"/>
    </xf>
    <xf numFmtId="0" fontId="6" fillId="3" borderId="0" xfId="3" applyFont="1" applyFill="1"/>
    <xf numFmtId="0" fontId="6" fillId="4" borderId="0" xfId="3" applyFont="1" applyFill="1"/>
    <xf numFmtId="165" fontId="2" fillId="2" borderId="0" xfId="3" applyNumberFormat="1" applyFill="1" applyAlignment="1">
      <alignment horizontal="center"/>
    </xf>
    <xf numFmtId="0" fontId="4" fillId="2" borderId="1" xfId="3" applyFont="1" applyFill="1" applyBorder="1" applyAlignment="1">
      <alignment horizontal="center"/>
    </xf>
    <xf numFmtId="9" fontId="2" fillId="2" borderId="1" xfId="3" applyNumberFormat="1" applyFill="1" applyBorder="1" applyAlignment="1">
      <alignment horizontal="center"/>
    </xf>
    <xf numFmtId="0" fontId="4" fillId="0" borderId="8" xfId="3" applyFont="1" applyBorder="1" applyAlignment="1">
      <alignment horizontal="center"/>
    </xf>
    <xf numFmtId="169" fontId="2" fillId="0" borderId="5" xfId="3" applyNumberFormat="1" applyBorder="1" applyAlignment="1">
      <alignment horizontal="center"/>
    </xf>
    <xf numFmtId="0" fontId="4" fillId="0" borderId="9" xfId="3" applyFont="1" applyBorder="1" applyAlignment="1">
      <alignment horizontal="center"/>
    </xf>
    <xf numFmtId="2" fontId="2" fillId="0" borderId="6" xfId="3" applyNumberFormat="1" applyBorder="1" applyAlignment="1">
      <alignment horizontal="center"/>
    </xf>
    <xf numFmtId="167" fontId="2" fillId="0" borderId="6" xfId="3" applyNumberFormat="1" applyBorder="1" applyAlignment="1">
      <alignment horizontal="center"/>
    </xf>
    <xf numFmtId="168" fontId="2" fillId="0" borderId="6" xfId="3" applyNumberFormat="1" applyBorder="1" applyAlignment="1">
      <alignment horizontal="center"/>
    </xf>
    <xf numFmtId="0" fontId="4" fillId="0" borderId="10" xfId="3" applyFont="1" applyBorder="1" applyAlignment="1">
      <alignment horizontal="center"/>
    </xf>
    <xf numFmtId="0" fontId="2" fillId="0" borderId="7" xfId="3" applyBorder="1" applyAlignment="1">
      <alignment horizontal="center"/>
    </xf>
    <xf numFmtId="0" fontId="0" fillId="3" borderId="0" xfId="1" quotePrefix="1" applyFont="1" applyFill="1"/>
    <xf numFmtId="0" fontId="0" fillId="4" borderId="0" xfId="1" quotePrefix="1" applyFont="1" applyFill="1"/>
    <xf numFmtId="0" fontId="0" fillId="5" borderId="0" xfId="1" applyFont="1" applyFill="1"/>
    <xf numFmtId="49" fontId="14" fillId="0" borderId="0" xfId="0" applyNumberFormat="1" applyFont="1" applyAlignment="1">
      <alignment horizontal="left"/>
    </xf>
    <xf numFmtId="1" fontId="14" fillId="0" borderId="0" xfId="0" applyNumberFormat="1" applyFont="1" applyAlignment="1">
      <alignment horizontal="right"/>
    </xf>
    <xf numFmtId="49" fontId="14" fillId="0" borderId="0" xfId="0" applyNumberFormat="1" applyFont="1" applyAlignment="1">
      <alignment horizontal="right"/>
    </xf>
    <xf numFmtId="171" fontId="14" fillId="0" borderId="0" xfId="0" applyNumberFormat="1" applyFont="1" applyAlignment="1">
      <alignment horizontal="right"/>
    </xf>
    <xf numFmtId="0" fontId="0" fillId="0" borderId="11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167" fontId="14" fillId="0" borderId="0" xfId="0" applyNumberFormat="1" applyFont="1" applyAlignment="1">
      <alignment horizontal="right"/>
    </xf>
    <xf numFmtId="49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center"/>
    </xf>
    <xf numFmtId="0" fontId="16" fillId="0" borderId="0" xfId="0" applyFont="1"/>
    <xf numFmtId="0" fontId="1" fillId="0" borderId="0" xfId="3" applyFont="1"/>
    <xf numFmtId="0" fontId="0" fillId="4" borderId="0" xfId="3" applyFont="1" applyFill="1"/>
    <xf numFmtId="1" fontId="13" fillId="0" borderId="0" xfId="0" applyNumberFormat="1" applyFont="1" applyAlignment="1">
      <alignment horizontal="right"/>
    </xf>
    <xf numFmtId="167" fontId="13" fillId="0" borderId="0" xfId="0" applyNumberFormat="1" applyFont="1" applyAlignment="1">
      <alignment horizontal="right"/>
    </xf>
    <xf numFmtId="49" fontId="13" fillId="0" borderId="0" xfId="0" applyNumberFormat="1" applyFont="1" applyAlignment="1">
      <alignment horizontal="center"/>
    </xf>
    <xf numFmtId="171" fontId="13" fillId="0" borderId="0" xfId="0" applyNumberFormat="1" applyFont="1" applyAlignment="1">
      <alignment horizontal="right"/>
    </xf>
    <xf numFmtId="49" fontId="14" fillId="0" borderId="0" xfId="0" applyNumberFormat="1" applyFont="1" applyFill="1" applyAlignment="1">
      <alignment horizontal="left"/>
    </xf>
    <xf numFmtId="1" fontId="14" fillId="0" borderId="0" xfId="0" applyNumberFormat="1" applyFont="1" applyFill="1" applyAlignment="1">
      <alignment horizontal="right"/>
    </xf>
    <xf numFmtId="167" fontId="14" fillId="0" borderId="0" xfId="0" applyNumberFormat="1" applyFont="1" applyFill="1" applyAlignment="1">
      <alignment horizontal="right"/>
    </xf>
    <xf numFmtId="49" fontId="14" fillId="0" borderId="0" xfId="0" applyNumberFormat="1" applyFont="1" applyFill="1" applyAlignment="1">
      <alignment horizontal="right"/>
    </xf>
    <xf numFmtId="171" fontId="14" fillId="0" borderId="0" xfId="0" applyNumberFormat="1" applyFont="1" applyFill="1" applyAlignment="1">
      <alignment horizontal="right"/>
    </xf>
    <xf numFmtId="0" fontId="0" fillId="0" borderId="0" xfId="0" applyFill="1"/>
    <xf numFmtId="173" fontId="0" fillId="0" borderId="0" xfId="0" applyNumberFormat="1"/>
    <xf numFmtId="167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168" fontId="0" fillId="0" borderId="12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applyNumberFormat="1" applyAlignment="1">
      <alignment horizontal="center"/>
    </xf>
  </cellXfs>
  <cellStyles count="5">
    <cellStyle name="Normal" xfId="0" builtinId="0" customBuiltin="1"/>
    <cellStyle name="Normal 2" xfId="1"/>
    <cellStyle name="Normal 2 2" xfId="3"/>
    <cellStyle name="Normal 3" xfId="2"/>
    <cellStyle name="Normal 4" xfId="4"/>
  </cellStyles>
  <dxfs count="422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Control!$R$2</c:f>
          <c:strCache>
            <c:ptCount val="1"/>
            <c:pt idx="0">
              <c:v>Midazolam-1uM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26770104556602564"/>
                  <c:y val="-0.340123131046613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Control!$V$5:$V$15</c:f>
              <c:numCache>
                <c:formatCode>General</c:formatCode>
                <c:ptCount val="1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30</c:v>
                </c:pt>
                <c:pt idx="4">
                  <c:v>30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Control!$W$5:$W$15</c:f>
              <c:numCache>
                <c:formatCode>General</c:formatCode>
                <c:ptCount val="11"/>
                <c:pt idx="0">
                  <c:v>1.6362154675531353</c:v>
                </c:pt>
                <c:pt idx="1">
                  <c:v>1.5739513167327988</c:v>
                </c:pt>
                <c:pt idx="2">
                  <c:v>1.4534320511078751</c:v>
                </c:pt>
                <c:pt idx="3">
                  <c:v>3.010786469978556</c:v>
                </c:pt>
                <c:pt idx="4">
                  <c:v>2.9480709890974688</c:v>
                </c:pt>
                <c:pt idx="5">
                  <c:v>4.2225525990806023</c:v>
                </c:pt>
                <c:pt idx="6">
                  <c:v>4.2186746780403261</c:v>
                </c:pt>
                <c:pt idx="7">
                  <c:v>4.0374582080890491</c:v>
                </c:pt>
                <c:pt idx="8">
                  <c:v>4.6051701859880918</c:v>
                </c:pt>
                <c:pt idx="9">
                  <c:v>4.6051701859880918</c:v>
                </c:pt>
                <c:pt idx="10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2-4E3E-B7A2-65B7106C0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92656"/>
        <c:axId val="491293640"/>
      </c:scatterChart>
      <c:valAx>
        <c:axId val="49129265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Control!$R$3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1293640"/>
        <c:crosses val="autoZero"/>
        <c:crossBetween val="midCat"/>
      </c:valAx>
      <c:valAx>
        <c:axId val="49129364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Control!$R$5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129265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17</xdr:col>
      <xdr:colOff>11402</xdr:colOff>
      <xdr:row>40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29925" y="439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</xdr:row>
      <xdr:rowOff>0</xdr:rowOff>
    </xdr:from>
    <xdr:to>
      <xdr:col>17</xdr:col>
      <xdr:colOff>11402</xdr:colOff>
      <xdr:row>61</xdr:row>
      <xdr:rowOff>11363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9925" y="858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64</xdr:row>
      <xdr:rowOff>0</xdr:rowOff>
    </xdr:from>
    <xdr:to>
      <xdr:col>17</xdr:col>
      <xdr:colOff>11402</xdr:colOff>
      <xdr:row>82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29925" y="12773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17</xdr:col>
      <xdr:colOff>11402</xdr:colOff>
      <xdr:row>102</xdr:row>
      <xdr:rowOff>11363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29925" y="29537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105</xdr:row>
      <xdr:rowOff>0</xdr:rowOff>
    </xdr:from>
    <xdr:to>
      <xdr:col>17</xdr:col>
      <xdr:colOff>11402</xdr:colOff>
      <xdr:row>123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29925" y="33728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126</xdr:row>
      <xdr:rowOff>0</xdr:rowOff>
    </xdr:from>
    <xdr:to>
      <xdr:col>17</xdr:col>
      <xdr:colOff>11402</xdr:colOff>
      <xdr:row>144</xdr:row>
      <xdr:rowOff>11363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829925" y="37919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147</xdr:row>
      <xdr:rowOff>0</xdr:rowOff>
    </xdr:from>
    <xdr:to>
      <xdr:col>17</xdr:col>
      <xdr:colOff>11402</xdr:colOff>
      <xdr:row>165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29925" y="421100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5"/>
  <sheetViews>
    <sheetView workbookViewId="0">
      <selection activeCell="C18" sqref="C18:G18"/>
    </sheetView>
  </sheetViews>
  <sheetFormatPr defaultRowHeight="15" x14ac:dyDescent="0.25"/>
  <cols>
    <col min="1" max="1" width="21.28515625" style="5" customWidth="1"/>
    <col min="2" max="2" width="19.85546875" style="5" bestFit="1" customWidth="1"/>
    <col min="3" max="3" width="30.7109375" style="5" bestFit="1" customWidth="1"/>
    <col min="4" max="4" width="15.7109375" style="5" bestFit="1" customWidth="1"/>
    <col min="5" max="5" width="16.5703125" style="5" bestFit="1" customWidth="1"/>
    <col min="6" max="6" width="31.28515625" style="5" bestFit="1" customWidth="1"/>
    <col min="7" max="7" width="31.28515625" style="42" customWidth="1"/>
    <col min="8" max="8" width="11.140625" style="20" bestFit="1" customWidth="1"/>
  </cols>
  <sheetData>
    <row r="1" spans="1:8" ht="15.75" x14ac:dyDescent="0.25">
      <c r="A1" s="122"/>
      <c r="B1" s="3" t="s">
        <v>41</v>
      </c>
    </row>
    <row r="2" spans="1:8" x14ac:dyDescent="0.25">
      <c r="A2" s="122"/>
      <c r="B2" s="4">
        <v>44246</v>
      </c>
    </row>
    <row r="3" spans="1:8" ht="15.75" thickBot="1" x14ac:dyDescent="0.3"/>
    <row r="4" spans="1:8" ht="16.5" thickTop="1" thickBot="1" x14ac:dyDescent="0.3">
      <c r="A4" s="21" t="s">
        <v>6</v>
      </c>
      <c r="B4" s="21" t="s">
        <v>37</v>
      </c>
      <c r="C4" s="21" t="s">
        <v>7</v>
      </c>
      <c r="D4" s="21" t="s">
        <v>8</v>
      </c>
      <c r="E4" s="21" t="s">
        <v>2</v>
      </c>
      <c r="F4" s="21" t="s">
        <v>9</v>
      </c>
      <c r="G4" s="21" t="s">
        <v>40</v>
      </c>
      <c r="H4" s="22" t="s">
        <v>10</v>
      </c>
    </row>
    <row r="5" spans="1:8" x14ac:dyDescent="0.25">
      <c r="A5" s="23" t="s">
        <v>60</v>
      </c>
      <c r="B5" s="23">
        <v>10</v>
      </c>
      <c r="C5" s="124" t="s">
        <v>77</v>
      </c>
      <c r="D5" s="124"/>
      <c r="E5" s="124"/>
      <c r="F5" s="124"/>
      <c r="G5" s="124"/>
      <c r="H5" s="24"/>
    </row>
    <row r="6" spans="1:8" x14ac:dyDescent="0.25">
      <c r="A6" s="5" t="s">
        <v>111</v>
      </c>
      <c r="B6" s="5">
        <v>10</v>
      </c>
      <c r="C6" s="17">
        <v>0</v>
      </c>
      <c r="D6" s="18" t="s">
        <v>39</v>
      </c>
      <c r="E6" s="5">
        <v>66</v>
      </c>
      <c r="F6" s="19">
        <v>141.48801597224283</v>
      </c>
      <c r="G6" s="19">
        <v>86.808082779044796</v>
      </c>
    </row>
    <row r="7" spans="1:8" x14ac:dyDescent="0.25">
      <c r="A7" s="5" t="s">
        <v>159</v>
      </c>
      <c r="B7" s="5">
        <v>10</v>
      </c>
      <c r="C7" s="19">
        <v>34.639669941284524</v>
      </c>
      <c r="D7" s="19">
        <v>40.020426391755727</v>
      </c>
      <c r="E7" s="5">
        <v>228</v>
      </c>
      <c r="F7" s="17">
        <v>12.85861085605552</v>
      </c>
      <c r="G7" s="19">
        <v>40.635762140040008</v>
      </c>
    </row>
    <row r="8" spans="1:8" x14ac:dyDescent="0.25">
      <c r="A8" s="5" t="s">
        <v>190</v>
      </c>
      <c r="B8" s="5">
        <v>10</v>
      </c>
      <c r="C8" s="19">
        <v>18.446261205443523</v>
      </c>
      <c r="D8" s="18">
        <v>75.153135135633491</v>
      </c>
      <c r="E8" s="5">
        <v>191</v>
      </c>
      <c r="F8" s="18">
        <v>50.271862246131157</v>
      </c>
      <c r="G8" s="18">
        <v>173.58192783772924</v>
      </c>
      <c r="H8" s="20" t="s">
        <v>27</v>
      </c>
    </row>
    <row r="9" spans="1:8" x14ac:dyDescent="0.25">
      <c r="A9" s="5" t="s">
        <v>208</v>
      </c>
      <c r="B9" s="5">
        <v>10</v>
      </c>
      <c r="C9" s="125" t="s">
        <v>38</v>
      </c>
      <c r="D9" s="125"/>
      <c r="E9" s="125"/>
      <c r="F9" s="125"/>
      <c r="G9" s="125"/>
      <c r="H9" s="20" t="s">
        <v>27</v>
      </c>
    </row>
    <row r="10" spans="1:8" x14ac:dyDescent="0.25">
      <c r="A10" s="5" t="s">
        <v>209</v>
      </c>
      <c r="B10" s="5">
        <v>10</v>
      </c>
      <c r="C10" s="125" t="s">
        <v>38</v>
      </c>
      <c r="D10" s="125"/>
      <c r="E10" s="125"/>
      <c r="F10" s="125"/>
      <c r="G10" s="125"/>
      <c r="H10" s="20" t="s">
        <v>27</v>
      </c>
    </row>
    <row r="11" spans="1:8" ht="15.75" thickBot="1" x14ac:dyDescent="0.3">
      <c r="A11" s="89" t="s">
        <v>210</v>
      </c>
      <c r="B11" s="89">
        <v>10</v>
      </c>
      <c r="C11" s="121" t="s">
        <v>38</v>
      </c>
      <c r="D11" s="121"/>
      <c r="E11" s="121"/>
      <c r="F11" s="121"/>
      <c r="G11" s="121"/>
      <c r="H11" s="94" t="s">
        <v>27</v>
      </c>
    </row>
    <row r="12" spans="1:8" x14ac:dyDescent="0.25">
      <c r="A12" s="5" t="s">
        <v>60</v>
      </c>
      <c r="B12" s="5">
        <v>1</v>
      </c>
      <c r="C12" s="123" t="s">
        <v>77</v>
      </c>
      <c r="D12" s="123"/>
      <c r="E12" s="123"/>
      <c r="F12" s="123"/>
      <c r="G12" s="93"/>
      <c r="H12" s="20" t="s">
        <v>27</v>
      </c>
    </row>
    <row r="13" spans="1:8" x14ac:dyDescent="0.25">
      <c r="A13" s="5" t="s">
        <v>111</v>
      </c>
      <c r="B13" s="5">
        <v>1</v>
      </c>
      <c r="C13" s="90">
        <v>0</v>
      </c>
      <c r="D13" s="91" t="s">
        <v>39</v>
      </c>
      <c r="E13" s="92">
        <v>66</v>
      </c>
      <c r="F13" s="91">
        <v>99.594035594828441</v>
      </c>
      <c r="G13" s="91">
        <v>110.41338240639023</v>
      </c>
      <c r="H13" s="20" t="s">
        <v>27</v>
      </c>
    </row>
    <row r="14" spans="1:8" x14ac:dyDescent="0.25">
      <c r="A14" s="5" t="s">
        <v>159</v>
      </c>
      <c r="B14" s="5">
        <v>1</v>
      </c>
      <c r="C14" s="100">
        <v>161.29485706135392</v>
      </c>
      <c r="D14" s="100">
        <v>8.5947834070900768</v>
      </c>
      <c r="E14" s="100">
        <v>228</v>
      </c>
      <c r="F14" s="100">
        <v>0</v>
      </c>
      <c r="G14" s="100">
        <v>22.267360364754179</v>
      </c>
      <c r="H14" s="20" t="s">
        <v>27</v>
      </c>
    </row>
    <row r="15" spans="1:8" x14ac:dyDescent="0.25">
      <c r="A15" s="5" t="s">
        <v>190</v>
      </c>
      <c r="B15" s="5">
        <v>1</v>
      </c>
      <c r="C15" s="120" t="s">
        <v>77</v>
      </c>
      <c r="D15" s="120"/>
      <c r="E15" s="120"/>
      <c r="F15" s="120"/>
      <c r="G15" s="120"/>
    </row>
    <row r="16" spans="1:8" x14ac:dyDescent="0.25">
      <c r="A16" s="5" t="s">
        <v>208</v>
      </c>
      <c r="B16" s="5">
        <v>1</v>
      </c>
      <c r="C16" s="120" t="s">
        <v>38</v>
      </c>
      <c r="D16" s="120"/>
      <c r="E16" s="120"/>
      <c r="F16" s="120"/>
      <c r="G16" s="120"/>
      <c r="H16" s="20" t="s">
        <v>27</v>
      </c>
    </row>
    <row r="17" spans="1:8" x14ac:dyDescent="0.25">
      <c r="A17" s="5" t="s">
        <v>209</v>
      </c>
      <c r="B17" s="5">
        <v>1</v>
      </c>
      <c r="C17" s="120" t="s">
        <v>38</v>
      </c>
      <c r="D17" s="120"/>
      <c r="E17" s="120"/>
      <c r="F17" s="120"/>
      <c r="G17" s="120"/>
      <c r="H17" s="20" t="s">
        <v>27</v>
      </c>
    </row>
    <row r="18" spans="1:8" ht="15.75" thickBot="1" x14ac:dyDescent="0.3">
      <c r="A18" s="89" t="s">
        <v>210</v>
      </c>
      <c r="B18" s="89">
        <v>1</v>
      </c>
      <c r="C18" s="121" t="s">
        <v>38</v>
      </c>
      <c r="D18" s="121"/>
      <c r="E18" s="121"/>
      <c r="F18" s="121"/>
      <c r="G18" s="121"/>
      <c r="H18" s="94" t="s">
        <v>27</v>
      </c>
    </row>
    <row r="19" spans="1:8" ht="15.75" thickBot="1" x14ac:dyDescent="0.3">
      <c r="A19" s="95" t="s">
        <v>29</v>
      </c>
      <c r="B19" s="95">
        <v>1</v>
      </c>
      <c r="C19" s="96">
        <v>105.48964871339247</v>
      </c>
      <c r="D19" s="96">
        <v>13.141520310550556</v>
      </c>
      <c r="E19" s="95" t="s">
        <v>30</v>
      </c>
      <c r="F19" s="97">
        <v>0.55994735108304339</v>
      </c>
      <c r="G19" s="95"/>
      <c r="H19" s="98" t="s">
        <v>31</v>
      </c>
    </row>
    <row r="20" spans="1:8" ht="15.75" thickTop="1" x14ac:dyDescent="0.25"/>
    <row r="25" spans="1:8" x14ac:dyDescent="0.25">
      <c r="F25" s="5" t="s">
        <v>27</v>
      </c>
    </row>
  </sheetData>
  <mergeCells count="10">
    <mergeCell ref="A1:A2"/>
    <mergeCell ref="C12:F12"/>
    <mergeCell ref="C5:G5"/>
    <mergeCell ref="C10:G10"/>
    <mergeCell ref="C9:G9"/>
    <mergeCell ref="C16:G16"/>
    <mergeCell ref="C17:G17"/>
    <mergeCell ref="C18:G18"/>
    <mergeCell ref="C11:G11"/>
    <mergeCell ref="C15:G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66"/>
  <sheetViews>
    <sheetView topLeftCell="C1" workbookViewId="0">
      <pane ySplit="1" topLeftCell="A8" activePane="bottomLeft" state="frozenSplit"/>
      <selection pane="bottomLeft" activeCell="AA13" sqref="AA13"/>
    </sheetView>
  </sheetViews>
  <sheetFormatPr defaultRowHeight="15" x14ac:dyDescent="0.25"/>
  <cols>
    <col min="1" max="1" width="60" style="1" bestFit="1" customWidth="1"/>
    <col min="2" max="2" width="15.85546875" style="1" bestFit="1" customWidth="1"/>
    <col min="3" max="3" width="16.5703125" style="1" bestFit="1" customWidth="1"/>
    <col min="4" max="4" width="12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11</v>
      </c>
      <c r="H1" s="6" t="s">
        <v>12</v>
      </c>
      <c r="I1" s="6" t="s">
        <v>13</v>
      </c>
      <c r="J1" s="8"/>
      <c r="K1" s="6"/>
      <c r="R1" s="7" t="s">
        <v>15</v>
      </c>
      <c r="Z1" s="25" t="s">
        <v>14</v>
      </c>
    </row>
    <row r="2" spans="1:30" ht="16.5" thickTop="1" thickBot="1" x14ac:dyDescent="0.3">
      <c r="A2" s="36" t="s">
        <v>42</v>
      </c>
      <c r="B2" s="45" t="s">
        <v>60</v>
      </c>
      <c r="C2" s="36">
        <v>91</v>
      </c>
      <c r="D2" s="36">
        <v>61924.3910201076</v>
      </c>
      <c r="E2" s="36">
        <v>336156.137465954</v>
      </c>
      <c r="F2" s="36">
        <v>0.18421317988394401</v>
      </c>
      <c r="G2" s="36"/>
      <c r="H2" s="36"/>
      <c r="I2" s="36"/>
      <c r="J2" s="38"/>
      <c r="K2" s="36"/>
      <c r="L2" s="36"/>
      <c r="M2" s="36"/>
      <c r="N2" s="36"/>
      <c r="O2" s="36"/>
      <c r="P2" s="36"/>
      <c r="Q2" s="36"/>
      <c r="R2" s="45" t="s">
        <v>76</v>
      </c>
      <c r="S2" s="36"/>
      <c r="T2" s="36">
        <v>1</v>
      </c>
      <c r="U2" s="36"/>
      <c r="V2" s="36"/>
      <c r="W2" s="36"/>
      <c r="X2" s="36"/>
      <c r="Y2" s="36"/>
      <c r="Z2" s="10" t="s">
        <v>16</v>
      </c>
      <c r="AA2" s="10" t="s">
        <v>18</v>
      </c>
      <c r="AB2" s="10" t="s">
        <v>19</v>
      </c>
      <c r="AC2" s="10" t="s">
        <v>20</v>
      </c>
      <c r="AD2" s="10" t="s">
        <v>21</v>
      </c>
    </row>
    <row r="3" spans="1:30" ht="15.75" thickTop="1" x14ac:dyDescent="0.25">
      <c r="A3" s="37" t="s">
        <v>43</v>
      </c>
      <c r="B3" s="37" t="s">
        <v>60</v>
      </c>
      <c r="C3" s="37">
        <v>91</v>
      </c>
      <c r="D3" s="37">
        <v>379187.20295332401</v>
      </c>
      <c r="E3" s="37">
        <v>92612.788956766599</v>
      </c>
      <c r="F3" s="83">
        <v>4.0943287339109897</v>
      </c>
      <c r="G3" s="37"/>
      <c r="H3" s="46"/>
      <c r="I3" s="37"/>
      <c r="J3" s="39"/>
      <c r="K3" s="37"/>
      <c r="L3" s="37"/>
      <c r="M3" s="37"/>
      <c r="N3" s="37"/>
      <c r="O3" s="37"/>
      <c r="P3" s="37"/>
      <c r="Q3" s="37"/>
      <c r="R3" s="37" t="s">
        <v>16</v>
      </c>
      <c r="S3" s="37"/>
      <c r="T3" s="37">
        <v>5</v>
      </c>
      <c r="U3" s="37"/>
      <c r="V3" s="37"/>
      <c r="W3" s="37"/>
      <c r="X3" s="37"/>
      <c r="Y3" s="37"/>
      <c r="Z3" s="11">
        <v>120</v>
      </c>
      <c r="AA3" s="12">
        <v>0.99652725711060397</v>
      </c>
      <c r="AB3" s="12">
        <v>1.0086731032966874</v>
      </c>
      <c r="AC3" s="12">
        <v>0.99811614380111013</v>
      </c>
      <c r="AD3" s="12">
        <v>1.0011055014028005</v>
      </c>
    </row>
    <row r="4" spans="1:30" x14ac:dyDescent="0.25">
      <c r="A4" s="36" t="s">
        <v>44</v>
      </c>
      <c r="B4" s="36" t="s">
        <v>60</v>
      </c>
      <c r="C4" s="36">
        <v>91</v>
      </c>
      <c r="D4" s="36">
        <v>65389.2416419664</v>
      </c>
      <c r="E4" s="36">
        <v>604783.42368647805</v>
      </c>
      <c r="F4" s="36">
        <v>0.108120095692081</v>
      </c>
      <c r="G4" s="36"/>
      <c r="H4" s="36"/>
      <c r="I4" s="36"/>
      <c r="J4" s="38"/>
      <c r="K4" s="36"/>
      <c r="L4" s="36"/>
      <c r="M4" s="36"/>
      <c r="N4" s="36"/>
      <c r="O4" s="36"/>
      <c r="P4" s="36"/>
      <c r="Q4" s="36"/>
      <c r="R4" s="36" t="s">
        <v>17</v>
      </c>
      <c r="S4" s="36"/>
      <c r="T4" s="36">
        <v>19</v>
      </c>
      <c r="U4" s="36"/>
      <c r="V4" s="36"/>
      <c r="W4" s="36"/>
      <c r="X4" s="36"/>
      <c r="Y4" s="36"/>
      <c r="Z4" s="11">
        <v>60</v>
      </c>
      <c r="AA4" s="12">
        <v>0.99984558031640514</v>
      </c>
      <c r="AB4" s="12">
        <v>0.9974990100878055</v>
      </c>
      <c r="AC4" s="12">
        <v>0.99394563664537128</v>
      </c>
      <c r="AD4" s="12">
        <v>0.99709674234986068</v>
      </c>
    </row>
    <row r="5" spans="1:30" x14ac:dyDescent="0.25">
      <c r="A5" s="37" t="s">
        <v>45</v>
      </c>
      <c r="B5" s="37" t="s">
        <v>60</v>
      </c>
      <c r="C5" s="37">
        <v>91</v>
      </c>
      <c r="D5" s="37">
        <v>33657.342224310203</v>
      </c>
      <c r="E5" s="37">
        <v>707320.11007662897</v>
      </c>
      <c r="F5" s="37">
        <v>4.7584314011182002E-2</v>
      </c>
      <c r="G5" s="37">
        <v>99.652725711060398</v>
      </c>
      <c r="H5" s="37">
        <v>120</v>
      </c>
      <c r="I5" s="40">
        <v>4.601691399130285</v>
      </c>
      <c r="J5" s="39"/>
      <c r="K5" s="37"/>
      <c r="L5" s="37"/>
      <c r="M5" s="37"/>
      <c r="N5" s="37"/>
      <c r="O5" s="37"/>
      <c r="P5" s="37"/>
      <c r="Q5" s="37"/>
      <c r="R5" s="37"/>
      <c r="S5" s="37"/>
      <c r="T5" s="37"/>
      <c r="U5" s="37">
        <v>1</v>
      </c>
      <c r="V5" s="37">
        <v>120</v>
      </c>
      <c r="W5" s="37">
        <v>4.601691399130285</v>
      </c>
      <c r="X5" s="37"/>
      <c r="Y5" s="37"/>
      <c r="Z5" s="11">
        <v>30</v>
      </c>
      <c r="AA5" s="12">
        <v>0.98256464576368852</v>
      </c>
      <c r="AB5" s="12">
        <v>1.0059802592917462</v>
      </c>
      <c r="AC5" s="12">
        <v>0.98725660359073197</v>
      </c>
      <c r="AD5" s="12">
        <v>0.99193383621538889</v>
      </c>
    </row>
    <row r="6" spans="1:30" x14ac:dyDescent="0.25">
      <c r="A6" s="36" t="s">
        <v>46</v>
      </c>
      <c r="B6" s="36" t="s">
        <v>60</v>
      </c>
      <c r="C6" s="36">
        <v>91</v>
      </c>
      <c r="D6" s="36">
        <v>36818.389051195198</v>
      </c>
      <c r="E6" s="36">
        <v>709207.22256151296</v>
      </c>
      <c r="F6" s="36">
        <v>5.1914853486989002E-2</v>
      </c>
      <c r="G6" s="36">
        <v>100.86731032966874</v>
      </c>
      <c r="H6" s="36">
        <v>120</v>
      </c>
      <c r="I6" s="41">
        <v>4.6138058939909872</v>
      </c>
      <c r="J6" s="38"/>
      <c r="K6" s="36"/>
      <c r="L6" s="36"/>
      <c r="M6" s="36"/>
      <c r="N6" s="36"/>
      <c r="O6" s="36"/>
      <c r="P6" s="36"/>
      <c r="Q6" s="36"/>
      <c r="R6" s="36"/>
      <c r="S6" s="36"/>
      <c r="T6" s="36"/>
      <c r="U6" s="36">
        <v>2</v>
      </c>
      <c r="V6" s="36">
        <v>120</v>
      </c>
      <c r="W6" s="36">
        <v>4.6138058939909872</v>
      </c>
      <c r="X6" s="36"/>
      <c r="Y6" s="36"/>
      <c r="Z6" s="11">
        <v>15</v>
      </c>
      <c r="AA6" s="12">
        <v>0.98099806561624192</v>
      </c>
      <c r="AB6" s="12">
        <v>0.99581071092008999</v>
      </c>
      <c r="AC6" s="12">
        <v>0.99428618163023652</v>
      </c>
      <c r="AD6" s="12">
        <v>0.9903649860555227</v>
      </c>
    </row>
    <row r="7" spans="1:30" ht="15.75" thickBot="1" x14ac:dyDescent="0.3">
      <c r="A7" s="37" t="s">
        <v>47</v>
      </c>
      <c r="B7" s="37" t="s">
        <v>60</v>
      </c>
      <c r="C7" s="37">
        <v>91</v>
      </c>
      <c r="D7" s="37">
        <v>38921.482627584403</v>
      </c>
      <c r="E7" s="37">
        <v>710644.929853093</v>
      </c>
      <c r="F7" s="37">
        <v>5.47692398729E-2</v>
      </c>
      <c r="G7" s="37">
        <v>99.81161438011101</v>
      </c>
      <c r="H7" s="37">
        <v>120</v>
      </c>
      <c r="I7" s="40">
        <v>4.6032845531004112</v>
      </c>
      <c r="J7" s="39"/>
      <c r="K7" s="37"/>
      <c r="L7" s="37"/>
      <c r="M7" s="37"/>
      <c r="N7" s="37"/>
      <c r="O7" s="37"/>
      <c r="P7" s="37"/>
      <c r="Q7" s="37"/>
      <c r="R7" s="37"/>
      <c r="S7" s="37"/>
      <c r="T7" s="37"/>
      <c r="U7" s="37">
        <v>3</v>
      </c>
      <c r="V7" s="37">
        <v>120</v>
      </c>
      <c r="W7" s="37">
        <v>4.6032845531004112</v>
      </c>
      <c r="X7" s="37"/>
      <c r="Y7" s="37"/>
      <c r="Z7" s="13">
        <v>0</v>
      </c>
      <c r="AA7" s="14">
        <v>1</v>
      </c>
      <c r="AB7" s="14">
        <v>1</v>
      </c>
      <c r="AC7" s="14">
        <v>1</v>
      </c>
      <c r="AD7" s="14">
        <v>1</v>
      </c>
    </row>
    <row r="8" spans="1:30" ht="16.5" thickTop="1" thickBot="1" x14ac:dyDescent="0.3">
      <c r="A8" s="36" t="s">
        <v>48</v>
      </c>
      <c r="B8" s="36" t="s">
        <v>60</v>
      </c>
      <c r="C8" s="36">
        <v>91</v>
      </c>
      <c r="D8" s="36">
        <v>25859.663873900299</v>
      </c>
      <c r="E8" s="36">
        <v>603158.64794186305</v>
      </c>
      <c r="F8" s="36">
        <v>4.2873734733208997E-2</v>
      </c>
      <c r="G8" s="36">
        <v>99.984558031640518</v>
      </c>
      <c r="H8" s="36">
        <v>60</v>
      </c>
      <c r="I8" s="41">
        <v>4.6050157543805499</v>
      </c>
      <c r="J8" s="38"/>
      <c r="K8" s="36"/>
      <c r="L8" s="36"/>
      <c r="M8" s="36"/>
      <c r="N8" s="36"/>
      <c r="O8" s="36"/>
      <c r="P8" s="36"/>
      <c r="Q8" s="36"/>
      <c r="R8" s="36"/>
      <c r="S8" s="36"/>
      <c r="T8" s="36"/>
      <c r="U8" s="36">
        <v>4</v>
      </c>
      <c r="V8" s="36">
        <v>60</v>
      </c>
      <c r="W8" s="36">
        <v>4.6050157543805499</v>
      </c>
      <c r="X8" s="36"/>
      <c r="Y8" s="36"/>
    </row>
    <row r="9" spans="1:30" x14ac:dyDescent="0.25">
      <c r="A9" s="37" t="s">
        <v>49</v>
      </c>
      <c r="B9" s="37" t="s">
        <v>60</v>
      </c>
      <c r="C9" s="37">
        <v>91</v>
      </c>
      <c r="D9" s="37">
        <v>41545.424571655203</v>
      </c>
      <c r="E9" s="37">
        <v>615139.29368858295</v>
      </c>
      <c r="F9" s="37">
        <v>6.7538238896324002E-2</v>
      </c>
      <c r="G9" s="37">
        <v>99.749901008780554</v>
      </c>
      <c r="H9" s="37">
        <v>60</v>
      </c>
      <c r="I9" s="40">
        <v>4.6026660633763026</v>
      </c>
      <c r="J9" s="39"/>
      <c r="K9" s="37"/>
      <c r="L9" s="37"/>
      <c r="M9" s="37"/>
      <c r="N9" s="37"/>
      <c r="O9" s="37"/>
      <c r="P9" s="37"/>
      <c r="Q9" s="37"/>
      <c r="R9" s="37"/>
      <c r="S9" s="37"/>
      <c r="T9" s="37"/>
      <c r="U9" s="37">
        <v>5</v>
      </c>
      <c r="V9" s="37">
        <v>60</v>
      </c>
      <c r="W9" s="37">
        <v>4.6026660633763026</v>
      </c>
      <c r="X9" s="37"/>
      <c r="Y9" s="37"/>
      <c r="Z9" s="26" t="s">
        <v>22</v>
      </c>
      <c r="AA9" s="27">
        <v>5.0168484858591615E-5</v>
      </c>
    </row>
    <row r="10" spans="1:30" x14ac:dyDescent="0.25">
      <c r="A10" s="36" t="s">
        <v>50</v>
      </c>
      <c r="B10" s="36" t="s">
        <v>60</v>
      </c>
      <c r="C10" s="36">
        <v>91</v>
      </c>
      <c r="D10" s="36">
        <v>38953.0514896881</v>
      </c>
      <c r="E10" s="36">
        <v>642258.60111045302</v>
      </c>
      <c r="F10" s="36">
        <v>6.0650104836803997E-2</v>
      </c>
      <c r="G10" s="36">
        <v>99.394563664537131</v>
      </c>
      <c r="H10" s="36">
        <v>60</v>
      </c>
      <c r="I10" s="41">
        <v>4.5990974206632433</v>
      </c>
      <c r="J10" s="38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>
        <v>6</v>
      </c>
      <c r="V10" s="36">
        <v>60</v>
      </c>
      <c r="W10" s="36">
        <v>4.5990974206632433</v>
      </c>
      <c r="X10" s="36"/>
      <c r="Y10" s="36"/>
      <c r="Z10" s="28" t="s">
        <v>23</v>
      </c>
      <c r="AA10" s="29">
        <v>4.5989775976623291</v>
      </c>
    </row>
    <row r="11" spans="1:30" ht="17.25" x14ac:dyDescent="0.25">
      <c r="A11" s="37" t="s">
        <v>51</v>
      </c>
      <c r="B11" s="37" t="s">
        <v>60</v>
      </c>
      <c r="C11" s="37">
        <v>91</v>
      </c>
      <c r="D11" s="37">
        <v>37928.621696182498</v>
      </c>
      <c r="E11" s="37">
        <v>562696.07908081403</v>
      </c>
      <c r="F11" s="37">
        <v>6.7405164361799996E-2</v>
      </c>
      <c r="G11" s="37">
        <v>98.256464576368856</v>
      </c>
      <c r="H11" s="37">
        <v>30</v>
      </c>
      <c r="I11" s="40">
        <v>4.5875810457997792</v>
      </c>
      <c r="J11" s="39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>
        <v>7</v>
      </c>
      <c r="V11" s="37">
        <v>30</v>
      </c>
      <c r="W11" s="37">
        <v>4.5875810457997792</v>
      </c>
      <c r="X11" s="37"/>
      <c r="Y11" s="37"/>
      <c r="Z11" s="28" t="s">
        <v>24</v>
      </c>
      <c r="AA11" s="30">
        <v>8.1965758497425809E-2</v>
      </c>
    </row>
    <row r="12" spans="1:30" ht="18" x14ac:dyDescent="0.35">
      <c r="A12" s="36" t="s">
        <v>52</v>
      </c>
      <c r="B12" s="36" t="s">
        <v>60</v>
      </c>
      <c r="C12" s="36">
        <v>91</v>
      </c>
      <c r="D12" s="36">
        <v>31815.297989801798</v>
      </c>
      <c r="E12" s="36">
        <v>571396.13448957296</v>
      </c>
      <c r="F12" s="36">
        <v>5.5679932133636999E-2</v>
      </c>
      <c r="G12" s="36">
        <v>100.59802592917461</v>
      </c>
      <c r="H12" s="36">
        <v>30</v>
      </c>
      <c r="I12" s="41">
        <v>4.6111326345026749</v>
      </c>
      <c r="J12" s="38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>
        <v>8</v>
      </c>
      <c r="V12" s="36">
        <v>30</v>
      </c>
      <c r="W12" s="36">
        <v>4.6111326345026749</v>
      </c>
      <c r="X12" s="36"/>
      <c r="Y12" s="36"/>
      <c r="Z12" s="28" t="s">
        <v>25</v>
      </c>
      <c r="AA12" s="31" t="s">
        <v>407</v>
      </c>
    </row>
    <row r="13" spans="1:30" ht="18.75" x14ac:dyDescent="0.35">
      <c r="A13" s="37" t="s">
        <v>53</v>
      </c>
      <c r="B13" s="37" t="s">
        <v>60</v>
      </c>
      <c r="C13" s="37">
        <v>91</v>
      </c>
      <c r="D13" s="37">
        <v>38706.287335765199</v>
      </c>
      <c r="E13" s="37">
        <v>552297.12131518195</v>
      </c>
      <c r="F13" s="37">
        <v>7.0082362992576003E-2</v>
      </c>
      <c r="G13" s="37">
        <v>98.725660359073203</v>
      </c>
      <c r="H13" s="37">
        <v>30</v>
      </c>
      <c r="I13" s="40">
        <v>4.5923448960242164</v>
      </c>
      <c r="J13" s="39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>
        <v>9</v>
      </c>
      <c r="V13" s="37">
        <v>30</v>
      </c>
      <c r="W13" s="37">
        <v>4.5923448960242164</v>
      </c>
      <c r="X13" s="37"/>
      <c r="Y13" s="37"/>
      <c r="Z13" s="28" t="s">
        <v>26</v>
      </c>
      <c r="AA13" s="29">
        <v>0</v>
      </c>
    </row>
    <row r="14" spans="1:30" ht="15.75" thickBot="1" x14ac:dyDescent="0.3">
      <c r="A14" s="36" t="s">
        <v>54</v>
      </c>
      <c r="B14" s="36" t="s">
        <v>60</v>
      </c>
      <c r="C14" s="36">
        <v>91</v>
      </c>
      <c r="D14" s="36">
        <v>38256.525151019501</v>
      </c>
      <c r="E14" s="36">
        <v>549433.56204429199</v>
      </c>
      <c r="F14" s="36">
        <v>6.9629028501056997E-2</v>
      </c>
      <c r="G14" s="36">
        <v>98.099806561624192</v>
      </c>
      <c r="H14" s="36">
        <v>15</v>
      </c>
      <c r="I14" s="41">
        <v>4.5859853947204865</v>
      </c>
      <c r="J14" s="38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>
        <v>10</v>
      </c>
      <c r="V14" s="36">
        <v>15</v>
      </c>
      <c r="W14" s="36">
        <v>4.5859853947204865</v>
      </c>
      <c r="X14" s="36"/>
      <c r="Y14" s="36"/>
      <c r="Z14" s="32" t="s">
        <v>10</v>
      </c>
      <c r="AA14" s="33" t="s">
        <v>27</v>
      </c>
    </row>
    <row r="15" spans="1:30" x14ac:dyDescent="0.25">
      <c r="A15" s="37" t="s">
        <v>55</v>
      </c>
      <c r="B15" s="37" t="s">
        <v>60</v>
      </c>
      <c r="C15" s="37">
        <v>91</v>
      </c>
      <c r="D15" s="37">
        <v>35875.257528786402</v>
      </c>
      <c r="E15" s="37">
        <v>513245.80468158098</v>
      </c>
      <c r="F15" s="37">
        <v>6.9898783782642998E-2</v>
      </c>
      <c r="G15" s="37">
        <v>99.581071092008997</v>
      </c>
      <c r="H15" s="37">
        <v>15</v>
      </c>
      <c r="I15" s="40">
        <v>4.6009720972518826</v>
      </c>
      <c r="J15" s="39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>
        <v>11</v>
      </c>
      <c r="V15" s="37">
        <v>15</v>
      </c>
      <c r="W15" s="37">
        <v>4.6009720972518826</v>
      </c>
      <c r="X15" s="37"/>
      <c r="Y15" s="37"/>
    </row>
    <row r="16" spans="1:30" x14ac:dyDescent="0.25">
      <c r="A16" s="36" t="s">
        <v>56</v>
      </c>
      <c r="B16" s="36" t="s">
        <v>60</v>
      </c>
      <c r="C16" s="36">
        <v>91</v>
      </c>
      <c r="D16" s="36">
        <v>26924.381424406201</v>
      </c>
      <c r="E16" s="36">
        <v>447472.59959785698</v>
      </c>
      <c r="F16" s="36">
        <v>6.0169899673417002E-2</v>
      </c>
      <c r="G16" s="36">
        <v>99.428618163023657</v>
      </c>
      <c r="H16" s="36">
        <v>15</v>
      </c>
      <c r="I16" s="41">
        <v>4.5994399813094065</v>
      </c>
      <c r="J16" s="38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>
        <v>12</v>
      </c>
      <c r="V16" s="36">
        <v>15</v>
      </c>
      <c r="W16" s="36">
        <v>4.5994399813094065</v>
      </c>
      <c r="X16" s="36"/>
      <c r="Y16" s="36"/>
    </row>
    <row r="17" spans="1:30" x14ac:dyDescent="0.25">
      <c r="A17" s="37" t="s">
        <v>57</v>
      </c>
      <c r="B17" s="37" t="s">
        <v>60</v>
      </c>
      <c r="C17" s="37">
        <v>91</v>
      </c>
      <c r="D17" s="37">
        <v>20981.409481757801</v>
      </c>
      <c r="E17" s="37">
        <v>491891.75354474201</v>
      </c>
      <c r="F17" s="37">
        <v>4.2654525778403E-2</v>
      </c>
      <c r="G17" s="37">
        <v>100</v>
      </c>
      <c r="H17" s="37">
        <v>0</v>
      </c>
      <c r="I17" s="40">
        <v>4.6051701859880918</v>
      </c>
      <c r="J17" s="39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>
        <v>13</v>
      </c>
      <c r="V17" s="37">
        <v>0</v>
      </c>
      <c r="W17" s="37">
        <v>4.6051701859880918</v>
      </c>
      <c r="X17" s="37"/>
      <c r="Y17" s="37"/>
    </row>
    <row r="18" spans="1:30" x14ac:dyDescent="0.25">
      <c r="A18" s="36" t="s">
        <v>58</v>
      </c>
      <c r="B18" s="36" t="s">
        <v>60</v>
      </c>
      <c r="C18" s="36">
        <v>91</v>
      </c>
      <c r="D18" s="36">
        <v>33894.079740469097</v>
      </c>
      <c r="E18" s="36">
        <v>529252.58057576104</v>
      </c>
      <c r="F18" s="36">
        <v>6.4041406663708E-2</v>
      </c>
      <c r="G18" s="36">
        <v>100</v>
      </c>
      <c r="H18" s="36">
        <v>0</v>
      </c>
      <c r="I18" s="41">
        <v>4.6051701859880918</v>
      </c>
      <c r="J18" s="38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>
        <v>14</v>
      </c>
      <c r="V18" s="36">
        <v>0</v>
      </c>
      <c r="W18" s="36">
        <v>4.6051701859880918</v>
      </c>
      <c r="X18" s="36"/>
      <c r="Y18" s="36"/>
    </row>
    <row r="19" spans="1:30" x14ac:dyDescent="0.25">
      <c r="A19" s="37" t="s">
        <v>59</v>
      </c>
      <c r="B19" s="37" t="s">
        <v>60</v>
      </c>
      <c r="C19" s="37">
        <v>91</v>
      </c>
      <c r="D19" s="37">
        <v>33678.9605835002</v>
      </c>
      <c r="E19" s="37">
        <v>646270.41644768405</v>
      </c>
      <c r="F19" s="37">
        <v>5.2112799420126997E-2</v>
      </c>
      <c r="G19" s="37">
        <v>100</v>
      </c>
      <c r="H19" s="37">
        <v>0</v>
      </c>
      <c r="I19" s="40">
        <v>4.6051701859880918</v>
      </c>
      <c r="J19" s="39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>
        <v>15</v>
      </c>
      <c r="V19" s="37">
        <v>0</v>
      </c>
      <c r="W19" s="37">
        <v>4.6051701859880918</v>
      </c>
      <c r="X19" s="37"/>
      <c r="Y19" s="37"/>
    </row>
    <row r="20" spans="1:30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8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</row>
    <row r="21" spans="1:30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4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30" ht="15.75" thickBo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8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</row>
    <row r="23" spans="1:30" ht="16.5" thickTop="1" thickBot="1" x14ac:dyDescent="0.3">
      <c r="A23" s="37" t="s">
        <v>42</v>
      </c>
      <c r="B23" s="46" t="s">
        <v>111</v>
      </c>
      <c r="C23" s="37">
        <v>66</v>
      </c>
      <c r="D23" s="37">
        <v>0</v>
      </c>
      <c r="E23" s="37">
        <v>336156.137465954</v>
      </c>
      <c r="F23" s="37">
        <v>0</v>
      </c>
      <c r="G23" s="37"/>
      <c r="H23" s="37"/>
      <c r="I23" s="37"/>
      <c r="J23" s="39"/>
      <c r="K23" s="37"/>
      <c r="L23" s="37"/>
      <c r="M23" s="37"/>
      <c r="N23" s="37"/>
      <c r="O23" s="37"/>
      <c r="P23" s="37"/>
      <c r="Q23" s="37"/>
      <c r="R23" s="46" t="s">
        <v>127</v>
      </c>
      <c r="S23" s="37"/>
      <c r="T23" s="37">
        <v>2</v>
      </c>
      <c r="U23" s="37"/>
      <c r="V23" s="37"/>
      <c r="W23" s="37"/>
      <c r="X23" s="37"/>
      <c r="Y23" s="37"/>
      <c r="Z23" s="10" t="s">
        <v>16</v>
      </c>
      <c r="AA23" s="10" t="s">
        <v>18</v>
      </c>
      <c r="AB23" s="10" t="s">
        <v>19</v>
      </c>
      <c r="AC23" s="10" t="s">
        <v>20</v>
      </c>
      <c r="AD23" s="10" t="s">
        <v>21</v>
      </c>
    </row>
    <row r="24" spans="1:30" ht="15.75" thickTop="1" x14ac:dyDescent="0.25">
      <c r="A24" s="36" t="s">
        <v>43</v>
      </c>
      <c r="B24" s="36" t="s">
        <v>111</v>
      </c>
      <c r="C24" s="36">
        <v>66</v>
      </c>
      <c r="D24" s="36">
        <v>0</v>
      </c>
      <c r="E24" s="36">
        <v>92612.788956766599</v>
      </c>
      <c r="F24" s="36">
        <v>0</v>
      </c>
      <c r="G24" s="36"/>
      <c r="H24" s="36"/>
      <c r="I24" s="36"/>
      <c r="J24" s="38"/>
      <c r="K24" s="36"/>
      <c r="L24" s="36"/>
      <c r="M24" s="36"/>
      <c r="N24" s="36"/>
      <c r="O24" s="36"/>
      <c r="P24" s="36"/>
      <c r="Q24" s="36"/>
      <c r="R24" s="36" t="s">
        <v>16</v>
      </c>
      <c r="S24" s="36"/>
      <c r="T24" s="36">
        <v>24</v>
      </c>
      <c r="U24" s="36"/>
      <c r="V24" s="36"/>
      <c r="W24" s="36"/>
      <c r="X24" s="36"/>
      <c r="Y24" s="36"/>
      <c r="Z24" s="11">
        <v>120</v>
      </c>
      <c r="AA24" s="12">
        <v>0.71368969244237535</v>
      </c>
      <c r="AB24" s="12">
        <v>1.4943331818734165</v>
      </c>
      <c r="AC24" s="12">
        <v>1.3354271375714402</v>
      </c>
      <c r="AD24" s="12">
        <v>1.1811500039624108</v>
      </c>
    </row>
    <row r="25" spans="1:30" x14ac:dyDescent="0.25">
      <c r="A25" s="37" t="s">
        <v>44</v>
      </c>
      <c r="B25" s="37" t="s">
        <v>111</v>
      </c>
      <c r="C25" s="37">
        <v>66</v>
      </c>
      <c r="D25" s="37">
        <v>0</v>
      </c>
      <c r="E25" s="37">
        <v>604783.42368647805</v>
      </c>
      <c r="F25" s="37">
        <v>0</v>
      </c>
      <c r="G25" s="37"/>
      <c r="H25" s="37"/>
      <c r="I25" s="37"/>
      <c r="J25" s="39"/>
      <c r="K25" s="37"/>
      <c r="L25" s="37"/>
      <c r="M25" s="37"/>
      <c r="N25" s="37"/>
      <c r="O25" s="37"/>
      <c r="P25" s="37"/>
      <c r="Q25" s="37"/>
      <c r="R25" s="37" t="s">
        <v>17</v>
      </c>
      <c r="S25" s="37"/>
      <c r="T25" s="37">
        <v>38</v>
      </c>
      <c r="U25" s="37"/>
      <c r="V25" s="37"/>
      <c r="W25" s="37"/>
      <c r="X25" s="37"/>
      <c r="Y25" s="37"/>
      <c r="Z25" s="11">
        <v>60</v>
      </c>
      <c r="AA25" s="12">
        <v>0.84139743448482918</v>
      </c>
      <c r="AB25" s="12">
        <v>0.90163934398921641</v>
      </c>
      <c r="AC25" s="12">
        <v>1.8106111538103886</v>
      </c>
      <c r="AD25" s="12">
        <v>1.1845493107614782</v>
      </c>
    </row>
    <row r="26" spans="1:30" x14ac:dyDescent="0.25">
      <c r="A26" s="36" t="s">
        <v>112</v>
      </c>
      <c r="B26" s="36" t="s">
        <v>111</v>
      </c>
      <c r="C26" s="36">
        <v>66</v>
      </c>
      <c r="D26" s="36">
        <v>26737.452409174501</v>
      </c>
      <c r="E26" s="36">
        <v>545464.01094582805</v>
      </c>
      <c r="F26" s="36">
        <v>4.9017812124418997E-2</v>
      </c>
      <c r="G26" s="36">
        <v>71.368969244237533</v>
      </c>
      <c r="H26" s="36">
        <v>120</v>
      </c>
      <c r="I26" s="41">
        <v>4.2678631704552217</v>
      </c>
      <c r="J26" s="38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>
        <v>1</v>
      </c>
      <c r="V26" s="36">
        <v>120</v>
      </c>
      <c r="W26" s="36">
        <v>4.2678631704552217</v>
      </c>
      <c r="X26" s="36"/>
      <c r="Y26" s="36"/>
      <c r="Z26" s="11">
        <v>30</v>
      </c>
      <c r="AA26" s="12">
        <v>1.0886570788213301</v>
      </c>
      <c r="AB26" s="12">
        <v>0.83317933363507823</v>
      </c>
      <c r="AC26" s="15">
        <v>1.1192111740773274</v>
      </c>
      <c r="AD26" s="12">
        <v>1.0136825288445788</v>
      </c>
    </row>
    <row r="27" spans="1:30" x14ac:dyDescent="0.25">
      <c r="A27" s="37" t="s">
        <v>113</v>
      </c>
      <c r="B27" s="37" t="s">
        <v>111</v>
      </c>
      <c r="C27" s="37">
        <v>66</v>
      </c>
      <c r="D27" s="37">
        <v>70566.738080216106</v>
      </c>
      <c r="E27" s="37">
        <v>562843.77185715095</v>
      </c>
      <c r="F27" s="37">
        <v>0.12537535566463701</v>
      </c>
      <c r="G27" s="37">
        <v>149.43331818734165</v>
      </c>
      <c r="H27" s="37">
        <v>120</v>
      </c>
      <c r="I27" s="40">
        <v>5.0068502611371004</v>
      </c>
      <c r="J27" s="39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>
        <v>2</v>
      </c>
      <c r="V27" s="37">
        <v>120</v>
      </c>
      <c r="W27" s="37">
        <v>5.0068502611371004</v>
      </c>
      <c r="X27" s="37"/>
      <c r="Y27" s="37"/>
      <c r="Z27" s="11">
        <v>15</v>
      </c>
      <c r="AA27" s="12">
        <v>1.2879279378367625</v>
      </c>
      <c r="AB27" s="12">
        <v>0.9612427680594583</v>
      </c>
      <c r="AC27" s="15">
        <v>1.1457822980824621</v>
      </c>
      <c r="AD27" s="12">
        <v>1.1316510013262278</v>
      </c>
    </row>
    <row r="28" spans="1:30" ht="15.75" thickBot="1" x14ac:dyDescent="0.3">
      <c r="A28" s="36" t="s">
        <v>114</v>
      </c>
      <c r="B28" s="36" t="s">
        <v>111</v>
      </c>
      <c r="C28" s="36">
        <v>66</v>
      </c>
      <c r="D28" s="36">
        <v>44234.425393766898</v>
      </c>
      <c r="E28" s="36">
        <v>540548.20265823603</v>
      </c>
      <c r="F28" s="36">
        <v>8.1832527009130004E-2</v>
      </c>
      <c r="G28" s="36">
        <v>133.54271375714401</v>
      </c>
      <c r="H28" s="36">
        <v>120</v>
      </c>
      <c r="I28" s="41">
        <v>4.8944213799032159</v>
      </c>
      <c r="J28" s="38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>
        <v>3</v>
      </c>
      <c r="V28" s="36">
        <v>120</v>
      </c>
      <c r="W28" s="36">
        <v>4.8944213799032159</v>
      </c>
      <c r="X28" s="36"/>
      <c r="Y28" s="36"/>
      <c r="Z28" s="13">
        <v>0</v>
      </c>
      <c r="AA28" s="14">
        <v>1</v>
      </c>
      <c r="AB28" s="14">
        <v>1</v>
      </c>
      <c r="AC28" s="14">
        <v>1</v>
      </c>
      <c r="AD28" s="14">
        <v>1</v>
      </c>
    </row>
    <row r="29" spans="1:30" ht="16.5" thickTop="1" thickBot="1" x14ac:dyDescent="0.3">
      <c r="A29" s="37" t="s">
        <v>115</v>
      </c>
      <c r="B29" s="37" t="s">
        <v>111</v>
      </c>
      <c r="C29" s="37">
        <v>66</v>
      </c>
      <c r="D29" s="37">
        <v>33371.236908500097</v>
      </c>
      <c r="E29" s="37">
        <v>577466.27021817595</v>
      </c>
      <c r="F29" s="37">
        <v>5.7789066876393999E-2</v>
      </c>
      <c r="G29" s="37">
        <v>84.139743448482918</v>
      </c>
      <c r="H29" s="37">
        <v>60</v>
      </c>
      <c r="I29" s="40">
        <v>4.4324790290548375</v>
      </c>
      <c r="J29" s="39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>
        <v>4</v>
      </c>
      <c r="V29" s="37">
        <v>60</v>
      </c>
      <c r="W29" s="37">
        <v>4.4324790290548375</v>
      </c>
      <c r="X29" s="37"/>
      <c r="Y29" s="37"/>
    </row>
    <row r="30" spans="1:30" x14ac:dyDescent="0.25">
      <c r="A30" s="36" t="s">
        <v>116</v>
      </c>
      <c r="B30" s="36" t="s">
        <v>111</v>
      </c>
      <c r="C30" s="36">
        <v>66</v>
      </c>
      <c r="D30" s="36">
        <v>40839.576577522603</v>
      </c>
      <c r="E30" s="36">
        <v>539863.09287214698</v>
      </c>
      <c r="F30" s="36">
        <v>7.5648024687612003E-2</v>
      </c>
      <c r="G30" s="36">
        <v>90.16393439892164</v>
      </c>
      <c r="H30" s="36">
        <v>60</v>
      </c>
      <c r="I30" s="41">
        <v>4.5016295067443819</v>
      </c>
      <c r="J30" s="38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>
        <v>5</v>
      </c>
      <c r="V30" s="36">
        <v>60</v>
      </c>
      <c r="W30" s="36">
        <v>4.5016295067443819</v>
      </c>
      <c r="X30" s="36"/>
      <c r="Y30" s="36"/>
      <c r="Z30" s="26" t="s">
        <v>22</v>
      </c>
      <c r="AA30" s="27">
        <v>7.6183509002201652E-4</v>
      </c>
    </row>
    <row r="31" spans="1:30" x14ac:dyDescent="0.25">
      <c r="A31" s="37" t="s">
        <v>117</v>
      </c>
      <c r="B31" s="37" t="s">
        <v>111</v>
      </c>
      <c r="C31" s="37">
        <v>66</v>
      </c>
      <c r="D31" s="37">
        <v>62142.550732793898</v>
      </c>
      <c r="E31" s="37">
        <v>560090.38729494705</v>
      </c>
      <c r="F31" s="37">
        <v>0.110950932460959</v>
      </c>
      <c r="G31" s="37">
        <v>181.06111538103886</v>
      </c>
      <c r="H31" s="37">
        <v>60</v>
      </c>
      <c r="I31" s="40">
        <v>5.1988346283124178</v>
      </c>
      <c r="J31" s="39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>
        <v>6</v>
      </c>
      <c r="V31" s="37">
        <v>60</v>
      </c>
      <c r="W31" s="37">
        <v>5.1988346283124178</v>
      </c>
      <c r="X31" s="37"/>
      <c r="Y31" s="37"/>
      <c r="Z31" s="28" t="s">
        <v>23</v>
      </c>
      <c r="AA31" s="29">
        <v>4.6399351764303445</v>
      </c>
    </row>
    <row r="32" spans="1:30" ht="17.25" x14ac:dyDescent="0.25">
      <c r="A32" s="36" t="s">
        <v>118</v>
      </c>
      <c r="B32" s="36" t="s">
        <v>111</v>
      </c>
      <c r="C32" s="36">
        <v>66</v>
      </c>
      <c r="D32" s="36">
        <v>39292.206780389803</v>
      </c>
      <c r="E32" s="36">
        <v>525497.70247212704</v>
      </c>
      <c r="F32" s="36">
        <v>7.4771414975832007E-2</v>
      </c>
      <c r="G32" s="36">
        <v>108.86570788213301</v>
      </c>
      <c r="H32" s="36">
        <v>30</v>
      </c>
      <c r="I32" s="41">
        <v>4.69011508486805</v>
      </c>
      <c r="J32" s="38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>
        <v>7</v>
      </c>
      <c r="V32" s="36">
        <v>30</v>
      </c>
      <c r="W32" s="36">
        <v>4.69011508486805</v>
      </c>
      <c r="X32" s="36"/>
      <c r="Y32" s="36"/>
      <c r="Z32" s="28" t="s">
        <v>24</v>
      </c>
      <c r="AA32" s="30">
        <v>1.9167214348242031E-2</v>
      </c>
    </row>
    <row r="33" spans="1:30" ht="18" x14ac:dyDescent="0.35">
      <c r="A33" s="37" t="s">
        <v>119</v>
      </c>
      <c r="B33" s="37" t="s">
        <v>111</v>
      </c>
      <c r="C33" s="37">
        <v>66</v>
      </c>
      <c r="D33" s="37">
        <v>35806.779400888503</v>
      </c>
      <c r="E33" s="37">
        <v>512226.48911251902</v>
      </c>
      <c r="F33" s="37">
        <v>6.9904193090301006E-2</v>
      </c>
      <c r="G33" s="37">
        <v>83.317933363507819</v>
      </c>
      <c r="H33" s="37">
        <v>30</v>
      </c>
      <c r="I33" s="40">
        <v>4.4226638124786737</v>
      </c>
      <c r="J33" s="39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>
        <v>8</v>
      </c>
      <c r="V33" s="37">
        <v>30</v>
      </c>
      <c r="W33" s="37">
        <v>4.4226638124786737</v>
      </c>
      <c r="X33" s="37"/>
      <c r="Y33" s="37"/>
      <c r="Z33" s="28" t="s">
        <v>25</v>
      </c>
      <c r="AA33" s="31" t="s">
        <v>407</v>
      </c>
    </row>
    <row r="34" spans="1:30" ht="18.75" x14ac:dyDescent="0.35">
      <c r="A34" s="36" t="s">
        <v>120</v>
      </c>
      <c r="B34" s="36" t="s">
        <v>111</v>
      </c>
      <c r="C34" s="36">
        <v>66</v>
      </c>
      <c r="D34" s="36">
        <v>34779.106173888402</v>
      </c>
      <c r="E34" s="36">
        <v>507108.17740310798</v>
      </c>
      <c r="F34" s="36">
        <v>6.8583209113273993E-2</v>
      </c>
      <c r="G34" s="36">
        <v>111.92111740773274</v>
      </c>
      <c r="H34" s="36">
        <v>30</v>
      </c>
      <c r="I34" s="41">
        <v>4.7177943142935614</v>
      </c>
      <c r="J34" s="38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>
        <v>9</v>
      </c>
      <c r="V34" s="36">
        <v>30</v>
      </c>
      <c r="W34" s="36">
        <v>4.7177943142935614</v>
      </c>
      <c r="X34" s="36"/>
      <c r="Y34" s="36"/>
      <c r="Z34" s="28" t="s">
        <v>26</v>
      </c>
      <c r="AA34" s="29">
        <v>0</v>
      </c>
    </row>
    <row r="35" spans="1:30" ht="15.75" thickBot="1" x14ac:dyDescent="0.3">
      <c r="A35" s="37" t="s">
        <v>121</v>
      </c>
      <c r="B35" s="37" t="s">
        <v>111</v>
      </c>
      <c r="C35" s="37">
        <v>66</v>
      </c>
      <c r="D35" s="37">
        <v>49639.418591918104</v>
      </c>
      <c r="E35" s="37">
        <v>561165.06131753605</v>
      </c>
      <c r="F35" s="37">
        <v>8.8457785442613998E-2</v>
      </c>
      <c r="G35" s="37">
        <v>128.79279378367625</v>
      </c>
      <c r="H35" s="37">
        <v>15</v>
      </c>
      <c r="I35" s="40">
        <v>4.8582048632205552</v>
      </c>
      <c r="J35" s="39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>
        <v>10</v>
      </c>
      <c r="V35" s="37">
        <v>15</v>
      </c>
      <c r="W35" s="37">
        <v>4.8582048632205552</v>
      </c>
      <c r="X35" s="37"/>
      <c r="Y35" s="37"/>
      <c r="Z35" s="32" t="s">
        <v>10</v>
      </c>
      <c r="AA35" s="33" t="s">
        <v>27</v>
      </c>
    </row>
    <row r="36" spans="1:30" x14ac:dyDescent="0.25">
      <c r="A36" s="36" t="s">
        <v>122</v>
      </c>
      <c r="B36" s="36" t="s">
        <v>111</v>
      </c>
      <c r="C36" s="36">
        <v>66</v>
      </c>
      <c r="D36" s="36">
        <v>42243.381026277602</v>
      </c>
      <c r="E36" s="36">
        <v>523794.39540614397</v>
      </c>
      <c r="F36" s="36">
        <v>8.0648783944171007E-2</v>
      </c>
      <c r="G36" s="36">
        <v>96.124276805945826</v>
      </c>
      <c r="H36" s="36">
        <v>15</v>
      </c>
      <c r="I36" s="41">
        <v>4.5656419043223009</v>
      </c>
      <c r="J36" s="38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>
        <v>11</v>
      </c>
      <c r="V36" s="36">
        <v>15</v>
      </c>
      <c r="W36" s="36">
        <v>4.5656419043223009</v>
      </c>
      <c r="X36" s="36"/>
      <c r="Y36" s="36"/>
    </row>
    <row r="37" spans="1:30" x14ac:dyDescent="0.25">
      <c r="A37" s="37" t="s">
        <v>123</v>
      </c>
      <c r="B37" s="37" t="s">
        <v>111</v>
      </c>
      <c r="C37" s="37">
        <v>66</v>
      </c>
      <c r="D37" s="37">
        <v>37382.658244819897</v>
      </c>
      <c r="E37" s="37">
        <v>532429.74134555401</v>
      </c>
      <c r="F37" s="37">
        <v>7.0211438884587002E-2</v>
      </c>
      <c r="G37" s="37">
        <v>114.57822980824621</v>
      </c>
      <c r="H37" s="37">
        <v>15</v>
      </c>
      <c r="I37" s="40">
        <v>4.7412578194654369</v>
      </c>
      <c r="J37" s="39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>
        <v>12</v>
      </c>
      <c r="V37" s="37">
        <v>15</v>
      </c>
      <c r="W37" s="37">
        <v>4.7412578194654369</v>
      </c>
      <c r="X37" s="37"/>
      <c r="Y37" s="37"/>
    </row>
    <row r="38" spans="1:30" x14ac:dyDescent="0.25">
      <c r="A38" s="36" t="s">
        <v>124</v>
      </c>
      <c r="B38" s="36" t="s">
        <v>111</v>
      </c>
      <c r="C38" s="36">
        <v>66</v>
      </c>
      <c r="D38" s="36">
        <v>37567.039670794598</v>
      </c>
      <c r="E38" s="36">
        <v>546968.70028728701</v>
      </c>
      <c r="F38" s="36">
        <v>6.8682247541884997E-2</v>
      </c>
      <c r="G38" s="36">
        <v>100</v>
      </c>
      <c r="H38" s="36">
        <v>0</v>
      </c>
      <c r="I38" s="41">
        <v>4.6051701859880918</v>
      </c>
      <c r="J38" s="38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>
        <v>13</v>
      </c>
      <c r="V38" s="36">
        <v>0</v>
      </c>
      <c r="W38" s="36">
        <v>4.6051701859880918</v>
      </c>
      <c r="X38" s="36"/>
      <c r="Y38" s="36"/>
    </row>
    <row r="39" spans="1:30" x14ac:dyDescent="0.25">
      <c r="A39" s="37" t="s">
        <v>125</v>
      </c>
      <c r="B39" s="37" t="s">
        <v>111</v>
      </c>
      <c r="C39" s="37">
        <v>66</v>
      </c>
      <c r="D39" s="37">
        <v>43731.867445581702</v>
      </c>
      <c r="E39" s="37">
        <v>521234.65798194899</v>
      </c>
      <c r="F39" s="37">
        <v>8.3900536497126005E-2</v>
      </c>
      <c r="G39" s="37">
        <v>100</v>
      </c>
      <c r="H39" s="37">
        <v>0</v>
      </c>
      <c r="I39" s="40">
        <v>4.6051701859880918</v>
      </c>
      <c r="J39" s="39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>
        <v>14</v>
      </c>
      <c r="V39" s="37">
        <v>0</v>
      </c>
      <c r="W39" s="37">
        <v>4.6051701859880918</v>
      </c>
      <c r="X39" s="37"/>
      <c r="Y39" s="37"/>
    </row>
    <row r="40" spans="1:30" x14ac:dyDescent="0.25">
      <c r="A40" s="36" t="s">
        <v>126</v>
      </c>
      <c r="B40" s="36" t="s">
        <v>111</v>
      </c>
      <c r="C40" s="36">
        <v>66</v>
      </c>
      <c r="D40" s="36">
        <v>34028.229236119703</v>
      </c>
      <c r="E40" s="36">
        <v>555307.55833002797</v>
      </c>
      <c r="F40" s="36">
        <v>6.127816689269E-2</v>
      </c>
      <c r="G40" s="36">
        <v>100</v>
      </c>
      <c r="H40" s="36">
        <v>0</v>
      </c>
      <c r="I40" s="41">
        <v>4.6051701859880918</v>
      </c>
      <c r="J40" s="38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>
        <v>15</v>
      </c>
      <c r="V40" s="36">
        <v>0</v>
      </c>
      <c r="W40" s="36">
        <v>4.6051701859880918</v>
      </c>
      <c r="X40" s="36"/>
      <c r="Y40" s="36"/>
    </row>
    <row r="41" spans="1:30" x14ac:dyDescent="0.25">
      <c r="A41" s="37"/>
      <c r="B41" s="37"/>
      <c r="C41" s="37"/>
      <c r="D41" s="37"/>
      <c r="E41" s="37"/>
      <c r="F41" s="37"/>
      <c r="G41" s="43"/>
      <c r="H41" s="37"/>
      <c r="I41" s="37"/>
      <c r="J41" s="39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</row>
    <row r="42" spans="1:30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1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</row>
    <row r="43" spans="1:30" ht="15.75" thickBot="1" x14ac:dyDescent="0.3">
      <c r="A43" s="37"/>
      <c r="B43" s="37"/>
      <c r="C43" s="37"/>
      <c r="D43" s="37"/>
      <c r="E43" s="37"/>
      <c r="F43" s="37"/>
      <c r="G43" s="37"/>
      <c r="H43" s="37"/>
      <c r="I43" s="37"/>
      <c r="J43" s="39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</row>
    <row r="44" spans="1:30" ht="16.5" thickTop="1" thickBot="1" x14ac:dyDescent="0.3">
      <c r="A44" s="36" t="s">
        <v>42</v>
      </c>
      <c r="B44" s="45" t="s">
        <v>159</v>
      </c>
      <c r="C44" s="36">
        <v>228</v>
      </c>
      <c r="D44" s="36" t="s">
        <v>32</v>
      </c>
      <c r="E44" s="36">
        <v>336156.137465954</v>
      </c>
      <c r="F44" s="82">
        <v>0</v>
      </c>
      <c r="G44" s="45"/>
      <c r="H44" s="36"/>
      <c r="I44" s="36"/>
      <c r="J44" s="38"/>
      <c r="K44" s="36"/>
      <c r="L44" s="36"/>
      <c r="M44" s="36"/>
      <c r="N44" s="36"/>
      <c r="O44" s="36"/>
      <c r="P44" s="36"/>
      <c r="Q44" s="36"/>
      <c r="R44" s="45" t="s">
        <v>158</v>
      </c>
      <c r="S44" s="36"/>
      <c r="T44" s="36">
        <v>3</v>
      </c>
      <c r="U44" s="36"/>
      <c r="V44" s="36"/>
      <c r="W44" s="36"/>
      <c r="X44" s="36"/>
      <c r="Y44" s="36"/>
      <c r="Z44" s="10" t="s">
        <v>16</v>
      </c>
      <c r="AA44" s="10" t="s">
        <v>18</v>
      </c>
      <c r="AB44" s="10" t="s">
        <v>19</v>
      </c>
      <c r="AC44" s="10" t="s">
        <v>20</v>
      </c>
      <c r="AD44" s="10" t="s">
        <v>21</v>
      </c>
    </row>
    <row r="45" spans="1:30" ht="15.75" thickTop="1" x14ac:dyDescent="0.25">
      <c r="A45" s="37" t="s">
        <v>43</v>
      </c>
      <c r="B45" s="37" t="s">
        <v>159</v>
      </c>
      <c r="C45" s="37">
        <v>228</v>
      </c>
      <c r="D45" s="37" t="s">
        <v>32</v>
      </c>
      <c r="E45" s="37">
        <v>92612.788956766599</v>
      </c>
      <c r="F45" s="83">
        <v>0</v>
      </c>
      <c r="G45" s="46"/>
      <c r="H45" s="37"/>
      <c r="I45" s="37"/>
      <c r="J45" s="39"/>
      <c r="K45" s="37"/>
      <c r="L45" s="37"/>
      <c r="M45" s="37"/>
      <c r="N45" s="37"/>
      <c r="O45" s="37"/>
      <c r="P45" s="37"/>
      <c r="Q45" s="37"/>
      <c r="R45" s="37" t="s">
        <v>16</v>
      </c>
      <c r="S45" s="37"/>
      <c r="T45" s="37">
        <v>43</v>
      </c>
      <c r="U45" s="37"/>
      <c r="V45" s="37"/>
      <c r="W45" s="37"/>
      <c r="X45" s="37"/>
      <c r="Y45" s="37"/>
      <c r="Z45" s="11">
        <v>120</v>
      </c>
      <c r="AA45" s="12">
        <v>0.10076494029591675</v>
      </c>
      <c r="AB45" s="16">
        <v>0.10813786400470481</v>
      </c>
      <c r="AC45" s="16">
        <v>0.17685552138104405</v>
      </c>
      <c r="AD45" s="12">
        <v>0.12858610856055519</v>
      </c>
    </row>
    <row r="46" spans="1:30" x14ac:dyDescent="0.25">
      <c r="A46" s="36" t="s">
        <v>44</v>
      </c>
      <c r="B46" s="36" t="s">
        <v>159</v>
      </c>
      <c r="C46" s="36">
        <v>228</v>
      </c>
      <c r="D46" s="36" t="s">
        <v>32</v>
      </c>
      <c r="E46" s="36">
        <v>604783.42368647805</v>
      </c>
      <c r="F46" s="36">
        <v>0</v>
      </c>
      <c r="G46" s="36"/>
      <c r="H46" s="36"/>
      <c r="I46" s="36"/>
      <c r="J46" s="38"/>
      <c r="K46" s="36"/>
      <c r="L46" s="36"/>
      <c r="M46" s="36"/>
      <c r="N46" s="36"/>
      <c r="O46" s="36"/>
      <c r="P46" s="36"/>
      <c r="Q46" s="36"/>
      <c r="R46" s="36" t="s">
        <v>17</v>
      </c>
      <c r="S46" s="36"/>
      <c r="T46" s="36">
        <v>57</v>
      </c>
      <c r="U46" s="36"/>
      <c r="V46" s="36"/>
      <c r="W46" s="36"/>
      <c r="X46" s="36"/>
      <c r="Y46" s="36"/>
      <c r="Z46" s="11">
        <v>60</v>
      </c>
      <c r="AA46" s="12">
        <v>0.29676798892745604</v>
      </c>
      <c r="AB46" s="12">
        <v>0.3228605530201179</v>
      </c>
      <c r="AC46" s="12">
        <v>0.43126447202873697</v>
      </c>
      <c r="AD46" s="12">
        <v>0.35029767132543704</v>
      </c>
    </row>
    <row r="47" spans="1:30" x14ac:dyDescent="0.25">
      <c r="A47" s="37" t="s">
        <v>143</v>
      </c>
      <c r="B47" s="37" t="s">
        <v>159</v>
      </c>
      <c r="C47" s="37">
        <v>228</v>
      </c>
      <c r="D47" s="37">
        <v>20916.873866160699</v>
      </c>
      <c r="E47" s="37">
        <v>596014.17165791895</v>
      </c>
      <c r="F47" s="37">
        <v>3.5094591472508999E-2</v>
      </c>
      <c r="G47" s="37">
        <v>10.076494029591675</v>
      </c>
      <c r="H47" s="37">
        <v>120</v>
      </c>
      <c r="I47" s="40">
        <v>2.3102053876170863</v>
      </c>
      <c r="J47" s="39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>
        <v>1</v>
      </c>
      <c r="V47" s="37">
        <v>120</v>
      </c>
      <c r="W47" s="37">
        <v>2.3102053876170863</v>
      </c>
      <c r="X47" s="37"/>
      <c r="Y47" s="37"/>
      <c r="Z47" s="11">
        <v>30</v>
      </c>
      <c r="AA47" s="15">
        <v>0.53201206792747346</v>
      </c>
      <c r="AB47" s="12">
        <v>0.48980953165400787</v>
      </c>
      <c r="AC47" s="12">
        <v>0.64230139449664359</v>
      </c>
      <c r="AD47" s="12">
        <v>0.55470766469270838</v>
      </c>
    </row>
    <row r="48" spans="1:30" x14ac:dyDescent="0.25">
      <c r="A48" s="36" t="s">
        <v>144</v>
      </c>
      <c r="B48" s="36" t="s">
        <v>159</v>
      </c>
      <c r="C48" s="36">
        <v>228</v>
      </c>
      <c r="D48" s="36">
        <v>22184.226631091798</v>
      </c>
      <c r="E48" s="36">
        <v>589027.76555359398</v>
      </c>
      <c r="F48" s="36">
        <v>3.7662446370830001E-2</v>
      </c>
      <c r="G48" s="36">
        <v>10.81378640047048</v>
      </c>
      <c r="H48" s="36">
        <v>120</v>
      </c>
      <c r="I48" s="41">
        <v>2.3808218386351347</v>
      </c>
      <c r="J48" s="38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>
        <v>2</v>
      </c>
      <c r="V48" s="36">
        <v>120</v>
      </c>
      <c r="W48" s="36">
        <v>2.3808218386351347</v>
      </c>
      <c r="X48" s="36"/>
      <c r="Y48" s="36"/>
      <c r="Z48" s="11">
        <v>15</v>
      </c>
      <c r="AA48" s="15">
        <v>0.69248910199841007</v>
      </c>
      <c r="AB48" s="12">
        <v>0.77247696446703107</v>
      </c>
      <c r="AC48" s="12">
        <v>0.89110344785172357</v>
      </c>
      <c r="AD48" s="12">
        <v>0.78535650477238816</v>
      </c>
    </row>
    <row r="49" spans="1:30" ht="15.75" thickBot="1" x14ac:dyDescent="0.3">
      <c r="A49" s="37" t="s">
        <v>145</v>
      </c>
      <c r="B49" s="37" t="s">
        <v>159</v>
      </c>
      <c r="C49" s="37">
        <v>228</v>
      </c>
      <c r="D49" s="37">
        <v>35201.972131440998</v>
      </c>
      <c r="E49" s="37">
        <v>571501.83937131497</v>
      </c>
      <c r="F49" s="37">
        <v>6.1595553515917001E-2</v>
      </c>
      <c r="G49" s="37">
        <v>17.685552138104406</v>
      </c>
      <c r="H49" s="37">
        <v>120</v>
      </c>
      <c r="I49" s="40">
        <v>2.8727480428714962</v>
      </c>
      <c r="J49" s="39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>
        <v>3</v>
      </c>
      <c r="V49" s="37">
        <v>120</v>
      </c>
      <c r="W49" s="37">
        <v>2.8727480428714962</v>
      </c>
      <c r="X49" s="37"/>
      <c r="Y49" s="37"/>
      <c r="Z49" s="13">
        <v>0</v>
      </c>
      <c r="AA49" s="14">
        <v>1</v>
      </c>
      <c r="AB49" s="14">
        <v>1</v>
      </c>
      <c r="AC49" s="14">
        <v>1</v>
      </c>
      <c r="AD49" s="14">
        <v>1</v>
      </c>
    </row>
    <row r="50" spans="1:30" ht="16.5" thickTop="1" thickBot="1" x14ac:dyDescent="0.3">
      <c r="A50" s="36" t="s">
        <v>146</v>
      </c>
      <c r="B50" s="36" t="s">
        <v>159</v>
      </c>
      <c r="C50" s="36">
        <v>228</v>
      </c>
      <c r="D50" s="36">
        <v>56343.122329968799</v>
      </c>
      <c r="E50" s="36">
        <v>545121.25653323799</v>
      </c>
      <c r="F50" s="36">
        <v>0.10335887961568301</v>
      </c>
      <c r="G50" s="36">
        <v>29.676798892745605</v>
      </c>
      <c r="H50" s="36">
        <v>60</v>
      </c>
      <c r="I50" s="41">
        <v>3.3903655584645116</v>
      </c>
      <c r="J50" s="38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>
        <v>4</v>
      </c>
      <c r="V50" s="36">
        <v>60</v>
      </c>
      <c r="W50" s="36">
        <v>3.3903655584645116</v>
      </c>
      <c r="X50" s="36"/>
      <c r="Y50" s="36"/>
    </row>
    <row r="51" spans="1:30" x14ac:dyDescent="0.25">
      <c r="A51" s="37" t="s">
        <v>147</v>
      </c>
      <c r="B51" s="37" t="s">
        <v>159</v>
      </c>
      <c r="C51" s="37">
        <v>228</v>
      </c>
      <c r="D51" s="37">
        <v>64276.890103400103</v>
      </c>
      <c r="E51" s="37">
        <v>571622.25720159302</v>
      </c>
      <c r="F51" s="37">
        <v>0.11244644394721599</v>
      </c>
      <c r="G51" s="37">
        <v>32.286055302011789</v>
      </c>
      <c r="H51" s="37">
        <v>60</v>
      </c>
      <c r="I51" s="40">
        <v>3.4746354126128827</v>
      </c>
      <c r="J51" s="39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>
        <v>5</v>
      </c>
      <c r="V51" s="37">
        <v>60</v>
      </c>
      <c r="W51" s="37">
        <v>3.4746354126128827</v>
      </c>
      <c r="X51" s="37"/>
      <c r="Y51" s="37"/>
      <c r="Z51" s="26" t="s">
        <v>22</v>
      </c>
      <c r="AA51" s="34">
        <v>-1.731983497064226E-2</v>
      </c>
    </row>
    <row r="52" spans="1:30" x14ac:dyDescent="0.25">
      <c r="A52" s="36" t="s">
        <v>148</v>
      </c>
      <c r="B52" s="36" t="s">
        <v>159</v>
      </c>
      <c r="C52" s="36">
        <v>228</v>
      </c>
      <c r="D52" s="36">
        <v>72906.886541422005</v>
      </c>
      <c r="E52" s="36">
        <v>485393.69510073803</v>
      </c>
      <c r="F52" s="36">
        <v>0.15020155242496699</v>
      </c>
      <c r="G52" s="36">
        <v>43.126447202873699</v>
      </c>
      <c r="H52" s="36">
        <v>60</v>
      </c>
      <c r="I52" s="41">
        <v>3.7641364331159619</v>
      </c>
      <c r="J52" s="38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>
        <v>6</v>
      </c>
      <c r="V52" s="36">
        <v>60</v>
      </c>
      <c r="W52" s="36">
        <v>3.7641364331159619</v>
      </c>
      <c r="X52" s="36"/>
      <c r="Y52" s="36"/>
      <c r="Z52" s="28" t="s">
        <v>23</v>
      </c>
      <c r="AA52" s="29">
        <v>4.5867931283389405</v>
      </c>
    </row>
    <row r="53" spans="1:30" ht="17.25" x14ac:dyDescent="0.25">
      <c r="A53" s="37" t="s">
        <v>149</v>
      </c>
      <c r="B53" s="37" t="s">
        <v>159</v>
      </c>
      <c r="C53" s="37">
        <v>228</v>
      </c>
      <c r="D53" s="37">
        <v>98931.427357423396</v>
      </c>
      <c r="E53" s="37">
        <v>533927.20749850897</v>
      </c>
      <c r="F53" s="37">
        <v>0.185290103160176</v>
      </c>
      <c r="G53" s="37">
        <v>53.20120679274735</v>
      </c>
      <c r="H53" s="37">
        <v>30</v>
      </c>
      <c r="I53" s="40">
        <v>3.9740810801645172</v>
      </c>
      <c r="J53" s="39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>
        <v>7</v>
      </c>
      <c r="V53" s="37">
        <v>30</v>
      </c>
      <c r="W53" s="37">
        <v>3.9740810801645172</v>
      </c>
      <c r="X53" s="37"/>
      <c r="Y53" s="37"/>
      <c r="Z53" s="28" t="s">
        <v>24</v>
      </c>
      <c r="AA53" s="30">
        <v>0.95859965398715297</v>
      </c>
    </row>
    <row r="54" spans="1:30" ht="18" x14ac:dyDescent="0.35">
      <c r="A54" s="36" t="s">
        <v>150</v>
      </c>
      <c r="B54" s="36" t="s">
        <v>159</v>
      </c>
      <c r="C54" s="36">
        <v>228</v>
      </c>
      <c r="D54" s="36">
        <v>87987.709999954095</v>
      </c>
      <c r="E54" s="36">
        <v>515779.460044034</v>
      </c>
      <c r="F54" s="36">
        <v>0.17059172924885799</v>
      </c>
      <c r="G54" s="36">
        <v>48.980953165400784</v>
      </c>
      <c r="H54" s="36">
        <v>30</v>
      </c>
      <c r="I54" s="41">
        <v>3.8914315116327693</v>
      </c>
      <c r="J54" s="38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>
        <v>8</v>
      </c>
      <c r="V54" s="36">
        <v>30</v>
      </c>
      <c r="W54" s="36">
        <v>3.8914315116327693</v>
      </c>
      <c r="X54" s="36"/>
      <c r="Y54" s="36"/>
      <c r="Z54" s="28" t="s">
        <v>25</v>
      </c>
      <c r="AA54" s="35">
        <v>40.020426391755727</v>
      </c>
    </row>
    <row r="55" spans="1:30" ht="18.75" x14ac:dyDescent="0.35">
      <c r="A55" s="37" t="s">
        <v>151</v>
      </c>
      <c r="B55" s="37" t="s">
        <v>159</v>
      </c>
      <c r="C55" s="37">
        <v>228</v>
      </c>
      <c r="D55" s="37">
        <v>114821.804089415</v>
      </c>
      <c r="E55" s="37">
        <v>513280.496055539</v>
      </c>
      <c r="F55" s="37">
        <v>0.223701864714904</v>
      </c>
      <c r="G55" s="37">
        <v>64.230139449664364</v>
      </c>
      <c r="H55" s="37">
        <v>30</v>
      </c>
      <c r="I55" s="40">
        <v>4.1624725623659646</v>
      </c>
      <c r="J55" s="39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>
        <v>9</v>
      </c>
      <c r="V55" s="37">
        <v>30</v>
      </c>
      <c r="W55" s="37">
        <v>4.1624725623659646</v>
      </c>
      <c r="X55" s="37"/>
      <c r="Y55" s="37"/>
      <c r="Z55" s="28" t="s">
        <v>26</v>
      </c>
      <c r="AA55" s="35">
        <v>34.639669941284524</v>
      </c>
    </row>
    <row r="56" spans="1:30" ht="15.75" thickBot="1" x14ac:dyDescent="0.3">
      <c r="A56" s="36" t="s">
        <v>152</v>
      </c>
      <c r="B56" s="36" t="s">
        <v>159</v>
      </c>
      <c r="C56" s="36">
        <v>228</v>
      </c>
      <c r="D56" s="36">
        <v>113429.406972508</v>
      </c>
      <c r="E56" s="36">
        <v>470307.58074002998</v>
      </c>
      <c r="F56" s="36">
        <v>0.24118132817256899</v>
      </c>
      <c r="G56" s="36">
        <v>69.248910199841006</v>
      </c>
      <c r="H56" s="36">
        <v>15</v>
      </c>
      <c r="I56" s="41">
        <v>4.2377074077572052</v>
      </c>
      <c r="J56" s="38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>
        <v>10</v>
      </c>
      <c r="V56" s="36">
        <v>15</v>
      </c>
      <c r="W56" s="36">
        <v>4.2377074077572052</v>
      </c>
      <c r="X56" s="36"/>
      <c r="Y56" s="36"/>
      <c r="Z56" s="32" t="s">
        <v>10</v>
      </c>
      <c r="AA56" s="33" t="s">
        <v>27</v>
      </c>
    </row>
    <row r="57" spans="1:30" x14ac:dyDescent="0.25">
      <c r="A57" s="37" t="s">
        <v>153</v>
      </c>
      <c r="B57" s="37" t="s">
        <v>159</v>
      </c>
      <c r="C57" s="37">
        <v>228</v>
      </c>
      <c r="D57" s="37">
        <v>120709.830660191</v>
      </c>
      <c r="E57" s="37">
        <v>448669.31001218298</v>
      </c>
      <c r="F57" s="37">
        <v>0.26903964226328098</v>
      </c>
      <c r="G57" s="37">
        <v>77.247696446703102</v>
      </c>
      <c r="H57" s="37">
        <v>15</v>
      </c>
      <c r="I57" s="40">
        <v>4.3470170958730918</v>
      </c>
      <c r="J57" s="39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>
        <v>11</v>
      </c>
      <c r="V57" s="37">
        <v>15</v>
      </c>
      <c r="W57" s="37">
        <v>4.3470170958730918</v>
      </c>
      <c r="X57" s="37"/>
      <c r="Y57" s="37"/>
    </row>
    <row r="58" spans="1:30" x14ac:dyDescent="0.25">
      <c r="A58" s="36" t="s">
        <v>154</v>
      </c>
      <c r="B58" s="36" t="s">
        <v>159</v>
      </c>
      <c r="C58" s="36">
        <v>228</v>
      </c>
      <c r="D58" s="36">
        <v>142811.065161801</v>
      </c>
      <c r="E58" s="36">
        <v>460153.781078709</v>
      </c>
      <c r="F58" s="36">
        <v>0.31035508352668301</v>
      </c>
      <c r="G58" s="36">
        <v>89.110344785172359</v>
      </c>
      <c r="H58" s="36">
        <v>15</v>
      </c>
      <c r="I58" s="41">
        <v>4.4898754308256761</v>
      </c>
      <c r="J58" s="38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>
        <v>12</v>
      </c>
      <c r="V58" s="36">
        <v>15</v>
      </c>
      <c r="W58" s="36">
        <v>4.4898754308256761</v>
      </c>
      <c r="X58" s="36"/>
      <c r="Y58" s="36"/>
    </row>
    <row r="59" spans="1:30" x14ac:dyDescent="0.25">
      <c r="A59" s="37" t="s">
        <v>155</v>
      </c>
      <c r="B59" s="37" t="s">
        <v>159</v>
      </c>
      <c r="C59" s="37">
        <v>228</v>
      </c>
      <c r="D59" s="37">
        <v>163833.833051775</v>
      </c>
      <c r="E59" s="37">
        <v>516368.34006873198</v>
      </c>
      <c r="F59" s="37">
        <v>0.31728094141087099</v>
      </c>
      <c r="G59" s="37">
        <v>100</v>
      </c>
      <c r="H59" s="37">
        <v>0</v>
      </c>
      <c r="I59" s="40">
        <v>4.6051701859880918</v>
      </c>
      <c r="J59" s="39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>
        <v>13</v>
      </c>
      <c r="V59" s="37">
        <v>0</v>
      </c>
      <c r="W59" s="37">
        <v>4.6051701859880918</v>
      </c>
      <c r="X59" s="37"/>
      <c r="Y59" s="37"/>
    </row>
    <row r="60" spans="1:30" x14ac:dyDescent="0.25">
      <c r="A60" s="36" t="s">
        <v>156</v>
      </c>
      <c r="B60" s="36" t="s">
        <v>159</v>
      </c>
      <c r="C60" s="36">
        <v>228</v>
      </c>
      <c r="D60" s="36">
        <v>168642.32007656599</v>
      </c>
      <c r="E60" s="36">
        <v>514780.93348359503</v>
      </c>
      <c r="F60" s="36">
        <v>0.327600167580684</v>
      </c>
      <c r="G60" s="36">
        <v>100</v>
      </c>
      <c r="H60" s="36">
        <v>0</v>
      </c>
      <c r="I60" s="41">
        <v>4.6051701859880918</v>
      </c>
      <c r="J60" s="38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>
        <v>14</v>
      </c>
      <c r="V60" s="36">
        <v>0</v>
      </c>
      <c r="W60" s="36">
        <v>4.6051701859880918</v>
      </c>
      <c r="X60" s="36"/>
      <c r="Y60" s="36"/>
    </row>
    <row r="61" spans="1:30" x14ac:dyDescent="0.25">
      <c r="A61" s="37" t="s">
        <v>157</v>
      </c>
      <c r="B61" s="37" t="s">
        <v>159</v>
      </c>
      <c r="C61" s="37">
        <v>228</v>
      </c>
      <c r="D61" s="37">
        <v>220858.498732751</v>
      </c>
      <c r="E61" s="37">
        <v>552195.67877741705</v>
      </c>
      <c r="F61" s="37">
        <v>0.39996419244304898</v>
      </c>
      <c r="G61" s="37">
        <v>100</v>
      </c>
      <c r="H61" s="37">
        <v>0</v>
      </c>
      <c r="I61" s="40">
        <v>4.6051701859880918</v>
      </c>
      <c r="J61" s="39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>
        <v>15</v>
      </c>
      <c r="V61" s="37">
        <v>0</v>
      </c>
      <c r="W61" s="37">
        <v>4.6051701859880918</v>
      </c>
      <c r="X61" s="37"/>
      <c r="Y61" s="37"/>
    </row>
    <row r="62" spans="1:30" x14ac:dyDescent="0.25">
      <c r="A62" s="47"/>
      <c r="B62" s="47"/>
      <c r="C62" s="47"/>
      <c r="D62" s="47"/>
      <c r="E62" s="47"/>
      <c r="F62" s="47"/>
      <c r="G62" s="47"/>
      <c r="H62" s="47"/>
      <c r="I62" s="48"/>
      <c r="J62" s="49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</row>
    <row r="63" spans="1:30" x14ac:dyDescent="0.25">
      <c r="A63" s="37"/>
      <c r="B63" s="37"/>
      <c r="C63" s="37"/>
      <c r="D63" s="37"/>
      <c r="E63" s="37"/>
      <c r="F63" s="37"/>
      <c r="G63" s="37"/>
      <c r="H63" s="37"/>
      <c r="I63" s="40"/>
      <c r="J63" s="39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</row>
    <row r="64" spans="1:30" ht="15.75" thickBot="1" x14ac:dyDescent="0.3">
      <c r="A64" s="36"/>
      <c r="B64" s="36"/>
      <c r="C64" s="36"/>
      <c r="D64" s="36"/>
      <c r="E64" s="36"/>
      <c r="F64" s="36"/>
      <c r="G64" s="36"/>
      <c r="H64" s="36"/>
      <c r="I64" s="36"/>
      <c r="J64" s="38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</row>
    <row r="65" spans="1:30" ht="16.5" thickTop="1" thickBot="1" x14ac:dyDescent="0.3">
      <c r="A65" s="36" t="s">
        <v>42</v>
      </c>
      <c r="B65" s="52" t="s">
        <v>190</v>
      </c>
      <c r="C65" s="36">
        <v>191</v>
      </c>
      <c r="D65" s="36">
        <v>86045.585520651293</v>
      </c>
      <c r="E65" s="36">
        <v>336156.137465954</v>
      </c>
      <c r="F65" s="36">
        <v>0.25596910462289502</v>
      </c>
      <c r="G65" s="36"/>
      <c r="H65" s="36"/>
      <c r="I65" s="36"/>
      <c r="J65" s="38"/>
      <c r="K65" s="36"/>
      <c r="L65" s="36"/>
      <c r="M65" s="36"/>
      <c r="N65" s="36"/>
      <c r="O65" s="36"/>
      <c r="P65" s="36"/>
      <c r="Q65" s="36"/>
      <c r="R65" s="45" t="s">
        <v>191</v>
      </c>
      <c r="S65" s="36"/>
      <c r="T65" s="36">
        <v>5</v>
      </c>
      <c r="U65" s="36"/>
      <c r="V65" s="36"/>
      <c r="W65" s="36"/>
      <c r="X65" s="36"/>
      <c r="Y65" s="36"/>
      <c r="Z65" s="10" t="s">
        <v>16</v>
      </c>
      <c r="AA65" s="10" t="s">
        <v>18</v>
      </c>
      <c r="AB65" s="10" t="s">
        <v>19</v>
      </c>
      <c r="AC65" s="10" t="s">
        <v>20</v>
      </c>
      <c r="AD65" s="10" t="s">
        <v>21</v>
      </c>
    </row>
    <row r="66" spans="1:30" ht="15.75" thickTop="1" x14ac:dyDescent="0.25">
      <c r="A66" s="37" t="s">
        <v>43</v>
      </c>
      <c r="B66" s="37" t="s">
        <v>190</v>
      </c>
      <c r="C66" s="37">
        <v>191</v>
      </c>
      <c r="D66" s="37">
        <v>30810.310282730199</v>
      </c>
      <c r="E66" s="37">
        <v>92612.788956766599</v>
      </c>
      <c r="F66" s="37">
        <v>0.332678786912605</v>
      </c>
      <c r="G66" s="37"/>
      <c r="H66" s="37"/>
      <c r="I66" s="37"/>
      <c r="J66" s="39"/>
      <c r="K66" s="37"/>
      <c r="L66" s="37"/>
      <c r="M66" s="37"/>
      <c r="N66" s="37"/>
      <c r="O66" s="37"/>
      <c r="P66" s="37"/>
      <c r="Q66" s="37"/>
      <c r="R66" s="37" t="s">
        <v>16</v>
      </c>
      <c r="S66" s="37"/>
      <c r="T66" s="37">
        <v>81</v>
      </c>
      <c r="U66" s="37"/>
      <c r="V66" s="37"/>
      <c r="W66" s="37"/>
      <c r="X66" s="37"/>
      <c r="Y66" s="37"/>
      <c r="Z66" s="11">
        <v>120</v>
      </c>
      <c r="AA66" s="12">
        <v>0.55622194642225331</v>
      </c>
      <c r="AB66" s="12">
        <v>0.51324970277953552</v>
      </c>
      <c r="AC66" s="12">
        <v>0.43868421818214576</v>
      </c>
      <c r="AD66" s="12">
        <v>0.50271862246131149</v>
      </c>
    </row>
    <row r="67" spans="1:30" x14ac:dyDescent="0.25">
      <c r="A67" s="36" t="s">
        <v>44</v>
      </c>
      <c r="B67" s="36" t="s">
        <v>190</v>
      </c>
      <c r="C67" s="36">
        <v>191</v>
      </c>
      <c r="D67" s="36">
        <v>238042.52772916999</v>
      </c>
      <c r="E67" s="36">
        <v>604783.42368647805</v>
      </c>
      <c r="F67" s="36">
        <v>0.39359962328030501</v>
      </c>
      <c r="G67" s="36"/>
      <c r="H67" s="36"/>
      <c r="I67" s="36"/>
      <c r="J67" s="38"/>
      <c r="K67" s="36"/>
      <c r="L67" s="36"/>
      <c r="M67" s="36"/>
      <c r="N67" s="36"/>
      <c r="O67" s="36"/>
      <c r="P67" s="36"/>
      <c r="Q67" s="36"/>
      <c r="R67" s="36" t="s">
        <v>17</v>
      </c>
      <c r="S67" s="36"/>
      <c r="T67" s="36">
        <v>95</v>
      </c>
      <c r="U67" s="36"/>
      <c r="V67" s="36"/>
      <c r="W67" s="36"/>
      <c r="X67" s="36"/>
      <c r="Y67" s="36"/>
      <c r="Z67" s="11">
        <v>60</v>
      </c>
      <c r="AA67" s="12">
        <v>1.7999289581566282</v>
      </c>
      <c r="AB67" s="12">
        <v>1.153073723576153</v>
      </c>
      <c r="AC67" s="12">
        <v>0.86189987720505623</v>
      </c>
      <c r="AD67" s="12">
        <v>1.2716341863126124</v>
      </c>
    </row>
    <row r="68" spans="1:30" x14ac:dyDescent="0.25">
      <c r="A68" s="37" t="s">
        <v>193</v>
      </c>
      <c r="B68" s="37" t="s">
        <v>190</v>
      </c>
      <c r="C68" s="37">
        <v>191</v>
      </c>
      <c r="D68" s="37">
        <v>201227.439639574</v>
      </c>
      <c r="E68" s="37">
        <v>525041.43563293305</v>
      </c>
      <c r="F68" s="37">
        <v>0.38326011240807401</v>
      </c>
      <c r="G68" s="37">
        <v>55.622194642225331</v>
      </c>
      <c r="H68" s="37">
        <v>120</v>
      </c>
      <c r="I68" s="40">
        <v>4.018582305816401</v>
      </c>
      <c r="J68" s="39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>
        <v>1</v>
      </c>
      <c r="V68" s="37">
        <v>120</v>
      </c>
      <c r="W68" s="37">
        <v>4.018582305816401</v>
      </c>
      <c r="X68" s="37"/>
      <c r="Y68" s="37"/>
      <c r="Z68" s="11">
        <v>30</v>
      </c>
      <c r="AA68" s="15">
        <v>2.1124059150327215</v>
      </c>
      <c r="AB68" s="12">
        <v>1.6002175375537746</v>
      </c>
      <c r="AC68" s="12">
        <v>1.7239441761562846</v>
      </c>
      <c r="AD68" s="15">
        <v>1.8121892095809269</v>
      </c>
    </row>
    <row r="69" spans="1:30" x14ac:dyDescent="0.25">
      <c r="A69" s="36" t="s">
        <v>194</v>
      </c>
      <c r="B69" s="36" t="s">
        <v>190</v>
      </c>
      <c r="C69" s="36">
        <v>191</v>
      </c>
      <c r="D69" s="36">
        <v>244565.06319470299</v>
      </c>
      <c r="E69" s="36">
        <v>620372.21823617397</v>
      </c>
      <c r="F69" s="36">
        <v>0.39422310671816502</v>
      </c>
      <c r="G69" s="36">
        <v>51.324970277953554</v>
      </c>
      <c r="H69" s="36">
        <v>120</v>
      </c>
      <c r="I69" s="41">
        <v>3.9381773838099159</v>
      </c>
      <c r="J69" s="38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>
        <v>2</v>
      </c>
      <c r="V69" s="36">
        <v>120</v>
      </c>
      <c r="W69" s="36">
        <v>3.9381773838099159</v>
      </c>
      <c r="X69" s="36"/>
      <c r="Y69" s="36"/>
      <c r="Z69" s="11">
        <v>15</v>
      </c>
      <c r="AA69" s="15">
        <v>2.3733000134055486</v>
      </c>
      <c r="AB69" s="12">
        <v>2.3018941742312808</v>
      </c>
      <c r="AC69" s="12">
        <v>2.2668781826873166</v>
      </c>
      <c r="AD69" s="15">
        <v>2.3140241234413819</v>
      </c>
    </row>
    <row r="70" spans="1:30" ht="15.75" thickBot="1" x14ac:dyDescent="0.3">
      <c r="A70" s="37" t="s">
        <v>195</v>
      </c>
      <c r="B70" s="37" t="s">
        <v>190</v>
      </c>
      <c r="C70" s="37">
        <v>191</v>
      </c>
      <c r="D70" s="37">
        <v>231522.13361170801</v>
      </c>
      <c r="E70" s="37">
        <v>575167.39488562802</v>
      </c>
      <c r="F70" s="37">
        <v>0.40253000373525399</v>
      </c>
      <c r="G70" s="37">
        <v>43.868421818214578</v>
      </c>
      <c r="H70" s="37">
        <v>120</v>
      </c>
      <c r="I70" s="40">
        <v>3.7811947404762103</v>
      </c>
      <c r="J70" s="39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>
        <v>3</v>
      </c>
      <c r="V70" s="37">
        <v>120</v>
      </c>
      <c r="W70" s="37">
        <v>3.7811947404762103</v>
      </c>
      <c r="X70" s="37"/>
      <c r="Y70" s="37"/>
      <c r="Z70" s="13">
        <v>0</v>
      </c>
      <c r="AA70" s="14">
        <v>1</v>
      </c>
      <c r="AB70" s="14">
        <v>1</v>
      </c>
      <c r="AC70" s="14">
        <v>1</v>
      </c>
      <c r="AD70" s="14">
        <v>1</v>
      </c>
    </row>
    <row r="71" spans="1:30" ht="16.5" thickTop="1" thickBot="1" x14ac:dyDescent="0.3">
      <c r="A71" s="36" t="s">
        <v>196</v>
      </c>
      <c r="B71" s="36" t="s">
        <v>190</v>
      </c>
      <c r="C71" s="36">
        <v>191</v>
      </c>
      <c r="D71" s="36">
        <v>260160.983147227</v>
      </c>
      <c r="E71" s="36">
        <v>511999.53546624398</v>
      </c>
      <c r="F71" s="36">
        <v>0.50812738122958701</v>
      </c>
      <c r="G71" s="36">
        <v>179.99289581566282</v>
      </c>
      <c r="H71" s="36">
        <v>60</v>
      </c>
      <c r="I71" s="41">
        <v>5.1929173824205783</v>
      </c>
      <c r="J71" s="38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>
        <v>4</v>
      </c>
      <c r="V71" s="36">
        <v>60</v>
      </c>
      <c r="W71" s="36">
        <v>5.1929173824205783</v>
      </c>
      <c r="X71" s="36"/>
      <c r="Y71" s="36"/>
    </row>
    <row r="72" spans="1:30" x14ac:dyDescent="0.25">
      <c r="A72" s="37" t="s">
        <v>197</v>
      </c>
      <c r="B72" s="37" t="s">
        <v>190</v>
      </c>
      <c r="C72" s="37">
        <v>191</v>
      </c>
      <c r="D72" s="37">
        <v>253329.69027372799</v>
      </c>
      <c r="E72" s="37">
        <v>530526.77081906004</v>
      </c>
      <c r="F72" s="37">
        <v>0.47750595108070099</v>
      </c>
      <c r="G72" s="37">
        <v>115.30737235761531</v>
      </c>
      <c r="H72" s="37">
        <v>60</v>
      </c>
      <c r="I72" s="40">
        <v>4.7476013658867107</v>
      </c>
      <c r="J72" s="39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>
        <v>5</v>
      </c>
      <c r="V72" s="37">
        <v>60</v>
      </c>
      <c r="W72" s="37">
        <v>4.7476013658867107</v>
      </c>
      <c r="X72" s="37"/>
      <c r="Y72" s="37"/>
      <c r="Z72" s="26" t="s">
        <v>22</v>
      </c>
      <c r="AA72" s="27">
        <v>-9.2231306027217609E-3</v>
      </c>
    </row>
    <row r="73" spans="1:30" x14ac:dyDescent="0.25">
      <c r="A73" s="36" t="s">
        <v>198</v>
      </c>
      <c r="B73" s="36" t="s">
        <v>190</v>
      </c>
      <c r="C73" s="36">
        <v>191</v>
      </c>
      <c r="D73" s="36">
        <v>251158.244325632</v>
      </c>
      <c r="E73" s="36">
        <v>528759.15341074101</v>
      </c>
      <c r="F73" s="36">
        <v>0.47499554892912099</v>
      </c>
      <c r="G73" s="36">
        <v>86.189987720505627</v>
      </c>
      <c r="H73" s="36">
        <v>60</v>
      </c>
      <c r="I73" s="41">
        <v>4.4565540191892392</v>
      </c>
      <c r="J73" s="38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>
        <v>6</v>
      </c>
      <c r="V73" s="36">
        <v>60</v>
      </c>
      <c r="W73" s="36">
        <v>4.4565540191892392</v>
      </c>
      <c r="X73" s="36"/>
      <c r="Y73" s="36"/>
      <c r="Z73" s="28" t="s">
        <v>23</v>
      </c>
      <c r="AA73" s="29">
        <v>5.2057447542016009</v>
      </c>
    </row>
    <row r="74" spans="1:30" ht="17.25" x14ac:dyDescent="0.25">
      <c r="A74" s="37" t="s">
        <v>199</v>
      </c>
      <c r="B74" s="37" t="s">
        <v>190</v>
      </c>
      <c r="C74" s="37">
        <v>191</v>
      </c>
      <c r="D74" s="37">
        <v>286142.195430869</v>
      </c>
      <c r="E74" s="37">
        <v>530384.21033372299</v>
      </c>
      <c r="F74" s="37">
        <v>0.53949983777010602</v>
      </c>
      <c r="G74" s="37">
        <v>211.24059150327216</v>
      </c>
      <c r="H74" s="37">
        <v>30</v>
      </c>
      <c r="I74" s="40">
        <v>5.3529977279828529</v>
      </c>
      <c r="J74" s="39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>
        <v>7</v>
      </c>
      <c r="V74" s="37">
        <v>30</v>
      </c>
      <c r="W74" s="37">
        <v>5.3529977279828529</v>
      </c>
      <c r="X74" s="37"/>
      <c r="Y74" s="37"/>
      <c r="Z74" s="28" t="s">
        <v>24</v>
      </c>
      <c r="AA74" s="30">
        <v>0.50722518641816494</v>
      </c>
    </row>
    <row r="75" spans="1:30" ht="18" x14ac:dyDescent="0.35">
      <c r="A75" s="36" t="s">
        <v>200</v>
      </c>
      <c r="B75" s="36" t="s">
        <v>190</v>
      </c>
      <c r="C75" s="36">
        <v>191</v>
      </c>
      <c r="D75" s="36">
        <v>289728.60404569999</v>
      </c>
      <c r="E75" s="36">
        <v>540832.53730642295</v>
      </c>
      <c r="F75" s="36">
        <v>0.53570853094133797</v>
      </c>
      <c r="G75" s="36">
        <v>160.02175375537746</v>
      </c>
      <c r="H75" s="36">
        <v>30</v>
      </c>
      <c r="I75" s="41">
        <v>5.0753097669630813</v>
      </c>
      <c r="J75" s="38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>
        <v>8</v>
      </c>
      <c r="V75" s="36">
        <v>30</v>
      </c>
      <c r="W75" s="36">
        <v>5.0753097669630813</v>
      </c>
      <c r="X75" s="36"/>
      <c r="Y75" s="36"/>
      <c r="Z75" s="28" t="s">
        <v>25</v>
      </c>
      <c r="AA75" s="31">
        <v>75.153135135633491</v>
      </c>
    </row>
    <row r="76" spans="1:30" ht="18.75" x14ac:dyDescent="0.35">
      <c r="A76" s="37" t="s">
        <v>201</v>
      </c>
      <c r="B76" s="37" t="s">
        <v>190</v>
      </c>
      <c r="C76" s="37">
        <v>191</v>
      </c>
      <c r="D76" s="37">
        <v>306336.53444693302</v>
      </c>
      <c r="E76" s="37">
        <v>492027.851234206</v>
      </c>
      <c r="F76" s="37">
        <v>0.62259998835130204</v>
      </c>
      <c r="G76" s="37">
        <v>172.39441761562847</v>
      </c>
      <c r="H76" s="37">
        <v>30</v>
      </c>
      <c r="I76" s="40">
        <v>5.1497849772855471</v>
      </c>
      <c r="J76" s="39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>
        <v>9</v>
      </c>
      <c r="V76" s="37">
        <v>30</v>
      </c>
      <c r="W76" s="37">
        <v>5.1497849772855471</v>
      </c>
      <c r="X76" s="37"/>
      <c r="Y76" s="37"/>
      <c r="Z76" s="28" t="s">
        <v>26</v>
      </c>
      <c r="AA76" s="29">
        <v>18.446261205443523</v>
      </c>
    </row>
    <row r="77" spans="1:30" ht="15.75" thickBot="1" x14ac:dyDescent="0.3">
      <c r="A77" s="36" t="s">
        <v>202</v>
      </c>
      <c r="B77" s="36" t="s">
        <v>190</v>
      </c>
      <c r="C77" s="36">
        <v>191</v>
      </c>
      <c r="D77" s="36">
        <v>291710.05705208698</v>
      </c>
      <c r="E77" s="36">
        <v>515668.11669991899</v>
      </c>
      <c r="F77" s="36">
        <v>0.56569341327309897</v>
      </c>
      <c r="G77" s="36">
        <v>237.33000134055487</v>
      </c>
      <c r="H77" s="36">
        <v>15</v>
      </c>
      <c r="I77" s="41">
        <v>5.4694515833498993</v>
      </c>
      <c r="J77" s="38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>
        <v>10</v>
      </c>
      <c r="V77" s="36">
        <v>15</v>
      </c>
      <c r="W77" s="36">
        <v>5.4694515833498993</v>
      </c>
      <c r="X77" s="36"/>
      <c r="Y77" s="36"/>
      <c r="Z77" s="32" t="s">
        <v>10</v>
      </c>
      <c r="AA77" s="33" t="s">
        <v>27</v>
      </c>
    </row>
    <row r="78" spans="1:30" x14ac:dyDescent="0.25">
      <c r="A78" s="37" t="s">
        <v>203</v>
      </c>
      <c r="B78" s="37" t="s">
        <v>190</v>
      </c>
      <c r="C78" s="37">
        <v>191</v>
      </c>
      <c r="D78" s="37">
        <v>314521.20221537899</v>
      </c>
      <c r="E78" s="37">
        <v>501594.76352732402</v>
      </c>
      <c r="F78" s="37">
        <v>0.62704243561794304</v>
      </c>
      <c r="G78" s="37">
        <v>230.18941742312808</v>
      </c>
      <c r="H78" s="37">
        <v>15</v>
      </c>
      <c r="I78" s="40">
        <v>5.4389025240022635</v>
      </c>
      <c r="J78" s="39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>
        <v>11</v>
      </c>
      <c r="V78" s="37">
        <v>15</v>
      </c>
      <c r="W78" s="37">
        <v>5.4389025240022635</v>
      </c>
      <c r="X78" s="37"/>
      <c r="Y78" s="37"/>
    </row>
    <row r="79" spans="1:30" x14ac:dyDescent="0.25">
      <c r="A79" s="36" t="s">
        <v>204</v>
      </c>
      <c r="B79" s="36" t="s">
        <v>190</v>
      </c>
      <c r="C79" s="36">
        <v>191</v>
      </c>
      <c r="D79" s="36">
        <v>315898.87614488101</v>
      </c>
      <c r="E79" s="36">
        <v>441468.10754297598</v>
      </c>
      <c r="F79" s="36">
        <v>0.71556443318870799</v>
      </c>
      <c r="G79" s="36">
        <v>226.68781826873166</v>
      </c>
      <c r="H79" s="36">
        <v>15</v>
      </c>
      <c r="I79" s="41">
        <v>5.4235738210398488</v>
      </c>
      <c r="J79" s="38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>
        <v>12</v>
      </c>
      <c r="V79" s="36">
        <v>15</v>
      </c>
      <c r="W79" s="36">
        <v>5.4235738210398488</v>
      </c>
      <c r="X79" s="36"/>
      <c r="Y79" s="36"/>
    </row>
    <row r="80" spans="1:30" x14ac:dyDescent="0.25">
      <c r="A80" s="37" t="s">
        <v>205</v>
      </c>
      <c r="B80" s="37" t="s">
        <v>190</v>
      </c>
      <c r="C80" s="37">
        <v>191</v>
      </c>
      <c r="D80" s="37">
        <v>263605.54528959602</v>
      </c>
      <c r="E80" s="37">
        <v>616166.99313512095</v>
      </c>
      <c r="F80" s="37">
        <v>0.42781510244218601</v>
      </c>
      <c r="G80" s="37">
        <v>100</v>
      </c>
      <c r="H80" s="37">
        <v>0</v>
      </c>
      <c r="I80" s="40">
        <v>4.6051701859880918</v>
      </c>
      <c r="J80" s="39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>
        <v>13</v>
      </c>
      <c r="V80" s="37">
        <v>0</v>
      </c>
      <c r="W80" s="37">
        <v>4.6051701859880918</v>
      </c>
      <c r="X80" s="37"/>
      <c r="Y80" s="37"/>
    </row>
    <row r="81" spans="1:30" x14ac:dyDescent="0.25">
      <c r="A81" s="36" t="s">
        <v>206</v>
      </c>
      <c r="B81" s="36" t="s">
        <v>190</v>
      </c>
      <c r="C81" s="36">
        <v>191</v>
      </c>
      <c r="D81" s="36">
        <v>277313.68373959098</v>
      </c>
      <c r="E81" s="36">
        <v>606042.73126409599</v>
      </c>
      <c r="F81" s="36">
        <v>0.45758107379848501</v>
      </c>
      <c r="G81" s="36">
        <v>100</v>
      </c>
      <c r="H81" s="36">
        <v>0</v>
      </c>
      <c r="I81" s="41">
        <v>4.6051701859880918</v>
      </c>
      <c r="J81" s="38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>
        <v>14</v>
      </c>
      <c r="V81" s="36">
        <v>0</v>
      </c>
      <c r="W81" s="36">
        <v>4.6051701859880918</v>
      </c>
      <c r="X81" s="36"/>
      <c r="Y81" s="36"/>
    </row>
    <row r="82" spans="1:30" x14ac:dyDescent="0.25">
      <c r="A82" s="37" t="s">
        <v>207</v>
      </c>
      <c r="B82" s="37" t="s">
        <v>190</v>
      </c>
      <c r="C82" s="37">
        <v>191</v>
      </c>
      <c r="D82" s="37">
        <v>318569.15814344498</v>
      </c>
      <c r="E82" s="37">
        <v>638873.64106019295</v>
      </c>
      <c r="F82" s="37">
        <v>0.49864188732969</v>
      </c>
      <c r="G82" s="37">
        <v>100</v>
      </c>
      <c r="H82" s="37">
        <v>0</v>
      </c>
      <c r="I82" s="40">
        <v>4.6051701859880918</v>
      </c>
      <c r="J82" s="39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>
        <v>15</v>
      </c>
      <c r="V82" s="37">
        <v>0</v>
      </c>
      <c r="W82" s="37">
        <v>4.6051701859880918</v>
      </c>
      <c r="X82" s="37"/>
      <c r="Y82" s="37"/>
    </row>
    <row r="83" spans="1:30" x14ac:dyDescent="0.25">
      <c r="A83" s="36"/>
      <c r="B83" s="36"/>
      <c r="C83" s="36"/>
      <c r="D83" s="36"/>
      <c r="E83" s="36"/>
      <c r="F83" s="36"/>
      <c r="G83" s="36"/>
      <c r="H83" s="36"/>
      <c r="I83" s="41"/>
      <c r="J83" s="38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</row>
    <row r="84" spans="1:30" ht="15.75" thickBot="1" x14ac:dyDescent="0.3">
      <c r="A84" s="37"/>
      <c r="B84" s="37"/>
      <c r="C84" s="37"/>
      <c r="D84" s="37"/>
      <c r="E84" s="37"/>
      <c r="F84" s="37"/>
      <c r="G84" s="37"/>
      <c r="H84" s="37"/>
      <c r="I84" s="37"/>
      <c r="J84" s="39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</row>
    <row r="85" spans="1:30" ht="16.5" thickTop="1" thickBot="1" x14ac:dyDescent="0.3">
      <c r="A85" s="36" t="s">
        <v>42</v>
      </c>
      <c r="B85" s="45" t="s">
        <v>60</v>
      </c>
      <c r="C85" s="36">
        <v>91</v>
      </c>
      <c r="D85" s="36">
        <v>61924.3910201076</v>
      </c>
      <c r="E85" s="36">
        <v>336156.137465954</v>
      </c>
      <c r="F85" s="36">
        <v>0.18421317988394401</v>
      </c>
      <c r="G85" s="36"/>
      <c r="H85" s="36"/>
      <c r="I85" s="36"/>
      <c r="J85" s="38"/>
      <c r="K85" s="36"/>
      <c r="L85" s="36"/>
      <c r="M85" s="36"/>
      <c r="N85" s="36"/>
      <c r="O85" s="36"/>
      <c r="P85" s="36"/>
      <c r="Q85" s="36"/>
      <c r="R85" s="45" t="s">
        <v>76</v>
      </c>
      <c r="S85" s="36"/>
      <c r="T85" s="36">
        <v>9</v>
      </c>
      <c r="U85" s="36"/>
      <c r="V85" s="36"/>
      <c r="W85" s="36"/>
      <c r="X85" s="36"/>
      <c r="Y85" s="36"/>
      <c r="Z85" s="10" t="s">
        <v>16</v>
      </c>
      <c r="AA85" s="10" t="s">
        <v>18</v>
      </c>
      <c r="AB85" s="10" t="s">
        <v>19</v>
      </c>
      <c r="AC85" s="10" t="s">
        <v>20</v>
      </c>
      <c r="AD85" s="10" t="s">
        <v>21</v>
      </c>
    </row>
    <row r="86" spans="1:30" ht="15.75" thickTop="1" x14ac:dyDescent="0.25">
      <c r="A86" s="37" t="s">
        <v>43</v>
      </c>
      <c r="B86" s="37" t="s">
        <v>60</v>
      </c>
      <c r="C86" s="37">
        <v>91</v>
      </c>
      <c r="D86" s="37">
        <v>379187.20295332401</v>
      </c>
      <c r="E86" s="37">
        <v>92612.788956766599</v>
      </c>
      <c r="F86" s="37">
        <v>4.0943287339109897</v>
      </c>
      <c r="G86" s="37"/>
      <c r="H86" s="37"/>
      <c r="I86" s="37"/>
      <c r="J86" s="39"/>
      <c r="K86" s="37"/>
      <c r="L86" s="37"/>
      <c r="M86" s="37"/>
      <c r="N86" s="37"/>
      <c r="O86" s="37"/>
      <c r="P86" s="37"/>
      <c r="Q86" s="37"/>
      <c r="R86" s="37" t="s">
        <v>16</v>
      </c>
      <c r="S86" s="37"/>
      <c r="T86" s="37">
        <v>157</v>
      </c>
      <c r="U86" s="37"/>
      <c r="V86" s="37"/>
      <c r="W86" s="37"/>
      <c r="X86" s="37"/>
      <c r="Y86" s="37"/>
      <c r="Z86" s="11">
        <v>120</v>
      </c>
      <c r="AA86" s="16">
        <v>0.97607435969706746</v>
      </c>
      <c r="AB86" s="16">
        <v>0.97214740039933323</v>
      </c>
      <c r="AC86" s="16">
        <v>1.0036672802046529</v>
      </c>
      <c r="AD86" s="16">
        <v>0.98396301343368453</v>
      </c>
    </row>
    <row r="87" spans="1:30" x14ac:dyDescent="0.25">
      <c r="A87" s="36" t="s">
        <v>44</v>
      </c>
      <c r="B87" s="36" t="s">
        <v>60</v>
      </c>
      <c r="C87" s="36">
        <v>91</v>
      </c>
      <c r="D87" s="36">
        <v>65389.2416419664</v>
      </c>
      <c r="E87" s="36">
        <v>604783.42368647805</v>
      </c>
      <c r="F87" s="36">
        <v>0.108120095692081</v>
      </c>
      <c r="G87" s="36"/>
      <c r="H87" s="36"/>
      <c r="I87" s="36"/>
      <c r="J87" s="38"/>
      <c r="K87" s="36"/>
      <c r="L87" s="36"/>
      <c r="M87" s="36"/>
      <c r="N87" s="36"/>
      <c r="O87" s="36"/>
      <c r="P87" s="36"/>
      <c r="Q87" s="36"/>
      <c r="R87" s="36" t="s">
        <v>17</v>
      </c>
      <c r="S87" s="36"/>
      <c r="T87" s="36">
        <v>171</v>
      </c>
      <c r="U87" s="36"/>
      <c r="V87" s="36"/>
      <c r="W87" s="36"/>
      <c r="X87" s="36"/>
      <c r="Y87" s="36"/>
      <c r="Z87" s="11">
        <v>60</v>
      </c>
      <c r="AA87" s="12">
        <v>0.99505077263489983</v>
      </c>
      <c r="AB87" s="12">
        <v>0.95620402125365411</v>
      </c>
      <c r="AC87" s="16">
        <v>0.97605156963586237</v>
      </c>
      <c r="AD87" s="12">
        <v>0.97576878784147214</v>
      </c>
    </row>
    <row r="88" spans="1:30" x14ac:dyDescent="0.25">
      <c r="A88" s="37" t="s">
        <v>61</v>
      </c>
      <c r="B88" s="37" t="s">
        <v>60</v>
      </c>
      <c r="C88" s="37">
        <v>91</v>
      </c>
      <c r="D88" s="37">
        <v>57108.136764308903</v>
      </c>
      <c r="E88" s="37">
        <v>970893.83478415397</v>
      </c>
      <c r="F88" s="37">
        <v>5.8820166240941003E-2</v>
      </c>
      <c r="G88" s="37">
        <v>97.607435969706742</v>
      </c>
      <c r="H88" s="37">
        <v>120</v>
      </c>
      <c r="I88" s="40">
        <v>4.5809536787310803</v>
      </c>
      <c r="J88" s="39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>
        <v>1</v>
      </c>
      <c r="V88" s="37">
        <v>120</v>
      </c>
      <c r="W88" s="37"/>
      <c r="X88" s="37"/>
      <c r="Y88" s="37"/>
      <c r="Z88" s="11">
        <v>30</v>
      </c>
      <c r="AA88" s="12">
        <v>0.99414919631586063</v>
      </c>
      <c r="AB88" s="12">
        <v>0.99528390843635217</v>
      </c>
      <c r="AC88" s="12">
        <v>0.98252568622401726</v>
      </c>
      <c r="AD88" s="12">
        <v>0.99065293032541002</v>
      </c>
    </row>
    <row r="89" spans="1:30" x14ac:dyDescent="0.25">
      <c r="A89" s="36" t="s">
        <v>62</v>
      </c>
      <c r="B89" s="36" t="s">
        <v>60</v>
      </c>
      <c r="C89" s="36">
        <v>91</v>
      </c>
      <c r="D89" s="36">
        <v>54566.423708861003</v>
      </c>
      <c r="E89" s="36">
        <v>873488.65773389104</v>
      </c>
      <c r="F89" s="36">
        <v>6.2469527481243001E-2</v>
      </c>
      <c r="G89" s="36">
        <v>97.214740039933318</v>
      </c>
      <c r="H89" s="36">
        <v>120</v>
      </c>
      <c r="I89" s="41">
        <v>4.5769223464705968</v>
      </c>
      <c r="J89" s="38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>
        <v>2</v>
      </c>
      <c r="V89" s="36">
        <v>120</v>
      </c>
      <c r="W89" s="36"/>
      <c r="X89" s="36"/>
      <c r="Y89" s="36"/>
      <c r="Z89" s="11">
        <v>15</v>
      </c>
      <c r="AA89" s="12">
        <v>0.9926768582679617</v>
      </c>
      <c r="AB89" s="12">
        <v>0.99665719489289117</v>
      </c>
      <c r="AC89" s="12">
        <v>0.99962102751265602</v>
      </c>
      <c r="AD89" s="12">
        <v>0.99631836022450304</v>
      </c>
    </row>
    <row r="90" spans="1:30" ht="15.75" thickBot="1" x14ac:dyDescent="0.3">
      <c r="A90" s="37" t="s">
        <v>63</v>
      </c>
      <c r="B90" s="37" t="s">
        <v>60</v>
      </c>
      <c r="C90" s="37">
        <v>91</v>
      </c>
      <c r="D90" s="37">
        <v>21273.111670190799</v>
      </c>
      <c r="E90" s="37">
        <v>922471.64441759803</v>
      </c>
      <c r="F90" s="37">
        <v>2.3060992496546001E-2</v>
      </c>
      <c r="G90" s="37">
        <v>100.36672802046529</v>
      </c>
      <c r="H90" s="37">
        <v>120</v>
      </c>
      <c r="I90" s="40">
        <v>4.6088307581159569</v>
      </c>
      <c r="J90" s="39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>
        <v>3</v>
      </c>
      <c r="V90" s="37">
        <v>120</v>
      </c>
      <c r="W90" s="37"/>
      <c r="X90" s="37"/>
      <c r="Y90" s="37"/>
      <c r="Z90" s="13">
        <v>0</v>
      </c>
      <c r="AA90" s="14">
        <v>1</v>
      </c>
      <c r="AB90" s="14">
        <v>1</v>
      </c>
      <c r="AC90" s="14">
        <v>1</v>
      </c>
      <c r="AD90" s="14">
        <v>1</v>
      </c>
    </row>
    <row r="91" spans="1:30" ht="16.5" thickTop="1" thickBot="1" x14ac:dyDescent="0.3">
      <c r="A91" s="36" t="s">
        <v>64</v>
      </c>
      <c r="B91" s="36" t="s">
        <v>60</v>
      </c>
      <c r="C91" s="36">
        <v>91</v>
      </c>
      <c r="D91" s="36">
        <v>22379.5137461944</v>
      </c>
      <c r="E91" s="36">
        <v>709652.77754348901</v>
      </c>
      <c r="F91" s="36">
        <v>3.1535864375339E-2</v>
      </c>
      <c r="G91" s="36">
        <v>99.50507726348998</v>
      </c>
      <c r="H91" s="36">
        <v>60</v>
      </c>
      <c r="I91" s="41">
        <v>4.6002086706364436</v>
      </c>
      <c r="J91" s="38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>
        <v>4</v>
      </c>
      <c r="V91" s="36">
        <v>60</v>
      </c>
      <c r="W91" s="36">
        <v>4.6002086706364436</v>
      </c>
      <c r="X91" s="36"/>
      <c r="Y91" s="36"/>
    </row>
    <row r="92" spans="1:30" x14ac:dyDescent="0.25">
      <c r="A92" s="37" t="s">
        <v>65</v>
      </c>
      <c r="B92" s="37" t="s">
        <v>60</v>
      </c>
      <c r="C92" s="37">
        <v>91</v>
      </c>
      <c r="D92" s="37">
        <v>55254.9920079535</v>
      </c>
      <c r="E92" s="37">
        <v>646819.46406545199</v>
      </c>
      <c r="F92" s="37">
        <v>8.5425679154209996E-2</v>
      </c>
      <c r="G92" s="37">
        <v>95.620402125365416</v>
      </c>
      <c r="H92" s="37">
        <v>60</v>
      </c>
      <c r="I92" s="40">
        <v>4.5603862086415869</v>
      </c>
      <c r="J92" s="39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>
        <v>5</v>
      </c>
      <c r="V92" s="37">
        <v>60</v>
      </c>
      <c r="W92" s="37">
        <v>4.5603862086415869</v>
      </c>
      <c r="X92" s="37"/>
      <c r="Y92" s="37"/>
      <c r="Z92" s="26" t="s">
        <v>22</v>
      </c>
      <c r="AA92" s="34">
        <v>-4.2371142663170984E-4</v>
      </c>
    </row>
    <row r="93" spans="1:30" x14ac:dyDescent="0.25">
      <c r="A93" s="36" t="s">
        <v>66</v>
      </c>
      <c r="B93" s="36" t="s">
        <v>60</v>
      </c>
      <c r="C93" s="36">
        <v>91</v>
      </c>
      <c r="D93" s="36">
        <v>39697.577261149403</v>
      </c>
      <c r="E93" s="36">
        <v>633547.54582370701</v>
      </c>
      <c r="F93" s="36">
        <v>6.2659191915165002E-2</v>
      </c>
      <c r="G93" s="36">
        <v>97.605156963586239</v>
      </c>
      <c r="H93" s="36">
        <v>60</v>
      </c>
      <c r="I93" s="41">
        <v>4.5809303297648452</v>
      </c>
      <c r="J93" s="38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>
        <v>6</v>
      </c>
      <c r="V93" s="36">
        <v>60</v>
      </c>
      <c r="W93" s="36">
        <v>4.5809303297648452</v>
      </c>
      <c r="X93" s="36"/>
      <c r="Y93" s="36"/>
      <c r="Z93" s="28" t="s">
        <v>23</v>
      </c>
      <c r="AA93" s="29">
        <v>4.6063115399242465</v>
      </c>
    </row>
    <row r="94" spans="1:30" ht="17.25" x14ac:dyDescent="0.25">
      <c r="A94" s="37" t="s">
        <v>67</v>
      </c>
      <c r="B94" s="37" t="s">
        <v>60</v>
      </c>
      <c r="C94" s="37">
        <v>91</v>
      </c>
      <c r="D94" s="37">
        <v>19397.443112975499</v>
      </c>
      <c r="E94" s="37">
        <v>590806.33481497597</v>
      </c>
      <c r="F94" s="37">
        <v>3.2832151535833E-2</v>
      </c>
      <c r="G94" s="37">
        <v>99.414919631586059</v>
      </c>
      <c r="H94" s="37">
        <v>30</v>
      </c>
      <c r="I94" s="40">
        <v>4.5993021992963605</v>
      </c>
      <c r="J94" s="39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>
        <v>7</v>
      </c>
      <c r="V94" s="37">
        <v>30</v>
      </c>
      <c r="W94" s="37"/>
      <c r="X94" s="37"/>
      <c r="Y94" s="37"/>
      <c r="Z94" s="28" t="s">
        <v>24</v>
      </c>
      <c r="AA94" s="30">
        <v>0.55888445903697925</v>
      </c>
    </row>
    <row r="95" spans="1:30" ht="18" x14ac:dyDescent="0.35">
      <c r="A95" s="36" t="s">
        <v>68</v>
      </c>
      <c r="B95" s="36" t="s">
        <v>60</v>
      </c>
      <c r="C95" s="36">
        <v>91</v>
      </c>
      <c r="D95" s="36">
        <v>19880.0182215637</v>
      </c>
      <c r="E95" s="36">
        <v>681842.63587370701</v>
      </c>
      <c r="F95" s="36">
        <v>2.9156314339436998E-2</v>
      </c>
      <c r="G95" s="36">
        <v>99.528390843635222</v>
      </c>
      <c r="H95" s="36">
        <v>30</v>
      </c>
      <c r="I95" s="41">
        <v>4.6004429385761378</v>
      </c>
      <c r="J95" s="38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>
        <v>8</v>
      </c>
      <c r="V95" s="36">
        <v>30</v>
      </c>
      <c r="W95" s="36"/>
      <c r="X95" s="36"/>
      <c r="Y95" s="36"/>
      <c r="Z95" s="28" t="s">
        <v>25</v>
      </c>
      <c r="AA95" s="35">
        <v>1635.8944720233592</v>
      </c>
    </row>
    <row r="96" spans="1:30" ht="18.75" x14ac:dyDescent="0.35">
      <c r="A96" s="37" t="s">
        <v>69</v>
      </c>
      <c r="B96" s="37" t="s">
        <v>60</v>
      </c>
      <c r="C96" s="37">
        <v>91</v>
      </c>
      <c r="D96" s="37">
        <v>28718.364001064001</v>
      </c>
      <c r="E96" s="37">
        <v>538039.41172865301</v>
      </c>
      <c r="F96" s="37">
        <v>5.3375948629480002E-2</v>
      </c>
      <c r="G96" s="37">
        <v>98.252568622401725</v>
      </c>
      <c r="H96" s="37">
        <v>30</v>
      </c>
      <c r="I96" s="40">
        <v>4.5875413941470864</v>
      </c>
      <c r="J96" s="39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>
        <v>9</v>
      </c>
      <c r="V96" s="37">
        <v>30</v>
      </c>
      <c r="W96" s="37"/>
      <c r="X96" s="37"/>
      <c r="Y96" s="37"/>
      <c r="Z96" s="28" t="s">
        <v>26</v>
      </c>
      <c r="AA96" s="35">
        <v>0.84742285326341971</v>
      </c>
    </row>
    <row r="97" spans="1:30" ht="15.75" thickBot="1" x14ac:dyDescent="0.3">
      <c r="A97" s="36" t="s">
        <v>70</v>
      </c>
      <c r="B97" s="36" t="s">
        <v>60</v>
      </c>
      <c r="C97" s="36">
        <v>91</v>
      </c>
      <c r="D97" s="36">
        <v>21219.291268198001</v>
      </c>
      <c r="E97" s="36">
        <v>607148.77308917104</v>
      </c>
      <c r="F97" s="36">
        <v>3.4949080371576999E-2</v>
      </c>
      <c r="G97" s="36">
        <v>99.267685826796168</v>
      </c>
      <c r="H97" s="36">
        <v>15</v>
      </c>
      <c r="I97" s="41">
        <v>4.5978200984209296</v>
      </c>
      <c r="J97" s="38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>
        <v>10</v>
      </c>
      <c r="V97" s="36">
        <v>15</v>
      </c>
      <c r="W97" s="36">
        <v>4.5978200984209296</v>
      </c>
      <c r="X97" s="36"/>
      <c r="Y97" s="36"/>
      <c r="Z97" s="32" t="s">
        <v>10</v>
      </c>
      <c r="AA97" s="33" t="s">
        <v>27</v>
      </c>
    </row>
    <row r="98" spans="1:30" x14ac:dyDescent="0.25">
      <c r="A98" s="37" t="s">
        <v>71</v>
      </c>
      <c r="B98" s="37" t="s">
        <v>60</v>
      </c>
      <c r="C98" s="37">
        <v>91</v>
      </c>
      <c r="D98" s="37">
        <v>17343.314960871401</v>
      </c>
      <c r="E98" s="37">
        <v>638114.97727413697</v>
      </c>
      <c r="F98" s="37">
        <v>2.7178981184483999E-2</v>
      </c>
      <c r="G98" s="37">
        <v>99.665719489289117</v>
      </c>
      <c r="H98" s="37">
        <v>15</v>
      </c>
      <c r="I98" s="40">
        <v>4.6018217812254703</v>
      </c>
      <c r="J98" s="39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>
        <v>11</v>
      </c>
      <c r="V98" s="37">
        <v>15</v>
      </c>
      <c r="W98" s="37">
        <v>4.6018217812254703</v>
      </c>
      <c r="X98" s="37"/>
      <c r="Y98" s="37"/>
    </row>
    <row r="99" spans="1:30" x14ac:dyDescent="0.25">
      <c r="A99" s="36" t="s">
        <v>72</v>
      </c>
      <c r="B99" s="36" t="s">
        <v>60</v>
      </c>
      <c r="C99" s="36">
        <v>91</v>
      </c>
      <c r="D99" s="36">
        <v>16360.9659991504</v>
      </c>
      <c r="E99" s="36">
        <v>566850.70701048896</v>
      </c>
      <c r="F99" s="36">
        <v>2.8862918925224999E-2</v>
      </c>
      <c r="G99" s="36">
        <v>99.962102751265604</v>
      </c>
      <c r="H99" s="36">
        <v>15</v>
      </c>
      <c r="I99" s="41">
        <v>4.6047911416725267</v>
      </c>
      <c r="J99" s="38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>
        <v>12</v>
      </c>
      <c r="V99" s="36">
        <v>15</v>
      </c>
      <c r="W99" s="36">
        <v>4.6047911416725267</v>
      </c>
      <c r="X99" s="36"/>
      <c r="Y99" s="36"/>
    </row>
    <row r="100" spans="1:30" x14ac:dyDescent="0.25">
      <c r="A100" s="37" t="s">
        <v>73</v>
      </c>
      <c r="B100" s="37" t="s">
        <v>60</v>
      </c>
      <c r="C100" s="37">
        <v>91</v>
      </c>
      <c r="D100" s="37">
        <v>18118.804452920798</v>
      </c>
      <c r="E100" s="37">
        <v>741969.99950322299</v>
      </c>
      <c r="F100" s="37">
        <v>2.4419861268046E-2</v>
      </c>
      <c r="G100" s="37">
        <v>100</v>
      </c>
      <c r="H100" s="37">
        <v>0</v>
      </c>
      <c r="I100" s="40">
        <v>4.6051701859880918</v>
      </c>
      <c r="J100" s="39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>
        <v>13</v>
      </c>
      <c r="V100" s="37">
        <v>0</v>
      </c>
      <c r="W100" s="37">
        <v>4.6051701859880918</v>
      </c>
      <c r="X100" s="37"/>
      <c r="Y100" s="37"/>
    </row>
    <row r="101" spans="1:30" x14ac:dyDescent="0.25">
      <c r="A101" s="36" t="s">
        <v>74</v>
      </c>
      <c r="B101" s="36" t="s">
        <v>60</v>
      </c>
      <c r="C101" s="36">
        <v>91</v>
      </c>
      <c r="D101" s="36">
        <v>16762.547641320401</v>
      </c>
      <c r="E101" s="36">
        <v>749471.39644831698</v>
      </c>
      <c r="F101" s="36">
        <v>2.2365827062589001E-2</v>
      </c>
      <c r="G101" s="36">
        <v>100</v>
      </c>
      <c r="H101" s="36">
        <v>0</v>
      </c>
      <c r="I101" s="41">
        <v>4.6051701859880918</v>
      </c>
      <c r="J101" s="38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>
        <v>14</v>
      </c>
      <c r="V101" s="36">
        <v>0</v>
      </c>
      <c r="W101" s="36">
        <v>4.6051701859880918</v>
      </c>
      <c r="X101" s="36"/>
      <c r="Y101" s="36"/>
    </row>
    <row r="102" spans="1:30" x14ac:dyDescent="0.25">
      <c r="A102" s="37" t="s">
        <v>75</v>
      </c>
      <c r="B102" s="37" t="s">
        <v>60</v>
      </c>
      <c r="C102" s="37">
        <v>91</v>
      </c>
      <c r="D102" s="37">
        <v>19143.412961634</v>
      </c>
      <c r="E102" s="37">
        <v>675979.67169922404</v>
      </c>
      <c r="F102" s="37">
        <v>2.8319509836016998E-2</v>
      </c>
      <c r="G102" s="37">
        <v>100</v>
      </c>
      <c r="H102" s="37">
        <v>0</v>
      </c>
      <c r="I102" s="40">
        <v>4.6051701859880918</v>
      </c>
      <c r="J102" s="39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>
        <v>15</v>
      </c>
      <c r="V102" s="37">
        <v>0</v>
      </c>
      <c r="W102" s="37">
        <v>4.6051701859880918</v>
      </c>
      <c r="X102" s="37"/>
      <c r="Y102" s="37"/>
    </row>
    <row r="103" spans="1:30" x14ac:dyDescent="0.25">
      <c r="A103" s="45"/>
      <c r="B103" s="36"/>
      <c r="C103" s="36"/>
      <c r="D103" s="36"/>
      <c r="E103" s="36"/>
      <c r="F103" s="36"/>
      <c r="G103" s="36"/>
      <c r="H103" s="36"/>
      <c r="I103" s="36"/>
      <c r="J103" s="38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</row>
    <row r="104" spans="1:30" x14ac:dyDescent="0.25">
      <c r="A104" s="84"/>
      <c r="B104" s="43"/>
      <c r="C104" s="43"/>
      <c r="D104" s="43"/>
      <c r="E104" s="43"/>
      <c r="F104" s="43"/>
      <c r="G104" s="43"/>
      <c r="H104" s="43"/>
      <c r="I104" s="43"/>
      <c r="J104" s="44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</row>
    <row r="105" spans="1:30" ht="15.75" thickBot="1" x14ac:dyDescent="0.3">
      <c r="A105" s="45"/>
      <c r="B105" s="36"/>
      <c r="C105" s="36"/>
      <c r="D105" s="36"/>
      <c r="E105" s="36"/>
      <c r="F105" s="36"/>
      <c r="G105" s="36"/>
      <c r="H105" s="36"/>
      <c r="I105" s="36"/>
      <c r="J105" s="38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</row>
    <row r="106" spans="1:30" ht="16.5" thickTop="1" thickBot="1" x14ac:dyDescent="0.3">
      <c r="A106" s="37" t="s">
        <v>42</v>
      </c>
      <c r="B106" s="46" t="s">
        <v>111</v>
      </c>
      <c r="C106" s="37">
        <v>66</v>
      </c>
      <c r="D106" s="37">
        <v>0</v>
      </c>
      <c r="E106" s="37">
        <v>336156.137465954</v>
      </c>
      <c r="F106" s="37">
        <v>0</v>
      </c>
      <c r="G106" s="37"/>
      <c r="H106" s="37"/>
      <c r="I106" s="37"/>
      <c r="J106" s="39"/>
      <c r="K106" s="37"/>
      <c r="L106" s="37"/>
      <c r="M106" s="37"/>
      <c r="N106" s="37"/>
      <c r="O106" s="37"/>
      <c r="P106" s="37"/>
      <c r="Q106" s="37"/>
      <c r="R106" s="46" t="s">
        <v>127</v>
      </c>
      <c r="S106" s="37"/>
      <c r="T106" s="37">
        <v>10</v>
      </c>
      <c r="U106" s="37"/>
      <c r="V106" s="37"/>
      <c r="W106" s="37"/>
      <c r="X106" s="37"/>
      <c r="Y106" s="37"/>
      <c r="Z106" s="10" t="s">
        <v>16</v>
      </c>
      <c r="AA106" s="10" t="s">
        <v>18</v>
      </c>
      <c r="AB106" s="10" t="s">
        <v>19</v>
      </c>
      <c r="AC106" s="10" t="s">
        <v>20</v>
      </c>
      <c r="AD106" s="10" t="s">
        <v>21</v>
      </c>
    </row>
    <row r="107" spans="1:30" ht="15.75" thickTop="1" x14ac:dyDescent="0.25">
      <c r="A107" s="36" t="s">
        <v>43</v>
      </c>
      <c r="B107" s="36" t="s">
        <v>111</v>
      </c>
      <c r="C107" s="36">
        <v>66</v>
      </c>
      <c r="D107" s="36">
        <v>0</v>
      </c>
      <c r="E107" s="36">
        <v>92612.788956766599</v>
      </c>
      <c r="F107" s="36">
        <v>0</v>
      </c>
      <c r="G107" s="36"/>
      <c r="H107" s="36"/>
      <c r="I107" s="36"/>
      <c r="J107" s="38"/>
      <c r="K107" s="36"/>
      <c r="L107" s="36"/>
      <c r="M107" s="36"/>
      <c r="N107" s="36"/>
      <c r="O107" s="36"/>
      <c r="P107" s="36"/>
      <c r="Q107" s="36"/>
      <c r="R107" s="36" t="s">
        <v>16</v>
      </c>
      <c r="S107" s="36"/>
      <c r="T107" s="36">
        <v>176</v>
      </c>
      <c r="U107" s="36"/>
      <c r="V107" s="36"/>
      <c r="W107" s="36"/>
      <c r="X107" s="36"/>
      <c r="Y107" s="36"/>
      <c r="Z107" s="11">
        <v>120</v>
      </c>
      <c r="AA107" s="12">
        <v>0.79878358939258332</v>
      </c>
      <c r="AB107" s="12">
        <v>1.195699349012554</v>
      </c>
      <c r="AC107" s="12">
        <v>0.99333812943971611</v>
      </c>
      <c r="AD107" s="12">
        <v>0.99594035594828456</v>
      </c>
    </row>
    <row r="108" spans="1:30" x14ac:dyDescent="0.25">
      <c r="A108" s="37" t="s">
        <v>44</v>
      </c>
      <c r="B108" s="37" t="s">
        <v>111</v>
      </c>
      <c r="C108" s="37">
        <v>66</v>
      </c>
      <c r="D108" s="37">
        <v>0</v>
      </c>
      <c r="E108" s="37">
        <v>604783.42368647805</v>
      </c>
      <c r="F108" s="37">
        <v>0</v>
      </c>
      <c r="G108" s="37"/>
      <c r="H108" s="37"/>
      <c r="I108" s="37"/>
      <c r="J108" s="39"/>
      <c r="K108" s="37"/>
      <c r="L108" s="37"/>
      <c r="M108" s="37"/>
      <c r="N108" s="37"/>
      <c r="O108" s="37"/>
      <c r="P108" s="37"/>
      <c r="Q108" s="37"/>
      <c r="R108" s="37" t="s">
        <v>17</v>
      </c>
      <c r="S108" s="37"/>
      <c r="T108" s="37">
        <v>190</v>
      </c>
      <c r="U108" s="37"/>
      <c r="V108" s="37"/>
      <c r="W108" s="37"/>
      <c r="X108" s="37"/>
      <c r="Y108" s="37"/>
      <c r="Z108" s="11">
        <v>60</v>
      </c>
      <c r="AA108" s="12">
        <v>1.5459359044776977</v>
      </c>
      <c r="AB108" s="12">
        <v>1.4292042428114649</v>
      </c>
      <c r="AC108" s="12">
        <v>1.2040812598381045</v>
      </c>
      <c r="AD108" s="12">
        <v>1.3930738023757556</v>
      </c>
    </row>
    <row r="109" spans="1:30" x14ac:dyDescent="0.25">
      <c r="A109" s="36" t="s">
        <v>128</v>
      </c>
      <c r="B109" s="36" t="s">
        <v>111</v>
      </c>
      <c r="C109" s="36">
        <v>66</v>
      </c>
      <c r="D109" s="36">
        <v>16852.434174432099</v>
      </c>
      <c r="E109" s="36">
        <v>746838.41428332904</v>
      </c>
      <c r="F109" s="36">
        <v>2.2565033951292002E-2</v>
      </c>
      <c r="G109" s="36">
        <v>79.878358939258334</v>
      </c>
      <c r="H109" s="36">
        <v>120</v>
      </c>
      <c r="I109" s="41">
        <v>4.3805049642611982</v>
      </c>
      <c r="J109" s="38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>
        <v>1</v>
      </c>
      <c r="V109" s="36">
        <v>120</v>
      </c>
      <c r="W109" s="36">
        <v>4.3805049642611982</v>
      </c>
      <c r="X109" s="36"/>
      <c r="Y109" s="36"/>
      <c r="Z109" s="11">
        <v>30</v>
      </c>
      <c r="AA109" s="12">
        <v>0.81483865832606783</v>
      </c>
      <c r="AB109" s="12">
        <v>1.2600694118412263</v>
      </c>
      <c r="AC109" s="12">
        <v>1.3082094789089702</v>
      </c>
      <c r="AD109" s="12">
        <v>1.127705849692088</v>
      </c>
    </row>
    <row r="110" spans="1:30" x14ac:dyDescent="0.25">
      <c r="A110" s="37" t="s">
        <v>129</v>
      </c>
      <c r="B110" s="37" t="s">
        <v>111</v>
      </c>
      <c r="C110" s="37">
        <v>66</v>
      </c>
      <c r="D110" s="37">
        <v>19588.174862674401</v>
      </c>
      <c r="E110" s="37">
        <v>752260.47847261396</v>
      </c>
      <c r="F110" s="37">
        <v>2.6039085427492E-2</v>
      </c>
      <c r="G110" s="37">
        <v>119.56993490125541</v>
      </c>
      <c r="H110" s="37">
        <v>120</v>
      </c>
      <c r="I110" s="40">
        <v>4.7839014294908901</v>
      </c>
      <c r="J110" s="39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>
        <v>2</v>
      </c>
      <c r="V110" s="37">
        <v>120</v>
      </c>
      <c r="W110" s="37"/>
      <c r="X110" s="37"/>
      <c r="Y110" s="37"/>
      <c r="Z110" s="11">
        <v>15</v>
      </c>
      <c r="AA110" s="12">
        <v>0.87844287032700596</v>
      </c>
      <c r="AB110" s="12">
        <v>1.2741377332794022</v>
      </c>
      <c r="AC110" s="12">
        <v>1.8112836329245889</v>
      </c>
      <c r="AD110" s="12">
        <v>1.3212880788436656</v>
      </c>
    </row>
    <row r="111" spans="1:30" ht="15.75" thickBot="1" x14ac:dyDescent="0.3">
      <c r="A111" s="36" t="s">
        <v>130</v>
      </c>
      <c r="B111" s="36" t="s">
        <v>111</v>
      </c>
      <c r="C111" s="36">
        <v>66</v>
      </c>
      <c r="D111" s="36">
        <v>17158.140493160899</v>
      </c>
      <c r="E111" s="36">
        <v>755549.95257003501</v>
      </c>
      <c r="F111" s="36">
        <v>2.2709472000887E-2</v>
      </c>
      <c r="G111" s="36">
        <v>99.333812943971608</v>
      </c>
      <c r="H111" s="36">
        <v>120</v>
      </c>
      <c r="I111" s="41">
        <v>4.5984860261206544</v>
      </c>
      <c r="J111" s="38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>
        <v>3</v>
      </c>
      <c r="V111" s="36">
        <v>120</v>
      </c>
      <c r="W111" s="36"/>
      <c r="X111" s="36"/>
      <c r="Y111" s="36"/>
      <c r="Z111" s="13">
        <v>0</v>
      </c>
      <c r="AA111" s="14">
        <v>1</v>
      </c>
      <c r="AB111" s="14">
        <v>1</v>
      </c>
      <c r="AC111" s="14">
        <v>1</v>
      </c>
      <c r="AD111" s="14">
        <v>1</v>
      </c>
    </row>
    <row r="112" spans="1:30" ht="16.5" thickTop="1" thickBot="1" x14ac:dyDescent="0.3">
      <c r="A112" s="37" t="s">
        <v>131</v>
      </c>
      <c r="B112" s="37" t="s">
        <v>111</v>
      </c>
      <c r="C112" s="37">
        <v>66</v>
      </c>
      <c r="D112" s="37">
        <v>23784.991209702399</v>
      </c>
      <c r="E112" s="37">
        <v>544633.88012095005</v>
      </c>
      <c r="F112" s="37">
        <v>4.3671523344122998E-2</v>
      </c>
      <c r="G112" s="37">
        <v>154.59359044776977</v>
      </c>
      <c r="H112" s="37">
        <v>60</v>
      </c>
      <c r="I112" s="40">
        <v>5.0407996763531893</v>
      </c>
      <c r="J112" s="39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>
        <v>4</v>
      </c>
      <c r="V112" s="37">
        <v>60</v>
      </c>
      <c r="W112" s="37">
        <v>5.0407996763531893</v>
      </c>
      <c r="X112" s="37"/>
      <c r="Y112" s="37"/>
    </row>
    <row r="113" spans="1:30" x14ac:dyDescent="0.25">
      <c r="A113" s="36" t="s">
        <v>132</v>
      </c>
      <c r="B113" s="36" t="s">
        <v>111</v>
      </c>
      <c r="C113" s="36">
        <v>66</v>
      </c>
      <c r="D113" s="36">
        <v>20458.3965458399</v>
      </c>
      <c r="E113" s="36">
        <v>657315.028520077</v>
      </c>
      <c r="F113" s="36">
        <v>3.1124188034922999E-2</v>
      </c>
      <c r="G113" s="36">
        <v>142.9204242811465</v>
      </c>
      <c r="H113" s="36">
        <v>60</v>
      </c>
      <c r="I113" s="41">
        <v>4.9622880018126168</v>
      </c>
      <c r="J113" s="38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>
        <v>5</v>
      </c>
      <c r="V113" s="36">
        <v>60</v>
      </c>
      <c r="W113" s="36">
        <v>4.9622880018126168</v>
      </c>
      <c r="X113" s="36"/>
      <c r="Y113" s="36"/>
      <c r="Z113" s="26" t="s">
        <v>22</v>
      </c>
      <c r="AA113" s="27">
        <v>-5.1283816621743429E-4</v>
      </c>
    </row>
    <row r="114" spans="1:30" x14ac:dyDescent="0.25">
      <c r="A114" s="37" t="s">
        <v>133</v>
      </c>
      <c r="B114" s="37" t="s">
        <v>111</v>
      </c>
      <c r="C114" s="37">
        <v>66</v>
      </c>
      <c r="D114" s="37">
        <v>19365.398785597001</v>
      </c>
      <c r="E114" s="37">
        <v>703494.51697086496</v>
      </c>
      <c r="F114" s="37">
        <v>2.7527433858306999E-2</v>
      </c>
      <c r="G114" s="37">
        <v>120.40812598381045</v>
      </c>
      <c r="H114" s="37">
        <v>60</v>
      </c>
      <c r="I114" s="40">
        <v>4.7908870221571549</v>
      </c>
      <c r="J114" s="39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>
        <v>6</v>
      </c>
      <c r="V114" s="37">
        <v>60</v>
      </c>
      <c r="W114" s="37">
        <v>4.7908870221571549</v>
      </c>
      <c r="X114" s="37"/>
      <c r="Y114" s="37"/>
      <c r="Z114" s="28" t="s">
        <v>23</v>
      </c>
      <c r="AA114" s="29">
        <v>4.7495113243908209</v>
      </c>
    </row>
    <row r="115" spans="1:30" ht="17.25" x14ac:dyDescent="0.25">
      <c r="A115" s="36" t="s">
        <v>134</v>
      </c>
      <c r="B115" s="36" t="s">
        <v>111</v>
      </c>
      <c r="C115" s="36">
        <v>66</v>
      </c>
      <c r="D115" s="36">
        <v>14396.410496755299</v>
      </c>
      <c r="E115" s="36">
        <v>625425.72284770303</v>
      </c>
      <c r="F115" s="36">
        <v>2.3018577539800002E-2</v>
      </c>
      <c r="G115" s="36">
        <v>81.483865832606782</v>
      </c>
      <c r="H115" s="36">
        <v>30</v>
      </c>
      <c r="I115" s="41">
        <v>4.400405035405023</v>
      </c>
      <c r="J115" s="38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>
        <v>7</v>
      </c>
      <c r="V115" s="36">
        <v>30</v>
      </c>
      <c r="W115" s="36">
        <v>4.400405035405023</v>
      </c>
      <c r="X115" s="36"/>
      <c r="Y115" s="36"/>
      <c r="Z115" s="28" t="s">
        <v>24</v>
      </c>
      <c r="AA115" s="30">
        <v>4.9043857413594693E-3</v>
      </c>
    </row>
    <row r="116" spans="1:30" ht="18" x14ac:dyDescent="0.35">
      <c r="A116" s="37" t="s">
        <v>135</v>
      </c>
      <c r="B116" s="37" t="s">
        <v>111</v>
      </c>
      <c r="C116" s="37">
        <v>66</v>
      </c>
      <c r="D116" s="37">
        <v>16738.360175327602</v>
      </c>
      <c r="E116" s="37">
        <v>609978.75042059203</v>
      </c>
      <c r="F116" s="37">
        <v>2.7440890627397001E-2</v>
      </c>
      <c r="G116" s="37">
        <v>126.00694118412264</v>
      </c>
      <c r="H116" s="37">
        <v>30</v>
      </c>
      <c r="I116" s="40">
        <v>4.8363369941970262</v>
      </c>
      <c r="J116" s="39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>
        <v>8</v>
      </c>
      <c r="V116" s="37">
        <v>30</v>
      </c>
      <c r="W116" s="37"/>
      <c r="X116" s="37"/>
      <c r="Y116" s="37"/>
      <c r="Z116" s="28" t="s">
        <v>25</v>
      </c>
      <c r="AA116" s="31">
        <v>1351.5904747737968</v>
      </c>
    </row>
    <row r="117" spans="1:30" ht="18.75" x14ac:dyDescent="0.35">
      <c r="A117" s="36" t="s">
        <v>136</v>
      </c>
      <c r="B117" s="36" t="s">
        <v>111</v>
      </c>
      <c r="C117" s="36">
        <v>66</v>
      </c>
      <c r="D117" s="36">
        <v>18005.205398520899</v>
      </c>
      <c r="E117" s="36">
        <v>602019.91461106599</v>
      </c>
      <c r="F117" s="36">
        <v>2.9907989688602001E-2</v>
      </c>
      <c r="G117" s="36">
        <v>130.82094789089703</v>
      </c>
      <c r="H117" s="36">
        <v>30</v>
      </c>
      <c r="I117" s="41">
        <v>4.8738295782712031</v>
      </c>
      <c r="J117" s="38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>
        <v>9</v>
      </c>
      <c r="V117" s="36">
        <v>30</v>
      </c>
      <c r="W117" s="36">
        <v>4.8738295782712031</v>
      </c>
      <c r="X117" s="36"/>
      <c r="Y117" s="36"/>
      <c r="Z117" s="28" t="s">
        <v>26</v>
      </c>
      <c r="AA117" s="29">
        <v>1.0256763324348686</v>
      </c>
    </row>
    <row r="118" spans="1:30" ht="15.75" thickBot="1" x14ac:dyDescent="0.3">
      <c r="A118" s="37" t="s">
        <v>137</v>
      </c>
      <c r="B118" s="37" t="s">
        <v>111</v>
      </c>
      <c r="C118" s="37">
        <v>66</v>
      </c>
      <c r="D118" s="37">
        <v>17123.5391028462</v>
      </c>
      <c r="E118" s="37">
        <v>690038.22625396401</v>
      </c>
      <c r="F118" s="37">
        <v>2.4815348558015E-2</v>
      </c>
      <c r="G118" s="37">
        <v>87.844287032700592</v>
      </c>
      <c r="H118" s="37">
        <v>15</v>
      </c>
      <c r="I118" s="40">
        <v>4.4755657815873775</v>
      </c>
      <c r="J118" s="39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>
        <v>10</v>
      </c>
      <c r="V118" s="37">
        <v>15</v>
      </c>
      <c r="W118" s="37">
        <v>4.4755657815873775</v>
      </c>
      <c r="X118" s="37"/>
      <c r="Y118" s="37"/>
      <c r="Z118" s="32" t="s">
        <v>10</v>
      </c>
      <c r="AA118" s="33" t="s">
        <v>27</v>
      </c>
    </row>
    <row r="119" spans="1:30" x14ac:dyDescent="0.25">
      <c r="A119" s="36" t="s">
        <v>138</v>
      </c>
      <c r="B119" s="36" t="s">
        <v>111</v>
      </c>
      <c r="C119" s="36">
        <v>66</v>
      </c>
      <c r="D119" s="36">
        <v>18265.3894668299</v>
      </c>
      <c r="E119" s="36">
        <v>658277.21930462797</v>
      </c>
      <c r="F119" s="36">
        <v>2.7747260472001E-2</v>
      </c>
      <c r="G119" s="36">
        <v>127.41377332794022</v>
      </c>
      <c r="H119" s="36">
        <v>15</v>
      </c>
      <c r="I119" s="41">
        <v>4.8474398481888512</v>
      </c>
      <c r="J119" s="38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>
        <v>11</v>
      </c>
      <c r="V119" s="36">
        <v>15</v>
      </c>
      <c r="W119" s="36">
        <v>4.8474398481888512</v>
      </c>
      <c r="X119" s="36"/>
      <c r="Y119" s="36"/>
    </row>
    <row r="120" spans="1:30" x14ac:dyDescent="0.25">
      <c r="A120" s="37" t="s">
        <v>139</v>
      </c>
      <c r="B120" s="37" t="s">
        <v>111</v>
      </c>
      <c r="C120" s="37">
        <v>66</v>
      </c>
      <c r="D120" s="37">
        <v>27117.926096966501</v>
      </c>
      <c r="E120" s="37">
        <v>654877.51510748605</v>
      </c>
      <c r="F120" s="37">
        <v>4.1409157394135997E-2</v>
      </c>
      <c r="G120" s="37">
        <v>181.12836329245889</v>
      </c>
      <c r="H120" s="37">
        <v>15</v>
      </c>
      <c r="I120" s="40">
        <v>5.1992059693709107</v>
      </c>
      <c r="J120" s="39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>
        <v>12</v>
      </c>
      <c r="V120" s="37">
        <v>15</v>
      </c>
      <c r="W120" s="37">
        <v>5.1992059693709107</v>
      </c>
      <c r="X120" s="37"/>
      <c r="Y120" s="37"/>
    </row>
    <row r="121" spans="1:30" x14ac:dyDescent="0.25">
      <c r="A121" s="36" t="s">
        <v>140</v>
      </c>
      <c r="B121" s="36" t="s">
        <v>111</v>
      </c>
      <c r="C121" s="36">
        <v>66</v>
      </c>
      <c r="D121" s="36">
        <v>17209.0554249208</v>
      </c>
      <c r="E121" s="36">
        <v>609186.36737026204</v>
      </c>
      <c r="F121" s="36">
        <v>2.8249245791905998E-2</v>
      </c>
      <c r="G121" s="36">
        <v>100</v>
      </c>
      <c r="H121" s="36">
        <v>0</v>
      </c>
      <c r="I121" s="41">
        <v>4.6051701859880918</v>
      </c>
      <c r="J121" s="38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>
        <v>13</v>
      </c>
      <c r="V121" s="36">
        <v>0</v>
      </c>
      <c r="W121" s="36">
        <v>4.6051701859880918</v>
      </c>
      <c r="X121" s="36"/>
      <c r="Y121" s="36"/>
    </row>
    <row r="122" spans="1:30" x14ac:dyDescent="0.25">
      <c r="A122" s="37" t="s">
        <v>141</v>
      </c>
      <c r="B122" s="37" t="s">
        <v>111</v>
      </c>
      <c r="C122" s="37">
        <v>66</v>
      </c>
      <c r="D122" s="37">
        <v>14176.5223845743</v>
      </c>
      <c r="E122" s="37">
        <v>650977.494340142</v>
      </c>
      <c r="F122" s="37">
        <v>2.1777284941232E-2</v>
      </c>
      <c r="G122" s="37">
        <v>100</v>
      </c>
      <c r="H122" s="37">
        <v>0</v>
      </c>
      <c r="I122" s="40">
        <v>4.6051701859880918</v>
      </c>
      <c r="J122" s="39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>
        <v>14</v>
      </c>
      <c r="V122" s="37">
        <v>0</v>
      </c>
      <c r="W122" s="37">
        <v>4.6051701859880918</v>
      </c>
      <c r="X122" s="37"/>
      <c r="Y122" s="37"/>
    </row>
    <row r="123" spans="1:30" x14ac:dyDescent="0.25">
      <c r="A123" s="36" t="s">
        <v>142</v>
      </c>
      <c r="B123" s="36" t="s">
        <v>111</v>
      </c>
      <c r="C123" s="36">
        <v>66</v>
      </c>
      <c r="D123" s="36">
        <v>9463.5530941577708</v>
      </c>
      <c r="E123" s="36">
        <v>413946.57383654302</v>
      </c>
      <c r="F123" s="36">
        <v>2.2861774181261001E-2</v>
      </c>
      <c r="G123" s="36">
        <v>100</v>
      </c>
      <c r="H123" s="36">
        <v>0</v>
      </c>
      <c r="I123" s="41">
        <v>4.6051701859880918</v>
      </c>
      <c r="J123" s="38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>
        <v>15</v>
      </c>
      <c r="V123" s="36">
        <v>0</v>
      </c>
      <c r="W123" s="36">
        <v>4.6051701859880918</v>
      </c>
      <c r="X123" s="36"/>
      <c r="Y123" s="36"/>
    </row>
    <row r="124" spans="1:30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9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1:30" x14ac:dyDescent="0.25">
      <c r="A125" s="50"/>
      <c r="B125" s="50"/>
      <c r="C125" s="50"/>
      <c r="D125" s="50"/>
      <c r="E125" s="50"/>
      <c r="F125" s="50"/>
      <c r="G125" s="50"/>
      <c r="H125" s="50"/>
      <c r="I125" s="50"/>
      <c r="J125" s="51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</row>
    <row r="126" spans="1:30" ht="15.75" thickBot="1" x14ac:dyDescent="0.3">
      <c r="A126" s="37"/>
      <c r="B126" s="37"/>
      <c r="C126" s="37"/>
      <c r="D126" s="37"/>
      <c r="E126" s="37"/>
      <c r="F126" s="37"/>
      <c r="G126" s="37"/>
      <c r="H126" s="37"/>
      <c r="I126" s="37"/>
      <c r="J126" s="39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</row>
    <row r="127" spans="1:30" ht="16.5" thickTop="1" thickBot="1" x14ac:dyDescent="0.3">
      <c r="A127" s="36" t="s">
        <v>42</v>
      </c>
      <c r="B127" s="45" t="s">
        <v>159</v>
      </c>
      <c r="C127" s="36">
        <v>228</v>
      </c>
      <c r="D127" s="36" t="s">
        <v>32</v>
      </c>
      <c r="E127" s="36">
        <v>336156.137465954</v>
      </c>
      <c r="F127" s="36">
        <v>0</v>
      </c>
      <c r="G127" s="36"/>
      <c r="H127" s="36"/>
      <c r="I127" s="36"/>
      <c r="J127" s="38"/>
      <c r="K127" s="36"/>
      <c r="L127" s="36"/>
      <c r="M127" s="36"/>
      <c r="N127" s="36"/>
      <c r="O127" s="36"/>
      <c r="P127" s="36"/>
      <c r="Q127" s="36"/>
      <c r="R127" s="45" t="s">
        <v>158</v>
      </c>
      <c r="S127" s="36"/>
      <c r="T127" s="36">
        <v>11</v>
      </c>
      <c r="U127" s="36"/>
      <c r="V127" s="36"/>
      <c r="W127" s="36"/>
      <c r="X127" s="36"/>
      <c r="Y127" s="36"/>
      <c r="Z127" s="10" t="s">
        <v>16</v>
      </c>
      <c r="AA127" s="10" t="s">
        <v>18</v>
      </c>
      <c r="AB127" s="10" t="s">
        <v>19</v>
      </c>
      <c r="AC127" s="10" t="s">
        <v>20</v>
      </c>
      <c r="AD127" s="10" t="s">
        <v>21</v>
      </c>
    </row>
    <row r="128" spans="1:30" ht="15.75" thickTop="1" x14ac:dyDescent="0.25">
      <c r="A128" s="37" t="s">
        <v>43</v>
      </c>
      <c r="B128" s="37" t="s">
        <v>159</v>
      </c>
      <c r="C128" s="37">
        <v>228</v>
      </c>
      <c r="D128" s="37" t="s">
        <v>32</v>
      </c>
      <c r="E128" s="37">
        <v>92612.788956766599</v>
      </c>
      <c r="F128" s="37">
        <v>0</v>
      </c>
      <c r="G128" s="37"/>
      <c r="H128" s="37"/>
      <c r="I128" s="37"/>
      <c r="J128" s="39"/>
      <c r="K128" s="37"/>
      <c r="L128" s="37"/>
      <c r="M128" s="37"/>
      <c r="N128" s="37"/>
      <c r="O128" s="37"/>
      <c r="P128" s="37"/>
      <c r="Q128" s="37"/>
      <c r="R128" s="37" t="s">
        <v>16</v>
      </c>
      <c r="S128" s="37"/>
      <c r="T128" s="37">
        <v>195</v>
      </c>
      <c r="U128" s="37"/>
      <c r="V128" s="37"/>
      <c r="W128" s="37"/>
      <c r="X128" s="37"/>
      <c r="Y128" s="37"/>
      <c r="Z128" s="11">
        <v>120</v>
      </c>
      <c r="AA128" s="12">
        <v>0</v>
      </c>
      <c r="AB128" s="12">
        <v>0</v>
      </c>
      <c r="AC128" s="12">
        <v>0</v>
      </c>
      <c r="AD128" s="12">
        <v>0</v>
      </c>
    </row>
    <row r="129" spans="1:30" x14ac:dyDescent="0.25">
      <c r="A129" s="36" t="s">
        <v>44</v>
      </c>
      <c r="B129" s="36" t="s">
        <v>159</v>
      </c>
      <c r="C129" s="36">
        <v>228</v>
      </c>
      <c r="D129" s="36" t="s">
        <v>32</v>
      </c>
      <c r="E129" s="36">
        <v>604783.42368647805</v>
      </c>
      <c r="F129" s="36">
        <v>0</v>
      </c>
      <c r="G129" s="36"/>
      <c r="H129" s="36"/>
      <c r="I129" s="36"/>
      <c r="J129" s="38"/>
      <c r="K129" s="36"/>
      <c r="L129" s="36"/>
      <c r="M129" s="36"/>
      <c r="N129" s="36"/>
      <c r="O129" s="36"/>
      <c r="P129" s="36"/>
      <c r="Q129" s="36"/>
      <c r="R129" s="36" t="s">
        <v>17</v>
      </c>
      <c r="S129" s="36"/>
      <c r="T129" s="36">
        <v>209</v>
      </c>
      <c r="U129" s="36"/>
      <c r="V129" s="36"/>
      <c r="W129" s="36"/>
      <c r="X129" s="36"/>
      <c r="Y129" s="36"/>
      <c r="Z129" s="11">
        <v>60</v>
      </c>
      <c r="AA129" s="12">
        <v>0</v>
      </c>
      <c r="AB129" s="12">
        <v>0</v>
      </c>
      <c r="AC129" s="12">
        <v>0</v>
      </c>
      <c r="AD129" s="12">
        <v>0</v>
      </c>
    </row>
    <row r="130" spans="1:30" x14ac:dyDescent="0.25">
      <c r="A130" s="37" t="s">
        <v>160</v>
      </c>
      <c r="B130" s="37" t="s">
        <v>159</v>
      </c>
      <c r="C130" s="37">
        <v>228</v>
      </c>
      <c r="D130" s="37" t="s">
        <v>32</v>
      </c>
      <c r="E130" s="37">
        <v>680043.16651084705</v>
      </c>
      <c r="F130" s="37">
        <v>0</v>
      </c>
      <c r="G130" s="37">
        <v>0</v>
      </c>
      <c r="H130" s="37">
        <v>120</v>
      </c>
      <c r="I130" s="40" t="e">
        <v>#NUM!</v>
      </c>
      <c r="J130" s="39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>
        <v>1</v>
      </c>
      <c r="V130" s="37">
        <v>120</v>
      </c>
      <c r="W130" s="37" t="s">
        <v>407</v>
      </c>
      <c r="X130" s="37"/>
      <c r="Y130" s="37"/>
      <c r="Z130" s="11">
        <v>30</v>
      </c>
      <c r="AA130" s="12">
        <v>0</v>
      </c>
      <c r="AB130" s="12">
        <v>0</v>
      </c>
      <c r="AC130" s="12">
        <v>0</v>
      </c>
      <c r="AD130" s="12">
        <v>0</v>
      </c>
    </row>
    <row r="131" spans="1:30" x14ac:dyDescent="0.25">
      <c r="A131" s="36" t="s">
        <v>161</v>
      </c>
      <c r="B131" s="36" t="s">
        <v>159</v>
      </c>
      <c r="C131" s="36">
        <v>228</v>
      </c>
      <c r="D131" s="36" t="s">
        <v>32</v>
      </c>
      <c r="E131" s="36">
        <v>721105.71581879701</v>
      </c>
      <c r="F131" s="36">
        <v>0</v>
      </c>
      <c r="G131" s="36">
        <v>0</v>
      </c>
      <c r="H131" s="36">
        <v>120</v>
      </c>
      <c r="I131" s="41" t="e">
        <v>#NUM!</v>
      </c>
      <c r="J131" s="38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>
        <v>2</v>
      </c>
      <c r="V131" s="36">
        <v>120</v>
      </c>
      <c r="W131" s="36" t="s">
        <v>407</v>
      </c>
      <c r="X131" s="36"/>
      <c r="Y131" s="36"/>
      <c r="Z131" s="11">
        <v>15</v>
      </c>
      <c r="AA131" s="12">
        <v>0.23971443514863044</v>
      </c>
      <c r="AB131" s="12">
        <v>0.36242343646458997</v>
      </c>
      <c r="AC131" s="12">
        <v>0.30547561317219363</v>
      </c>
      <c r="AD131" s="12">
        <v>0.3025378282618047</v>
      </c>
    </row>
    <row r="132" spans="1:30" ht="15.75" thickBot="1" x14ac:dyDescent="0.3">
      <c r="A132" s="37" t="s">
        <v>162</v>
      </c>
      <c r="B132" s="37" t="s">
        <v>159</v>
      </c>
      <c r="C132" s="37">
        <v>228</v>
      </c>
      <c r="D132" s="37" t="s">
        <v>32</v>
      </c>
      <c r="E132" s="37">
        <v>730982.84123811603</v>
      </c>
      <c r="F132" s="37">
        <v>0</v>
      </c>
      <c r="G132" s="37">
        <v>0</v>
      </c>
      <c r="H132" s="37">
        <v>120</v>
      </c>
      <c r="I132" s="40" t="e">
        <v>#NUM!</v>
      </c>
      <c r="J132" s="39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>
        <v>3</v>
      </c>
      <c r="V132" s="37">
        <v>120</v>
      </c>
      <c r="W132" s="37" t="s">
        <v>407</v>
      </c>
      <c r="X132" s="37"/>
      <c r="Y132" s="37"/>
      <c r="Z132" s="13">
        <v>0</v>
      </c>
      <c r="AA132" s="14">
        <v>1</v>
      </c>
      <c r="AB132" s="14">
        <v>1</v>
      </c>
      <c r="AC132" s="14">
        <v>1</v>
      </c>
      <c r="AD132" s="14">
        <v>1</v>
      </c>
    </row>
    <row r="133" spans="1:30" ht="16.5" thickTop="1" thickBot="1" x14ac:dyDescent="0.3">
      <c r="A133" s="36" t="s">
        <v>163</v>
      </c>
      <c r="B133" s="36" t="s">
        <v>159</v>
      </c>
      <c r="C133" s="36">
        <v>228</v>
      </c>
      <c r="D133" s="36" t="s">
        <v>32</v>
      </c>
      <c r="E133" s="36">
        <v>631344.72592846805</v>
      </c>
      <c r="F133" s="36">
        <v>0</v>
      </c>
      <c r="G133" s="36">
        <v>0</v>
      </c>
      <c r="H133" s="36">
        <v>60</v>
      </c>
      <c r="I133" s="41" t="e">
        <v>#NUM!</v>
      </c>
      <c r="J133" s="38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>
        <v>4</v>
      </c>
      <c r="V133" s="36">
        <v>60</v>
      </c>
      <c r="W133" s="36" t="s">
        <v>407</v>
      </c>
      <c r="X133" s="36"/>
      <c r="Y133" s="36"/>
    </row>
    <row r="134" spans="1:30" x14ac:dyDescent="0.25">
      <c r="A134" s="37" t="s">
        <v>164</v>
      </c>
      <c r="B134" s="37" t="s">
        <v>159</v>
      </c>
      <c r="C134" s="37">
        <v>228</v>
      </c>
      <c r="D134" s="37" t="s">
        <v>32</v>
      </c>
      <c r="E134" s="37">
        <v>578272.40215397999</v>
      </c>
      <c r="F134" s="37">
        <v>0</v>
      </c>
      <c r="G134" s="37">
        <v>0</v>
      </c>
      <c r="H134" s="37">
        <v>60</v>
      </c>
      <c r="I134" s="40" t="e">
        <v>#NUM!</v>
      </c>
      <c r="J134" s="39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>
        <v>5</v>
      </c>
      <c r="V134" s="37">
        <v>60</v>
      </c>
      <c r="W134" s="37" t="s">
        <v>407</v>
      </c>
      <c r="X134" s="37"/>
      <c r="Y134" s="37"/>
      <c r="Z134" s="26" t="s">
        <v>22</v>
      </c>
      <c r="AA134" s="27">
        <v>-8.0647428530676968E-2</v>
      </c>
    </row>
    <row r="135" spans="1:30" x14ac:dyDescent="0.25">
      <c r="A135" s="36" t="s">
        <v>165</v>
      </c>
      <c r="B135" s="36" t="s">
        <v>159</v>
      </c>
      <c r="C135" s="36">
        <v>228</v>
      </c>
      <c r="D135" s="36" t="s">
        <v>32</v>
      </c>
      <c r="E135" s="36">
        <v>581578.61148608604</v>
      </c>
      <c r="F135" s="36">
        <v>0</v>
      </c>
      <c r="G135" s="36">
        <v>0</v>
      </c>
      <c r="H135" s="36">
        <v>60</v>
      </c>
      <c r="I135" s="41" t="e">
        <v>#NUM!</v>
      </c>
      <c r="J135" s="38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>
        <v>6</v>
      </c>
      <c r="V135" s="36">
        <v>60</v>
      </c>
      <c r="W135" s="36" t="s">
        <v>407</v>
      </c>
      <c r="X135" s="36"/>
      <c r="Y135" s="36"/>
      <c r="Z135" s="28" t="s">
        <v>23</v>
      </c>
      <c r="AA135" s="29">
        <v>4.6051701859880918</v>
      </c>
    </row>
    <row r="136" spans="1:30" ht="17.25" x14ac:dyDescent="0.25">
      <c r="A136" s="37" t="s">
        <v>166</v>
      </c>
      <c r="B136" s="37" t="s">
        <v>159</v>
      </c>
      <c r="C136" s="37">
        <v>228</v>
      </c>
      <c r="D136" s="37" t="s">
        <v>32</v>
      </c>
      <c r="E136" s="37">
        <v>533850.34583964897</v>
      </c>
      <c r="F136" s="37">
        <v>0</v>
      </c>
      <c r="G136" s="37">
        <v>0</v>
      </c>
      <c r="H136" s="37">
        <v>30</v>
      </c>
      <c r="I136" s="40" t="e">
        <v>#NUM!</v>
      </c>
      <c r="J136" s="39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>
        <v>7</v>
      </c>
      <c r="V136" s="37">
        <v>30</v>
      </c>
      <c r="W136" s="37" t="s">
        <v>407</v>
      </c>
      <c r="X136" s="37"/>
      <c r="Y136" s="37"/>
      <c r="Z136" s="28" t="s">
        <v>24</v>
      </c>
      <c r="AA136" s="30">
        <v>0.96217796619771523</v>
      </c>
    </row>
    <row r="137" spans="1:30" ht="18" x14ac:dyDescent="0.35">
      <c r="A137" s="36" t="s">
        <v>167</v>
      </c>
      <c r="B137" s="36" t="s">
        <v>159</v>
      </c>
      <c r="C137" s="36">
        <v>228</v>
      </c>
      <c r="D137" s="36" t="s">
        <v>32</v>
      </c>
      <c r="E137" s="36">
        <v>545476.15127660404</v>
      </c>
      <c r="F137" s="36">
        <v>0</v>
      </c>
      <c r="G137" s="36">
        <v>0</v>
      </c>
      <c r="H137" s="36">
        <v>30</v>
      </c>
      <c r="I137" s="41" t="e">
        <v>#NUM!</v>
      </c>
      <c r="J137" s="38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>
        <v>8</v>
      </c>
      <c r="V137" s="36">
        <v>30</v>
      </c>
      <c r="W137" s="36" t="s">
        <v>407</v>
      </c>
      <c r="X137" s="36"/>
      <c r="Y137" s="36"/>
      <c r="Z137" s="28" t="s">
        <v>25</v>
      </c>
      <c r="AA137" s="35">
        <v>8.5947834070900768</v>
      </c>
    </row>
    <row r="138" spans="1:30" ht="18.75" x14ac:dyDescent="0.35">
      <c r="A138" s="37" t="s">
        <v>168</v>
      </c>
      <c r="B138" s="37" t="s">
        <v>159</v>
      </c>
      <c r="C138" s="37">
        <v>228</v>
      </c>
      <c r="D138" s="37" t="s">
        <v>32</v>
      </c>
      <c r="E138" s="37">
        <v>476272.58807985898</v>
      </c>
      <c r="F138" s="37">
        <v>0</v>
      </c>
      <c r="G138" s="37">
        <v>0</v>
      </c>
      <c r="H138" s="37">
        <v>30</v>
      </c>
      <c r="I138" s="40" t="e">
        <v>#NUM!</v>
      </c>
      <c r="J138" s="39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>
        <v>9</v>
      </c>
      <c r="V138" s="37">
        <v>30</v>
      </c>
      <c r="W138" s="37" t="s">
        <v>407</v>
      </c>
      <c r="X138" s="37"/>
      <c r="Y138" s="37"/>
      <c r="Z138" s="28" t="s">
        <v>26</v>
      </c>
      <c r="AA138" s="35">
        <v>161.29485706135392</v>
      </c>
    </row>
    <row r="139" spans="1:30" ht="15.75" thickBot="1" x14ac:dyDescent="0.3">
      <c r="A139" s="36" t="s">
        <v>169</v>
      </c>
      <c r="B139" s="36" t="s">
        <v>159</v>
      </c>
      <c r="C139" s="36">
        <v>228</v>
      </c>
      <c r="D139" s="36">
        <v>4294.3793352386501</v>
      </c>
      <c r="E139" s="36">
        <v>561925.24461136304</v>
      </c>
      <c r="F139" s="36">
        <v>7.6422609171239997E-3</v>
      </c>
      <c r="G139" s="36">
        <v>23.971443514863044</v>
      </c>
      <c r="H139" s="36">
        <v>15</v>
      </c>
      <c r="I139" s="41">
        <v>3.1768632683628266</v>
      </c>
      <c r="J139" s="38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>
        <v>10</v>
      </c>
      <c r="V139" s="36">
        <v>15</v>
      </c>
      <c r="W139" s="36">
        <v>3.1768632683628266</v>
      </c>
      <c r="X139" s="36"/>
      <c r="Y139" s="36"/>
      <c r="Z139" s="32" t="s">
        <v>10</v>
      </c>
      <c r="AA139" s="33" t="s">
        <v>27</v>
      </c>
    </row>
    <row r="140" spans="1:30" x14ac:dyDescent="0.25">
      <c r="A140" s="37" t="s">
        <v>170</v>
      </c>
      <c r="B140" s="37" t="s">
        <v>159</v>
      </c>
      <c r="C140" s="37">
        <v>228</v>
      </c>
      <c r="D140" s="37">
        <v>5071.5898466391</v>
      </c>
      <c r="E140" s="37">
        <v>582204.416188556</v>
      </c>
      <c r="F140" s="37">
        <v>8.7110123276640007E-3</v>
      </c>
      <c r="G140" s="37">
        <v>36.242343646458998</v>
      </c>
      <c r="H140" s="37">
        <v>15</v>
      </c>
      <c r="I140" s="40">
        <v>3.5902281492399077</v>
      </c>
      <c r="J140" s="39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>
        <v>11</v>
      </c>
      <c r="V140" s="37">
        <v>15</v>
      </c>
      <c r="W140" s="37">
        <v>3.5902281492399077</v>
      </c>
      <c r="X140" s="37"/>
      <c r="Y140" s="37"/>
    </row>
    <row r="141" spans="1:30" x14ac:dyDescent="0.25">
      <c r="A141" s="36" t="s">
        <v>171</v>
      </c>
      <c r="B141" s="36" t="s">
        <v>159</v>
      </c>
      <c r="C141" s="36">
        <v>228</v>
      </c>
      <c r="D141" s="36">
        <v>4856.3180783545304</v>
      </c>
      <c r="E141" s="36">
        <v>576864.93892480806</v>
      </c>
      <c r="F141" s="36">
        <v>8.4184663526370006E-3</v>
      </c>
      <c r="G141" s="36">
        <v>30.547561317219362</v>
      </c>
      <c r="H141" s="36">
        <v>15</v>
      </c>
      <c r="I141" s="41">
        <v>3.4192848564810774</v>
      </c>
      <c r="J141" s="38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>
        <v>12</v>
      </c>
      <c r="V141" s="36">
        <v>15</v>
      </c>
      <c r="W141" s="36">
        <v>3.4192848564810774</v>
      </c>
      <c r="X141" s="36"/>
      <c r="Y141" s="36"/>
    </row>
    <row r="142" spans="1:30" x14ac:dyDescent="0.25">
      <c r="A142" s="37" t="s">
        <v>172</v>
      </c>
      <c r="B142" s="37" t="s">
        <v>159</v>
      </c>
      <c r="C142" s="37">
        <v>228</v>
      </c>
      <c r="D142" s="37">
        <v>18890.836176228899</v>
      </c>
      <c r="E142" s="37">
        <v>592547.96094743302</v>
      </c>
      <c r="F142" s="37">
        <v>3.1880687170072003E-2</v>
      </c>
      <c r="G142" s="37">
        <v>100</v>
      </c>
      <c r="H142" s="37">
        <v>0</v>
      </c>
      <c r="I142" s="40">
        <v>4.6051701859880918</v>
      </c>
      <c r="J142" s="39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>
        <v>13</v>
      </c>
      <c r="V142" s="37">
        <v>0</v>
      </c>
      <c r="W142" s="37">
        <v>4.6051701859880918</v>
      </c>
      <c r="X142" s="37"/>
      <c r="Y142" s="37"/>
    </row>
    <row r="143" spans="1:30" x14ac:dyDescent="0.25">
      <c r="A143" s="36" t="s">
        <v>173</v>
      </c>
      <c r="B143" s="36" t="s">
        <v>159</v>
      </c>
      <c r="C143" s="36">
        <v>228</v>
      </c>
      <c r="D143" s="36">
        <v>14292.074079055001</v>
      </c>
      <c r="E143" s="36">
        <v>594624.64373836096</v>
      </c>
      <c r="F143" s="36">
        <v>2.4035455357521E-2</v>
      </c>
      <c r="G143" s="36">
        <v>100</v>
      </c>
      <c r="H143" s="36">
        <v>0</v>
      </c>
      <c r="I143" s="41">
        <v>4.6051701859880918</v>
      </c>
      <c r="J143" s="38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>
        <v>14</v>
      </c>
      <c r="V143" s="36">
        <v>0</v>
      </c>
      <c r="W143" s="36">
        <v>4.6051701859880918</v>
      </c>
      <c r="X143" s="36"/>
      <c r="Y143" s="36"/>
    </row>
    <row r="144" spans="1:30" x14ac:dyDescent="0.25">
      <c r="A144" s="37" t="s">
        <v>174</v>
      </c>
      <c r="B144" s="37" t="s">
        <v>159</v>
      </c>
      <c r="C144" s="37">
        <v>228</v>
      </c>
      <c r="D144" s="37">
        <v>16903.450104934898</v>
      </c>
      <c r="E144" s="37">
        <v>613364.901543285</v>
      </c>
      <c r="F144" s="37">
        <v>2.7558554560921999E-2</v>
      </c>
      <c r="G144" s="37">
        <v>100</v>
      </c>
      <c r="H144" s="37">
        <v>0</v>
      </c>
      <c r="I144" s="40">
        <v>4.6051701859880918</v>
      </c>
      <c r="J144" s="39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>
        <v>15</v>
      </c>
      <c r="V144" s="37">
        <v>0</v>
      </c>
      <c r="W144" s="37">
        <v>4.6051701859880918</v>
      </c>
      <c r="X144" s="37"/>
      <c r="Y144" s="37"/>
    </row>
    <row r="145" spans="1:30" x14ac:dyDescent="0.25">
      <c r="A145" s="36"/>
      <c r="B145" s="36"/>
      <c r="C145" s="36"/>
      <c r="D145" s="36"/>
      <c r="E145" s="36"/>
      <c r="F145" s="36"/>
      <c r="G145" s="36"/>
      <c r="H145" s="36"/>
      <c r="I145" s="36"/>
      <c r="J145" s="38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</row>
    <row r="146" spans="1:30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4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</row>
    <row r="147" spans="1:30" ht="15.75" thickBot="1" x14ac:dyDescent="0.3">
      <c r="A147" s="36"/>
      <c r="B147" s="36"/>
      <c r="C147" s="36"/>
      <c r="D147" s="36"/>
      <c r="E147" s="36"/>
      <c r="F147" s="36"/>
      <c r="G147" s="36"/>
      <c r="H147" s="36"/>
      <c r="I147" s="36"/>
      <c r="J147" s="38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</row>
    <row r="148" spans="1:30" ht="16.5" thickTop="1" thickBot="1" x14ac:dyDescent="0.3">
      <c r="A148" s="37" t="s">
        <v>42</v>
      </c>
      <c r="B148" s="46" t="s">
        <v>190</v>
      </c>
      <c r="C148" s="37">
        <v>191</v>
      </c>
      <c r="D148" s="37">
        <v>86045.585520651293</v>
      </c>
      <c r="E148" s="37">
        <v>336156.137465954</v>
      </c>
      <c r="F148" s="37">
        <v>0.25596910462289502</v>
      </c>
      <c r="G148" s="37"/>
      <c r="H148" s="37"/>
      <c r="I148" s="37"/>
      <c r="J148" s="39"/>
      <c r="K148" s="37"/>
      <c r="L148" s="37"/>
      <c r="M148" s="37"/>
      <c r="N148" s="37"/>
      <c r="O148" s="37"/>
      <c r="P148" s="37"/>
      <c r="Q148" s="37"/>
      <c r="R148" s="46" t="s">
        <v>191</v>
      </c>
      <c r="S148" s="37"/>
      <c r="T148" s="37">
        <v>12</v>
      </c>
      <c r="U148" s="37"/>
      <c r="V148" s="37"/>
      <c r="W148" s="37"/>
      <c r="X148" s="37"/>
      <c r="Y148" s="37"/>
      <c r="Z148" s="10" t="s">
        <v>16</v>
      </c>
      <c r="AA148" s="10" t="s">
        <v>18</v>
      </c>
      <c r="AB148" s="10" t="s">
        <v>19</v>
      </c>
      <c r="AC148" s="10" t="s">
        <v>20</v>
      </c>
      <c r="AD148" s="10" t="s">
        <v>21</v>
      </c>
    </row>
    <row r="149" spans="1:30" ht="15.75" thickTop="1" x14ac:dyDescent="0.25">
      <c r="A149" s="36" t="s">
        <v>43</v>
      </c>
      <c r="B149" s="36" t="s">
        <v>190</v>
      </c>
      <c r="C149" s="36">
        <v>191</v>
      </c>
      <c r="D149" s="36">
        <v>30810.310282730199</v>
      </c>
      <c r="E149" s="36">
        <v>92612.788956766599</v>
      </c>
      <c r="F149" s="36">
        <v>0.332678786912605</v>
      </c>
      <c r="G149" s="36"/>
      <c r="H149" s="36"/>
      <c r="I149" s="36"/>
      <c r="J149" s="38"/>
      <c r="K149" s="36"/>
      <c r="L149" s="36"/>
      <c r="M149" s="36"/>
      <c r="N149" s="36"/>
      <c r="O149" s="36"/>
      <c r="P149" s="36"/>
      <c r="Q149" s="36"/>
      <c r="R149" s="36" t="s">
        <v>16</v>
      </c>
      <c r="S149" s="36"/>
      <c r="T149" s="36">
        <v>214</v>
      </c>
      <c r="U149" s="36"/>
      <c r="V149" s="36"/>
      <c r="W149" s="36"/>
      <c r="X149" s="36"/>
      <c r="Y149" s="36"/>
      <c r="Z149" s="11">
        <v>120</v>
      </c>
      <c r="AA149" s="12">
        <v>-0.28700120995301881</v>
      </c>
      <c r="AB149" s="12">
        <v>0.28526024091411162</v>
      </c>
      <c r="AC149" s="12" t="s">
        <v>408</v>
      </c>
      <c r="AD149" s="12">
        <v>-8.7048451945359595E-4</v>
      </c>
    </row>
    <row r="150" spans="1:30" x14ac:dyDescent="0.25">
      <c r="A150" s="37" t="s">
        <v>44</v>
      </c>
      <c r="B150" s="37" t="s">
        <v>190</v>
      </c>
      <c r="C150" s="37">
        <v>191</v>
      </c>
      <c r="D150" s="37">
        <v>238042.52772916999</v>
      </c>
      <c r="E150" s="37">
        <v>604783.42368647805</v>
      </c>
      <c r="F150" s="37">
        <v>0.39359962328030501</v>
      </c>
      <c r="G150" s="37"/>
      <c r="H150" s="37"/>
      <c r="I150" s="37"/>
      <c r="J150" s="39"/>
      <c r="K150" s="37"/>
      <c r="L150" s="37"/>
      <c r="M150" s="37"/>
      <c r="N150" s="37"/>
      <c r="O150" s="37"/>
      <c r="P150" s="37"/>
      <c r="Q150" s="37"/>
      <c r="R150" s="37" t="s">
        <v>17</v>
      </c>
      <c r="S150" s="37"/>
      <c r="T150" s="37">
        <v>228</v>
      </c>
      <c r="U150" s="37"/>
      <c r="V150" s="37"/>
      <c r="W150" s="37"/>
      <c r="X150" s="37"/>
      <c r="Y150" s="37"/>
      <c r="Z150" s="11">
        <v>60</v>
      </c>
      <c r="AA150" s="12">
        <v>-2.0193723051641492</v>
      </c>
      <c r="AB150" s="12">
        <v>-72.736643699138796</v>
      </c>
      <c r="AC150" s="12" t="s">
        <v>409</v>
      </c>
      <c r="AD150" s="12">
        <v>-37.378008002151475</v>
      </c>
    </row>
    <row r="151" spans="1:30" x14ac:dyDescent="0.25">
      <c r="A151" s="36" t="s">
        <v>175</v>
      </c>
      <c r="B151" s="36" t="s">
        <v>190</v>
      </c>
      <c r="C151" s="36">
        <v>191</v>
      </c>
      <c r="D151" s="36">
        <v>244909.81515657101</v>
      </c>
      <c r="E151" s="36">
        <v>677000.67938177497</v>
      </c>
      <c r="F151" s="36">
        <v>0.361757118737633</v>
      </c>
      <c r="G151" s="36">
        <v>-28.70012099530188</v>
      </c>
      <c r="H151" s="36">
        <v>120</v>
      </c>
      <c r="I151" s="41" t="e">
        <v>#NUM!</v>
      </c>
      <c r="J151" s="38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>
        <v>1</v>
      </c>
      <c r="V151" s="36">
        <v>120</v>
      </c>
      <c r="W151" s="36" t="s">
        <v>407</v>
      </c>
      <c r="X151" s="36"/>
      <c r="Y151" s="36"/>
      <c r="Z151" s="11">
        <v>30</v>
      </c>
      <c r="AA151" s="12">
        <v>-0.60390915831600511</v>
      </c>
      <c r="AB151" s="12">
        <v>-0.35810550229193483</v>
      </c>
      <c r="AC151" s="12" t="s">
        <v>410</v>
      </c>
      <c r="AD151" s="12">
        <v>-0.48100733030396997</v>
      </c>
    </row>
    <row r="152" spans="1:30" x14ac:dyDescent="0.25">
      <c r="A152" s="37" t="s">
        <v>176</v>
      </c>
      <c r="B152" s="37" t="s">
        <v>190</v>
      </c>
      <c r="C152" s="37">
        <v>191</v>
      </c>
      <c r="D152" s="37">
        <v>186721.555430006</v>
      </c>
      <c r="E152" s="37">
        <v>609683.68067410204</v>
      </c>
      <c r="F152" s="37">
        <v>0.30625972344143398</v>
      </c>
      <c r="G152" s="37">
        <v>28.526024091411163</v>
      </c>
      <c r="H152" s="37">
        <v>120</v>
      </c>
      <c r="I152" s="40">
        <v>3.3508167966430866</v>
      </c>
      <c r="J152" s="39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>
        <v>2</v>
      </c>
      <c r="V152" s="37">
        <v>120</v>
      </c>
      <c r="W152" s="37">
        <v>3.3508167966430866</v>
      </c>
      <c r="X152" s="37"/>
      <c r="Y152" s="37"/>
      <c r="Z152" s="11">
        <v>15</v>
      </c>
      <c r="AA152" s="12">
        <v>0.16380284988682084</v>
      </c>
      <c r="AB152" s="12">
        <v>-9.234541076734816E-2</v>
      </c>
      <c r="AC152" s="12">
        <v>-4.1020398634788256E-2</v>
      </c>
      <c r="AD152" s="12">
        <v>1.0145680161561475E-2</v>
      </c>
    </row>
    <row r="153" spans="1:30" ht="15.75" thickBot="1" x14ac:dyDescent="0.3">
      <c r="A153" s="36" t="s">
        <v>177</v>
      </c>
      <c r="B153" s="36" t="s">
        <v>190</v>
      </c>
      <c r="C153" s="36">
        <v>191</v>
      </c>
      <c r="D153" s="36">
        <v>301685.54493314499</v>
      </c>
      <c r="E153" s="36">
        <v>771371.57133053895</v>
      </c>
      <c r="F153" s="36">
        <v>0.39110275274050899</v>
      </c>
      <c r="G153" s="36">
        <v>149.62733913154543</v>
      </c>
      <c r="H153" s="36">
        <v>120</v>
      </c>
      <c r="I153" s="41" t="s">
        <v>411</v>
      </c>
      <c r="J153" s="38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 t="s">
        <v>407</v>
      </c>
      <c r="V153" s="36">
        <v>60</v>
      </c>
      <c r="W153" s="36" t="s">
        <v>407</v>
      </c>
      <c r="X153" s="36"/>
      <c r="Y153" s="36"/>
      <c r="Z153" s="13">
        <v>0</v>
      </c>
      <c r="AA153" s="14">
        <v>1</v>
      </c>
      <c r="AB153" s="14">
        <v>1</v>
      </c>
      <c r="AC153" s="14">
        <v>1</v>
      </c>
      <c r="AD153" s="14">
        <v>1</v>
      </c>
    </row>
    <row r="154" spans="1:30" ht="16.5" thickTop="1" thickBot="1" x14ac:dyDescent="0.3">
      <c r="A154" s="37" t="s">
        <v>178</v>
      </c>
      <c r="B154" s="37" t="s">
        <v>190</v>
      </c>
      <c r="C154" s="37">
        <v>191</v>
      </c>
      <c r="D154" s="37">
        <v>335685.44829817198</v>
      </c>
      <c r="E154" s="37">
        <v>589910.30969434103</v>
      </c>
      <c r="F154" s="37">
        <v>0.56904489170922601</v>
      </c>
      <c r="G154" s="37">
        <v>-201.93723051641493</v>
      </c>
      <c r="H154" s="37">
        <v>60</v>
      </c>
      <c r="I154" s="40" t="e">
        <v>#NUM!</v>
      </c>
      <c r="J154" s="39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>
        <v>4</v>
      </c>
      <c r="V154" s="37">
        <v>60</v>
      </c>
      <c r="W154" s="37" t="s">
        <v>407</v>
      </c>
      <c r="X154" s="37"/>
      <c r="Y154" s="37"/>
    </row>
    <row r="155" spans="1:30" x14ac:dyDescent="0.25">
      <c r="A155" s="36" t="s">
        <v>179</v>
      </c>
      <c r="B155" s="36" t="s">
        <v>190</v>
      </c>
      <c r="C155" s="36">
        <v>191</v>
      </c>
      <c r="D155" s="36">
        <v>633406.18338331801</v>
      </c>
      <c r="E155" s="36">
        <v>110699.055399266</v>
      </c>
      <c r="F155" s="36">
        <v>5.7218752327991202</v>
      </c>
      <c r="G155" s="36">
        <v>-7273.6643699138795</v>
      </c>
      <c r="H155" s="36">
        <v>60</v>
      </c>
      <c r="I155" s="41" t="e">
        <v>#NUM!</v>
      </c>
      <c r="J155" s="38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>
        <v>5</v>
      </c>
      <c r="V155" s="36">
        <v>30</v>
      </c>
      <c r="W155" s="36" t="s">
        <v>407</v>
      </c>
      <c r="X155" s="36"/>
      <c r="Y155" s="36"/>
      <c r="Z155" s="26" t="s">
        <v>22</v>
      </c>
      <c r="AA155" s="27">
        <v>-8.6471552549570591E-3</v>
      </c>
    </row>
    <row r="156" spans="1:30" x14ac:dyDescent="0.25">
      <c r="A156" s="37" t="s">
        <v>180</v>
      </c>
      <c r="B156" s="37" t="s">
        <v>190</v>
      </c>
      <c r="C156" s="37">
        <v>191</v>
      </c>
      <c r="D156" s="37">
        <v>485087.39071495499</v>
      </c>
      <c r="E156" s="37">
        <v>499938.79843239998</v>
      </c>
      <c r="F156" s="37">
        <v>0.97029354840229998</v>
      </c>
      <c r="G156" s="37">
        <v>1510.3900378350565</v>
      </c>
      <c r="H156" s="37">
        <v>60</v>
      </c>
      <c r="I156" s="40" t="s">
        <v>412</v>
      </c>
      <c r="J156" s="39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 t="s">
        <v>407</v>
      </c>
      <c r="V156" s="37">
        <v>30</v>
      </c>
      <c r="W156" s="37" t="s">
        <v>407</v>
      </c>
      <c r="X156" s="37"/>
      <c r="Y156" s="37"/>
      <c r="Z156" s="28" t="s">
        <v>23</v>
      </c>
      <c r="AA156" s="29">
        <v>4.225954358175315</v>
      </c>
    </row>
    <row r="157" spans="1:30" ht="17.25" x14ac:dyDescent="0.25">
      <c r="A157" s="36" t="s">
        <v>181</v>
      </c>
      <c r="B157" s="36" t="s">
        <v>190</v>
      </c>
      <c r="C157" s="36">
        <v>191</v>
      </c>
      <c r="D157" s="36">
        <v>214002.787100063</v>
      </c>
      <c r="E157" s="36">
        <v>535439.46135819901</v>
      </c>
      <c r="F157" s="36">
        <v>0.39967690569018199</v>
      </c>
      <c r="G157" s="36">
        <v>-60.390915831600509</v>
      </c>
      <c r="H157" s="36">
        <v>30</v>
      </c>
      <c r="I157" s="41" t="e">
        <v>#NUM!</v>
      </c>
      <c r="J157" s="38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>
        <v>7</v>
      </c>
      <c r="V157" s="36">
        <v>15</v>
      </c>
      <c r="W157" s="36">
        <v>2.7960784768500098</v>
      </c>
      <c r="X157" s="36"/>
      <c r="Y157" s="36"/>
      <c r="Z157" s="28" t="s">
        <v>24</v>
      </c>
      <c r="AA157" s="30">
        <v>0.2765019993748084</v>
      </c>
    </row>
    <row r="158" spans="1:30" ht="18" x14ac:dyDescent="0.35">
      <c r="A158" s="37" t="s">
        <v>182</v>
      </c>
      <c r="B158" s="37" t="s">
        <v>190</v>
      </c>
      <c r="C158" s="37">
        <v>191</v>
      </c>
      <c r="D158" s="37">
        <v>196863.858308672</v>
      </c>
      <c r="E158" s="37">
        <v>556152.70613996102</v>
      </c>
      <c r="F158" s="37">
        <v>0.35397446804678501</v>
      </c>
      <c r="G158" s="37">
        <v>-35.810550229193481</v>
      </c>
      <c r="H158" s="37">
        <v>30</v>
      </c>
      <c r="I158" s="40" t="e">
        <v>#NUM!</v>
      </c>
      <c r="J158" s="39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>
        <v>8</v>
      </c>
      <c r="V158" s="37">
        <v>15</v>
      </c>
      <c r="W158" s="37" t="s">
        <v>407</v>
      </c>
      <c r="X158" s="37"/>
      <c r="Y158" s="37"/>
      <c r="Z158" s="28" t="s">
        <v>25</v>
      </c>
      <c r="AA158" s="31">
        <v>80.158984096254372</v>
      </c>
    </row>
    <row r="159" spans="1:30" ht="18.75" x14ac:dyDescent="0.35">
      <c r="A159" s="36" t="s">
        <v>183</v>
      </c>
      <c r="B159" s="36" t="s">
        <v>190</v>
      </c>
      <c r="C159" s="36">
        <v>191</v>
      </c>
      <c r="D159" s="36">
        <v>175393.15692737899</v>
      </c>
      <c r="E159" s="36">
        <v>444278.45268714702</v>
      </c>
      <c r="F159" s="36">
        <v>0.39478204685944501</v>
      </c>
      <c r="G159" s="36">
        <v>158.27154796930273</v>
      </c>
      <c r="H159" s="36">
        <v>30</v>
      </c>
      <c r="I159" s="41" t="s">
        <v>413</v>
      </c>
      <c r="J159" s="38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 t="s">
        <v>407</v>
      </c>
      <c r="V159" s="36">
        <v>15</v>
      </c>
      <c r="W159" s="36" t="s">
        <v>407</v>
      </c>
      <c r="X159" s="36"/>
      <c r="Y159" s="36"/>
      <c r="Z159" s="28" t="s">
        <v>26</v>
      </c>
      <c r="AA159" s="29">
        <v>17.294310509914119</v>
      </c>
    </row>
    <row r="160" spans="1:30" ht="15.75" thickBot="1" x14ac:dyDescent="0.3">
      <c r="A160" s="37" t="s">
        <v>184</v>
      </c>
      <c r="B160" s="37" t="s">
        <v>190</v>
      </c>
      <c r="C160" s="37">
        <v>191</v>
      </c>
      <c r="D160" s="37">
        <v>181021.39677320901</v>
      </c>
      <c r="E160" s="37">
        <v>588083.27860806196</v>
      </c>
      <c r="F160" s="37">
        <v>0.30781592226473498</v>
      </c>
      <c r="G160" s="37">
        <v>16.380284988682085</v>
      </c>
      <c r="H160" s="37">
        <v>15</v>
      </c>
      <c r="I160" s="40">
        <v>2.7960784768500098</v>
      </c>
      <c r="J160" s="39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>
        <v>10</v>
      </c>
      <c r="V160" s="37">
        <v>0</v>
      </c>
      <c r="W160" s="37">
        <v>4.6051701859880918</v>
      </c>
      <c r="X160" s="37"/>
      <c r="Y160" s="37"/>
      <c r="Z160" s="32" t="s">
        <v>10</v>
      </c>
      <c r="AA160" s="33" t="s">
        <v>192</v>
      </c>
    </row>
    <row r="161" spans="1:25" x14ac:dyDescent="0.25">
      <c r="A161" s="36" t="s">
        <v>185</v>
      </c>
      <c r="B161" s="36" t="s">
        <v>190</v>
      </c>
      <c r="C161" s="36">
        <v>191</v>
      </c>
      <c r="D161" s="36">
        <v>182281.633931441</v>
      </c>
      <c r="E161" s="36">
        <v>545321.43613726704</v>
      </c>
      <c r="F161" s="36">
        <v>0.33426456737629001</v>
      </c>
      <c r="G161" s="36">
        <v>-9.2345410767348159</v>
      </c>
      <c r="H161" s="36">
        <v>15</v>
      </c>
      <c r="I161" s="41" t="e">
        <v>#NUM!</v>
      </c>
      <c r="J161" s="38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>
        <v>11</v>
      </c>
      <c r="V161" s="36">
        <v>0</v>
      </c>
      <c r="W161" s="36">
        <v>4.6051701859880918</v>
      </c>
      <c r="X161" s="36"/>
      <c r="Y161" s="36"/>
    </row>
    <row r="162" spans="1:25" x14ac:dyDescent="0.25">
      <c r="A162" s="37" t="s">
        <v>186</v>
      </c>
      <c r="B162" s="37" t="s">
        <v>190</v>
      </c>
      <c r="C162" s="37">
        <v>191</v>
      </c>
      <c r="D162" s="37">
        <v>175056.25871219701</v>
      </c>
      <c r="E162" s="37">
        <v>537526.74366292299</v>
      </c>
      <c r="F162" s="37">
        <v>0.325669858804223</v>
      </c>
      <c r="G162" s="37">
        <v>-4.1020398634788258</v>
      </c>
      <c r="H162" s="37">
        <v>15</v>
      </c>
      <c r="I162" s="40" t="e">
        <v>#NUM!</v>
      </c>
      <c r="J162" s="39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>
        <v>12</v>
      </c>
      <c r="V162" s="37">
        <v>0</v>
      </c>
      <c r="W162" s="37">
        <v>4.6051701859880918</v>
      </c>
      <c r="X162" s="37"/>
      <c r="Y162" s="37"/>
    </row>
    <row r="163" spans="1:25" x14ac:dyDescent="0.25">
      <c r="A163" s="36" t="s">
        <v>187</v>
      </c>
      <c r="B163" s="36" t="s">
        <v>190</v>
      </c>
      <c r="C163" s="36">
        <v>191</v>
      </c>
      <c r="D163" s="36">
        <v>125773.801356364</v>
      </c>
      <c r="E163" s="36">
        <v>605379.34027585306</v>
      </c>
      <c r="F163" s="36">
        <v>0.207760313226171</v>
      </c>
      <c r="G163" s="36">
        <v>100</v>
      </c>
      <c r="H163" s="36">
        <v>0</v>
      </c>
      <c r="I163" s="41">
        <v>4.6051701859880918</v>
      </c>
      <c r="J163" s="38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>
        <v>13</v>
      </c>
      <c r="V163" s="36" t="s">
        <v>407</v>
      </c>
      <c r="W163" s="36" t="s">
        <v>407</v>
      </c>
      <c r="X163" s="36"/>
      <c r="Y163" s="36"/>
    </row>
    <row r="164" spans="1:25" x14ac:dyDescent="0.25">
      <c r="A164" s="37" t="s">
        <v>188</v>
      </c>
      <c r="B164" s="37" t="s">
        <v>190</v>
      </c>
      <c r="C164" s="37">
        <v>191</v>
      </c>
      <c r="D164" s="37">
        <v>141488.229836924</v>
      </c>
      <c r="E164" s="37">
        <v>558686.46942807105</v>
      </c>
      <c r="F164" s="37">
        <v>0.25325157772617302</v>
      </c>
      <c r="G164" s="37">
        <v>100</v>
      </c>
      <c r="H164" s="37">
        <v>0</v>
      </c>
      <c r="I164" s="40">
        <v>4.6051701859880918</v>
      </c>
      <c r="J164" s="39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>
        <v>14</v>
      </c>
      <c r="V164" s="37" t="s">
        <v>407</v>
      </c>
      <c r="W164" s="37" t="s">
        <v>407</v>
      </c>
      <c r="X164" s="37"/>
      <c r="Y164" s="37"/>
    </row>
    <row r="165" spans="1:25" x14ac:dyDescent="0.25">
      <c r="A165" s="36" t="s">
        <v>189</v>
      </c>
      <c r="B165" s="36" t="s">
        <v>190</v>
      </c>
      <c r="C165" s="36">
        <v>191</v>
      </c>
      <c r="D165" s="36">
        <v>199729.315427978</v>
      </c>
      <c r="E165" s="36">
        <v>539838.83161305205</v>
      </c>
      <c r="F165" s="36">
        <v>0.369979526725008</v>
      </c>
      <c r="G165" s="36">
        <v>100</v>
      </c>
      <c r="H165" s="36">
        <v>0</v>
      </c>
      <c r="I165" s="41">
        <v>4.6051701859880918</v>
      </c>
      <c r="J165" s="38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>
        <v>15</v>
      </c>
      <c r="V165" s="36" t="s">
        <v>407</v>
      </c>
      <c r="W165" s="36" t="s">
        <v>407</v>
      </c>
      <c r="X165" s="36"/>
      <c r="Y165" s="36"/>
    </row>
    <row r="166" spans="1:25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9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</row>
  </sheetData>
  <sortState ref="A2:L271">
    <sortCondition ref="H2:H271"/>
    <sortCondition ref="L2:L271"/>
    <sortCondition ref="B2:B271"/>
    <sortCondition ref="G2:G271"/>
    <sortCondition descending="1" ref="J2:J271"/>
    <sortCondition ref="K2:K271"/>
  </sortState>
  <conditionalFormatting sqref="I5">
    <cfRule type="expression" dxfId="421" priority="529">
      <formula>ISTEXT($I$5)</formula>
    </cfRule>
  </conditionalFormatting>
  <conditionalFormatting sqref="I6">
    <cfRule type="expression" dxfId="420" priority="528">
      <formula>ISTEXT($I$6)</formula>
    </cfRule>
  </conditionalFormatting>
  <conditionalFormatting sqref="I7">
    <cfRule type="expression" dxfId="419" priority="527">
      <formula>ISTEXT($I$7)</formula>
    </cfRule>
  </conditionalFormatting>
  <conditionalFormatting sqref="I8">
    <cfRule type="expression" dxfId="418" priority="526">
      <formula>ISTEXT($I$8)</formula>
    </cfRule>
  </conditionalFormatting>
  <conditionalFormatting sqref="I9">
    <cfRule type="expression" dxfId="417" priority="525">
      <formula>ISTEXT($I$9)</formula>
    </cfRule>
  </conditionalFormatting>
  <conditionalFormatting sqref="I10">
    <cfRule type="expression" dxfId="416" priority="524">
      <formula>ISTEXT($I$10)</formula>
    </cfRule>
  </conditionalFormatting>
  <conditionalFormatting sqref="I11">
    <cfRule type="expression" dxfId="415" priority="523">
      <formula>ISTEXT($I$11)</formula>
    </cfRule>
  </conditionalFormatting>
  <conditionalFormatting sqref="I12">
    <cfRule type="expression" dxfId="414" priority="522">
      <formula>ISTEXT($I$12)</formula>
    </cfRule>
  </conditionalFormatting>
  <conditionalFormatting sqref="I13">
    <cfRule type="expression" dxfId="413" priority="521">
      <formula>ISTEXT($I$13)</formula>
    </cfRule>
  </conditionalFormatting>
  <conditionalFormatting sqref="I14">
    <cfRule type="expression" dxfId="412" priority="520">
      <formula>ISTEXT($I$14)</formula>
    </cfRule>
  </conditionalFormatting>
  <conditionalFormatting sqref="I15">
    <cfRule type="expression" dxfId="411" priority="519">
      <formula>ISTEXT($I$15)</formula>
    </cfRule>
  </conditionalFormatting>
  <conditionalFormatting sqref="I16">
    <cfRule type="expression" dxfId="410" priority="518">
      <formula>ISTEXT($I$16)</formula>
    </cfRule>
  </conditionalFormatting>
  <conditionalFormatting sqref="I17">
    <cfRule type="expression" dxfId="409" priority="517">
      <formula>ISTEXT($I$17)</formula>
    </cfRule>
  </conditionalFormatting>
  <conditionalFormatting sqref="I18">
    <cfRule type="expression" dxfId="408" priority="516">
      <formula>ISTEXT($I$18)</formula>
    </cfRule>
  </conditionalFormatting>
  <conditionalFormatting sqref="I19">
    <cfRule type="expression" dxfId="407" priority="515">
      <formula>ISTEXT($I$19)</formula>
    </cfRule>
  </conditionalFormatting>
  <conditionalFormatting sqref="I26">
    <cfRule type="expression" dxfId="406" priority="514">
      <formula>ISTEXT($I$26)</formula>
    </cfRule>
  </conditionalFormatting>
  <conditionalFormatting sqref="I27">
    <cfRule type="expression" dxfId="405" priority="513">
      <formula>ISTEXT($I$27)</formula>
    </cfRule>
  </conditionalFormatting>
  <conditionalFormatting sqref="I28">
    <cfRule type="expression" dxfId="404" priority="512">
      <formula>ISTEXT($I$28)</formula>
    </cfRule>
  </conditionalFormatting>
  <conditionalFormatting sqref="I29">
    <cfRule type="expression" dxfId="403" priority="511">
      <formula>ISTEXT($I$29)</formula>
    </cfRule>
  </conditionalFormatting>
  <conditionalFormatting sqref="I30">
    <cfRule type="expression" dxfId="402" priority="510">
      <formula>ISTEXT($I$30)</formula>
    </cfRule>
  </conditionalFormatting>
  <conditionalFormatting sqref="I31">
    <cfRule type="expression" dxfId="401" priority="509">
      <formula>ISTEXT($I$31)</formula>
    </cfRule>
  </conditionalFormatting>
  <conditionalFormatting sqref="I32">
    <cfRule type="expression" dxfId="400" priority="508">
      <formula>ISTEXT($I$32)</formula>
    </cfRule>
  </conditionalFormatting>
  <conditionalFormatting sqref="I33">
    <cfRule type="expression" dxfId="399" priority="507">
      <formula>ISTEXT($I$33)</formula>
    </cfRule>
  </conditionalFormatting>
  <conditionalFormatting sqref="I34">
    <cfRule type="expression" dxfId="398" priority="506">
      <formula>ISTEXT($I$34)</formula>
    </cfRule>
  </conditionalFormatting>
  <conditionalFormatting sqref="I35">
    <cfRule type="expression" dxfId="397" priority="505">
      <formula>ISTEXT($I$35)</formula>
    </cfRule>
  </conditionalFormatting>
  <conditionalFormatting sqref="I36">
    <cfRule type="expression" dxfId="396" priority="504">
      <formula>ISTEXT($I$36)</formula>
    </cfRule>
  </conditionalFormatting>
  <conditionalFormatting sqref="I37">
    <cfRule type="expression" dxfId="395" priority="503">
      <formula>ISTEXT($I$37)</formula>
    </cfRule>
  </conditionalFormatting>
  <conditionalFormatting sqref="I38">
    <cfRule type="expression" dxfId="394" priority="502">
      <formula>ISTEXT($I$38)</formula>
    </cfRule>
  </conditionalFormatting>
  <conditionalFormatting sqref="I39">
    <cfRule type="expression" dxfId="393" priority="501">
      <formula>ISTEXT($I$39)</formula>
    </cfRule>
  </conditionalFormatting>
  <conditionalFormatting sqref="I40">
    <cfRule type="expression" dxfId="392" priority="500">
      <formula>ISTEXT($I$40)</formula>
    </cfRule>
  </conditionalFormatting>
  <conditionalFormatting sqref="I47">
    <cfRule type="expression" dxfId="391" priority="499">
      <formula>ISTEXT($I$47)</formula>
    </cfRule>
  </conditionalFormatting>
  <conditionalFormatting sqref="I48">
    <cfRule type="expression" dxfId="390" priority="498">
      <formula>ISTEXT($I$48)</formula>
    </cfRule>
  </conditionalFormatting>
  <conditionalFormatting sqref="I49">
    <cfRule type="expression" dxfId="389" priority="497">
      <formula>ISTEXT($I$49)</formula>
    </cfRule>
  </conditionalFormatting>
  <conditionalFormatting sqref="I50">
    <cfRule type="expression" dxfId="388" priority="496">
      <formula>ISTEXT($I$50)</formula>
    </cfRule>
  </conditionalFormatting>
  <conditionalFormatting sqref="I51">
    <cfRule type="expression" dxfId="387" priority="495">
      <formula>ISTEXT($I$51)</formula>
    </cfRule>
  </conditionalFormatting>
  <conditionalFormatting sqref="I52">
    <cfRule type="expression" dxfId="386" priority="494">
      <formula>ISTEXT($I$52)</formula>
    </cfRule>
  </conditionalFormatting>
  <conditionalFormatting sqref="I53">
    <cfRule type="expression" dxfId="385" priority="493">
      <formula>ISTEXT($I$53)</formula>
    </cfRule>
  </conditionalFormatting>
  <conditionalFormatting sqref="I54">
    <cfRule type="expression" dxfId="384" priority="492">
      <formula>ISTEXT($I$54)</formula>
    </cfRule>
  </conditionalFormatting>
  <conditionalFormatting sqref="I55">
    <cfRule type="expression" dxfId="383" priority="491">
      <formula>ISTEXT($I$55)</formula>
    </cfRule>
  </conditionalFormatting>
  <conditionalFormatting sqref="I56">
    <cfRule type="expression" dxfId="382" priority="490">
      <formula>ISTEXT($I$56)</formula>
    </cfRule>
  </conditionalFormatting>
  <conditionalFormatting sqref="I57">
    <cfRule type="expression" dxfId="381" priority="489">
      <formula>ISTEXT($I$57)</formula>
    </cfRule>
  </conditionalFormatting>
  <conditionalFormatting sqref="I58">
    <cfRule type="expression" dxfId="380" priority="488">
      <formula>ISTEXT($I$58)</formula>
    </cfRule>
  </conditionalFormatting>
  <conditionalFormatting sqref="I59">
    <cfRule type="expression" dxfId="379" priority="487">
      <formula>ISTEXT($I$59)</formula>
    </cfRule>
  </conditionalFormatting>
  <conditionalFormatting sqref="I60">
    <cfRule type="expression" dxfId="378" priority="486">
      <formula>ISTEXT($I$60)</formula>
    </cfRule>
  </conditionalFormatting>
  <conditionalFormatting sqref="I61:I63">
    <cfRule type="expression" dxfId="377" priority="485">
      <formula>ISTEXT($I$61)</formula>
    </cfRule>
  </conditionalFormatting>
  <conditionalFormatting sqref="I68">
    <cfRule type="expression" dxfId="376" priority="469">
      <formula>ISTEXT($I$68)</formula>
    </cfRule>
  </conditionalFormatting>
  <conditionalFormatting sqref="I69">
    <cfRule type="expression" dxfId="375" priority="468">
      <formula>ISTEXT($I$69)</formula>
    </cfRule>
  </conditionalFormatting>
  <conditionalFormatting sqref="I70">
    <cfRule type="expression" dxfId="374" priority="467">
      <formula>ISTEXT($I$70)</formula>
    </cfRule>
  </conditionalFormatting>
  <conditionalFormatting sqref="I71">
    <cfRule type="expression" dxfId="373" priority="466">
      <formula>ISTEXT($I$71)</formula>
    </cfRule>
  </conditionalFormatting>
  <conditionalFormatting sqref="I72">
    <cfRule type="expression" dxfId="372" priority="465">
      <formula>ISTEXT($I$72)</formula>
    </cfRule>
  </conditionalFormatting>
  <conditionalFormatting sqref="I73">
    <cfRule type="expression" dxfId="371" priority="464">
      <formula>ISTEXT($I$73)</formula>
    </cfRule>
  </conditionalFormatting>
  <conditionalFormatting sqref="I74">
    <cfRule type="expression" dxfId="370" priority="463">
      <formula>ISTEXT($I$74)</formula>
    </cfRule>
  </conditionalFormatting>
  <conditionalFormatting sqref="I75">
    <cfRule type="expression" dxfId="369" priority="462">
      <formula>ISTEXT($I$75)</formula>
    </cfRule>
  </conditionalFormatting>
  <conditionalFormatting sqref="I76">
    <cfRule type="expression" dxfId="368" priority="461">
      <formula>ISTEXT($I$76)</formula>
    </cfRule>
  </conditionalFormatting>
  <conditionalFormatting sqref="I77">
    <cfRule type="expression" dxfId="367" priority="460">
      <formula>ISTEXT($I$77)</formula>
    </cfRule>
  </conditionalFormatting>
  <conditionalFormatting sqref="I78">
    <cfRule type="expression" dxfId="366" priority="459">
      <formula>ISTEXT($I$78)</formula>
    </cfRule>
  </conditionalFormatting>
  <conditionalFormatting sqref="I79">
    <cfRule type="expression" dxfId="365" priority="458">
      <formula>ISTEXT($I$79)</formula>
    </cfRule>
  </conditionalFormatting>
  <conditionalFormatting sqref="I80">
    <cfRule type="expression" dxfId="364" priority="457">
      <formula>ISTEXT($I$80)</formula>
    </cfRule>
  </conditionalFormatting>
  <conditionalFormatting sqref="I81">
    <cfRule type="expression" dxfId="363" priority="456">
      <formula>ISTEXT($I$81)</formula>
    </cfRule>
  </conditionalFormatting>
  <conditionalFormatting sqref="I82">
    <cfRule type="expression" dxfId="362" priority="455">
      <formula>ISTEXT($I$82)</formula>
    </cfRule>
  </conditionalFormatting>
  <conditionalFormatting sqref="I88">
    <cfRule type="expression" dxfId="316" priority="409">
      <formula>ISTEXT($I$88)</formula>
    </cfRule>
  </conditionalFormatting>
  <conditionalFormatting sqref="I89">
    <cfRule type="expression" dxfId="315" priority="408">
      <formula>ISTEXT($I$89)</formula>
    </cfRule>
  </conditionalFormatting>
  <conditionalFormatting sqref="I90">
    <cfRule type="expression" dxfId="314" priority="407">
      <formula>ISTEXT($I$90)</formula>
    </cfRule>
  </conditionalFormatting>
  <conditionalFormatting sqref="I91">
    <cfRule type="expression" dxfId="313" priority="406">
      <formula>ISTEXT($I$91)</formula>
    </cfRule>
  </conditionalFormatting>
  <conditionalFormatting sqref="I92">
    <cfRule type="expression" dxfId="312" priority="405">
      <formula>ISTEXT($I$92)</formula>
    </cfRule>
  </conditionalFormatting>
  <conditionalFormatting sqref="I93">
    <cfRule type="expression" dxfId="311" priority="404">
      <formula>ISTEXT($I$93)</formula>
    </cfRule>
  </conditionalFormatting>
  <conditionalFormatting sqref="I94">
    <cfRule type="expression" dxfId="310" priority="403">
      <formula>ISTEXT($I$94)</formula>
    </cfRule>
  </conditionalFormatting>
  <conditionalFormatting sqref="I95">
    <cfRule type="expression" dxfId="309" priority="402">
      <formula>ISTEXT($I$95)</formula>
    </cfRule>
  </conditionalFormatting>
  <conditionalFormatting sqref="I96">
    <cfRule type="expression" dxfId="308" priority="401">
      <formula>ISTEXT($I$96)</formula>
    </cfRule>
  </conditionalFormatting>
  <conditionalFormatting sqref="I97">
    <cfRule type="expression" dxfId="307" priority="400">
      <formula>ISTEXT($I$97)</formula>
    </cfRule>
  </conditionalFormatting>
  <conditionalFormatting sqref="I98">
    <cfRule type="expression" dxfId="306" priority="399">
      <formula>ISTEXT($I$98)</formula>
    </cfRule>
  </conditionalFormatting>
  <conditionalFormatting sqref="I99">
    <cfRule type="expression" dxfId="305" priority="398">
      <formula>ISTEXT($I$99)</formula>
    </cfRule>
  </conditionalFormatting>
  <conditionalFormatting sqref="I100">
    <cfRule type="expression" dxfId="304" priority="397">
      <formula>ISTEXT($I$100)</formula>
    </cfRule>
  </conditionalFormatting>
  <conditionalFormatting sqref="I101">
    <cfRule type="expression" dxfId="303" priority="396">
      <formula>ISTEXT($I$101)</formula>
    </cfRule>
  </conditionalFormatting>
  <conditionalFormatting sqref="I102">
    <cfRule type="expression" dxfId="302" priority="395">
      <formula>ISTEXT($I$102)</formula>
    </cfRule>
  </conditionalFormatting>
  <conditionalFormatting sqref="I109">
    <cfRule type="expression" dxfId="301" priority="394">
      <formula>ISTEXT($I$109)</formula>
    </cfRule>
  </conditionalFormatting>
  <conditionalFormatting sqref="I110">
    <cfRule type="expression" dxfId="300" priority="393">
      <formula>ISTEXT($I$110)</formula>
    </cfRule>
  </conditionalFormatting>
  <conditionalFormatting sqref="I111">
    <cfRule type="expression" dxfId="299" priority="392">
      <formula>ISTEXT($I$111)</formula>
    </cfRule>
  </conditionalFormatting>
  <conditionalFormatting sqref="I112">
    <cfRule type="expression" dxfId="298" priority="391">
      <formula>ISTEXT($I$112)</formula>
    </cfRule>
  </conditionalFormatting>
  <conditionalFormatting sqref="I113">
    <cfRule type="expression" dxfId="297" priority="390">
      <formula>ISTEXT($I$113)</formula>
    </cfRule>
  </conditionalFormatting>
  <conditionalFormatting sqref="I114">
    <cfRule type="expression" dxfId="296" priority="389">
      <formula>ISTEXT($I$114)</formula>
    </cfRule>
  </conditionalFormatting>
  <conditionalFormatting sqref="I115">
    <cfRule type="expression" dxfId="295" priority="388">
      <formula>ISTEXT($I$115)</formula>
    </cfRule>
  </conditionalFormatting>
  <conditionalFormatting sqref="I116">
    <cfRule type="expression" dxfId="294" priority="387">
      <formula>ISTEXT($I$116)</formula>
    </cfRule>
  </conditionalFormatting>
  <conditionalFormatting sqref="I117">
    <cfRule type="expression" dxfId="293" priority="386">
      <formula>ISTEXT($I$117)</formula>
    </cfRule>
  </conditionalFormatting>
  <conditionalFormatting sqref="I118">
    <cfRule type="expression" dxfId="292" priority="385">
      <formula>ISTEXT($I$118)</formula>
    </cfRule>
  </conditionalFormatting>
  <conditionalFormatting sqref="I119">
    <cfRule type="expression" dxfId="291" priority="384">
      <formula>ISTEXT($I$119)</formula>
    </cfRule>
  </conditionalFormatting>
  <conditionalFormatting sqref="I120">
    <cfRule type="expression" dxfId="290" priority="383">
      <formula>ISTEXT($I$120)</formula>
    </cfRule>
  </conditionalFormatting>
  <conditionalFormatting sqref="I121">
    <cfRule type="expression" dxfId="289" priority="382">
      <formula>ISTEXT($I$121)</formula>
    </cfRule>
  </conditionalFormatting>
  <conditionalFormatting sqref="I122">
    <cfRule type="expression" dxfId="288" priority="381">
      <formula>ISTEXT($I$122)</formula>
    </cfRule>
  </conditionalFormatting>
  <conditionalFormatting sqref="I123">
    <cfRule type="expression" dxfId="287" priority="380">
      <formula>ISTEXT($I$123)</formula>
    </cfRule>
  </conditionalFormatting>
  <conditionalFormatting sqref="I130">
    <cfRule type="expression" dxfId="286" priority="379">
      <formula>ISTEXT($I$130)</formula>
    </cfRule>
  </conditionalFormatting>
  <conditionalFormatting sqref="I131">
    <cfRule type="expression" dxfId="285" priority="378">
      <formula>ISTEXT($I$131)</formula>
    </cfRule>
  </conditionalFormatting>
  <conditionalFormatting sqref="I132">
    <cfRule type="expression" dxfId="284" priority="377">
      <formula>ISTEXT($I$132)</formula>
    </cfRule>
  </conditionalFormatting>
  <conditionalFormatting sqref="I133">
    <cfRule type="expression" dxfId="283" priority="376">
      <formula>ISTEXT($I$133)</formula>
    </cfRule>
  </conditionalFormatting>
  <conditionalFormatting sqref="I134">
    <cfRule type="expression" dxfId="282" priority="375">
      <formula>ISTEXT($I$134)</formula>
    </cfRule>
  </conditionalFormatting>
  <conditionalFormatting sqref="I135">
    <cfRule type="expression" dxfId="281" priority="374">
      <formula>ISTEXT($I$135)</formula>
    </cfRule>
  </conditionalFormatting>
  <conditionalFormatting sqref="I136">
    <cfRule type="expression" dxfId="280" priority="373">
      <formula>ISTEXT($I$136)</formula>
    </cfRule>
  </conditionalFormatting>
  <conditionalFormatting sqref="I137">
    <cfRule type="expression" dxfId="279" priority="372">
      <formula>ISTEXT($I$137)</formula>
    </cfRule>
  </conditionalFormatting>
  <conditionalFormatting sqref="I138">
    <cfRule type="expression" dxfId="278" priority="371">
      <formula>ISTEXT($I$138)</formula>
    </cfRule>
  </conditionalFormatting>
  <conditionalFormatting sqref="I139">
    <cfRule type="expression" dxfId="277" priority="370">
      <formula>ISTEXT($I$139)</formula>
    </cfRule>
  </conditionalFormatting>
  <conditionalFormatting sqref="I140">
    <cfRule type="expression" dxfId="276" priority="369">
      <formula>ISTEXT($I$140)</formula>
    </cfRule>
  </conditionalFormatting>
  <conditionalFormatting sqref="I141">
    <cfRule type="expression" dxfId="275" priority="368">
      <formula>ISTEXT($I$141)</formula>
    </cfRule>
  </conditionalFormatting>
  <conditionalFormatting sqref="I142">
    <cfRule type="expression" dxfId="274" priority="367">
      <formula>ISTEXT($I$142)</formula>
    </cfRule>
  </conditionalFormatting>
  <conditionalFormatting sqref="I143">
    <cfRule type="expression" dxfId="273" priority="366">
      <formula>ISTEXT($I$143)</formula>
    </cfRule>
  </conditionalFormatting>
  <conditionalFormatting sqref="I144">
    <cfRule type="expression" dxfId="272" priority="365">
      <formula>ISTEXT($I$144)</formula>
    </cfRule>
  </conditionalFormatting>
  <conditionalFormatting sqref="I151">
    <cfRule type="expression" dxfId="271" priority="364">
      <formula>ISTEXT($I$151)</formula>
    </cfRule>
  </conditionalFormatting>
  <conditionalFormatting sqref="I152">
    <cfRule type="expression" dxfId="270" priority="363">
      <formula>ISTEXT($I$152)</formula>
    </cfRule>
  </conditionalFormatting>
  <conditionalFormatting sqref="I153">
    <cfRule type="expression" dxfId="269" priority="362">
      <formula>ISTEXT($I$153)</formula>
    </cfRule>
  </conditionalFormatting>
  <conditionalFormatting sqref="I154">
    <cfRule type="expression" dxfId="268" priority="361">
      <formula>ISTEXT($I$154)</formula>
    </cfRule>
  </conditionalFormatting>
  <conditionalFormatting sqref="I155">
    <cfRule type="expression" dxfId="267" priority="360">
      <formula>ISTEXT($I$155)</formula>
    </cfRule>
  </conditionalFormatting>
  <conditionalFormatting sqref="I156">
    <cfRule type="expression" dxfId="266" priority="359">
      <formula>ISTEXT($I$156)</formula>
    </cfRule>
  </conditionalFormatting>
  <conditionalFormatting sqref="I157">
    <cfRule type="expression" dxfId="265" priority="358">
      <formula>ISTEXT($I$157)</formula>
    </cfRule>
  </conditionalFormatting>
  <conditionalFormatting sqref="I158">
    <cfRule type="expression" dxfId="264" priority="357">
      <formula>ISTEXT($I$158)</formula>
    </cfRule>
  </conditionalFormatting>
  <conditionalFormatting sqref="I159">
    <cfRule type="expression" dxfId="263" priority="356">
      <formula>ISTEXT($I$159)</formula>
    </cfRule>
  </conditionalFormatting>
  <conditionalFormatting sqref="I160">
    <cfRule type="expression" dxfId="262" priority="355">
      <formula>ISTEXT($I$160)</formula>
    </cfRule>
  </conditionalFormatting>
  <conditionalFormatting sqref="I161">
    <cfRule type="expression" dxfId="261" priority="354">
      <formula>ISTEXT($I$161)</formula>
    </cfRule>
  </conditionalFormatting>
  <conditionalFormatting sqref="I162">
    <cfRule type="expression" dxfId="260" priority="353">
      <formula>ISTEXT($I$162)</formula>
    </cfRule>
  </conditionalFormatting>
  <conditionalFormatting sqref="I163">
    <cfRule type="expression" dxfId="259" priority="352">
      <formula>ISTEXT($I$163)</formula>
    </cfRule>
  </conditionalFormatting>
  <conditionalFormatting sqref="I164">
    <cfRule type="expression" dxfId="258" priority="351">
      <formula>ISTEXT($I$164)</formula>
    </cfRule>
  </conditionalFormatting>
  <conditionalFormatting sqref="I165">
    <cfRule type="expression" dxfId="257" priority="350">
      <formula>ISTEXT($I$165)</formula>
    </cfRule>
  </conditionalFormatting>
  <conditionalFormatting sqref="AA3">
    <cfRule type="expression" dxfId="256" priority="304">
      <formula>ISTEXT($AA$3)</formula>
    </cfRule>
  </conditionalFormatting>
  <conditionalFormatting sqref="AB3">
    <cfRule type="expression" dxfId="255" priority="303">
      <formula>ISTEXT($AB$3)</formula>
    </cfRule>
  </conditionalFormatting>
  <conditionalFormatting sqref="AC3">
    <cfRule type="expression" dxfId="254" priority="302">
      <formula>ISTEXT($AC$3)</formula>
    </cfRule>
  </conditionalFormatting>
  <conditionalFormatting sqref="AD3">
    <cfRule type="expression" dxfId="253" priority="301">
      <formula>ISTEXT($AD$3)</formula>
    </cfRule>
  </conditionalFormatting>
  <conditionalFormatting sqref="AA4">
    <cfRule type="expression" dxfId="252" priority="300">
      <formula>ISTEXT($AA$4)</formula>
    </cfRule>
  </conditionalFormatting>
  <conditionalFormatting sqref="AB4">
    <cfRule type="expression" dxfId="251" priority="299">
      <formula>ISTEXT($AB$4)</formula>
    </cfRule>
  </conditionalFormatting>
  <conditionalFormatting sqref="AC4">
    <cfRule type="expression" dxfId="250" priority="298">
      <formula>ISTEXT($AC$4)</formula>
    </cfRule>
  </conditionalFormatting>
  <conditionalFormatting sqref="AD4">
    <cfRule type="expression" dxfId="249" priority="297">
      <formula>ISTEXT($AD$4)</formula>
    </cfRule>
  </conditionalFormatting>
  <conditionalFormatting sqref="AA5">
    <cfRule type="expression" dxfId="248" priority="296">
      <formula>ISTEXT($AA$5)</formula>
    </cfRule>
  </conditionalFormatting>
  <conditionalFormatting sqref="AB5">
    <cfRule type="expression" dxfId="247" priority="295">
      <formula>ISTEXT($AB$5)</formula>
    </cfRule>
  </conditionalFormatting>
  <conditionalFormatting sqref="AC5">
    <cfRule type="expression" dxfId="246" priority="294">
      <formula>ISTEXT($AC$5)</formula>
    </cfRule>
  </conditionalFormatting>
  <conditionalFormatting sqref="AD5">
    <cfRule type="expression" dxfId="245" priority="293">
      <formula>ISTEXT($AD$5)</formula>
    </cfRule>
  </conditionalFormatting>
  <conditionalFormatting sqref="AA6">
    <cfRule type="expression" dxfId="244" priority="292">
      <formula>ISTEXT($AA$6)</formula>
    </cfRule>
  </conditionalFormatting>
  <conditionalFormatting sqref="AB6">
    <cfRule type="expression" dxfId="243" priority="291">
      <formula>ISTEXT($AB$6)</formula>
    </cfRule>
  </conditionalFormatting>
  <conditionalFormatting sqref="AC6">
    <cfRule type="expression" dxfId="242" priority="290">
      <formula>ISTEXT($AC$6)</formula>
    </cfRule>
  </conditionalFormatting>
  <conditionalFormatting sqref="AD6">
    <cfRule type="expression" dxfId="241" priority="289">
      <formula>ISTEXT($AD$6)</formula>
    </cfRule>
  </conditionalFormatting>
  <conditionalFormatting sqref="AA7">
    <cfRule type="expression" dxfId="240" priority="288">
      <formula>ISTEXT($AA$7)</formula>
    </cfRule>
  </conditionalFormatting>
  <conditionalFormatting sqref="AB7">
    <cfRule type="expression" dxfId="239" priority="287">
      <formula>ISTEXT($AB$7)</formula>
    </cfRule>
  </conditionalFormatting>
  <conditionalFormatting sqref="AC7">
    <cfRule type="expression" dxfId="238" priority="286">
      <formula>ISTEXT($AC$7)</formula>
    </cfRule>
  </conditionalFormatting>
  <conditionalFormatting sqref="AD7">
    <cfRule type="expression" dxfId="237" priority="285">
      <formula>ISTEXT($AD$7)</formula>
    </cfRule>
  </conditionalFormatting>
  <conditionalFormatting sqref="AA24">
    <cfRule type="expression" dxfId="236" priority="284">
      <formula>ISTEXT($AA$24)</formula>
    </cfRule>
  </conditionalFormatting>
  <conditionalFormatting sqref="AB24">
    <cfRule type="expression" dxfId="235" priority="283">
      <formula>ISTEXT($AB$24)</formula>
    </cfRule>
  </conditionalFormatting>
  <conditionalFormatting sqref="AC24">
    <cfRule type="expression" dxfId="234" priority="282">
      <formula>ISTEXT($AC$24)</formula>
    </cfRule>
  </conditionalFormatting>
  <conditionalFormatting sqref="AD24">
    <cfRule type="expression" dxfId="233" priority="281">
      <formula>ISTEXT($AD$24)</formula>
    </cfRule>
  </conditionalFormatting>
  <conditionalFormatting sqref="AA25">
    <cfRule type="expression" dxfId="232" priority="280">
      <formula>ISTEXT($AA$25)</formula>
    </cfRule>
  </conditionalFormatting>
  <conditionalFormatting sqref="AB25">
    <cfRule type="expression" dxfId="231" priority="279">
      <formula>ISTEXT($AB$25)</formula>
    </cfRule>
  </conditionalFormatting>
  <conditionalFormatting sqref="AC25">
    <cfRule type="expression" dxfId="230" priority="278">
      <formula>ISTEXT($AC$25)</formula>
    </cfRule>
  </conditionalFormatting>
  <conditionalFormatting sqref="AD25">
    <cfRule type="expression" dxfId="229" priority="277">
      <formula>ISTEXT($AD$25)</formula>
    </cfRule>
  </conditionalFormatting>
  <conditionalFormatting sqref="AA26">
    <cfRule type="expression" dxfId="228" priority="276">
      <formula>ISTEXT($AA$26)</formula>
    </cfRule>
  </conditionalFormatting>
  <conditionalFormatting sqref="AB26">
    <cfRule type="expression" dxfId="227" priority="275">
      <formula>ISTEXT($AB$26)</formula>
    </cfRule>
  </conditionalFormatting>
  <conditionalFormatting sqref="AC26">
    <cfRule type="expression" dxfId="226" priority="274">
      <formula>ISTEXT($AC$26)</formula>
    </cfRule>
  </conditionalFormatting>
  <conditionalFormatting sqref="AD26">
    <cfRule type="expression" dxfId="225" priority="273">
      <formula>ISTEXT($AD$26)</formula>
    </cfRule>
  </conditionalFormatting>
  <conditionalFormatting sqref="AA27">
    <cfRule type="expression" dxfId="224" priority="272">
      <formula>ISTEXT($AA$27)</formula>
    </cfRule>
  </conditionalFormatting>
  <conditionalFormatting sqref="AB27">
    <cfRule type="expression" dxfId="223" priority="271">
      <formula>ISTEXT($AB$27)</formula>
    </cfRule>
  </conditionalFormatting>
  <conditionalFormatting sqref="AC27">
    <cfRule type="expression" dxfId="222" priority="270">
      <formula>ISTEXT($AC$27)</formula>
    </cfRule>
  </conditionalFormatting>
  <conditionalFormatting sqref="AD27">
    <cfRule type="expression" dxfId="221" priority="269">
      <formula>ISTEXT($AD$27)</formula>
    </cfRule>
  </conditionalFormatting>
  <conditionalFormatting sqref="AA28">
    <cfRule type="expression" dxfId="220" priority="268">
      <formula>ISTEXT($AA$28)</formula>
    </cfRule>
  </conditionalFormatting>
  <conditionalFormatting sqref="AB28">
    <cfRule type="expression" dxfId="219" priority="267">
      <formula>ISTEXT($AB$28)</formula>
    </cfRule>
  </conditionalFormatting>
  <conditionalFormatting sqref="AC28">
    <cfRule type="expression" dxfId="218" priority="266">
      <formula>ISTEXT($AC$28)</formula>
    </cfRule>
  </conditionalFormatting>
  <conditionalFormatting sqref="AD28">
    <cfRule type="expression" dxfId="217" priority="265">
      <formula>ISTEXT($AD$28)</formula>
    </cfRule>
  </conditionalFormatting>
  <conditionalFormatting sqref="AA45">
    <cfRule type="expression" dxfId="216" priority="264">
      <formula>ISTEXT($AA$45)</formula>
    </cfRule>
  </conditionalFormatting>
  <conditionalFormatting sqref="AB45">
    <cfRule type="expression" dxfId="215" priority="263">
      <formula>ISTEXT($AB$45)</formula>
    </cfRule>
  </conditionalFormatting>
  <conditionalFormatting sqref="AC45">
    <cfRule type="expression" dxfId="214" priority="262">
      <formula>ISTEXT($AC$45)</formula>
    </cfRule>
  </conditionalFormatting>
  <conditionalFormatting sqref="AD45">
    <cfRule type="expression" dxfId="213" priority="261">
      <formula>ISTEXT($AD$45)</formula>
    </cfRule>
  </conditionalFormatting>
  <conditionalFormatting sqref="AA46">
    <cfRule type="expression" dxfId="212" priority="260">
      <formula>ISTEXT($AA$46)</formula>
    </cfRule>
  </conditionalFormatting>
  <conditionalFormatting sqref="AB46">
    <cfRule type="expression" dxfId="211" priority="259">
      <formula>ISTEXT($AB$46)</formula>
    </cfRule>
  </conditionalFormatting>
  <conditionalFormatting sqref="AC46">
    <cfRule type="expression" dxfId="210" priority="258">
      <formula>ISTEXT($AC$46)</formula>
    </cfRule>
  </conditionalFormatting>
  <conditionalFormatting sqref="AD46">
    <cfRule type="expression" dxfId="209" priority="257">
      <formula>ISTEXT($AD$46)</formula>
    </cfRule>
  </conditionalFormatting>
  <conditionalFormatting sqref="AA47">
    <cfRule type="expression" dxfId="208" priority="256">
      <formula>ISTEXT($AA$47)</formula>
    </cfRule>
  </conditionalFormatting>
  <conditionalFormatting sqref="AB47">
    <cfRule type="expression" dxfId="207" priority="255">
      <formula>ISTEXT($AB$47)</formula>
    </cfRule>
  </conditionalFormatting>
  <conditionalFormatting sqref="AC47">
    <cfRule type="expression" dxfId="206" priority="254">
      <formula>ISTEXT($AC$47)</formula>
    </cfRule>
  </conditionalFormatting>
  <conditionalFormatting sqref="AD47">
    <cfRule type="expression" dxfId="205" priority="253">
      <formula>ISTEXT($AD$47)</formula>
    </cfRule>
  </conditionalFormatting>
  <conditionalFormatting sqref="AA48">
    <cfRule type="expression" dxfId="204" priority="252">
      <formula>ISTEXT($AA$48)</formula>
    </cfRule>
  </conditionalFormatting>
  <conditionalFormatting sqref="AB48">
    <cfRule type="expression" dxfId="203" priority="251">
      <formula>ISTEXT($AB$48)</formula>
    </cfRule>
  </conditionalFormatting>
  <conditionalFormatting sqref="AC48">
    <cfRule type="expression" dxfId="202" priority="250">
      <formula>ISTEXT($AC$48)</formula>
    </cfRule>
  </conditionalFormatting>
  <conditionalFormatting sqref="AD48">
    <cfRule type="expression" dxfId="201" priority="249">
      <formula>ISTEXT($AD$48)</formula>
    </cfRule>
  </conditionalFormatting>
  <conditionalFormatting sqref="AA49">
    <cfRule type="expression" dxfId="200" priority="248">
      <formula>ISTEXT($AA$49)</formula>
    </cfRule>
  </conditionalFormatting>
  <conditionalFormatting sqref="AB49">
    <cfRule type="expression" dxfId="199" priority="247">
      <formula>ISTEXT($AB$49)</formula>
    </cfRule>
  </conditionalFormatting>
  <conditionalFormatting sqref="AC49">
    <cfRule type="expression" dxfId="198" priority="246">
      <formula>ISTEXT($AC$49)</formula>
    </cfRule>
  </conditionalFormatting>
  <conditionalFormatting sqref="AD49">
    <cfRule type="expression" dxfId="197" priority="245">
      <formula>ISTEXT($AD$49)</formula>
    </cfRule>
  </conditionalFormatting>
  <conditionalFormatting sqref="AA66">
    <cfRule type="expression" dxfId="196" priority="224">
      <formula>ISTEXT($AA$66)</formula>
    </cfRule>
  </conditionalFormatting>
  <conditionalFormatting sqref="AB66">
    <cfRule type="expression" dxfId="195" priority="223">
      <formula>ISTEXT($AB$66)</formula>
    </cfRule>
  </conditionalFormatting>
  <conditionalFormatting sqref="AC66">
    <cfRule type="expression" dxfId="194" priority="222">
      <formula>ISTEXT($AC$66)</formula>
    </cfRule>
  </conditionalFormatting>
  <conditionalFormatting sqref="AD66">
    <cfRule type="expression" dxfId="193" priority="221">
      <formula>ISTEXT($AD$66)</formula>
    </cfRule>
  </conditionalFormatting>
  <conditionalFormatting sqref="AA67">
    <cfRule type="expression" dxfId="192" priority="220">
      <formula>ISTEXT($AA$67)</formula>
    </cfRule>
  </conditionalFormatting>
  <conditionalFormatting sqref="AB67">
    <cfRule type="expression" dxfId="191" priority="219">
      <formula>ISTEXT($AB$67)</formula>
    </cfRule>
  </conditionalFormatting>
  <conditionalFormatting sqref="AC67">
    <cfRule type="expression" dxfId="190" priority="218">
      <formula>ISTEXT($AC$67)</formula>
    </cfRule>
  </conditionalFormatting>
  <conditionalFormatting sqref="AD67">
    <cfRule type="expression" dxfId="189" priority="217">
      <formula>ISTEXT($AD$67)</formula>
    </cfRule>
  </conditionalFormatting>
  <conditionalFormatting sqref="AA68">
    <cfRule type="expression" dxfId="188" priority="216">
      <formula>ISTEXT($AA$68)</formula>
    </cfRule>
  </conditionalFormatting>
  <conditionalFormatting sqref="AB68">
    <cfRule type="expression" dxfId="187" priority="215">
      <formula>ISTEXT($AB$68)</formula>
    </cfRule>
  </conditionalFormatting>
  <conditionalFormatting sqref="AC68">
    <cfRule type="expression" dxfId="186" priority="214">
      <formula>ISTEXT($AC$68)</formula>
    </cfRule>
  </conditionalFormatting>
  <conditionalFormatting sqref="AD68">
    <cfRule type="expression" dxfId="185" priority="213">
      <formula>ISTEXT($AD$68)</formula>
    </cfRule>
  </conditionalFormatting>
  <conditionalFormatting sqref="AA69">
    <cfRule type="expression" dxfId="184" priority="212">
      <formula>ISTEXT($AA$69)</formula>
    </cfRule>
  </conditionalFormatting>
  <conditionalFormatting sqref="AB69">
    <cfRule type="expression" dxfId="183" priority="211">
      <formula>ISTEXT($AB$69)</formula>
    </cfRule>
  </conditionalFormatting>
  <conditionalFormatting sqref="AC69">
    <cfRule type="expression" dxfId="182" priority="210">
      <formula>ISTEXT($AC$69)</formula>
    </cfRule>
  </conditionalFormatting>
  <conditionalFormatting sqref="AD69">
    <cfRule type="expression" dxfId="181" priority="209">
      <formula>ISTEXT($AD$69)</formula>
    </cfRule>
  </conditionalFormatting>
  <conditionalFormatting sqref="AA70">
    <cfRule type="expression" dxfId="180" priority="208">
      <formula>ISTEXT($AA$70)</formula>
    </cfRule>
  </conditionalFormatting>
  <conditionalFormatting sqref="AB70">
    <cfRule type="expression" dxfId="179" priority="207">
      <formula>ISTEXT($AB$70)</formula>
    </cfRule>
  </conditionalFormatting>
  <conditionalFormatting sqref="AC70">
    <cfRule type="expression" dxfId="178" priority="206">
      <formula>ISTEXT($AC$70)</formula>
    </cfRule>
  </conditionalFormatting>
  <conditionalFormatting sqref="AD70">
    <cfRule type="expression" dxfId="177" priority="205">
      <formula>ISTEXT($AD$70)</formula>
    </cfRule>
  </conditionalFormatting>
  <conditionalFormatting sqref="AA86">
    <cfRule type="expression" dxfId="116" priority="144">
      <formula>ISTEXT($AA$86)</formula>
    </cfRule>
  </conditionalFormatting>
  <conditionalFormatting sqref="AB86">
    <cfRule type="expression" dxfId="115" priority="143">
      <formula>ISTEXT($AB$86)</formula>
    </cfRule>
  </conditionalFormatting>
  <conditionalFormatting sqref="AC86">
    <cfRule type="expression" dxfId="114" priority="142">
      <formula>ISTEXT($AC$86)</formula>
    </cfRule>
  </conditionalFormatting>
  <conditionalFormatting sqref="AD86">
    <cfRule type="expression" dxfId="113" priority="141">
      <formula>ISTEXT($AD$86)</formula>
    </cfRule>
  </conditionalFormatting>
  <conditionalFormatting sqref="AA87">
    <cfRule type="expression" dxfId="112" priority="140">
      <formula>ISTEXT($AA$87)</formula>
    </cfRule>
  </conditionalFormatting>
  <conditionalFormatting sqref="AB87">
    <cfRule type="expression" dxfId="111" priority="139">
      <formula>ISTEXT($AB$87)</formula>
    </cfRule>
  </conditionalFormatting>
  <conditionalFormatting sqref="AC87">
    <cfRule type="expression" dxfId="110" priority="138">
      <formula>ISTEXT($AC$87)</formula>
    </cfRule>
  </conditionalFormatting>
  <conditionalFormatting sqref="AD87">
    <cfRule type="expression" dxfId="109" priority="137">
      <formula>ISTEXT($AD$87)</formula>
    </cfRule>
  </conditionalFormatting>
  <conditionalFormatting sqref="AA88">
    <cfRule type="expression" dxfId="108" priority="136">
      <formula>ISTEXT($AA$88)</formula>
    </cfRule>
  </conditionalFormatting>
  <conditionalFormatting sqref="AB88">
    <cfRule type="expression" dxfId="107" priority="135">
      <formula>ISTEXT($AB$88)</formula>
    </cfRule>
  </conditionalFormatting>
  <conditionalFormatting sqref="AC88">
    <cfRule type="expression" dxfId="106" priority="134">
      <formula>ISTEXT($AC$88)</formula>
    </cfRule>
  </conditionalFormatting>
  <conditionalFormatting sqref="AD88">
    <cfRule type="expression" dxfId="105" priority="133">
      <formula>ISTEXT($AD$88)</formula>
    </cfRule>
  </conditionalFormatting>
  <conditionalFormatting sqref="AA89">
    <cfRule type="expression" dxfId="104" priority="132">
      <formula>ISTEXT($AA$89)</formula>
    </cfRule>
  </conditionalFormatting>
  <conditionalFormatting sqref="AB89">
    <cfRule type="expression" dxfId="103" priority="131">
      <formula>ISTEXT($AB$89)</formula>
    </cfRule>
  </conditionalFormatting>
  <conditionalFormatting sqref="AC89">
    <cfRule type="expression" dxfId="102" priority="130">
      <formula>ISTEXT($AC$89)</formula>
    </cfRule>
  </conditionalFormatting>
  <conditionalFormatting sqref="AD89">
    <cfRule type="expression" dxfId="101" priority="129">
      <formula>ISTEXT($AD$89)</formula>
    </cfRule>
  </conditionalFormatting>
  <conditionalFormatting sqref="AA90">
    <cfRule type="expression" dxfId="100" priority="128">
      <formula>ISTEXT($AA$90)</formula>
    </cfRule>
  </conditionalFormatting>
  <conditionalFormatting sqref="AB90">
    <cfRule type="expression" dxfId="99" priority="127">
      <formula>ISTEXT($AB$90)</formula>
    </cfRule>
  </conditionalFormatting>
  <conditionalFormatting sqref="AC90">
    <cfRule type="expression" dxfId="98" priority="126">
      <formula>ISTEXT($AC$90)</formula>
    </cfRule>
  </conditionalFormatting>
  <conditionalFormatting sqref="AD90">
    <cfRule type="expression" dxfId="97" priority="125">
      <formula>ISTEXT($AD$90)</formula>
    </cfRule>
  </conditionalFormatting>
  <conditionalFormatting sqref="AA107">
    <cfRule type="expression" dxfId="96" priority="124">
      <formula>ISTEXT($AA$107)</formula>
    </cfRule>
  </conditionalFormatting>
  <conditionalFormatting sqref="AB107">
    <cfRule type="expression" dxfId="95" priority="123">
      <formula>ISTEXT($AB$107)</formula>
    </cfRule>
  </conditionalFormatting>
  <conditionalFormatting sqref="AC107">
    <cfRule type="expression" dxfId="94" priority="122">
      <formula>ISTEXT($AC$107)</formula>
    </cfRule>
  </conditionalFormatting>
  <conditionalFormatting sqref="AD107">
    <cfRule type="expression" dxfId="93" priority="121">
      <formula>ISTEXT($AD$107)</formula>
    </cfRule>
  </conditionalFormatting>
  <conditionalFormatting sqref="AA108">
    <cfRule type="expression" dxfId="92" priority="120">
      <formula>ISTEXT($AA$108)</formula>
    </cfRule>
  </conditionalFormatting>
  <conditionalFormatting sqref="AB108">
    <cfRule type="expression" dxfId="91" priority="119">
      <formula>ISTEXT($AB$108)</formula>
    </cfRule>
  </conditionalFormatting>
  <conditionalFormatting sqref="AC108">
    <cfRule type="expression" dxfId="90" priority="118">
      <formula>ISTEXT($AC$108)</formula>
    </cfRule>
  </conditionalFormatting>
  <conditionalFormatting sqref="AD108">
    <cfRule type="expression" dxfId="89" priority="117">
      <formula>ISTEXT($AD$108)</formula>
    </cfRule>
  </conditionalFormatting>
  <conditionalFormatting sqref="AA109">
    <cfRule type="expression" dxfId="88" priority="116">
      <formula>ISTEXT($AA$109)</formula>
    </cfRule>
  </conditionalFormatting>
  <conditionalFormatting sqref="AB109">
    <cfRule type="expression" dxfId="87" priority="115">
      <formula>ISTEXT($AB$109)</formula>
    </cfRule>
  </conditionalFormatting>
  <conditionalFormatting sqref="AC109">
    <cfRule type="expression" dxfId="86" priority="114">
      <formula>ISTEXT($AC$109)</formula>
    </cfRule>
  </conditionalFormatting>
  <conditionalFormatting sqref="AD109">
    <cfRule type="expression" dxfId="85" priority="113">
      <formula>ISTEXT($AD$109)</formula>
    </cfRule>
  </conditionalFormatting>
  <conditionalFormatting sqref="AA110">
    <cfRule type="expression" dxfId="84" priority="112">
      <formula>ISTEXT($AA$110)</formula>
    </cfRule>
  </conditionalFormatting>
  <conditionalFormatting sqref="AB110">
    <cfRule type="expression" dxfId="83" priority="111">
      <formula>ISTEXT($AB$110)</formula>
    </cfRule>
  </conditionalFormatting>
  <conditionalFormatting sqref="AC110">
    <cfRule type="expression" dxfId="82" priority="110">
      <formula>ISTEXT($AC$110)</formula>
    </cfRule>
  </conditionalFormatting>
  <conditionalFormatting sqref="AD110">
    <cfRule type="expression" dxfId="81" priority="109">
      <formula>ISTEXT($AD$110)</formula>
    </cfRule>
  </conditionalFormatting>
  <conditionalFormatting sqref="AA111">
    <cfRule type="expression" dxfId="80" priority="108">
      <formula>ISTEXT($AA$111)</formula>
    </cfRule>
  </conditionalFormatting>
  <conditionalFormatting sqref="AB111">
    <cfRule type="expression" dxfId="79" priority="107">
      <formula>ISTEXT($AB$111)</formula>
    </cfRule>
  </conditionalFormatting>
  <conditionalFormatting sqref="AC111">
    <cfRule type="expression" dxfId="78" priority="106">
      <formula>ISTEXT($AC$111)</formula>
    </cfRule>
  </conditionalFormatting>
  <conditionalFormatting sqref="AD111">
    <cfRule type="expression" dxfId="77" priority="105">
      <formula>ISTEXT($AD$111)</formula>
    </cfRule>
  </conditionalFormatting>
  <conditionalFormatting sqref="AA128">
    <cfRule type="expression" dxfId="76" priority="104">
      <formula>ISTEXT($AA$128)</formula>
    </cfRule>
  </conditionalFormatting>
  <conditionalFormatting sqref="AB128">
    <cfRule type="expression" dxfId="75" priority="103">
      <formula>ISTEXT($AB$128)</formula>
    </cfRule>
  </conditionalFormatting>
  <conditionalFormatting sqref="AC128">
    <cfRule type="expression" dxfId="74" priority="102">
      <formula>ISTEXT($AC$128)</formula>
    </cfRule>
  </conditionalFormatting>
  <conditionalFormatting sqref="AD128">
    <cfRule type="expression" dxfId="73" priority="101">
      <formula>ISTEXT($AD$128)</formula>
    </cfRule>
  </conditionalFormatting>
  <conditionalFormatting sqref="AA129">
    <cfRule type="expression" dxfId="72" priority="100">
      <formula>ISTEXT($AA$129)</formula>
    </cfRule>
  </conditionalFormatting>
  <conditionalFormatting sqref="AB129">
    <cfRule type="expression" dxfId="71" priority="99">
      <formula>ISTEXT($AB$129)</formula>
    </cfRule>
  </conditionalFormatting>
  <conditionalFormatting sqref="AC129">
    <cfRule type="expression" dxfId="70" priority="98">
      <formula>ISTEXT($AC$129)</formula>
    </cfRule>
  </conditionalFormatting>
  <conditionalFormatting sqref="AD129">
    <cfRule type="expression" dxfId="69" priority="97">
      <formula>ISTEXT($AD$129)</formula>
    </cfRule>
  </conditionalFormatting>
  <conditionalFormatting sqref="AA130">
    <cfRule type="expression" dxfId="68" priority="96">
      <formula>ISTEXT($AA$130)</formula>
    </cfRule>
  </conditionalFormatting>
  <conditionalFormatting sqref="AB130">
    <cfRule type="expression" dxfId="67" priority="95">
      <formula>ISTEXT($AB$130)</formula>
    </cfRule>
  </conditionalFormatting>
  <conditionalFormatting sqref="AC130">
    <cfRule type="expression" dxfId="66" priority="94">
      <formula>ISTEXT($AC$130)</formula>
    </cfRule>
  </conditionalFormatting>
  <conditionalFormatting sqref="AD130">
    <cfRule type="expression" dxfId="65" priority="93">
      <formula>ISTEXT($AD$130)</formula>
    </cfRule>
  </conditionalFormatting>
  <conditionalFormatting sqref="AA131">
    <cfRule type="expression" dxfId="64" priority="92">
      <formula>ISTEXT($AA$131)</formula>
    </cfRule>
  </conditionalFormatting>
  <conditionalFormatting sqref="AB131">
    <cfRule type="expression" dxfId="63" priority="91">
      <formula>ISTEXT($AB$131)</formula>
    </cfRule>
  </conditionalFormatting>
  <conditionalFormatting sqref="AC131">
    <cfRule type="expression" dxfId="62" priority="90">
      <formula>ISTEXT($AC$131)</formula>
    </cfRule>
  </conditionalFormatting>
  <conditionalFormatting sqref="AD131">
    <cfRule type="expression" dxfId="61" priority="89">
      <formula>ISTEXT($AD$131)</formula>
    </cfRule>
  </conditionalFormatting>
  <conditionalFormatting sqref="AA132">
    <cfRule type="expression" dxfId="60" priority="88">
      <formula>ISTEXT($AA$132)</formula>
    </cfRule>
  </conditionalFormatting>
  <conditionalFormatting sqref="AB132">
    <cfRule type="expression" dxfId="59" priority="87">
      <formula>ISTEXT($AB$132)</formula>
    </cfRule>
  </conditionalFormatting>
  <conditionalFormatting sqref="AC132">
    <cfRule type="expression" dxfId="58" priority="86">
      <formula>ISTEXT($AC$132)</formula>
    </cfRule>
  </conditionalFormatting>
  <conditionalFormatting sqref="AD132">
    <cfRule type="expression" dxfId="57" priority="85">
      <formula>ISTEXT($AD$132)</formula>
    </cfRule>
  </conditionalFormatting>
  <conditionalFormatting sqref="AA149">
    <cfRule type="expression" dxfId="56" priority="84">
      <formula>ISTEXT($AA$149)</formula>
    </cfRule>
  </conditionalFormatting>
  <conditionalFormatting sqref="AB149">
    <cfRule type="expression" dxfId="55" priority="83">
      <formula>ISTEXT($AB$149)</formula>
    </cfRule>
  </conditionalFormatting>
  <conditionalFormatting sqref="AC149">
    <cfRule type="expression" dxfId="54" priority="82">
      <formula>ISTEXT($AC$149)</formula>
    </cfRule>
  </conditionalFormatting>
  <conditionalFormatting sqref="AD149">
    <cfRule type="expression" dxfId="53" priority="81">
      <formula>ISTEXT($AD$149)</formula>
    </cfRule>
  </conditionalFormatting>
  <conditionalFormatting sqref="AA150">
    <cfRule type="expression" dxfId="52" priority="80">
      <formula>ISTEXT($AA$150)</formula>
    </cfRule>
  </conditionalFormatting>
  <conditionalFormatting sqref="AB150">
    <cfRule type="expression" dxfId="51" priority="79">
      <formula>ISTEXT($AB$150)</formula>
    </cfRule>
  </conditionalFormatting>
  <conditionalFormatting sqref="AC150">
    <cfRule type="expression" dxfId="50" priority="78">
      <formula>ISTEXT($AC$150)</formula>
    </cfRule>
  </conditionalFormatting>
  <conditionalFormatting sqref="AD150">
    <cfRule type="expression" dxfId="49" priority="77">
      <formula>ISTEXT($AD$150)</formula>
    </cfRule>
  </conditionalFormatting>
  <conditionalFormatting sqref="AA151">
    <cfRule type="expression" dxfId="48" priority="76">
      <formula>ISTEXT($AA$151)</formula>
    </cfRule>
  </conditionalFormatting>
  <conditionalFormatting sqref="AB151">
    <cfRule type="expression" dxfId="47" priority="75">
      <formula>ISTEXT($AB$151)</formula>
    </cfRule>
  </conditionalFormatting>
  <conditionalFormatting sqref="AC151">
    <cfRule type="expression" dxfId="46" priority="74">
      <formula>ISTEXT($AC$151)</formula>
    </cfRule>
  </conditionalFormatting>
  <conditionalFormatting sqref="AD151">
    <cfRule type="expression" dxfId="45" priority="73">
      <formula>ISTEXT($AD$151)</formula>
    </cfRule>
  </conditionalFormatting>
  <conditionalFormatting sqref="AA152">
    <cfRule type="expression" dxfId="44" priority="72">
      <formula>ISTEXT($AA$152)</formula>
    </cfRule>
  </conditionalFormatting>
  <conditionalFormatting sqref="AB152">
    <cfRule type="expression" dxfId="43" priority="71">
      <formula>ISTEXT($AB$152)</formula>
    </cfRule>
  </conditionalFormatting>
  <conditionalFormatting sqref="AC152">
    <cfRule type="expression" dxfId="42" priority="70">
      <formula>ISTEXT($AC$152)</formula>
    </cfRule>
  </conditionalFormatting>
  <conditionalFormatting sqref="AD152">
    <cfRule type="expression" dxfId="41" priority="69">
      <formula>ISTEXT($AD$152)</formula>
    </cfRule>
  </conditionalFormatting>
  <conditionalFormatting sqref="AA153">
    <cfRule type="expression" dxfId="40" priority="68">
      <formula>ISTEXT($AA$153)</formula>
    </cfRule>
  </conditionalFormatting>
  <conditionalFormatting sqref="AB153">
    <cfRule type="expression" dxfId="39" priority="67">
      <formula>ISTEXT($AB$153)</formula>
    </cfRule>
  </conditionalFormatting>
  <conditionalFormatting sqref="AC153">
    <cfRule type="expression" dxfId="38" priority="66">
      <formula>ISTEXT($AC$153)</formula>
    </cfRule>
  </conditionalFormatting>
  <conditionalFormatting sqref="AD153">
    <cfRule type="expression" dxfId="37" priority="65">
      <formula>ISTEXT($AD$153)</formula>
    </cfRule>
  </conditionalFormatting>
  <conditionalFormatting sqref="I83">
    <cfRule type="expression" dxfId="35" priority="4">
      <formula>ISTEXT($I$81)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2"/>
  <sheetViews>
    <sheetView workbookViewId="0">
      <pane ySplit="1" topLeftCell="A2" activePane="bottomLeft" state="frozenSplit"/>
      <selection pane="bottomLeft" activeCell="L34" sqref="L34"/>
    </sheetView>
  </sheetViews>
  <sheetFormatPr defaultRowHeight="15" x14ac:dyDescent="0.25"/>
  <cols>
    <col min="1" max="1" width="69.42578125" style="56" bestFit="1" customWidth="1"/>
    <col min="2" max="2" width="21.7109375" style="56" bestFit="1" customWidth="1"/>
    <col min="3" max="3" width="16.5703125" style="56" bestFit="1" customWidth="1"/>
    <col min="4" max="4" width="10" style="56" bestFit="1" customWidth="1"/>
    <col min="5" max="5" width="11" style="56" bestFit="1" customWidth="1"/>
    <col min="6" max="6" width="8.7109375" style="56" customWidth="1"/>
    <col min="7" max="7" width="12.42578125" style="56" bestFit="1" customWidth="1"/>
    <col min="8" max="8" width="11.5703125" style="56" bestFit="1" customWidth="1"/>
    <col min="9" max="9" width="14.7109375" style="56" bestFit="1" customWidth="1"/>
    <col min="10" max="10" width="8.7109375" style="59" customWidth="1"/>
    <col min="11" max="11" width="8.7109375" style="56" hidden="1" customWidth="1"/>
    <col min="12" max="17" width="8.7109375" style="56" customWidth="1"/>
    <col min="18" max="18" width="28.28515625" style="56" bestFit="1" customWidth="1"/>
    <col min="19" max="19" width="8.7109375" style="56" customWidth="1"/>
    <col min="20" max="21" width="8.7109375" style="56" hidden="1" customWidth="1"/>
    <col min="22" max="25" width="8.7109375" style="56" customWidth="1"/>
    <col min="26" max="26" width="20.5703125" style="59" bestFit="1" customWidth="1"/>
    <col min="27" max="29" width="21" style="59" bestFit="1" customWidth="1"/>
    <col min="30" max="30" width="9.140625" style="56" bestFit="1" customWidth="1"/>
    <col min="31" max="44" width="8.7109375" style="56" customWidth="1"/>
    <col min="45" max="16384" width="9.140625" style="56"/>
  </cols>
  <sheetData>
    <row r="1" spans="1:30" ht="15.75" thickBot="1" x14ac:dyDescent="0.3">
      <c r="A1" s="53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4" t="s">
        <v>11</v>
      </c>
      <c r="H1" s="54" t="s">
        <v>12</v>
      </c>
      <c r="I1" s="54" t="s">
        <v>13</v>
      </c>
      <c r="J1" s="55"/>
      <c r="K1" s="54"/>
      <c r="R1" s="57" t="s">
        <v>15</v>
      </c>
      <c r="Z1" s="58" t="s">
        <v>14</v>
      </c>
    </row>
    <row r="2" spans="1:30" ht="16.5" thickTop="1" thickBot="1" x14ac:dyDescent="0.3">
      <c r="A2" s="60" t="s">
        <v>226</v>
      </c>
      <c r="B2" s="60" t="s">
        <v>29</v>
      </c>
      <c r="C2" s="60" t="s">
        <v>30</v>
      </c>
      <c r="D2" s="60">
        <v>1.9E-2</v>
      </c>
      <c r="E2" s="60">
        <v>23900.384999999998</v>
      </c>
      <c r="F2" s="60">
        <v>7.9496627355584447E-7</v>
      </c>
      <c r="G2" s="60"/>
      <c r="H2" s="60"/>
      <c r="I2" s="60"/>
      <c r="J2" s="61"/>
      <c r="K2" s="60"/>
      <c r="L2" s="60"/>
      <c r="M2" s="60"/>
      <c r="N2" s="60"/>
      <c r="O2" s="60"/>
      <c r="P2" s="60"/>
      <c r="Q2" s="60"/>
      <c r="R2" s="62" t="s">
        <v>36</v>
      </c>
      <c r="S2" s="60"/>
      <c r="T2" s="60">
        <v>1</v>
      </c>
      <c r="U2" s="60"/>
      <c r="V2" s="60"/>
      <c r="W2" s="60"/>
      <c r="X2" s="60"/>
      <c r="Y2" s="60"/>
      <c r="Z2" s="63" t="s">
        <v>16</v>
      </c>
      <c r="AA2" s="63" t="s">
        <v>18</v>
      </c>
      <c r="AB2" s="63" t="s">
        <v>19</v>
      </c>
      <c r="AC2" s="63" t="s">
        <v>20</v>
      </c>
      <c r="AD2" s="63" t="s">
        <v>21</v>
      </c>
    </row>
    <row r="3" spans="1:30" ht="15.75" thickTop="1" x14ac:dyDescent="0.25">
      <c r="A3" s="64" t="s">
        <v>227</v>
      </c>
      <c r="B3" s="64" t="s">
        <v>29</v>
      </c>
      <c r="C3" s="64" t="s">
        <v>30</v>
      </c>
      <c r="D3" s="64">
        <v>0.77200000000000002</v>
      </c>
      <c r="E3" s="64">
        <v>22970.811000000002</v>
      </c>
      <c r="F3" s="64">
        <v>3.3607868699106876E-5</v>
      </c>
      <c r="G3" s="64"/>
      <c r="H3" s="64"/>
      <c r="I3" s="64"/>
      <c r="J3" s="65"/>
      <c r="K3" s="64"/>
      <c r="L3" s="64"/>
      <c r="M3" s="64"/>
      <c r="N3" s="64"/>
      <c r="O3" s="64"/>
      <c r="P3" s="64"/>
      <c r="Q3" s="64"/>
      <c r="R3" s="64" t="s">
        <v>16</v>
      </c>
      <c r="S3" s="64"/>
      <c r="T3" s="64">
        <v>4</v>
      </c>
      <c r="U3" s="64"/>
      <c r="V3" s="64"/>
      <c r="W3" s="64"/>
      <c r="X3" s="64"/>
      <c r="Y3" s="64"/>
      <c r="Z3" s="66">
        <v>120</v>
      </c>
      <c r="AA3" s="67" t="s">
        <v>414</v>
      </c>
      <c r="AB3" s="67" t="s">
        <v>415</v>
      </c>
      <c r="AC3" s="68" t="s">
        <v>416</v>
      </c>
      <c r="AD3" s="67" t="s">
        <v>407</v>
      </c>
    </row>
    <row r="4" spans="1:30" x14ac:dyDescent="0.25">
      <c r="A4" s="64" t="s">
        <v>228</v>
      </c>
      <c r="B4" s="106" t="s">
        <v>29</v>
      </c>
      <c r="C4" s="64" t="s">
        <v>30</v>
      </c>
      <c r="D4" s="64">
        <v>2.4E-2</v>
      </c>
      <c r="E4" s="64">
        <v>23638.438999999998</v>
      </c>
      <c r="F4" s="64">
        <v>1.0152954685374953E-6</v>
      </c>
      <c r="G4" s="64"/>
      <c r="H4" s="64"/>
      <c r="I4" s="64"/>
      <c r="J4" s="65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6"/>
      <c r="AA4" s="67"/>
      <c r="AB4" s="67"/>
      <c r="AC4" s="68"/>
      <c r="AD4" s="67"/>
    </row>
    <row r="5" spans="1:30" x14ac:dyDescent="0.25">
      <c r="A5" s="60" t="s">
        <v>214</v>
      </c>
      <c r="B5" s="60" t="s">
        <v>29</v>
      </c>
      <c r="C5" s="60" t="s">
        <v>30</v>
      </c>
      <c r="D5" s="60">
        <v>380.04399999999998</v>
      </c>
      <c r="E5" s="60">
        <v>22322.879000000001</v>
      </c>
      <c r="F5" s="60">
        <v>1.7024865E-2</v>
      </c>
      <c r="G5" s="60">
        <v>0.68226359348207921</v>
      </c>
      <c r="H5" s="60">
        <v>120</v>
      </c>
      <c r="I5" s="69" t="s">
        <v>417</v>
      </c>
      <c r="J5" s="61"/>
      <c r="K5" s="60"/>
      <c r="L5" s="60"/>
      <c r="M5" s="60"/>
      <c r="N5" s="60"/>
      <c r="O5" s="60"/>
      <c r="P5" s="60"/>
      <c r="Q5" s="60"/>
      <c r="R5" s="60" t="s">
        <v>17</v>
      </c>
      <c r="S5" s="60"/>
      <c r="T5" s="60">
        <v>18</v>
      </c>
      <c r="U5" s="60" t="s">
        <v>407</v>
      </c>
      <c r="V5" s="60">
        <v>60</v>
      </c>
      <c r="W5" s="64">
        <v>1.6362154675531353</v>
      </c>
      <c r="X5" s="60"/>
      <c r="Y5" s="60"/>
      <c r="Z5" s="66">
        <v>60</v>
      </c>
      <c r="AA5" s="68">
        <v>5.1356964773548869E-2</v>
      </c>
      <c r="AB5" s="68">
        <v>4.8256783555505771E-2</v>
      </c>
      <c r="AC5" s="68">
        <v>4.2777708783709754E-2</v>
      </c>
      <c r="AD5" s="68">
        <v>4.7463819037588138E-2</v>
      </c>
    </row>
    <row r="6" spans="1:30" x14ac:dyDescent="0.25">
      <c r="A6" s="64" t="s">
        <v>215</v>
      </c>
      <c r="B6" s="64" t="s">
        <v>29</v>
      </c>
      <c r="C6" s="64" t="s">
        <v>30</v>
      </c>
      <c r="D6" s="64">
        <v>256.50200000000001</v>
      </c>
      <c r="E6" s="64">
        <v>21369.228999999999</v>
      </c>
      <c r="F6" s="64">
        <v>1.2003333999999999E-2</v>
      </c>
      <c r="G6" s="64">
        <v>0.4697376926801663</v>
      </c>
      <c r="H6" s="64">
        <v>120</v>
      </c>
      <c r="I6" s="70" t="s">
        <v>418</v>
      </c>
      <c r="J6" s="65"/>
      <c r="K6" s="64"/>
      <c r="L6" s="64"/>
      <c r="M6" s="64"/>
      <c r="N6" s="64"/>
      <c r="O6" s="64"/>
      <c r="P6" s="64"/>
      <c r="Q6" s="64"/>
      <c r="R6" s="64"/>
      <c r="S6" s="64"/>
      <c r="T6" s="64"/>
      <c r="U6" s="64" t="s">
        <v>407</v>
      </c>
      <c r="V6" s="64">
        <v>60</v>
      </c>
      <c r="W6" s="64">
        <v>1.5739513167327988</v>
      </c>
      <c r="X6" s="64"/>
      <c r="Y6" s="64"/>
      <c r="Z6" s="66">
        <v>30</v>
      </c>
      <c r="AA6" s="71">
        <v>0.18195968577885879</v>
      </c>
      <c r="AB6" s="71">
        <v>0.20303361632103978</v>
      </c>
      <c r="AC6" s="71">
        <v>0.19069133659760934</v>
      </c>
      <c r="AD6" s="71">
        <v>0.19189487956583595</v>
      </c>
    </row>
    <row r="7" spans="1:30" x14ac:dyDescent="0.25">
      <c r="A7" s="60" t="s">
        <v>216</v>
      </c>
      <c r="B7" s="60" t="s">
        <v>29</v>
      </c>
      <c r="C7" s="60" t="s">
        <v>30</v>
      </c>
      <c r="D7" s="60">
        <v>334.47699999999998</v>
      </c>
      <c r="E7" s="60">
        <v>23001.601999999999</v>
      </c>
      <c r="F7" s="60">
        <v>1.4541465E-2</v>
      </c>
      <c r="G7" s="60">
        <v>0.52784076708688454</v>
      </c>
      <c r="H7" s="60">
        <v>120</v>
      </c>
      <c r="I7" s="69" t="s">
        <v>419</v>
      </c>
      <c r="J7" s="61"/>
      <c r="K7" s="60"/>
      <c r="L7" s="60"/>
      <c r="M7" s="60"/>
      <c r="N7" s="60"/>
      <c r="O7" s="60"/>
      <c r="P7" s="60"/>
      <c r="Q7" s="60"/>
      <c r="R7" s="60"/>
      <c r="S7" s="60"/>
      <c r="T7" s="60"/>
      <c r="U7" s="60" t="s">
        <v>407</v>
      </c>
      <c r="V7" s="60">
        <v>60</v>
      </c>
      <c r="W7" s="64">
        <v>1.4534320511078751</v>
      </c>
      <c r="X7" s="60"/>
      <c r="Y7" s="60"/>
      <c r="Z7" s="66">
        <v>15</v>
      </c>
      <c r="AA7" s="71">
        <v>0.6820736833257578</v>
      </c>
      <c r="AB7" s="71">
        <v>0.67943377741979971</v>
      </c>
      <c r="AC7" s="71">
        <v>0.56682085480714761</v>
      </c>
      <c r="AD7" s="71">
        <v>0.642776105184235</v>
      </c>
    </row>
    <row r="8" spans="1:30" ht="15.75" thickBot="1" x14ac:dyDescent="0.3">
      <c r="A8" s="64" t="s">
        <v>223</v>
      </c>
      <c r="B8" s="64" t="s">
        <v>29</v>
      </c>
      <c r="C8" s="64" t="s">
        <v>30</v>
      </c>
      <c r="D8" s="64">
        <v>2009.1120000000001</v>
      </c>
      <c r="E8" s="64">
        <v>15686.807000000001</v>
      </c>
      <c r="F8" s="64">
        <v>0.12807654199999999</v>
      </c>
      <c r="G8" s="64">
        <v>5.1356964773548865</v>
      </c>
      <c r="H8" s="64">
        <v>60</v>
      </c>
      <c r="I8" s="70">
        <v>1.6362154675531353</v>
      </c>
      <c r="J8" s="65"/>
      <c r="K8" s="64"/>
      <c r="L8" s="64"/>
      <c r="M8" s="64"/>
      <c r="N8" s="64"/>
      <c r="O8" s="64"/>
      <c r="P8" s="64"/>
      <c r="Q8" s="64"/>
      <c r="R8" s="64"/>
      <c r="S8" s="64"/>
      <c r="T8" s="64"/>
      <c r="U8" s="64">
        <v>4</v>
      </c>
      <c r="V8" s="64">
        <v>30</v>
      </c>
      <c r="W8" s="64">
        <v>3.010786469978556</v>
      </c>
      <c r="X8" s="64"/>
      <c r="Y8" s="64"/>
      <c r="Z8" s="72">
        <v>0</v>
      </c>
      <c r="AA8" s="73">
        <v>1</v>
      </c>
      <c r="AB8" s="73">
        <v>1</v>
      </c>
      <c r="AC8" s="73">
        <v>1</v>
      </c>
      <c r="AD8" s="73">
        <v>1</v>
      </c>
    </row>
    <row r="9" spans="1:30" ht="16.5" thickTop="1" thickBot="1" x14ac:dyDescent="0.3">
      <c r="A9" s="60" t="s">
        <v>224</v>
      </c>
      <c r="B9" s="60" t="s">
        <v>29</v>
      </c>
      <c r="C9" s="60" t="s">
        <v>30</v>
      </c>
      <c r="D9" s="60">
        <v>2378.7550000000001</v>
      </c>
      <c r="E9" s="60">
        <v>19307.703000000001</v>
      </c>
      <c r="F9" s="60">
        <v>0.123202382</v>
      </c>
      <c r="G9" s="60">
        <v>4.8256783555505773</v>
      </c>
      <c r="H9" s="60">
        <v>60</v>
      </c>
      <c r="I9" s="69">
        <v>1.5739513167327988</v>
      </c>
      <c r="J9" s="61"/>
      <c r="K9" s="60"/>
      <c r="L9" s="60"/>
      <c r="M9" s="60"/>
      <c r="N9" s="60"/>
      <c r="O9" s="60"/>
      <c r="P9" s="60"/>
      <c r="Q9" s="60"/>
      <c r="R9" s="60"/>
      <c r="S9" s="60"/>
      <c r="T9" s="60"/>
      <c r="U9" s="60">
        <v>5</v>
      </c>
      <c r="V9" s="60">
        <v>30</v>
      </c>
      <c r="W9" s="60">
        <v>2.9480709890974688</v>
      </c>
      <c r="X9" s="60"/>
      <c r="Y9" s="60"/>
    </row>
    <row r="10" spans="1:30" x14ac:dyDescent="0.25">
      <c r="A10" s="64" t="s">
        <v>225</v>
      </c>
      <c r="B10" s="64" t="s">
        <v>29</v>
      </c>
      <c r="C10" s="64" t="s">
        <v>30</v>
      </c>
      <c r="D10" s="64">
        <v>2090.4349999999999</v>
      </c>
      <c r="E10" s="64">
        <v>17751.011999999999</v>
      </c>
      <c r="F10" s="64">
        <v>0.117764272</v>
      </c>
      <c r="G10" s="64">
        <v>4.2777708783709754</v>
      </c>
      <c r="H10" s="64">
        <v>60</v>
      </c>
      <c r="I10" s="70">
        <v>1.4534320511078751</v>
      </c>
      <c r="J10" s="65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>
        <v>6</v>
      </c>
      <c r="V10" s="64">
        <v>15</v>
      </c>
      <c r="W10" s="64">
        <v>4.2225525990806023</v>
      </c>
      <c r="X10" s="64"/>
      <c r="Y10" s="64"/>
      <c r="Z10" s="74" t="s">
        <v>22</v>
      </c>
      <c r="AA10" s="75">
        <v>-5.2744824356696238E-2</v>
      </c>
    </row>
    <row r="11" spans="1:30" x14ac:dyDescent="0.25">
      <c r="A11" s="60" t="s">
        <v>220</v>
      </c>
      <c r="B11" s="60" t="s">
        <v>29</v>
      </c>
      <c r="C11" s="60" t="s">
        <v>30</v>
      </c>
      <c r="D11" s="60">
        <v>8780.2009999999991</v>
      </c>
      <c r="E11" s="60">
        <v>19350.303</v>
      </c>
      <c r="F11" s="60">
        <v>0.45375005200000001</v>
      </c>
      <c r="G11" s="60">
        <v>18.195968577885878</v>
      </c>
      <c r="H11" s="60">
        <v>30</v>
      </c>
      <c r="I11" s="69">
        <v>2.9012000628369479</v>
      </c>
      <c r="J11" s="61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>
        <v>7</v>
      </c>
      <c r="V11" s="60">
        <v>15</v>
      </c>
      <c r="W11" s="64">
        <v>4.2186746780403261</v>
      </c>
      <c r="X11" s="60"/>
      <c r="Y11" s="60"/>
      <c r="Z11" s="76" t="s">
        <v>23</v>
      </c>
      <c r="AA11" s="77">
        <v>4.7226297526638659</v>
      </c>
    </row>
    <row r="12" spans="1:30" ht="17.25" x14ac:dyDescent="0.25">
      <c r="A12" s="64" t="s">
        <v>221</v>
      </c>
      <c r="B12" s="64" t="s">
        <v>29</v>
      </c>
      <c r="C12" s="64" t="s">
        <v>30</v>
      </c>
      <c r="D12" s="64">
        <v>10967.168</v>
      </c>
      <c r="E12" s="64">
        <v>21159.116999999998</v>
      </c>
      <c r="F12" s="64">
        <v>0.51831879400000003</v>
      </c>
      <c r="G12" s="64">
        <v>20.303361632103979</v>
      </c>
      <c r="H12" s="64">
        <v>30</v>
      </c>
      <c r="I12" s="70">
        <v>3.010786469978556</v>
      </c>
      <c r="J12" s="65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>
        <v>8</v>
      </c>
      <c r="V12" s="64">
        <v>15</v>
      </c>
      <c r="W12" s="64">
        <v>4.0374582080890491</v>
      </c>
      <c r="X12" s="64"/>
      <c r="Y12" s="64"/>
      <c r="Z12" s="76" t="s">
        <v>24</v>
      </c>
      <c r="AA12" s="78">
        <v>0.98256072849955223</v>
      </c>
    </row>
    <row r="13" spans="1:30" ht="18" x14ac:dyDescent="0.35">
      <c r="A13" s="60" t="s">
        <v>222</v>
      </c>
      <c r="B13" s="60" t="s">
        <v>29</v>
      </c>
      <c r="C13" s="60" t="s">
        <v>30</v>
      </c>
      <c r="D13" s="60">
        <v>9831.64</v>
      </c>
      <c r="E13" s="60">
        <v>18729.782999999999</v>
      </c>
      <c r="F13" s="60">
        <v>0.52492012300000002</v>
      </c>
      <c r="G13" s="60">
        <v>19.069133659760933</v>
      </c>
      <c r="H13" s="60">
        <v>30</v>
      </c>
      <c r="I13" s="69">
        <v>2.9480709890974688</v>
      </c>
      <c r="J13" s="61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>
        <v>9</v>
      </c>
      <c r="V13" s="60">
        <v>0</v>
      </c>
      <c r="W13" s="64">
        <v>4.6051701859880918</v>
      </c>
      <c r="X13" s="60"/>
      <c r="Y13" s="60"/>
      <c r="Z13" s="76" t="s">
        <v>25</v>
      </c>
      <c r="AA13" s="79">
        <v>13.141520310550556</v>
      </c>
    </row>
    <row r="14" spans="1:30" ht="18.75" x14ac:dyDescent="0.35">
      <c r="A14" s="64" t="s">
        <v>217</v>
      </c>
      <c r="B14" s="64" t="s">
        <v>29</v>
      </c>
      <c r="C14" s="64" t="s">
        <v>30</v>
      </c>
      <c r="D14" s="64">
        <v>40368.078000000001</v>
      </c>
      <c r="E14" s="64">
        <v>23734.143</v>
      </c>
      <c r="F14" s="64">
        <v>1.7008441379999999</v>
      </c>
      <c r="G14" s="64">
        <v>68.207368332575783</v>
      </c>
      <c r="H14" s="64">
        <v>15</v>
      </c>
      <c r="I14" s="70">
        <v>4.2225525990806023</v>
      </c>
      <c r="J14" s="65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>
        <v>10</v>
      </c>
      <c r="V14" s="64">
        <v>0</v>
      </c>
      <c r="W14" s="64">
        <v>4.6051701859880918</v>
      </c>
      <c r="X14" s="64"/>
      <c r="Y14" s="64"/>
      <c r="Z14" s="76" t="s">
        <v>26</v>
      </c>
      <c r="AA14" s="79">
        <v>105.48964871339247</v>
      </c>
    </row>
    <row r="15" spans="1:30" ht="15.75" thickBot="1" x14ac:dyDescent="0.3">
      <c r="A15" s="60" t="s">
        <v>218</v>
      </c>
      <c r="B15" s="60" t="s">
        <v>29</v>
      </c>
      <c r="C15" s="60" t="s">
        <v>30</v>
      </c>
      <c r="D15" s="60">
        <v>36113.949000000001</v>
      </c>
      <c r="E15" s="60">
        <v>20821.201000000001</v>
      </c>
      <c r="F15" s="60">
        <v>1.73447963</v>
      </c>
      <c r="G15" s="60">
        <v>67.943377741979972</v>
      </c>
      <c r="H15" s="60">
        <v>15</v>
      </c>
      <c r="I15" s="69">
        <v>4.2186746780403261</v>
      </c>
      <c r="J15" s="61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>
        <v>11</v>
      </c>
      <c r="V15" s="60">
        <v>0</v>
      </c>
      <c r="W15" s="60">
        <v>4.6051701859880918</v>
      </c>
      <c r="X15" s="60"/>
      <c r="Y15" s="60"/>
      <c r="Z15" s="80" t="s">
        <v>10</v>
      </c>
      <c r="AA15" s="81" t="s">
        <v>27</v>
      </c>
    </row>
    <row r="16" spans="1:30" x14ac:dyDescent="0.25">
      <c r="A16" s="64" t="s">
        <v>219</v>
      </c>
      <c r="B16" s="64" t="s">
        <v>29</v>
      </c>
      <c r="C16" s="64" t="s">
        <v>30</v>
      </c>
      <c r="D16" s="64">
        <v>33559.093999999997</v>
      </c>
      <c r="E16" s="64">
        <v>21508.425999999999</v>
      </c>
      <c r="F16" s="64">
        <v>1.5602766100000001</v>
      </c>
      <c r="G16" s="64">
        <v>56.682085480714761</v>
      </c>
      <c r="H16" s="64">
        <v>15</v>
      </c>
      <c r="I16" s="70">
        <v>4.0374582080890491</v>
      </c>
      <c r="J16" s="65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>
        <v>12</v>
      </c>
      <c r="V16" s="64" t="s">
        <v>407</v>
      </c>
      <c r="W16" s="64" t="s">
        <v>407</v>
      </c>
      <c r="X16" s="64"/>
      <c r="Y16" s="64"/>
    </row>
    <row r="17" spans="1:25" x14ac:dyDescent="0.25">
      <c r="A17" s="62" t="s">
        <v>211</v>
      </c>
      <c r="B17" s="60" t="s">
        <v>29</v>
      </c>
      <c r="C17" s="60" t="s">
        <v>30</v>
      </c>
      <c r="D17" s="60">
        <v>58095.218999999997</v>
      </c>
      <c r="E17" s="60">
        <v>23297.436000000002</v>
      </c>
      <c r="F17" s="60">
        <v>2.4936314450000001</v>
      </c>
      <c r="G17" s="60">
        <v>100</v>
      </c>
      <c r="H17" s="60">
        <v>0</v>
      </c>
      <c r="I17" s="69">
        <v>4.6051701859880918</v>
      </c>
      <c r="J17" s="61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>
        <v>13</v>
      </c>
      <c r="V17" s="60" t="s">
        <v>407</v>
      </c>
      <c r="W17" s="60" t="s">
        <v>407</v>
      </c>
      <c r="X17" s="60"/>
      <c r="Y17" s="60"/>
    </row>
    <row r="18" spans="1:25" x14ac:dyDescent="0.25">
      <c r="A18" s="64" t="s">
        <v>212</v>
      </c>
      <c r="B18" s="64" t="s">
        <v>29</v>
      </c>
      <c r="C18" s="64" t="s">
        <v>30</v>
      </c>
      <c r="D18" s="64">
        <v>53600.917999999998</v>
      </c>
      <c r="E18" s="64">
        <v>20996.703000000001</v>
      </c>
      <c r="F18" s="64">
        <v>2.5528254600000002</v>
      </c>
      <c r="G18" s="64">
        <v>100</v>
      </c>
      <c r="H18" s="64">
        <v>0</v>
      </c>
      <c r="I18" s="70">
        <v>4.6051701859880918</v>
      </c>
      <c r="J18" s="65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>
        <v>14</v>
      </c>
      <c r="V18" s="64" t="s">
        <v>407</v>
      </c>
      <c r="W18" s="64" t="s">
        <v>407</v>
      </c>
      <c r="X18" s="64"/>
      <c r="Y18" s="64"/>
    </row>
    <row r="19" spans="1:25" x14ac:dyDescent="0.25">
      <c r="A19" s="60" t="s">
        <v>213</v>
      </c>
      <c r="B19" s="60" t="s">
        <v>29</v>
      </c>
      <c r="C19" s="60" t="s">
        <v>30</v>
      </c>
      <c r="D19" s="60">
        <v>56835.741999999998</v>
      </c>
      <c r="E19" s="60">
        <v>20647.486000000001</v>
      </c>
      <c r="F19" s="60">
        <v>2.7526712940000002</v>
      </c>
      <c r="G19" s="60">
        <v>100</v>
      </c>
      <c r="H19" s="60">
        <v>0</v>
      </c>
      <c r="I19" s="69">
        <v>4.6051701859880918</v>
      </c>
      <c r="J19" s="61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>
        <v>15</v>
      </c>
      <c r="V19" s="60" t="s">
        <v>407</v>
      </c>
      <c r="W19" s="60" t="s">
        <v>407</v>
      </c>
      <c r="X19" s="60"/>
      <c r="Y19" s="60"/>
    </row>
    <row r="20" spans="1:25" x14ac:dyDescent="0.25">
      <c r="A20" s="64"/>
      <c r="B20" s="64"/>
      <c r="C20" s="64"/>
      <c r="D20" s="64"/>
      <c r="E20" s="64"/>
      <c r="F20" s="64"/>
      <c r="G20" s="64"/>
      <c r="H20" s="64"/>
      <c r="I20" s="70"/>
      <c r="J20" s="65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</row>
    <row r="21" spans="1:25" x14ac:dyDescent="0.25">
      <c r="A21" s="60"/>
      <c r="B21" s="60"/>
      <c r="C21" s="60"/>
      <c r="D21" s="60"/>
      <c r="E21" s="60"/>
      <c r="F21" s="60"/>
      <c r="G21" s="60"/>
      <c r="H21" s="60"/>
      <c r="I21" s="69"/>
      <c r="J21" s="61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</row>
    <row r="22" spans="1:25" x14ac:dyDescent="0.25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</row>
    <row r="25" spans="1:25" x14ac:dyDescent="0.25">
      <c r="A25" s="104"/>
    </row>
    <row r="32" spans="1:25" x14ac:dyDescent="0.25">
      <c r="A32" s="105" t="s">
        <v>27</v>
      </c>
    </row>
  </sheetData>
  <conditionalFormatting sqref="I5">
    <cfRule type="expression" dxfId="34" priority="35">
      <formula>ISTEXT($I$5)</formula>
    </cfRule>
  </conditionalFormatting>
  <conditionalFormatting sqref="I6">
    <cfRule type="expression" dxfId="33" priority="34">
      <formula>ISTEXT($I$6)</formula>
    </cfRule>
  </conditionalFormatting>
  <conditionalFormatting sqref="I7">
    <cfRule type="expression" dxfId="32" priority="33">
      <formula>ISTEXT($I$7)</formula>
    </cfRule>
  </conditionalFormatting>
  <conditionalFormatting sqref="I8">
    <cfRule type="expression" dxfId="31" priority="32">
      <formula>ISTEXT($I$8)</formula>
    </cfRule>
  </conditionalFormatting>
  <conditionalFormatting sqref="I9">
    <cfRule type="expression" dxfId="30" priority="31">
      <formula>ISTEXT($I$9)</formula>
    </cfRule>
  </conditionalFormatting>
  <conditionalFormatting sqref="I10">
    <cfRule type="expression" dxfId="29" priority="30">
      <formula>ISTEXT($I$10)</formula>
    </cfRule>
  </conditionalFormatting>
  <conditionalFormatting sqref="I11">
    <cfRule type="expression" dxfId="28" priority="29">
      <formula>ISTEXT($I$11)</formula>
    </cfRule>
  </conditionalFormatting>
  <conditionalFormatting sqref="I12">
    <cfRule type="expression" dxfId="27" priority="28">
      <formula>ISTEXT($I$12)</formula>
    </cfRule>
  </conditionalFormatting>
  <conditionalFormatting sqref="I13">
    <cfRule type="expression" dxfId="26" priority="27">
      <formula>ISTEXT($I$13)</formula>
    </cfRule>
  </conditionalFormatting>
  <conditionalFormatting sqref="I14">
    <cfRule type="expression" dxfId="25" priority="26">
      <formula>ISTEXT($I$14)</formula>
    </cfRule>
  </conditionalFormatting>
  <conditionalFormatting sqref="I15">
    <cfRule type="expression" dxfId="24" priority="25">
      <formula>ISTEXT($I$15)</formula>
    </cfRule>
  </conditionalFormatting>
  <conditionalFormatting sqref="I16">
    <cfRule type="expression" dxfId="23" priority="24">
      <formula>ISTEXT($I$16)</formula>
    </cfRule>
  </conditionalFormatting>
  <conditionalFormatting sqref="I17">
    <cfRule type="expression" dxfId="22" priority="23">
      <formula>ISTEXT($I$17)</formula>
    </cfRule>
  </conditionalFormatting>
  <conditionalFormatting sqref="I18">
    <cfRule type="expression" dxfId="21" priority="22">
      <formula>ISTEXT($I$18)</formula>
    </cfRule>
  </conditionalFormatting>
  <conditionalFormatting sqref="I19:I21">
    <cfRule type="expression" dxfId="20" priority="21">
      <formula>ISTEXT($I$19)</formula>
    </cfRule>
  </conditionalFormatting>
  <conditionalFormatting sqref="AA3:AA4">
    <cfRule type="expression" dxfId="19" priority="20">
      <formula>ISTEXT($AA$3)</formula>
    </cfRule>
  </conditionalFormatting>
  <conditionalFormatting sqref="AB3:AB4">
    <cfRule type="expression" dxfId="18" priority="19">
      <formula>ISTEXT($AB$3)</formula>
    </cfRule>
  </conditionalFormatting>
  <conditionalFormatting sqref="AC3:AC4">
    <cfRule type="expression" dxfId="17" priority="18">
      <formula>ISTEXT($AC$3)</formula>
    </cfRule>
  </conditionalFormatting>
  <conditionalFormatting sqref="AD3:AD4">
    <cfRule type="expression" dxfId="16" priority="17">
      <formula>ISTEXT($AD$3)</formula>
    </cfRule>
  </conditionalFormatting>
  <conditionalFormatting sqref="AA5">
    <cfRule type="expression" dxfId="15" priority="16">
      <formula>ISTEXT($AA$5)</formula>
    </cfRule>
  </conditionalFormatting>
  <conditionalFormatting sqref="AB5">
    <cfRule type="expression" dxfId="14" priority="15">
      <formula>ISTEXT($AB$5)</formula>
    </cfRule>
  </conditionalFormatting>
  <conditionalFormatting sqref="AC5">
    <cfRule type="expression" dxfId="13" priority="14">
      <formula>ISTEXT($AC$5)</formula>
    </cfRule>
  </conditionalFormatting>
  <conditionalFormatting sqref="AD5">
    <cfRule type="expression" dxfId="12" priority="13">
      <formula>ISTEXT($AD$5)</formula>
    </cfRule>
  </conditionalFormatting>
  <conditionalFormatting sqref="AA6">
    <cfRule type="expression" dxfId="11" priority="12">
      <formula>ISTEXT($AA$6)</formula>
    </cfRule>
  </conditionalFormatting>
  <conditionalFormatting sqref="AB6">
    <cfRule type="expression" dxfId="10" priority="11">
      <formula>ISTEXT($AB$6)</formula>
    </cfRule>
  </conditionalFormatting>
  <conditionalFormatting sqref="AC6">
    <cfRule type="expression" dxfId="9" priority="10">
      <formula>ISTEXT($AC$6)</formula>
    </cfRule>
  </conditionalFormatting>
  <conditionalFormatting sqref="AD6">
    <cfRule type="expression" dxfId="8" priority="9">
      <formula>ISTEXT($AD$6)</formula>
    </cfRule>
  </conditionalFormatting>
  <conditionalFormatting sqref="AA7">
    <cfRule type="expression" dxfId="7" priority="8">
      <formula>ISTEXT($AA$7)</formula>
    </cfRule>
  </conditionalFormatting>
  <conditionalFormatting sqref="AB7">
    <cfRule type="expression" dxfId="6" priority="7">
      <formula>ISTEXT($AB$7)</formula>
    </cfRule>
  </conditionalFormatting>
  <conditionalFormatting sqref="AC7">
    <cfRule type="expression" dxfId="5" priority="6">
      <formula>ISTEXT($AC$7)</formula>
    </cfRule>
  </conditionalFormatting>
  <conditionalFormatting sqref="AD7">
    <cfRule type="expression" dxfId="4" priority="5">
      <formula>ISTEXT($AD$7)</formula>
    </cfRule>
  </conditionalFormatting>
  <conditionalFormatting sqref="AA8">
    <cfRule type="expression" dxfId="3" priority="4">
      <formula>ISTEXT($AA$8)</formula>
    </cfRule>
  </conditionalFormatting>
  <conditionalFormatting sqref="AB8">
    <cfRule type="expression" dxfId="2" priority="3">
      <formula>ISTEXT($AB$8)</formula>
    </cfRule>
  </conditionalFormatting>
  <conditionalFormatting sqref="AC8">
    <cfRule type="expression" dxfId="1" priority="2">
      <formula>ISTEXT($AC$8)</formula>
    </cfRule>
  </conditionalFormatting>
  <conditionalFormatting sqref="AD8">
    <cfRule type="expression" dxfId="0" priority="1">
      <formula>ISTEXT($AD$8)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7"/>
  <sheetViews>
    <sheetView tabSelected="1" workbookViewId="0">
      <selection activeCell="A8" sqref="A8"/>
    </sheetView>
  </sheetViews>
  <sheetFormatPr defaultRowHeight="15" x14ac:dyDescent="0.25"/>
  <cols>
    <col min="1" max="1" width="57.140625" bestFit="1" customWidth="1"/>
    <col min="2" max="2" width="54.5703125" bestFit="1" customWidth="1"/>
    <col min="8" max="8" width="31.42578125" bestFit="1" customWidth="1"/>
    <col min="9" max="9" width="17.85546875" bestFit="1" customWidth="1"/>
    <col min="10" max="10" width="18.7109375" bestFit="1" customWidth="1"/>
  </cols>
  <sheetData>
    <row r="1" spans="1:10" s="99" customFormat="1" x14ac:dyDescent="0.25">
      <c r="A1" s="102" t="s">
        <v>33</v>
      </c>
      <c r="B1" s="102" t="s">
        <v>34</v>
      </c>
      <c r="C1" s="107" t="s">
        <v>3</v>
      </c>
      <c r="D1" s="107" t="s">
        <v>4</v>
      </c>
      <c r="E1" s="108" t="s">
        <v>28</v>
      </c>
      <c r="F1" s="110" t="s">
        <v>35</v>
      </c>
      <c r="G1" s="109"/>
      <c r="H1" s="99" t="s">
        <v>403</v>
      </c>
      <c r="I1" s="99" t="s">
        <v>404</v>
      </c>
      <c r="J1" s="99" t="s">
        <v>405</v>
      </c>
    </row>
    <row r="2" spans="1:10" x14ac:dyDescent="0.25">
      <c r="A2" s="85" t="s">
        <v>319</v>
      </c>
      <c r="B2" s="85" t="s">
        <v>320</v>
      </c>
      <c r="C2" s="86">
        <v>49707.233374657102</v>
      </c>
      <c r="D2" s="86">
        <v>284833.51588809601</v>
      </c>
      <c r="E2" s="101">
        <v>0.17451328794532001</v>
      </c>
      <c r="F2" s="88">
        <v>4.3832899999999997</v>
      </c>
      <c r="G2" s="87"/>
    </row>
    <row r="3" spans="1:10" x14ac:dyDescent="0.25">
      <c r="A3" s="85" t="s">
        <v>321</v>
      </c>
      <c r="B3" s="85" t="s">
        <v>322</v>
      </c>
      <c r="C3" s="86">
        <v>0</v>
      </c>
      <c r="D3" s="86">
        <v>267803.52385125501</v>
      </c>
      <c r="E3" s="101">
        <v>0</v>
      </c>
      <c r="F3" s="88">
        <v>0</v>
      </c>
      <c r="G3" s="87"/>
    </row>
    <row r="4" spans="1:10" x14ac:dyDescent="0.25">
      <c r="A4" s="85" t="s">
        <v>323</v>
      </c>
      <c r="B4" s="85" t="s">
        <v>324</v>
      </c>
      <c r="C4" s="86">
        <v>0</v>
      </c>
      <c r="D4" s="86">
        <v>138258.526468781</v>
      </c>
      <c r="E4" s="101">
        <v>0</v>
      </c>
      <c r="F4" s="88">
        <v>0</v>
      </c>
      <c r="G4" s="87"/>
    </row>
    <row r="5" spans="1:10" x14ac:dyDescent="0.25">
      <c r="A5" s="85" t="s">
        <v>325</v>
      </c>
      <c r="B5" s="85" t="s">
        <v>326</v>
      </c>
      <c r="C5" s="86">
        <v>0</v>
      </c>
      <c r="D5" s="86">
        <v>56947.0722506772</v>
      </c>
      <c r="E5" s="101">
        <v>0</v>
      </c>
      <c r="F5" s="88">
        <v>0</v>
      </c>
      <c r="G5" s="87"/>
    </row>
    <row r="6" spans="1:10" x14ac:dyDescent="0.25">
      <c r="A6" s="85" t="s">
        <v>327</v>
      </c>
      <c r="B6" s="85" t="s">
        <v>328</v>
      </c>
      <c r="C6" s="86">
        <v>0</v>
      </c>
      <c r="D6" s="86">
        <v>123121.86214645801</v>
      </c>
      <c r="E6" s="101">
        <v>0</v>
      </c>
      <c r="F6" s="88">
        <v>0</v>
      </c>
      <c r="G6" s="87"/>
    </row>
    <row r="7" spans="1:10" x14ac:dyDescent="0.25">
      <c r="A7" s="85" t="s">
        <v>329</v>
      </c>
      <c r="B7" s="85" t="s">
        <v>330</v>
      </c>
      <c r="C7" s="86">
        <v>0</v>
      </c>
      <c r="D7" s="86">
        <v>206552.74209330601</v>
      </c>
      <c r="E7" s="101">
        <v>0</v>
      </c>
      <c r="F7" s="88">
        <v>0</v>
      </c>
      <c r="G7" s="87"/>
    </row>
    <row r="8" spans="1:10" x14ac:dyDescent="0.25">
      <c r="A8" s="85" t="s">
        <v>355</v>
      </c>
      <c r="B8" s="85" t="s">
        <v>356</v>
      </c>
      <c r="C8" s="86">
        <v>68703.664357773494</v>
      </c>
      <c r="D8" s="86">
        <v>285974.71446429199</v>
      </c>
      <c r="E8" s="101">
        <v>0.240243842839301</v>
      </c>
      <c r="F8" s="88">
        <v>4.3811883333333297</v>
      </c>
      <c r="G8" s="87"/>
      <c r="H8" s="118">
        <v>0.18207274685752767</v>
      </c>
      <c r="I8" s="103"/>
      <c r="J8" s="103"/>
    </row>
    <row r="9" spans="1:10" x14ac:dyDescent="0.25">
      <c r="A9" s="85" t="s">
        <v>357</v>
      </c>
      <c r="B9" s="85" t="s">
        <v>358</v>
      </c>
      <c r="C9" s="86">
        <v>53250.176955938397</v>
      </c>
      <c r="D9" s="86">
        <v>194241.71505655799</v>
      </c>
      <c r="E9" s="101">
        <v>0.274143877593097</v>
      </c>
      <c r="F9" s="88">
        <v>4.3811766666666596</v>
      </c>
      <c r="G9" s="87"/>
      <c r="H9" s="118">
        <v>0.21597278161132366</v>
      </c>
      <c r="I9" s="18">
        <v>118.61895057821192</v>
      </c>
      <c r="J9" s="103"/>
    </row>
    <row r="10" spans="1:10" x14ac:dyDescent="0.25">
      <c r="A10" s="85" t="s">
        <v>359</v>
      </c>
      <c r="B10" s="85" t="s">
        <v>360</v>
      </c>
      <c r="C10" s="86">
        <v>125996.087275496</v>
      </c>
      <c r="D10" s="86">
        <v>362378.503439989</v>
      </c>
      <c r="E10" s="101">
        <v>0.34769194662332398</v>
      </c>
      <c r="F10" s="88">
        <v>4.3811850000000003</v>
      </c>
      <c r="G10" s="87"/>
      <c r="H10" s="118">
        <v>0.28952085064155064</v>
      </c>
      <c r="I10" s="19"/>
      <c r="J10" s="103"/>
    </row>
    <row r="11" spans="1:10" x14ac:dyDescent="0.25">
      <c r="A11" s="85" t="s">
        <v>361</v>
      </c>
      <c r="B11" s="85" t="s">
        <v>362</v>
      </c>
      <c r="C11" s="86">
        <v>45361.800184691398</v>
      </c>
      <c r="D11" s="86">
        <v>319968.11820638401</v>
      </c>
      <c r="E11" s="101">
        <v>0.141769750183149</v>
      </c>
      <c r="F11" s="88">
        <v>4.3811799999999996</v>
      </c>
      <c r="G11" s="87"/>
      <c r="H11" s="118">
        <v>8.3598654201375661E-2</v>
      </c>
      <c r="I11" s="19">
        <v>28.874830263909836</v>
      </c>
      <c r="J11" s="103"/>
    </row>
    <row r="12" spans="1:10" x14ac:dyDescent="0.25">
      <c r="A12" s="85" t="s">
        <v>363</v>
      </c>
      <c r="B12" s="85" t="s">
        <v>364</v>
      </c>
      <c r="C12" s="86">
        <v>66391.748755869397</v>
      </c>
      <c r="D12" s="86">
        <v>361246.33654136502</v>
      </c>
      <c r="E12" s="101">
        <v>0.18378525133712201</v>
      </c>
      <c r="F12" s="88">
        <v>4.3811850000000003</v>
      </c>
      <c r="G12" s="87"/>
      <c r="H12" s="118">
        <v>0.12561415535534867</v>
      </c>
      <c r="I12" s="19"/>
      <c r="J12" s="103"/>
    </row>
    <row r="13" spans="1:10" x14ac:dyDescent="0.25">
      <c r="A13" s="85" t="s">
        <v>365</v>
      </c>
      <c r="B13" s="85" t="s">
        <v>366</v>
      </c>
      <c r="C13" s="86">
        <v>49656.616352062498</v>
      </c>
      <c r="D13" s="86">
        <v>248248.63867115401</v>
      </c>
      <c r="E13" s="101">
        <v>0.20002774886447999</v>
      </c>
      <c r="F13" s="88">
        <v>4.3811833333333299</v>
      </c>
      <c r="G13" s="87"/>
      <c r="H13" s="118">
        <v>0.14185665288270666</v>
      </c>
      <c r="I13" s="18">
        <v>112.93046749501259</v>
      </c>
      <c r="J13" s="19">
        <v>86.808082779044796</v>
      </c>
    </row>
    <row r="14" spans="1:10" x14ac:dyDescent="0.25">
      <c r="A14" s="85" t="s">
        <v>367</v>
      </c>
      <c r="B14" s="85" t="s">
        <v>368</v>
      </c>
      <c r="C14" s="86">
        <v>66446.240888023807</v>
      </c>
      <c r="D14" s="86">
        <v>565023.79933184898</v>
      </c>
      <c r="E14" s="101">
        <v>0.117599012584245</v>
      </c>
      <c r="F14" s="88">
        <v>4.3854566666666601</v>
      </c>
      <c r="G14" s="87"/>
      <c r="H14" s="118">
        <v>0.117599012584245</v>
      </c>
      <c r="I14" s="18"/>
      <c r="J14" s="103"/>
    </row>
    <row r="15" spans="1:10" x14ac:dyDescent="0.25">
      <c r="A15" s="85" t="s">
        <v>369</v>
      </c>
      <c r="B15" s="85" t="s">
        <v>370</v>
      </c>
      <c r="C15" s="86">
        <v>48780.753111211197</v>
      </c>
      <c r="D15" s="86">
        <v>250933.588555294</v>
      </c>
      <c r="E15" s="101">
        <v>0.19439706494478401</v>
      </c>
      <c r="F15" s="88">
        <v>4.3811833333333299</v>
      </c>
      <c r="G15" s="87"/>
      <c r="H15" s="118">
        <v>0.19439706494478401</v>
      </c>
      <c r="I15" s="18">
        <v>165.30501461950863</v>
      </c>
      <c r="J15" s="103"/>
    </row>
    <row r="16" spans="1:10" x14ac:dyDescent="0.25">
      <c r="A16" s="85" t="s">
        <v>371</v>
      </c>
      <c r="B16" s="85" t="s">
        <v>372</v>
      </c>
      <c r="C16" s="86">
        <v>60928.707270428298</v>
      </c>
      <c r="D16" s="86">
        <v>253674.940452165</v>
      </c>
      <c r="E16" s="101">
        <v>0.24018417886223001</v>
      </c>
      <c r="F16" s="88">
        <v>4.3811266666666597</v>
      </c>
      <c r="G16" s="87"/>
      <c r="H16" s="118">
        <v>0.24018417886223001</v>
      </c>
      <c r="I16" s="19"/>
      <c r="J16" s="103"/>
    </row>
    <row r="17" spans="1:10" x14ac:dyDescent="0.25">
      <c r="A17" s="85" t="s">
        <v>373</v>
      </c>
      <c r="B17" s="85" t="s">
        <v>374</v>
      </c>
      <c r="C17" s="86">
        <v>47723.436030518104</v>
      </c>
      <c r="D17" s="86">
        <v>523921.99799909699</v>
      </c>
      <c r="E17" s="101">
        <v>9.1088818970721006E-2</v>
      </c>
      <c r="F17" s="88">
        <v>4.3769083333333301</v>
      </c>
      <c r="G17" s="87"/>
      <c r="H17" s="118">
        <v>9.1088818970721006E-2</v>
      </c>
      <c r="I17" s="19">
        <v>37.924570803212518</v>
      </c>
      <c r="J17" s="103"/>
    </row>
    <row r="18" spans="1:10" x14ac:dyDescent="0.25">
      <c r="A18" s="85" t="s">
        <v>375</v>
      </c>
      <c r="B18" s="85" t="s">
        <v>376</v>
      </c>
      <c r="C18" s="86">
        <v>65877.965518671204</v>
      </c>
      <c r="D18" s="86">
        <v>338101.91947671497</v>
      </c>
      <c r="E18" s="101">
        <v>0.19484647002487099</v>
      </c>
      <c r="F18" s="88">
        <v>4.3854550000000003</v>
      </c>
      <c r="G18" s="87"/>
      <c r="H18" s="118">
        <v>0.19484647002487099</v>
      </c>
      <c r="I18" s="19"/>
      <c r="J18" s="103"/>
    </row>
    <row r="19" spans="1:10" x14ac:dyDescent="0.25">
      <c r="A19" s="85" t="s">
        <v>377</v>
      </c>
      <c r="B19" s="85" t="s">
        <v>378</v>
      </c>
      <c r="C19" s="86">
        <v>48596.380207482704</v>
      </c>
      <c r="D19" s="86">
        <v>194834.37174566899</v>
      </c>
      <c r="E19" s="101">
        <v>0.24942406091938801</v>
      </c>
      <c r="F19" s="88">
        <v>4.3811833333333299</v>
      </c>
      <c r="G19" s="87"/>
      <c r="H19" s="118">
        <v>0.24942406091938801</v>
      </c>
      <c r="I19" s="18">
        <v>128.01056179644954</v>
      </c>
      <c r="J19" s="18">
        <v>110.41338240639023</v>
      </c>
    </row>
    <row r="20" spans="1:10" x14ac:dyDescent="0.25">
      <c r="H20" s="103"/>
      <c r="I20" s="103"/>
      <c r="J20" s="103"/>
    </row>
    <row r="21" spans="1:10" x14ac:dyDescent="0.25">
      <c r="A21" s="85" t="s">
        <v>319</v>
      </c>
      <c r="B21" s="85" t="s">
        <v>320</v>
      </c>
      <c r="C21" s="86">
        <v>0</v>
      </c>
      <c r="D21" s="86">
        <v>284833.51588809601</v>
      </c>
      <c r="E21" s="101">
        <v>0</v>
      </c>
      <c r="F21" s="88">
        <v>0</v>
      </c>
      <c r="G21" s="87"/>
      <c r="H21" s="103"/>
      <c r="I21" s="103"/>
      <c r="J21" s="103"/>
    </row>
    <row r="22" spans="1:10" x14ac:dyDescent="0.25">
      <c r="A22" s="85" t="s">
        <v>321</v>
      </c>
      <c r="B22" s="85" t="s">
        <v>322</v>
      </c>
      <c r="C22" s="86">
        <v>0</v>
      </c>
      <c r="D22" s="86">
        <v>267803.52385125501</v>
      </c>
      <c r="E22" s="101">
        <v>0</v>
      </c>
      <c r="F22" s="88">
        <v>0</v>
      </c>
      <c r="G22" s="87"/>
      <c r="H22" s="103"/>
      <c r="I22" s="103"/>
      <c r="J22" s="103"/>
    </row>
    <row r="23" spans="1:10" x14ac:dyDescent="0.25">
      <c r="A23" s="85" t="s">
        <v>323</v>
      </c>
      <c r="B23" s="85" t="s">
        <v>324</v>
      </c>
      <c r="C23" s="86">
        <v>0</v>
      </c>
      <c r="D23" s="86">
        <v>138258.526468781</v>
      </c>
      <c r="E23" s="101">
        <v>0</v>
      </c>
      <c r="F23" s="88">
        <v>0</v>
      </c>
      <c r="G23" s="87"/>
      <c r="H23" s="103"/>
      <c r="I23" s="103"/>
      <c r="J23" s="103"/>
    </row>
    <row r="24" spans="1:10" x14ac:dyDescent="0.25">
      <c r="A24" s="85" t="s">
        <v>325</v>
      </c>
      <c r="B24" s="85" t="s">
        <v>326</v>
      </c>
      <c r="C24" s="86">
        <v>0</v>
      </c>
      <c r="D24" s="86">
        <v>56947.0722506772</v>
      </c>
      <c r="E24" s="101">
        <v>0</v>
      </c>
      <c r="F24" s="88">
        <v>0</v>
      </c>
      <c r="G24" s="87"/>
      <c r="H24" s="103"/>
      <c r="I24" s="103"/>
      <c r="J24" s="103"/>
    </row>
    <row r="25" spans="1:10" x14ac:dyDescent="0.25">
      <c r="A25" s="85" t="s">
        <v>327</v>
      </c>
      <c r="B25" s="85" t="s">
        <v>328</v>
      </c>
      <c r="C25" s="86">
        <v>0</v>
      </c>
      <c r="D25" s="86">
        <v>123121.86214645801</v>
      </c>
      <c r="E25" s="101">
        <v>0</v>
      </c>
      <c r="F25" s="88">
        <v>0</v>
      </c>
      <c r="G25" s="87"/>
      <c r="H25" s="103"/>
      <c r="I25" s="103"/>
      <c r="J25" s="103"/>
    </row>
    <row r="26" spans="1:10" x14ac:dyDescent="0.25">
      <c r="A26" s="85" t="s">
        <v>329</v>
      </c>
      <c r="B26" s="85" t="s">
        <v>330</v>
      </c>
      <c r="C26" s="86">
        <v>0</v>
      </c>
      <c r="D26" s="86">
        <v>206552.74209330601</v>
      </c>
      <c r="E26" s="101">
        <v>0</v>
      </c>
      <c r="F26" s="88">
        <v>0</v>
      </c>
      <c r="G26" s="87"/>
      <c r="H26" s="103"/>
      <c r="I26" s="103"/>
      <c r="J26" s="103"/>
    </row>
    <row r="27" spans="1:10" x14ac:dyDescent="0.25">
      <c r="A27" s="85" t="s">
        <v>331</v>
      </c>
      <c r="B27" s="85" t="s">
        <v>332</v>
      </c>
      <c r="C27" s="86">
        <v>537310.60760155995</v>
      </c>
      <c r="D27" s="86">
        <v>352561.38997240498</v>
      </c>
      <c r="E27" s="101">
        <v>1.5240199944855399</v>
      </c>
      <c r="F27" s="88">
        <v>7.1632316666666602</v>
      </c>
      <c r="G27" s="87"/>
      <c r="H27" s="103">
        <v>1.5240199944855399</v>
      </c>
      <c r="I27" s="103"/>
      <c r="J27" s="103"/>
    </row>
    <row r="28" spans="1:10" x14ac:dyDescent="0.25">
      <c r="A28" s="85" t="s">
        <v>333</v>
      </c>
      <c r="B28" s="85" t="s">
        <v>334</v>
      </c>
      <c r="C28" s="86">
        <v>242365.26541609</v>
      </c>
      <c r="D28" s="86">
        <v>494637.42497741902</v>
      </c>
      <c r="E28" s="101">
        <v>0.489985700995339</v>
      </c>
      <c r="F28" s="88">
        <v>7.1688333333333301</v>
      </c>
      <c r="G28" s="87"/>
      <c r="H28" s="118">
        <v>0.489985700995339</v>
      </c>
      <c r="I28" s="19">
        <v>32.150870905124997</v>
      </c>
      <c r="J28" s="103"/>
    </row>
    <row r="29" spans="1:10" x14ac:dyDescent="0.25">
      <c r="A29" s="85" t="s">
        <v>335</v>
      </c>
      <c r="B29" s="85" t="s">
        <v>336</v>
      </c>
      <c r="C29" s="86">
        <v>547001.46604882902</v>
      </c>
      <c r="D29" s="86">
        <v>265081.27834357403</v>
      </c>
      <c r="E29" s="101">
        <v>2.0635235708341999</v>
      </c>
      <c r="F29" s="88">
        <v>7.1632300000000004</v>
      </c>
      <c r="G29" s="87"/>
      <c r="H29" s="103">
        <v>2.0635235708341999</v>
      </c>
      <c r="I29" s="19"/>
      <c r="J29" s="103"/>
    </row>
    <row r="30" spans="1:10" x14ac:dyDescent="0.25">
      <c r="A30" s="85" t="s">
        <v>337</v>
      </c>
      <c r="B30" s="85" t="s">
        <v>338</v>
      </c>
      <c r="C30" s="86">
        <v>297702.76198445901</v>
      </c>
      <c r="D30" s="86">
        <v>541882.62985349901</v>
      </c>
      <c r="E30" s="101">
        <v>0.549386058130236</v>
      </c>
      <c r="F30" s="88">
        <v>7.1632266666666604</v>
      </c>
      <c r="G30" s="87"/>
      <c r="H30" s="118">
        <v>0.549386058130236</v>
      </c>
      <c r="I30" s="19">
        <v>26.623687070758358</v>
      </c>
      <c r="J30" s="103"/>
    </row>
    <row r="31" spans="1:10" x14ac:dyDescent="0.25">
      <c r="A31" s="85" t="s">
        <v>339</v>
      </c>
      <c r="B31" s="85" t="s">
        <v>340</v>
      </c>
      <c r="C31" s="86">
        <v>545382.95606135996</v>
      </c>
      <c r="D31" s="86">
        <v>307538.639813227</v>
      </c>
      <c r="E31" s="101">
        <v>1.7733802698502501</v>
      </c>
      <c r="F31" s="88">
        <v>7.1632300000000004</v>
      </c>
      <c r="G31" s="87"/>
      <c r="H31" s="103">
        <v>1.7733802698502501</v>
      </c>
      <c r="I31" s="19"/>
      <c r="J31" s="103"/>
    </row>
    <row r="32" spans="1:10" x14ac:dyDescent="0.25">
      <c r="A32" s="85" t="s">
        <v>341</v>
      </c>
      <c r="B32" s="85" t="s">
        <v>342</v>
      </c>
      <c r="C32" s="86">
        <v>317816.43004453997</v>
      </c>
      <c r="D32" s="86">
        <v>283870.27194612002</v>
      </c>
      <c r="E32" s="101">
        <v>1.11958335004823</v>
      </c>
      <c r="F32" s="88">
        <v>7.1632300000000004</v>
      </c>
      <c r="G32" s="87"/>
      <c r="H32" s="103">
        <v>1.11958335004823</v>
      </c>
      <c r="I32" s="19">
        <v>63.132728444236676</v>
      </c>
      <c r="J32" s="19">
        <v>40.635762140040008</v>
      </c>
    </row>
    <row r="33" spans="1:10" x14ac:dyDescent="0.25">
      <c r="A33" s="85" t="s">
        <v>343</v>
      </c>
      <c r="B33" s="85" t="s">
        <v>344</v>
      </c>
      <c r="C33" s="86">
        <v>575594.79897120898</v>
      </c>
      <c r="D33" s="86">
        <v>507028.39376016101</v>
      </c>
      <c r="E33" s="101">
        <v>1.1352318845549301</v>
      </c>
      <c r="F33" s="88">
        <v>7.1688333333333301</v>
      </c>
      <c r="G33" s="87"/>
      <c r="H33" s="103">
        <v>1.1352318845549301</v>
      </c>
      <c r="I33" s="103"/>
      <c r="J33" s="19"/>
    </row>
    <row r="34" spans="1:10" x14ac:dyDescent="0.25">
      <c r="A34" s="85" t="s">
        <v>345</v>
      </c>
      <c r="B34" s="85" t="s">
        <v>346</v>
      </c>
      <c r="C34" s="86">
        <v>23729.6767846857</v>
      </c>
      <c r="D34" s="86">
        <v>274277.20873370301</v>
      </c>
      <c r="E34" s="101">
        <v>8.6517129491882006E-2</v>
      </c>
      <c r="F34" s="88">
        <v>7.1632333333333298</v>
      </c>
      <c r="G34" s="87"/>
      <c r="H34" s="119">
        <v>8.6517129491882006E-2</v>
      </c>
      <c r="I34" s="103">
        <v>7.6210975633230396</v>
      </c>
      <c r="J34" s="19"/>
    </row>
    <row r="35" spans="1:10" x14ac:dyDescent="0.25">
      <c r="A35" s="85" t="s">
        <v>347</v>
      </c>
      <c r="B35" s="85" t="s">
        <v>348</v>
      </c>
      <c r="C35" s="86">
        <v>62830.385965093701</v>
      </c>
      <c r="D35" s="86">
        <v>295159.01499968598</v>
      </c>
      <c r="E35" s="101">
        <v>0.212869615265387</v>
      </c>
      <c r="F35" s="88">
        <v>7.16322833333333</v>
      </c>
      <c r="G35" s="87"/>
      <c r="H35" s="118">
        <v>0.212869615265387</v>
      </c>
      <c r="I35" s="103"/>
      <c r="J35" s="19"/>
    </row>
    <row r="36" spans="1:10" x14ac:dyDescent="0.25">
      <c r="A36" s="85" t="s">
        <v>349</v>
      </c>
      <c r="B36" s="85" t="s">
        <v>350</v>
      </c>
      <c r="C36" s="86">
        <v>19928.257364735</v>
      </c>
      <c r="D36" s="86">
        <v>382729.49237210897</v>
      </c>
      <c r="E36" s="101">
        <v>5.2068779025160002E-2</v>
      </c>
      <c r="F36" s="88">
        <v>7.1632249999999997</v>
      </c>
      <c r="G36" s="87"/>
      <c r="H36" s="119">
        <v>5.2068779025160002E-2</v>
      </c>
      <c r="I36" s="19">
        <v>24.460409232311175</v>
      </c>
      <c r="J36" s="19"/>
    </row>
    <row r="37" spans="1:10" x14ac:dyDescent="0.25">
      <c r="A37" s="85" t="s">
        <v>351</v>
      </c>
      <c r="B37" s="85" t="s">
        <v>352</v>
      </c>
      <c r="C37" s="86">
        <v>50659.764921370501</v>
      </c>
      <c r="D37" s="86">
        <v>289176.711969367</v>
      </c>
      <c r="E37" s="101">
        <v>0.175186184863797</v>
      </c>
      <c r="F37" s="88">
        <v>7.1632266666666604</v>
      </c>
      <c r="G37" s="87"/>
      <c r="H37" s="118">
        <v>0.175186184863797</v>
      </c>
      <c r="I37" s="19"/>
      <c r="J37" s="19"/>
    </row>
    <row r="38" spans="1:10" x14ac:dyDescent="0.25">
      <c r="A38" s="85" t="s">
        <v>353</v>
      </c>
      <c r="B38" s="85" t="s">
        <v>354</v>
      </c>
      <c r="C38" s="86">
        <v>25339.468919154999</v>
      </c>
      <c r="D38" s="86">
        <v>416591.83481332299</v>
      </c>
      <c r="E38" s="101">
        <v>6.0825649476566997E-2</v>
      </c>
      <c r="F38" s="88">
        <v>7.1688266666666598</v>
      </c>
      <c r="G38" s="87"/>
      <c r="H38" s="119">
        <v>6.0825649476566997E-2</v>
      </c>
      <c r="I38" s="19">
        <v>34.720574298628321</v>
      </c>
      <c r="J38" s="19">
        <v>22.267360364754179</v>
      </c>
    </row>
    <row r="40" spans="1:10" x14ac:dyDescent="0.25">
      <c r="A40" s="85" t="s">
        <v>319</v>
      </c>
      <c r="B40" s="85" t="s">
        <v>320</v>
      </c>
      <c r="C40" s="86">
        <v>118016.9540004</v>
      </c>
      <c r="D40" s="86">
        <v>284833.51588809601</v>
      </c>
      <c r="E40" s="101">
        <v>0.41433661215194201</v>
      </c>
      <c r="F40" s="88">
        <v>8.0208899999999996</v>
      </c>
      <c r="G40" s="87"/>
    </row>
    <row r="41" spans="1:10" x14ac:dyDescent="0.25">
      <c r="A41" s="85" t="s">
        <v>321</v>
      </c>
      <c r="B41" s="85" t="s">
        <v>322</v>
      </c>
      <c r="C41" s="86">
        <v>114638.29733900299</v>
      </c>
      <c r="D41" s="86">
        <v>267803.52385125501</v>
      </c>
      <c r="E41" s="101">
        <v>0.42806866649998199</v>
      </c>
      <c r="F41" s="88">
        <v>8.0249033333333308</v>
      </c>
      <c r="G41" s="87"/>
    </row>
    <row r="42" spans="1:10" x14ac:dyDescent="0.25">
      <c r="A42" s="85" t="s">
        <v>323</v>
      </c>
      <c r="B42" s="85" t="s">
        <v>324</v>
      </c>
      <c r="C42" s="86">
        <v>75938.424919287296</v>
      </c>
      <c r="D42" s="86">
        <v>138258.526468781</v>
      </c>
      <c r="E42" s="101">
        <v>0.54924948832312304</v>
      </c>
      <c r="F42" s="88">
        <v>8.0209033333333295</v>
      </c>
      <c r="G42" s="87"/>
    </row>
    <row r="43" spans="1:10" x14ac:dyDescent="0.25">
      <c r="A43" s="85" t="s">
        <v>325</v>
      </c>
      <c r="B43" s="85" t="s">
        <v>326</v>
      </c>
      <c r="C43" s="86">
        <v>28140.4723652824</v>
      </c>
      <c r="D43" s="86">
        <v>56947.0722506772</v>
      </c>
      <c r="E43" s="101">
        <v>0.49415134533009802</v>
      </c>
      <c r="F43" s="88">
        <v>8.0209066666666597</v>
      </c>
      <c r="G43" s="87"/>
    </row>
    <row r="44" spans="1:10" x14ac:dyDescent="0.25">
      <c r="A44" s="85" t="s">
        <v>327</v>
      </c>
      <c r="B44" s="85" t="s">
        <v>328</v>
      </c>
      <c r="C44" s="86">
        <v>48596.648138183496</v>
      </c>
      <c r="D44" s="86">
        <v>123121.86214645801</v>
      </c>
      <c r="E44" s="101">
        <v>0.39470364800343799</v>
      </c>
      <c r="F44" s="88">
        <v>8.0208999999999993</v>
      </c>
      <c r="G44" s="87"/>
    </row>
    <row r="45" spans="1:10" x14ac:dyDescent="0.25">
      <c r="A45" s="85" t="s">
        <v>329</v>
      </c>
      <c r="B45" s="85" t="s">
        <v>330</v>
      </c>
      <c r="C45" s="86">
        <v>69561.1707161308</v>
      </c>
      <c r="D45" s="86">
        <v>206552.74209330601</v>
      </c>
      <c r="E45" s="101">
        <v>0.33677195476159799</v>
      </c>
      <c r="F45" s="88">
        <v>8.0209033333333295</v>
      </c>
      <c r="G45" s="87"/>
    </row>
    <row r="46" spans="1:10" x14ac:dyDescent="0.25">
      <c r="A46" s="85" t="s">
        <v>401</v>
      </c>
      <c r="B46" s="85" t="s">
        <v>402</v>
      </c>
      <c r="C46" s="86">
        <v>252208.58266986601</v>
      </c>
      <c r="D46" s="86">
        <v>477190.88535796502</v>
      </c>
      <c r="E46" s="101">
        <v>0.52852766137951601</v>
      </c>
      <c r="F46" s="88">
        <v>8.0234166666666606</v>
      </c>
      <c r="G46" s="87"/>
      <c r="H46" s="117">
        <v>6.4642739054500353E-2</v>
      </c>
    </row>
    <row r="47" spans="1:10" x14ac:dyDescent="0.25">
      <c r="A47" s="85" t="s">
        <v>379</v>
      </c>
      <c r="B47" s="85" t="s">
        <v>380</v>
      </c>
      <c r="C47" s="86">
        <v>262232.09599045798</v>
      </c>
      <c r="D47" s="86">
        <v>219222.93397759899</v>
      </c>
      <c r="E47" s="101">
        <v>1.1961891542663701</v>
      </c>
      <c r="F47" s="88">
        <v>8.0192099999999904</v>
      </c>
      <c r="G47" s="87"/>
      <c r="H47" s="117">
        <v>0.73230423194135441</v>
      </c>
      <c r="I47">
        <v>1132.8483951212959</v>
      </c>
      <c r="J47" t="s">
        <v>406</v>
      </c>
    </row>
    <row r="48" spans="1:10" x14ac:dyDescent="0.25">
      <c r="A48" s="85" t="s">
        <v>381</v>
      </c>
      <c r="B48" s="85" t="s">
        <v>382</v>
      </c>
      <c r="C48" s="86">
        <v>274567.18215018598</v>
      </c>
      <c r="D48" s="86">
        <v>433387.15819668898</v>
      </c>
      <c r="E48" s="101">
        <v>0.63353788167755698</v>
      </c>
      <c r="F48" s="88">
        <v>8.0234183333333302</v>
      </c>
      <c r="G48" s="87"/>
      <c r="H48" s="117">
        <v>0.16965295935254132</v>
      </c>
    </row>
    <row r="49" spans="1:10" x14ac:dyDescent="0.25">
      <c r="A49" s="85" t="s">
        <v>383</v>
      </c>
      <c r="B49" s="85" t="s">
        <v>384</v>
      </c>
      <c r="C49" s="86">
        <v>288161.58695593203</v>
      </c>
      <c r="D49" s="86">
        <v>379974.027292179</v>
      </c>
      <c r="E49" s="101">
        <v>0.75837179980291602</v>
      </c>
      <c r="F49" s="88">
        <v>8.0192166666666598</v>
      </c>
      <c r="G49" s="87"/>
      <c r="H49" s="117">
        <v>0.29448687747790037</v>
      </c>
      <c r="I49">
        <v>173.58192783772924</v>
      </c>
    </row>
    <row r="50" spans="1:10" x14ac:dyDescent="0.25">
      <c r="A50" s="85" t="s">
        <v>385</v>
      </c>
      <c r="B50" s="85" t="s">
        <v>386</v>
      </c>
      <c r="C50" s="86">
        <v>252623.576914387</v>
      </c>
      <c r="D50" s="86">
        <v>538552.21287279099</v>
      </c>
      <c r="E50" s="101">
        <v>0.46907908068341397</v>
      </c>
      <c r="F50" s="88">
        <v>8.0192150000000009</v>
      </c>
      <c r="G50" s="87"/>
      <c r="H50" s="117">
        <v>5.1941583583983153E-3</v>
      </c>
    </row>
    <row r="51" spans="1:10" x14ac:dyDescent="0.25">
      <c r="A51" s="85" t="s">
        <v>387</v>
      </c>
      <c r="B51" s="85" t="s">
        <v>388</v>
      </c>
      <c r="C51" s="86">
        <v>276983.96717041801</v>
      </c>
      <c r="D51" s="86">
        <v>353199.84500093799</v>
      </c>
      <c r="E51" s="101">
        <v>0.78421316172911304</v>
      </c>
      <c r="F51" s="88">
        <v>8.0192099999999904</v>
      </c>
      <c r="G51" s="87"/>
      <c r="H51" s="117">
        <v>0.32032823940409738</v>
      </c>
      <c r="I51">
        <v>6167.0865095240306</v>
      </c>
      <c r="J51" t="s">
        <v>406</v>
      </c>
    </row>
    <row r="52" spans="1:10" x14ac:dyDescent="0.25">
      <c r="A52" s="85" t="s">
        <v>389</v>
      </c>
      <c r="B52" s="85" t="s">
        <v>390</v>
      </c>
      <c r="C52" s="86">
        <v>284286.15253745503</v>
      </c>
      <c r="D52" s="86">
        <v>482491.41293672798</v>
      </c>
      <c r="E52" s="101">
        <v>0.58920458461036995</v>
      </c>
      <c r="F52" s="88">
        <v>8.023415</v>
      </c>
      <c r="G52" s="87"/>
      <c r="H52" s="117">
        <v>0.18066226857865858</v>
      </c>
    </row>
    <row r="53" spans="1:10" x14ac:dyDescent="0.25">
      <c r="A53" s="85" t="s">
        <v>391</v>
      </c>
      <c r="B53" s="85" t="s">
        <v>392</v>
      </c>
      <c r="C53" s="86">
        <v>242638.84143064401</v>
      </c>
      <c r="D53" s="86">
        <v>415551.44718842499</v>
      </c>
      <c r="E53" s="101">
        <v>0.583896032783213</v>
      </c>
      <c r="F53" s="88">
        <v>8.0150116666666609</v>
      </c>
      <c r="G53" s="87"/>
      <c r="H53" s="117">
        <v>0.17535371675150163</v>
      </c>
      <c r="I53">
        <v>97.061615649509207</v>
      </c>
    </row>
    <row r="54" spans="1:10" x14ac:dyDescent="0.25">
      <c r="A54" s="85" t="s">
        <v>393</v>
      </c>
      <c r="B54" s="85" t="s">
        <v>394</v>
      </c>
      <c r="C54" s="86">
        <v>194901.13855143799</v>
      </c>
      <c r="D54" s="86">
        <v>437991.03597993503</v>
      </c>
      <c r="E54" s="101">
        <v>0.444988875435266</v>
      </c>
      <c r="F54" s="88">
        <v>8.0234249999999996</v>
      </c>
      <c r="G54" s="87"/>
      <c r="H54" s="117">
        <v>3.6446559403554624E-2</v>
      </c>
    </row>
    <row r="55" spans="1:10" x14ac:dyDescent="0.25">
      <c r="A55" s="85" t="s">
        <v>395</v>
      </c>
      <c r="B55" s="85" t="s">
        <v>396</v>
      </c>
      <c r="C55" s="86">
        <v>276813.23508201499</v>
      </c>
      <c r="D55" s="86">
        <v>474683.50564101298</v>
      </c>
      <c r="E55" s="101">
        <v>0.58315326273704404</v>
      </c>
      <c r="F55" s="88">
        <v>8.0148916666666601</v>
      </c>
      <c r="G55" s="87"/>
      <c r="H55" s="117">
        <v>0.17461094670533267</v>
      </c>
      <c r="I55">
        <v>479.0875999348869</v>
      </c>
      <c r="J55" t="s">
        <v>406</v>
      </c>
    </row>
    <row r="56" spans="1:10" x14ac:dyDescent="0.25">
      <c r="A56" s="85" t="s">
        <v>397</v>
      </c>
      <c r="B56" s="85" t="s">
        <v>398</v>
      </c>
      <c r="C56" s="86">
        <v>210534.45728286001</v>
      </c>
      <c r="D56" s="86">
        <v>330955.98608238401</v>
      </c>
      <c r="E56" s="101">
        <v>0.63614035139540503</v>
      </c>
      <c r="F56" s="88">
        <v>8.023415</v>
      </c>
      <c r="G56" s="87"/>
      <c r="H56" s="117">
        <v>0.22759803536369366</v>
      </c>
    </row>
    <row r="57" spans="1:10" x14ac:dyDescent="0.25">
      <c r="A57" s="85" t="s">
        <v>399</v>
      </c>
      <c r="B57" s="85" t="s">
        <v>400</v>
      </c>
      <c r="C57" s="86">
        <v>255503.509714985</v>
      </c>
      <c r="D57" s="86">
        <v>253096.88212106799</v>
      </c>
      <c r="E57" s="101">
        <v>1.00950872082559</v>
      </c>
      <c r="F57" s="88">
        <v>8.0150133333333304</v>
      </c>
      <c r="G57" s="87"/>
      <c r="H57" s="117">
        <v>0.60096640479387853</v>
      </c>
      <c r="I57">
        <v>264.04727256698652</v>
      </c>
      <c r="J57" t="s">
        <v>406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"/>
  <sheetViews>
    <sheetView topLeftCell="A112" workbookViewId="0">
      <selection activeCell="H131" sqref="H131"/>
    </sheetView>
  </sheetViews>
  <sheetFormatPr defaultRowHeight="15" x14ac:dyDescent="0.25"/>
  <cols>
    <col min="1" max="1" width="32.42578125" bestFit="1" customWidth="1"/>
    <col min="2" max="2" width="29.85546875" customWidth="1"/>
  </cols>
  <sheetData>
    <row r="1" spans="1:7" s="99" customFormat="1" x14ac:dyDescent="0.25">
      <c r="A1" s="102" t="s">
        <v>33</v>
      </c>
      <c r="B1" s="102" t="s">
        <v>34</v>
      </c>
      <c r="C1" s="107" t="s">
        <v>3</v>
      </c>
      <c r="D1" s="107" t="s">
        <v>4</v>
      </c>
      <c r="E1" s="108" t="s">
        <v>28</v>
      </c>
      <c r="F1" s="110" t="s">
        <v>35</v>
      </c>
      <c r="G1" s="109"/>
    </row>
    <row r="2" spans="1:7" s="116" customFormat="1" x14ac:dyDescent="0.25">
      <c r="A2" s="111" t="s">
        <v>42</v>
      </c>
      <c r="B2" s="111" t="s">
        <v>108</v>
      </c>
      <c r="C2" s="112">
        <v>61924.3910201076</v>
      </c>
      <c r="D2" s="112">
        <v>336156.137465954</v>
      </c>
      <c r="E2" s="113">
        <v>0.18421317988394401</v>
      </c>
      <c r="F2" s="115">
        <v>4.0482399999999998</v>
      </c>
      <c r="G2" s="114"/>
    </row>
    <row r="3" spans="1:7" s="116" customFormat="1" x14ac:dyDescent="0.25">
      <c r="A3" s="111" t="s">
        <v>43</v>
      </c>
      <c r="B3" s="111" t="s">
        <v>109</v>
      </c>
      <c r="C3" s="112">
        <v>379187.20295332401</v>
      </c>
      <c r="D3" s="112">
        <v>92612.788956766599</v>
      </c>
      <c r="E3" s="113">
        <v>4.0943287339109897</v>
      </c>
      <c r="F3" s="115">
        <v>3.95583333333333</v>
      </c>
      <c r="G3" s="114"/>
    </row>
    <row r="4" spans="1:7" s="116" customFormat="1" x14ac:dyDescent="0.25">
      <c r="A4" s="111" t="s">
        <v>44</v>
      </c>
      <c r="B4" s="111" t="s">
        <v>110</v>
      </c>
      <c r="C4" s="112">
        <v>65389.2416419664</v>
      </c>
      <c r="D4" s="112">
        <v>604783.42368647805</v>
      </c>
      <c r="E4" s="113">
        <v>0.108120095692081</v>
      </c>
      <c r="F4" s="115">
        <v>4.0522450000000001</v>
      </c>
      <c r="G4" s="114"/>
    </row>
    <row r="5" spans="1:7" s="116" customFormat="1" x14ac:dyDescent="0.25">
      <c r="A5" s="111" t="s">
        <v>45</v>
      </c>
      <c r="B5" s="111" t="s">
        <v>78</v>
      </c>
      <c r="C5" s="112">
        <v>33657.342224310203</v>
      </c>
      <c r="D5" s="112">
        <v>707320.11007662897</v>
      </c>
      <c r="E5" s="113">
        <v>4.7584314011182002E-2</v>
      </c>
      <c r="F5" s="115">
        <v>4.0438266666666598</v>
      </c>
      <c r="G5" s="114"/>
    </row>
    <row r="6" spans="1:7" s="116" customFormat="1" x14ac:dyDescent="0.25">
      <c r="A6" s="111" t="s">
        <v>46</v>
      </c>
      <c r="B6" s="111" t="s">
        <v>79</v>
      </c>
      <c r="C6" s="112">
        <v>36818.389051195198</v>
      </c>
      <c r="D6" s="112">
        <v>709207.22256151296</v>
      </c>
      <c r="E6" s="113">
        <v>5.1914853486989002E-2</v>
      </c>
      <c r="F6" s="115">
        <v>4.0566516666666601</v>
      </c>
      <c r="G6" s="114"/>
    </row>
    <row r="7" spans="1:7" s="116" customFormat="1" x14ac:dyDescent="0.25">
      <c r="A7" s="111" t="s">
        <v>47</v>
      </c>
      <c r="B7" s="111" t="s">
        <v>80</v>
      </c>
      <c r="C7" s="112">
        <v>38921.482627584403</v>
      </c>
      <c r="D7" s="112">
        <v>710644.929853093</v>
      </c>
      <c r="E7" s="113">
        <v>5.47692398729E-2</v>
      </c>
      <c r="F7" s="115">
        <v>4.0609099999999998</v>
      </c>
      <c r="G7" s="114"/>
    </row>
    <row r="8" spans="1:7" s="116" customFormat="1" x14ac:dyDescent="0.25">
      <c r="A8" s="111" t="s">
        <v>48</v>
      </c>
      <c r="B8" s="111" t="s">
        <v>81</v>
      </c>
      <c r="C8" s="112">
        <v>25859.663873900299</v>
      </c>
      <c r="D8" s="112">
        <v>603158.64794186305</v>
      </c>
      <c r="E8" s="113">
        <v>4.2873734733208997E-2</v>
      </c>
      <c r="F8" s="115">
        <v>4.0438333333333301</v>
      </c>
      <c r="G8" s="114"/>
    </row>
    <row r="9" spans="1:7" s="116" customFormat="1" x14ac:dyDescent="0.25">
      <c r="A9" s="111" t="s">
        <v>49</v>
      </c>
      <c r="B9" s="111" t="s">
        <v>82</v>
      </c>
      <c r="C9" s="112">
        <v>41545.424571655203</v>
      </c>
      <c r="D9" s="112">
        <v>615139.29368858295</v>
      </c>
      <c r="E9" s="113">
        <v>6.7538238896324002E-2</v>
      </c>
      <c r="F9" s="115">
        <v>4.043825</v>
      </c>
      <c r="G9" s="114"/>
    </row>
    <row r="10" spans="1:7" s="116" customFormat="1" x14ac:dyDescent="0.25">
      <c r="A10" s="111" t="s">
        <v>50</v>
      </c>
      <c r="B10" s="111" t="s">
        <v>83</v>
      </c>
      <c r="C10" s="112">
        <v>38953.0514896881</v>
      </c>
      <c r="D10" s="112">
        <v>642258.60111045302</v>
      </c>
      <c r="E10" s="113">
        <v>6.0650104836803997E-2</v>
      </c>
      <c r="F10" s="115">
        <v>4.0438316666666596</v>
      </c>
      <c r="G10" s="114"/>
    </row>
    <row r="11" spans="1:7" s="116" customFormat="1" x14ac:dyDescent="0.25">
      <c r="A11" s="111" t="s">
        <v>51</v>
      </c>
      <c r="B11" s="111" t="s">
        <v>84</v>
      </c>
      <c r="C11" s="112">
        <v>37928.621696182498</v>
      </c>
      <c r="D11" s="112">
        <v>562696.07908081403</v>
      </c>
      <c r="E11" s="113">
        <v>6.7405164361799996E-2</v>
      </c>
      <c r="F11" s="115">
        <v>4.0438316666666596</v>
      </c>
      <c r="G11" s="114"/>
    </row>
    <row r="12" spans="1:7" s="116" customFormat="1" x14ac:dyDescent="0.25">
      <c r="A12" s="111" t="s">
        <v>52</v>
      </c>
      <c r="B12" s="111" t="s">
        <v>85</v>
      </c>
      <c r="C12" s="112">
        <v>31815.297989801798</v>
      </c>
      <c r="D12" s="112">
        <v>571396.13448957296</v>
      </c>
      <c r="E12" s="113">
        <v>5.5679932133636999E-2</v>
      </c>
      <c r="F12" s="115">
        <v>4.0395616666666596</v>
      </c>
      <c r="G12" s="114"/>
    </row>
    <row r="13" spans="1:7" s="116" customFormat="1" x14ac:dyDescent="0.25">
      <c r="A13" s="111" t="s">
        <v>53</v>
      </c>
      <c r="B13" s="111" t="s">
        <v>86</v>
      </c>
      <c r="C13" s="112">
        <v>38706.287335765199</v>
      </c>
      <c r="D13" s="112">
        <v>552297.12131518195</v>
      </c>
      <c r="E13" s="113">
        <v>7.0082362992576003E-2</v>
      </c>
      <c r="F13" s="115">
        <v>4.0438333333333301</v>
      </c>
      <c r="G13" s="114"/>
    </row>
    <row r="14" spans="1:7" s="116" customFormat="1" x14ac:dyDescent="0.25">
      <c r="A14" s="111" t="s">
        <v>54</v>
      </c>
      <c r="B14" s="111" t="s">
        <v>87</v>
      </c>
      <c r="C14" s="112">
        <v>38256.525151019501</v>
      </c>
      <c r="D14" s="112">
        <v>549433.56204429199</v>
      </c>
      <c r="E14" s="113">
        <v>6.9629028501056997E-2</v>
      </c>
      <c r="F14" s="115">
        <v>4.0438283333333302</v>
      </c>
      <c r="G14" s="114"/>
    </row>
    <row r="15" spans="1:7" s="116" customFormat="1" x14ac:dyDescent="0.25">
      <c r="A15" s="111" t="s">
        <v>55</v>
      </c>
      <c r="B15" s="111" t="s">
        <v>88</v>
      </c>
      <c r="C15" s="112">
        <v>35875.257528786402</v>
      </c>
      <c r="D15" s="112">
        <v>513245.80468158098</v>
      </c>
      <c r="E15" s="113">
        <v>6.9898783782642998E-2</v>
      </c>
      <c r="F15" s="115">
        <v>4.04382166666666</v>
      </c>
      <c r="G15" s="114"/>
    </row>
    <row r="16" spans="1:7" s="116" customFormat="1" x14ac:dyDescent="0.25">
      <c r="A16" s="111" t="s">
        <v>56</v>
      </c>
      <c r="B16" s="111" t="s">
        <v>89</v>
      </c>
      <c r="C16" s="112">
        <v>26924.381424406201</v>
      </c>
      <c r="D16" s="112">
        <v>447472.59959785698</v>
      </c>
      <c r="E16" s="113">
        <v>6.0169899673417002E-2</v>
      </c>
      <c r="F16" s="115">
        <v>4.039555</v>
      </c>
      <c r="G16" s="114"/>
    </row>
    <row r="17" spans="1:7" s="116" customFormat="1" x14ac:dyDescent="0.25">
      <c r="A17" s="111" t="s">
        <v>57</v>
      </c>
      <c r="B17" s="111" t="s">
        <v>90</v>
      </c>
      <c r="C17" s="112">
        <v>20981.409481757801</v>
      </c>
      <c r="D17" s="112">
        <v>491891.75354474201</v>
      </c>
      <c r="E17" s="113">
        <v>4.2654525778403E-2</v>
      </c>
      <c r="F17" s="115">
        <v>4.0352899999999998</v>
      </c>
      <c r="G17" s="114"/>
    </row>
    <row r="18" spans="1:7" s="116" customFormat="1" x14ac:dyDescent="0.25">
      <c r="A18" s="111" t="s">
        <v>58</v>
      </c>
      <c r="B18" s="111" t="s">
        <v>91</v>
      </c>
      <c r="C18" s="112">
        <v>33894.079740469097</v>
      </c>
      <c r="D18" s="112">
        <v>529252.58057576104</v>
      </c>
      <c r="E18" s="113">
        <v>6.4041406663708E-2</v>
      </c>
      <c r="F18" s="115">
        <v>4.0395633333333301</v>
      </c>
      <c r="G18" s="114"/>
    </row>
    <row r="19" spans="1:7" s="116" customFormat="1" x14ac:dyDescent="0.25">
      <c r="A19" s="111" t="s">
        <v>59</v>
      </c>
      <c r="B19" s="111" t="s">
        <v>92</v>
      </c>
      <c r="C19" s="112">
        <v>33678.9605835002</v>
      </c>
      <c r="D19" s="112">
        <v>646270.41644768405</v>
      </c>
      <c r="E19" s="113">
        <v>5.2112799420126997E-2</v>
      </c>
      <c r="F19" s="115">
        <v>4.0395616666666596</v>
      </c>
      <c r="G19" s="114"/>
    </row>
    <row r="20" spans="1:7" x14ac:dyDescent="0.25">
      <c r="A20" s="85" t="s">
        <v>61</v>
      </c>
      <c r="B20" s="85" t="s">
        <v>93</v>
      </c>
      <c r="C20" s="86">
        <v>57108.136764308903</v>
      </c>
      <c r="D20" s="86">
        <v>970893.83478415397</v>
      </c>
      <c r="E20" s="101">
        <v>5.8820166240941003E-2</v>
      </c>
      <c r="F20" s="88">
        <v>4.0352933333333301</v>
      </c>
      <c r="G20" s="87"/>
    </row>
    <row r="21" spans="1:7" x14ac:dyDescent="0.25">
      <c r="A21" s="85" t="s">
        <v>62</v>
      </c>
      <c r="B21" s="85" t="s">
        <v>94</v>
      </c>
      <c r="C21" s="86">
        <v>54566.423708861003</v>
      </c>
      <c r="D21" s="86">
        <v>873488.65773389104</v>
      </c>
      <c r="E21" s="101">
        <v>6.2469527481243001E-2</v>
      </c>
      <c r="F21" s="88">
        <v>4.0352933333333301</v>
      </c>
      <c r="G21" s="87"/>
    </row>
    <row r="22" spans="1:7" x14ac:dyDescent="0.25">
      <c r="A22" s="85" t="s">
        <v>63</v>
      </c>
      <c r="B22" s="85" t="s">
        <v>95</v>
      </c>
      <c r="C22" s="86">
        <v>21273.111670190799</v>
      </c>
      <c r="D22" s="86">
        <v>922471.64441759803</v>
      </c>
      <c r="E22" s="101">
        <v>2.3060992496546001E-2</v>
      </c>
      <c r="F22" s="88">
        <v>4.0438316666666596</v>
      </c>
      <c r="G22" s="87"/>
    </row>
    <row r="23" spans="1:7" x14ac:dyDescent="0.25">
      <c r="A23" s="85" t="s">
        <v>64</v>
      </c>
      <c r="B23" s="85" t="s">
        <v>96</v>
      </c>
      <c r="C23" s="86">
        <v>22379.5137461944</v>
      </c>
      <c r="D23" s="86">
        <v>709652.77754348901</v>
      </c>
      <c r="E23" s="101">
        <v>3.1535864375339E-2</v>
      </c>
      <c r="F23" s="88">
        <v>4.0523733333333301</v>
      </c>
      <c r="G23" s="87"/>
    </row>
    <row r="24" spans="1:7" x14ac:dyDescent="0.25">
      <c r="A24" s="85" t="s">
        <v>65</v>
      </c>
      <c r="B24" s="85" t="s">
        <v>97</v>
      </c>
      <c r="C24" s="86">
        <v>55254.9920079535</v>
      </c>
      <c r="D24" s="86">
        <v>646819.46406545199</v>
      </c>
      <c r="E24" s="101">
        <v>8.5425679154209996E-2</v>
      </c>
      <c r="F24" s="88">
        <v>4.0523666666666598</v>
      </c>
      <c r="G24" s="87"/>
    </row>
    <row r="25" spans="1:7" x14ac:dyDescent="0.25">
      <c r="A25" s="85" t="s">
        <v>66</v>
      </c>
      <c r="B25" s="85" t="s">
        <v>98</v>
      </c>
      <c r="C25" s="86">
        <v>39697.577261149403</v>
      </c>
      <c r="D25" s="86">
        <v>633547.54582370701</v>
      </c>
      <c r="E25" s="101">
        <v>6.2659191915165002E-2</v>
      </c>
      <c r="F25" s="88">
        <v>4.05664333333333</v>
      </c>
      <c r="G25" s="87"/>
    </row>
    <row r="26" spans="1:7" x14ac:dyDescent="0.25">
      <c r="A26" s="85" t="s">
        <v>67</v>
      </c>
      <c r="B26" s="85" t="s">
        <v>99</v>
      </c>
      <c r="C26" s="86">
        <v>19397.443112975499</v>
      </c>
      <c r="D26" s="86">
        <v>590806.33481497597</v>
      </c>
      <c r="E26" s="101">
        <v>3.2832151535833E-2</v>
      </c>
      <c r="F26" s="88">
        <v>4.0480983333333302</v>
      </c>
      <c r="G26" s="87"/>
    </row>
    <row r="27" spans="1:7" x14ac:dyDescent="0.25">
      <c r="A27" s="85" t="s">
        <v>68</v>
      </c>
      <c r="B27" s="85" t="s">
        <v>100</v>
      </c>
      <c r="C27" s="86">
        <v>19880.0182215637</v>
      </c>
      <c r="D27" s="86">
        <v>681842.63587370701</v>
      </c>
      <c r="E27" s="101">
        <v>2.9156314339436998E-2</v>
      </c>
      <c r="F27" s="88">
        <v>4.0480999999999998</v>
      </c>
      <c r="G27" s="87"/>
    </row>
    <row r="28" spans="1:7" x14ac:dyDescent="0.25">
      <c r="A28" s="85" t="s">
        <v>69</v>
      </c>
      <c r="B28" s="85" t="s">
        <v>101</v>
      </c>
      <c r="C28" s="86">
        <v>28718.364001064001</v>
      </c>
      <c r="D28" s="86">
        <v>538039.41172865301</v>
      </c>
      <c r="E28" s="101">
        <v>5.3375948629480002E-2</v>
      </c>
      <c r="F28" s="88">
        <v>4.0480999999999998</v>
      </c>
      <c r="G28" s="87"/>
    </row>
    <row r="29" spans="1:7" x14ac:dyDescent="0.25">
      <c r="A29" s="85" t="s">
        <v>70</v>
      </c>
      <c r="B29" s="85" t="s">
        <v>102</v>
      </c>
      <c r="C29" s="86">
        <v>21219.291268198001</v>
      </c>
      <c r="D29" s="86">
        <v>607148.77308917104</v>
      </c>
      <c r="E29" s="101">
        <v>3.4949080371576999E-2</v>
      </c>
      <c r="F29" s="88">
        <v>4.0480966666666598</v>
      </c>
      <c r="G29" s="87"/>
    </row>
    <row r="30" spans="1:7" x14ac:dyDescent="0.25">
      <c r="A30" s="85" t="s">
        <v>71</v>
      </c>
      <c r="B30" s="85" t="s">
        <v>103</v>
      </c>
      <c r="C30" s="86">
        <v>17343.314960871401</v>
      </c>
      <c r="D30" s="86">
        <v>638114.97727413697</v>
      </c>
      <c r="E30" s="101">
        <v>2.7178981184483999E-2</v>
      </c>
      <c r="F30" s="88">
        <v>4.0481016666666596</v>
      </c>
      <c r="G30" s="87"/>
    </row>
    <row r="31" spans="1:7" x14ac:dyDescent="0.25">
      <c r="A31" s="85" t="s">
        <v>72</v>
      </c>
      <c r="B31" s="85" t="s">
        <v>104</v>
      </c>
      <c r="C31" s="86">
        <v>16360.9659991504</v>
      </c>
      <c r="D31" s="86">
        <v>566850.70701048896</v>
      </c>
      <c r="E31" s="101">
        <v>2.8862918925224999E-2</v>
      </c>
      <c r="F31" s="88">
        <v>4.0438333333333301</v>
      </c>
      <c r="G31" s="87"/>
    </row>
    <row r="32" spans="1:7" x14ac:dyDescent="0.25">
      <c r="A32" s="85" t="s">
        <v>73</v>
      </c>
      <c r="B32" s="85" t="s">
        <v>105</v>
      </c>
      <c r="C32" s="86">
        <v>18118.804452920798</v>
      </c>
      <c r="D32" s="86">
        <v>741969.99950322299</v>
      </c>
      <c r="E32" s="101">
        <v>2.4419861268046E-2</v>
      </c>
      <c r="F32" s="88">
        <v>4.0523699999999998</v>
      </c>
      <c r="G32" s="87"/>
    </row>
    <row r="33" spans="1:7" x14ac:dyDescent="0.25">
      <c r="A33" s="85" t="s">
        <v>74</v>
      </c>
      <c r="B33" s="85" t="s">
        <v>106</v>
      </c>
      <c r="C33" s="86">
        <v>16762.547641320401</v>
      </c>
      <c r="D33" s="86">
        <v>749471.39644831698</v>
      </c>
      <c r="E33" s="101">
        <v>2.2365827062589001E-2</v>
      </c>
      <c r="F33" s="88">
        <v>4.0480966666666598</v>
      </c>
      <c r="G33" s="87"/>
    </row>
    <row r="34" spans="1:7" x14ac:dyDescent="0.25">
      <c r="A34" s="85" t="s">
        <v>75</v>
      </c>
      <c r="B34" s="85" t="s">
        <v>107</v>
      </c>
      <c r="C34" s="86">
        <v>19143.412961634</v>
      </c>
      <c r="D34" s="86">
        <v>675979.67169922404</v>
      </c>
      <c r="E34" s="101">
        <v>2.8319509836016998E-2</v>
      </c>
      <c r="F34" s="88">
        <v>4.0523716666666596</v>
      </c>
      <c r="G34" s="87"/>
    </row>
    <row r="36" spans="1:7" x14ac:dyDescent="0.25">
      <c r="A36" s="85" t="s">
        <v>42</v>
      </c>
      <c r="B36" s="85" t="s">
        <v>108</v>
      </c>
      <c r="C36" s="86" t="s">
        <v>32</v>
      </c>
      <c r="D36" s="86">
        <v>336156.137465954</v>
      </c>
      <c r="E36" s="101" t="s">
        <v>32</v>
      </c>
      <c r="F36" s="88" t="s">
        <v>32</v>
      </c>
    </row>
    <row r="37" spans="1:7" x14ac:dyDescent="0.25">
      <c r="A37" s="85" t="s">
        <v>43</v>
      </c>
      <c r="B37" s="85" t="s">
        <v>109</v>
      </c>
      <c r="C37" s="86" t="s">
        <v>32</v>
      </c>
      <c r="D37" s="86">
        <v>92612.788956766599</v>
      </c>
      <c r="E37" s="101" t="s">
        <v>32</v>
      </c>
      <c r="F37" s="88" t="s">
        <v>32</v>
      </c>
    </row>
    <row r="38" spans="1:7" x14ac:dyDescent="0.25">
      <c r="A38" s="85" t="s">
        <v>44</v>
      </c>
      <c r="B38" s="85" t="s">
        <v>110</v>
      </c>
      <c r="C38" s="86" t="s">
        <v>32</v>
      </c>
      <c r="D38" s="86">
        <v>604783.42368647805</v>
      </c>
      <c r="E38" s="101" t="s">
        <v>32</v>
      </c>
      <c r="F38" s="88" t="s">
        <v>32</v>
      </c>
    </row>
    <row r="39" spans="1:7" x14ac:dyDescent="0.25">
      <c r="A39" s="85" t="s">
        <v>112</v>
      </c>
      <c r="B39" s="85" t="s">
        <v>232</v>
      </c>
      <c r="C39" s="86">
        <v>26737.452409174501</v>
      </c>
      <c r="D39" s="86">
        <v>545464.01094582805</v>
      </c>
      <c r="E39" s="101">
        <v>4.9017812124418997E-2</v>
      </c>
      <c r="F39" s="88">
        <v>4.3812916666666597</v>
      </c>
      <c r="G39" s="87"/>
    </row>
    <row r="40" spans="1:7" x14ac:dyDescent="0.25">
      <c r="A40" s="85" t="s">
        <v>113</v>
      </c>
      <c r="B40" s="85" t="s">
        <v>233</v>
      </c>
      <c r="C40" s="86">
        <v>70566.738080216106</v>
      </c>
      <c r="D40" s="86">
        <v>562843.77185715095</v>
      </c>
      <c r="E40" s="101">
        <v>0.12537535566463701</v>
      </c>
      <c r="F40" s="88">
        <v>4.3855583333333303</v>
      </c>
      <c r="G40" s="87"/>
    </row>
    <row r="41" spans="1:7" x14ac:dyDescent="0.25">
      <c r="A41" s="85" t="s">
        <v>114</v>
      </c>
      <c r="B41" s="85" t="s">
        <v>234</v>
      </c>
      <c r="C41" s="86">
        <v>44234.425393766898</v>
      </c>
      <c r="D41" s="86">
        <v>540548.20265823603</v>
      </c>
      <c r="E41" s="101">
        <v>8.1832527009130004E-2</v>
      </c>
      <c r="F41" s="88">
        <v>4.3854516666666603</v>
      </c>
      <c r="G41" s="87"/>
    </row>
    <row r="42" spans="1:7" x14ac:dyDescent="0.25">
      <c r="A42" s="85" t="s">
        <v>115</v>
      </c>
      <c r="B42" s="85" t="s">
        <v>241</v>
      </c>
      <c r="C42" s="86">
        <v>33371.236908500097</v>
      </c>
      <c r="D42" s="86">
        <v>577466.27021817595</v>
      </c>
      <c r="E42" s="101">
        <v>5.7789066876393999E-2</v>
      </c>
      <c r="F42" s="88">
        <v>4.3812916666666597</v>
      </c>
      <c r="G42" s="87"/>
    </row>
    <row r="43" spans="1:7" x14ac:dyDescent="0.25">
      <c r="A43" s="85" t="s">
        <v>116</v>
      </c>
      <c r="B43" s="85" t="s">
        <v>242</v>
      </c>
      <c r="C43" s="86">
        <v>40839.576577522603</v>
      </c>
      <c r="D43" s="86">
        <v>539863.09287214698</v>
      </c>
      <c r="E43" s="101">
        <v>7.5648024687612003E-2</v>
      </c>
      <c r="F43" s="88">
        <v>4.3811799999999996</v>
      </c>
      <c r="G43" s="87"/>
    </row>
    <row r="44" spans="1:7" x14ac:dyDescent="0.25">
      <c r="A44" s="85" t="s">
        <v>117</v>
      </c>
      <c r="B44" s="85" t="s">
        <v>243</v>
      </c>
      <c r="C44" s="86">
        <v>62142.550732793898</v>
      </c>
      <c r="D44" s="86">
        <v>560090.38729494705</v>
      </c>
      <c r="E44" s="101">
        <v>0.110950932460959</v>
      </c>
      <c r="F44" s="88">
        <v>4.3811766666666596</v>
      </c>
      <c r="G44" s="87"/>
    </row>
    <row r="45" spans="1:7" x14ac:dyDescent="0.25">
      <c r="A45" s="85" t="s">
        <v>118</v>
      </c>
      <c r="B45" s="85" t="s">
        <v>238</v>
      </c>
      <c r="C45" s="86">
        <v>39292.206780389803</v>
      </c>
      <c r="D45" s="86">
        <v>525497.70247212704</v>
      </c>
      <c r="E45" s="101">
        <v>7.4771414975832007E-2</v>
      </c>
      <c r="F45" s="88">
        <v>4.3811816666666603</v>
      </c>
      <c r="G45" s="87"/>
    </row>
    <row r="46" spans="1:7" x14ac:dyDescent="0.25">
      <c r="A46" s="85" t="s">
        <v>119</v>
      </c>
      <c r="B46" s="85" t="s">
        <v>239</v>
      </c>
      <c r="C46" s="86">
        <v>35806.779400888503</v>
      </c>
      <c r="D46" s="86">
        <v>512226.48911251902</v>
      </c>
      <c r="E46" s="101">
        <v>6.9904193090301006E-2</v>
      </c>
      <c r="F46" s="88">
        <v>4.3769049999999998</v>
      </c>
      <c r="G46" s="87"/>
    </row>
    <row r="47" spans="1:7" x14ac:dyDescent="0.25">
      <c r="A47" s="85" t="s">
        <v>120</v>
      </c>
      <c r="B47" s="85" t="s">
        <v>240</v>
      </c>
      <c r="C47" s="86">
        <v>34779.106173888402</v>
      </c>
      <c r="D47" s="86">
        <v>507108.17740310798</v>
      </c>
      <c r="E47" s="101">
        <v>6.8583209113273993E-2</v>
      </c>
      <c r="F47" s="88">
        <v>4.3727516666666597</v>
      </c>
      <c r="G47" s="87"/>
    </row>
    <row r="48" spans="1:7" x14ac:dyDescent="0.25">
      <c r="A48" s="85" t="s">
        <v>121</v>
      </c>
      <c r="B48" s="85" t="s">
        <v>235</v>
      </c>
      <c r="C48" s="86">
        <v>49639.418591918104</v>
      </c>
      <c r="D48" s="86">
        <v>561165.06131753605</v>
      </c>
      <c r="E48" s="101">
        <v>8.8457785442613998E-2</v>
      </c>
      <c r="F48" s="88">
        <v>4.3811733333333303</v>
      </c>
      <c r="G48" s="87"/>
    </row>
    <row r="49" spans="1:7" x14ac:dyDescent="0.25">
      <c r="A49" s="85" t="s">
        <v>122</v>
      </c>
      <c r="B49" s="85" t="s">
        <v>236</v>
      </c>
      <c r="C49" s="86">
        <v>42243.381026277602</v>
      </c>
      <c r="D49" s="86">
        <v>523794.39540614397</v>
      </c>
      <c r="E49" s="101">
        <v>8.0648783944171007E-2</v>
      </c>
      <c r="F49" s="88">
        <v>4.3770066666666603</v>
      </c>
      <c r="G49" s="87"/>
    </row>
    <row r="50" spans="1:7" x14ac:dyDescent="0.25">
      <c r="A50" s="85" t="s">
        <v>123</v>
      </c>
      <c r="B50" s="85" t="s">
        <v>237</v>
      </c>
      <c r="C50" s="86">
        <v>37382.658244819897</v>
      </c>
      <c r="D50" s="86">
        <v>532429.74134555401</v>
      </c>
      <c r="E50" s="101">
        <v>7.0211438884587002E-2</v>
      </c>
      <c r="F50" s="88">
        <v>4.3726433333333299</v>
      </c>
      <c r="G50" s="87"/>
    </row>
    <row r="51" spans="1:7" x14ac:dyDescent="0.25">
      <c r="A51" s="85" t="s">
        <v>124</v>
      </c>
      <c r="B51" s="85" t="s">
        <v>229</v>
      </c>
      <c r="C51" s="86">
        <v>37567.039670794598</v>
      </c>
      <c r="D51" s="86">
        <v>546968.70028728701</v>
      </c>
      <c r="E51" s="101">
        <v>6.8682247541884997E-2</v>
      </c>
      <c r="F51" s="88">
        <v>4.3770233333333302</v>
      </c>
      <c r="G51" s="87"/>
    </row>
    <row r="52" spans="1:7" x14ac:dyDescent="0.25">
      <c r="A52" s="85" t="s">
        <v>125</v>
      </c>
      <c r="B52" s="85" t="s">
        <v>230</v>
      </c>
      <c r="C52" s="86">
        <v>43731.867445581702</v>
      </c>
      <c r="D52" s="86">
        <v>521234.65798194899</v>
      </c>
      <c r="E52" s="101">
        <v>8.3900536497126005E-2</v>
      </c>
      <c r="F52" s="88">
        <v>4.3769099999999996</v>
      </c>
      <c r="G52" s="87"/>
    </row>
    <row r="53" spans="1:7" x14ac:dyDescent="0.25">
      <c r="A53" s="85" t="s">
        <v>126</v>
      </c>
      <c r="B53" s="85" t="s">
        <v>231</v>
      </c>
      <c r="C53" s="86">
        <v>34028.229236119703</v>
      </c>
      <c r="D53" s="86">
        <v>555307.55833002797</v>
      </c>
      <c r="E53" s="101">
        <v>6.127816689269E-2</v>
      </c>
      <c r="F53" s="88">
        <v>4.3939883333333301</v>
      </c>
      <c r="G53" s="87"/>
    </row>
    <row r="54" spans="1:7" x14ac:dyDescent="0.25">
      <c r="A54" s="85" t="s">
        <v>128</v>
      </c>
      <c r="B54" s="85" t="s">
        <v>247</v>
      </c>
      <c r="C54" s="86">
        <v>16852.434174432099</v>
      </c>
      <c r="D54" s="86">
        <v>746838.41428332904</v>
      </c>
      <c r="E54" s="101">
        <v>2.2565033951292002E-2</v>
      </c>
      <c r="F54" s="88">
        <v>4.3982616666666603</v>
      </c>
      <c r="G54" s="87"/>
    </row>
    <row r="55" spans="1:7" x14ac:dyDescent="0.25">
      <c r="A55" s="85" t="s">
        <v>129</v>
      </c>
      <c r="B55" s="85" t="s">
        <v>248</v>
      </c>
      <c r="C55" s="86">
        <v>19588.174862674401</v>
      </c>
      <c r="D55" s="86">
        <v>752260.47847261396</v>
      </c>
      <c r="E55" s="101">
        <v>2.6039085427492E-2</v>
      </c>
      <c r="F55" s="88">
        <v>4.3982683333333297</v>
      </c>
      <c r="G55" s="87"/>
    </row>
    <row r="56" spans="1:7" x14ac:dyDescent="0.25">
      <c r="A56" s="85" t="s">
        <v>130</v>
      </c>
      <c r="B56" s="85" t="s">
        <v>249</v>
      </c>
      <c r="C56" s="86">
        <v>17158.140493160899</v>
      </c>
      <c r="D56" s="86">
        <v>755549.95257003501</v>
      </c>
      <c r="E56" s="101">
        <v>2.2709472000887E-2</v>
      </c>
      <c r="F56" s="88">
        <v>4.3939883333333301</v>
      </c>
      <c r="G56" s="87"/>
    </row>
    <row r="57" spans="1:7" x14ac:dyDescent="0.25">
      <c r="A57" s="85" t="s">
        <v>131</v>
      </c>
      <c r="B57" s="85" t="s">
        <v>256</v>
      </c>
      <c r="C57" s="86">
        <v>23784.991209702399</v>
      </c>
      <c r="D57" s="86">
        <v>544633.88012095005</v>
      </c>
      <c r="E57" s="101">
        <v>4.3671523344122998E-2</v>
      </c>
      <c r="F57" s="88">
        <v>4.3939950000000003</v>
      </c>
      <c r="G57" s="87"/>
    </row>
    <row r="58" spans="1:7" x14ac:dyDescent="0.25">
      <c r="A58" s="85" t="s">
        <v>132</v>
      </c>
      <c r="B58" s="85" t="s">
        <v>257</v>
      </c>
      <c r="C58" s="86">
        <v>20458.3965458399</v>
      </c>
      <c r="D58" s="86">
        <v>657315.028520077</v>
      </c>
      <c r="E58" s="101">
        <v>3.1124188034922999E-2</v>
      </c>
      <c r="F58" s="88">
        <v>4.3939916666666603</v>
      </c>
      <c r="G58" s="87"/>
    </row>
    <row r="59" spans="1:7" x14ac:dyDescent="0.25">
      <c r="A59" s="85" t="s">
        <v>133</v>
      </c>
      <c r="B59" s="85" t="s">
        <v>258</v>
      </c>
      <c r="C59" s="86">
        <v>19365.398785597001</v>
      </c>
      <c r="D59" s="86">
        <v>703494.51697086496</v>
      </c>
      <c r="E59" s="101">
        <v>2.7527433858306999E-2</v>
      </c>
      <c r="F59" s="88">
        <v>4.3982599999999996</v>
      </c>
      <c r="G59" s="87"/>
    </row>
    <row r="60" spans="1:7" x14ac:dyDescent="0.25">
      <c r="A60" s="85" t="s">
        <v>134</v>
      </c>
      <c r="B60" s="85" t="s">
        <v>253</v>
      </c>
      <c r="C60" s="86">
        <v>14396.410496755299</v>
      </c>
      <c r="D60" s="86">
        <v>625425.72284770303</v>
      </c>
      <c r="E60" s="101">
        <v>2.3018577539800002E-2</v>
      </c>
      <c r="F60" s="88">
        <v>4.3897233333333299</v>
      </c>
      <c r="G60" s="87"/>
    </row>
    <row r="61" spans="1:7" x14ac:dyDescent="0.25">
      <c r="A61" s="85" t="s">
        <v>135</v>
      </c>
      <c r="B61" s="85" t="s">
        <v>254</v>
      </c>
      <c r="C61" s="86">
        <v>16738.360175327602</v>
      </c>
      <c r="D61" s="86">
        <v>609978.75042059203</v>
      </c>
      <c r="E61" s="101">
        <v>2.7440890627397001E-2</v>
      </c>
      <c r="F61" s="88">
        <v>4.3897216666666603</v>
      </c>
      <c r="G61" s="87"/>
    </row>
    <row r="62" spans="1:7" x14ac:dyDescent="0.25">
      <c r="A62" s="85" t="s">
        <v>136</v>
      </c>
      <c r="B62" s="85" t="s">
        <v>255</v>
      </c>
      <c r="C62" s="86">
        <v>18005.205398520899</v>
      </c>
      <c r="D62" s="86">
        <v>602019.91461106599</v>
      </c>
      <c r="E62" s="101">
        <v>2.9907989688602001E-2</v>
      </c>
      <c r="F62" s="88">
        <v>4.3939933333333299</v>
      </c>
      <c r="G62" s="87"/>
    </row>
    <row r="63" spans="1:7" x14ac:dyDescent="0.25">
      <c r="A63" s="85" t="s">
        <v>137</v>
      </c>
      <c r="B63" s="85" t="s">
        <v>250</v>
      </c>
      <c r="C63" s="86">
        <v>17123.5391028462</v>
      </c>
      <c r="D63" s="86">
        <v>690038.22625396401</v>
      </c>
      <c r="E63" s="101">
        <v>2.4815348558015E-2</v>
      </c>
      <c r="F63" s="88">
        <v>4.3897166666666596</v>
      </c>
      <c r="G63" s="87"/>
    </row>
    <row r="64" spans="1:7" x14ac:dyDescent="0.25">
      <c r="A64" s="85" t="s">
        <v>138</v>
      </c>
      <c r="B64" s="85" t="s">
        <v>251</v>
      </c>
      <c r="C64" s="86">
        <v>18265.3894668299</v>
      </c>
      <c r="D64" s="86">
        <v>658277.21930462797</v>
      </c>
      <c r="E64" s="101">
        <v>2.7747260472001E-2</v>
      </c>
      <c r="F64" s="88">
        <v>4.3854499999999996</v>
      </c>
      <c r="G64" s="87"/>
    </row>
    <row r="65" spans="1:7" x14ac:dyDescent="0.25">
      <c r="A65" s="85" t="s">
        <v>139</v>
      </c>
      <c r="B65" s="85" t="s">
        <v>252</v>
      </c>
      <c r="C65" s="86">
        <v>27117.926096966501</v>
      </c>
      <c r="D65" s="86">
        <v>654877.51510748605</v>
      </c>
      <c r="E65" s="101">
        <v>4.1409157394135997E-2</v>
      </c>
      <c r="F65" s="88">
        <v>4.3897233333333299</v>
      </c>
      <c r="G65" s="87"/>
    </row>
    <row r="66" spans="1:7" x14ac:dyDescent="0.25">
      <c r="A66" s="85" t="s">
        <v>140</v>
      </c>
      <c r="B66" s="85" t="s">
        <v>244</v>
      </c>
      <c r="C66" s="86">
        <v>17209.0554249208</v>
      </c>
      <c r="D66" s="86">
        <v>609186.36737026204</v>
      </c>
      <c r="E66" s="101">
        <v>2.8249245791905998E-2</v>
      </c>
      <c r="F66" s="88">
        <v>4.4025350000000003</v>
      </c>
      <c r="G66" s="87"/>
    </row>
    <row r="67" spans="1:7" x14ac:dyDescent="0.25">
      <c r="A67" s="85" t="s">
        <v>141</v>
      </c>
      <c r="B67" s="85" t="s">
        <v>245</v>
      </c>
      <c r="C67" s="86">
        <v>14176.5223845743</v>
      </c>
      <c r="D67" s="86">
        <v>650977.494340142</v>
      </c>
      <c r="E67" s="101">
        <v>2.1777284941232E-2</v>
      </c>
      <c r="F67" s="88">
        <v>4.4110750000000003</v>
      </c>
      <c r="G67" s="87"/>
    </row>
    <row r="68" spans="1:7" x14ac:dyDescent="0.25">
      <c r="A68" s="85" t="s">
        <v>142</v>
      </c>
      <c r="B68" s="85" t="s">
        <v>246</v>
      </c>
      <c r="C68" s="86">
        <v>9463.5530941577708</v>
      </c>
      <c r="D68" s="86">
        <v>413946.57383654302</v>
      </c>
      <c r="E68" s="101">
        <v>2.2861774181261001E-2</v>
      </c>
      <c r="F68" s="88">
        <v>4.3854516666666603</v>
      </c>
      <c r="G68" s="87"/>
    </row>
    <row r="70" spans="1:7" x14ac:dyDescent="0.25">
      <c r="A70" s="85" t="s">
        <v>42</v>
      </c>
      <c r="B70" s="85" t="s">
        <v>108</v>
      </c>
      <c r="C70" s="86" t="s">
        <v>32</v>
      </c>
      <c r="D70" s="86">
        <v>336156.137465954</v>
      </c>
      <c r="E70" s="101" t="s">
        <v>32</v>
      </c>
      <c r="F70" s="88" t="s">
        <v>32</v>
      </c>
      <c r="G70" s="87"/>
    </row>
    <row r="71" spans="1:7" x14ac:dyDescent="0.25">
      <c r="A71" s="85" t="s">
        <v>43</v>
      </c>
      <c r="B71" s="85" t="s">
        <v>109</v>
      </c>
      <c r="C71" s="86" t="s">
        <v>32</v>
      </c>
      <c r="D71" s="86">
        <v>92612.788956766599</v>
      </c>
      <c r="E71" s="101" t="s">
        <v>32</v>
      </c>
      <c r="F71" s="88" t="s">
        <v>32</v>
      </c>
      <c r="G71" s="87"/>
    </row>
    <row r="72" spans="1:7" x14ac:dyDescent="0.25">
      <c r="A72" s="85" t="s">
        <v>44</v>
      </c>
      <c r="B72" s="85" t="s">
        <v>110</v>
      </c>
      <c r="C72" s="86" t="s">
        <v>32</v>
      </c>
      <c r="D72" s="86">
        <v>604783.42368647805</v>
      </c>
      <c r="E72" s="101" t="s">
        <v>32</v>
      </c>
      <c r="F72" s="88" t="s">
        <v>32</v>
      </c>
      <c r="G72" s="87"/>
    </row>
    <row r="73" spans="1:7" x14ac:dyDescent="0.25">
      <c r="A73" s="85" t="s">
        <v>143</v>
      </c>
      <c r="B73" s="85" t="s">
        <v>262</v>
      </c>
      <c r="C73" s="86">
        <v>20916.873866160699</v>
      </c>
      <c r="D73" s="86">
        <v>596014.17165791895</v>
      </c>
      <c r="E73" s="101">
        <v>3.5094591472508999E-2</v>
      </c>
      <c r="F73" s="88">
        <v>7.1632233333333302</v>
      </c>
      <c r="G73" s="87"/>
    </row>
    <row r="74" spans="1:7" x14ac:dyDescent="0.25">
      <c r="A74" s="85" t="s">
        <v>144</v>
      </c>
      <c r="B74" s="85" t="s">
        <v>263</v>
      </c>
      <c r="C74" s="86">
        <v>22184.226631091798</v>
      </c>
      <c r="D74" s="86">
        <v>589027.76555359398</v>
      </c>
      <c r="E74" s="101">
        <v>3.7662446370830001E-2</v>
      </c>
      <c r="F74" s="88">
        <v>7.1632249999999997</v>
      </c>
      <c r="G74" s="87"/>
    </row>
    <row r="75" spans="1:7" x14ac:dyDescent="0.25">
      <c r="A75" s="85" t="s">
        <v>145</v>
      </c>
      <c r="B75" s="85" t="s">
        <v>264</v>
      </c>
      <c r="C75" s="86">
        <v>35201.972131440998</v>
      </c>
      <c r="D75" s="86">
        <v>571501.83937131497</v>
      </c>
      <c r="E75" s="101">
        <v>6.1595553515917001E-2</v>
      </c>
      <c r="F75" s="88">
        <v>7.1688299999999998</v>
      </c>
      <c r="G75" s="87"/>
    </row>
    <row r="76" spans="1:7" x14ac:dyDescent="0.25">
      <c r="A76" s="85" t="s">
        <v>146</v>
      </c>
      <c r="B76" s="85" t="s">
        <v>271</v>
      </c>
      <c r="C76" s="86">
        <v>56343.122329968799</v>
      </c>
      <c r="D76" s="86">
        <v>545121.25653323799</v>
      </c>
      <c r="E76" s="101">
        <v>0.10335887961568301</v>
      </c>
      <c r="F76" s="88">
        <v>7.1633366666666598</v>
      </c>
      <c r="G76" s="87"/>
    </row>
    <row r="77" spans="1:7" x14ac:dyDescent="0.25">
      <c r="A77" s="85" t="s">
        <v>147</v>
      </c>
      <c r="B77" s="85" t="s">
        <v>272</v>
      </c>
      <c r="C77" s="86">
        <v>64276.890103400103</v>
      </c>
      <c r="D77" s="86">
        <v>571622.25720159302</v>
      </c>
      <c r="E77" s="101">
        <v>0.11244644394721599</v>
      </c>
      <c r="F77" s="88">
        <v>7.1632249999999997</v>
      </c>
      <c r="G77" s="87"/>
    </row>
    <row r="78" spans="1:7" x14ac:dyDescent="0.25">
      <c r="A78" s="85" t="s">
        <v>148</v>
      </c>
      <c r="B78" s="85" t="s">
        <v>273</v>
      </c>
      <c r="C78" s="86">
        <v>72906.886541422005</v>
      </c>
      <c r="D78" s="86">
        <v>485393.69510073803</v>
      </c>
      <c r="E78" s="101">
        <v>0.15020155242496699</v>
      </c>
      <c r="F78" s="88">
        <v>7.1632266666666604</v>
      </c>
      <c r="G78" s="87"/>
    </row>
    <row r="79" spans="1:7" x14ac:dyDescent="0.25">
      <c r="A79" s="85" t="s">
        <v>149</v>
      </c>
      <c r="B79" s="85" t="s">
        <v>268</v>
      </c>
      <c r="C79" s="86">
        <v>98931.427357423396</v>
      </c>
      <c r="D79" s="86">
        <v>533927.20749850897</v>
      </c>
      <c r="E79" s="101">
        <v>0.185290103160176</v>
      </c>
      <c r="F79" s="88">
        <v>7.1632199999999999</v>
      </c>
      <c r="G79" s="87"/>
    </row>
    <row r="80" spans="1:7" x14ac:dyDescent="0.25">
      <c r="A80" s="85" t="s">
        <v>150</v>
      </c>
      <c r="B80" s="85" t="s">
        <v>269</v>
      </c>
      <c r="C80" s="86">
        <v>87987.709999954095</v>
      </c>
      <c r="D80" s="86">
        <v>515779.460044034</v>
      </c>
      <c r="E80" s="101">
        <v>0.17059172924885799</v>
      </c>
      <c r="F80" s="88">
        <v>7.1632199999999999</v>
      </c>
      <c r="G80" s="87"/>
    </row>
    <row r="81" spans="1:7" x14ac:dyDescent="0.25">
      <c r="A81" s="85" t="s">
        <v>151</v>
      </c>
      <c r="B81" s="85" t="s">
        <v>270</v>
      </c>
      <c r="C81" s="86">
        <v>114821.804089415</v>
      </c>
      <c r="D81" s="86">
        <v>513280.496055539</v>
      </c>
      <c r="E81" s="101">
        <v>0.223701864714904</v>
      </c>
      <c r="F81" s="88">
        <v>7.1688266666666598</v>
      </c>
      <c r="G81" s="87"/>
    </row>
    <row r="82" spans="1:7" x14ac:dyDescent="0.25">
      <c r="A82" s="85" t="s">
        <v>152</v>
      </c>
      <c r="B82" s="85" t="s">
        <v>265</v>
      </c>
      <c r="C82" s="86">
        <v>113429.406972508</v>
      </c>
      <c r="D82" s="86">
        <v>470307.58074002998</v>
      </c>
      <c r="E82" s="101">
        <v>0.24118132817256899</v>
      </c>
      <c r="F82" s="88">
        <v>7.1576250000000003</v>
      </c>
      <c r="G82" s="87"/>
    </row>
    <row r="83" spans="1:7" x14ac:dyDescent="0.25">
      <c r="A83" s="85" t="s">
        <v>153</v>
      </c>
      <c r="B83" s="85" t="s">
        <v>266</v>
      </c>
      <c r="C83" s="86">
        <v>120709.830660191</v>
      </c>
      <c r="D83" s="86">
        <v>448669.31001218298</v>
      </c>
      <c r="E83" s="101">
        <v>0.26903964226328098</v>
      </c>
      <c r="F83" s="88">
        <v>7.1576183333333301</v>
      </c>
      <c r="G83" s="87"/>
    </row>
    <row r="84" spans="1:7" x14ac:dyDescent="0.25">
      <c r="A84" s="85" t="s">
        <v>154</v>
      </c>
      <c r="B84" s="85" t="s">
        <v>267</v>
      </c>
      <c r="C84" s="86">
        <v>142811.065161801</v>
      </c>
      <c r="D84" s="86">
        <v>460153.781078709</v>
      </c>
      <c r="E84" s="101">
        <v>0.31035508352668301</v>
      </c>
      <c r="F84" s="88">
        <v>7.1576250000000003</v>
      </c>
      <c r="G84" s="87"/>
    </row>
    <row r="85" spans="1:7" x14ac:dyDescent="0.25">
      <c r="A85" s="85" t="s">
        <v>155</v>
      </c>
      <c r="B85" s="85" t="s">
        <v>259</v>
      </c>
      <c r="C85" s="86">
        <v>163833.833051775</v>
      </c>
      <c r="D85" s="86">
        <v>516368.34006873198</v>
      </c>
      <c r="E85" s="101">
        <v>0.31728094141087099</v>
      </c>
      <c r="F85" s="88">
        <v>7.1632233333333302</v>
      </c>
      <c r="G85" s="87"/>
    </row>
    <row r="86" spans="1:7" x14ac:dyDescent="0.25">
      <c r="A86" s="85" t="s">
        <v>156</v>
      </c>
      <c r="B86" s="85" t="s">
        <v>260</v>
      </c>
      <c r="C86" s="86">
        <v>168642.32007656599</v>
      </c>
      <c r="D86" s="86">
        <v>514780.93348359503</v>
      </c>
      <c r="E86" s="101">
        <v>0.327600167580684</v>
      </c>
      <c r="F86" s="88">
        <v>7.1632199999999999</v>
      </c>
      <c r="G86" s="87"/>
    </row>
    <row r="87" spans="1:7" x14ac:dyDescent="0.25">
      <c r="A87" s="85" t="s">
        <v>157</v>
      </c>
      <c r="B87" s="85" t="s">
        <v>261</v>
      </c>
      <c r="C87" s="86">
        <v>220858.498732751</v>
      </c>
      <c r="D87" s="86">
        <v>552195.67877741705</v>
      </c>
      <c r="E87" s="101">
        <v>0.39996419244304898</v>
      </c>
      <c r="F87" s="88">
        <v>7.1632183333333304</v>
      </c>
      <c r="G87" s="87"/>
    </row>
    <row r="88" spans="1:7" x14ac:dyDescent="0.25">
      <c r="A88" s="85" t="s">
        <v>160</v>
      </c>
      <c r="B88" s="85" t="s">
        <v>277</v>
      </c>
      <c r="C88" s="86" t="s">
        <v>32</v>
      </c>
      <c r="D88" s="86">
        <v>680043.16651084705</v>
      </c>
      <c r="E88" s="101" t="s">
        <v>32</v>
      </c>
      <c r="F88" s="88" t="s">
        <v>32</v>
      </c>
      <c r="G88" s="87"/>
    </row>
    <row r="89" spans="1:7" x14ac:dyDescent="0.25">
      <c r="A89" s="85" t="s">
        <v>161</v>
      </c>
      <c r="B89" s="85" t="s">
        <v>278</v>
      </c>
      <c r="C89" s="86" t="s">
        <v>32</v>
      </c>
      <c r="D89" s="86">
        <v>721105.71581879701</v>
      </c>
      <c r="E89" s="101" t="s">
        <v>32</v>
      </c>
      <c r="F89" s="88" t="s">
        <v>32</v>
      </c>
      <c r="G89" s="87"/>
    </row>
    <row r="90" spans="1:7" x14ac:dyDescent="0.25">
      <c r="A90" s="85" t="s">
        <v>162</v>
      </c>
      <c r="B90" s="85" t="s">
        <v>279</v>
      </c>
      <c r="C90" s="86" t="s">
        <v>32</v>
      </c>
      <c r="D90" s="86">
        <v>730982.84123811603</v>
      </c>
      <c r="E90" s="101" t="s">
        <v>32</v>
      </c>
      <c r="F90" s="88" t="s">
        <v>32</v>
      </c>
      <c r="G90" s="87"/>
    </row>
    <row r="91" spans="1:7" x14ac:dyDescent="0.25">
      <c r="A91" s="85" t="s">
        <v>163</v>
      </c>
      <c r="B91" s="85" t="s">
        <v>286</v>
      </c>
      <c r="C91" s="86" t="s">
        <v>32</v>
      </c>
      <c r="D91" s="86">
        <v>631344.72592846805</v>
      </c>
      <c r="E91" s="101" t="s">
        <v>32</v>
      </c>
      <c r="F91" s="88" t="s">
        <v>32</v>
      </c>
      <c r="G91" s="87"/>
    </row>
    <row r="92" spans="1:7" x14ac:dyDescent="0.25">
      <c r="A92" s="85" t="s">
        <v>164</v>
      </c>
      <c r="B92" s="85" t="s">
        <v>287</v>
      </c>
      <c r="C92" s="86" t="s">
        <v>32</v>
      </c>
      <c r="D92" s="86">
        <v>578272.40215397999</v>
      </c>
      <c r="E92" s="101" t="s">
        <v>32</v>
      </c>
      <c r="F92" s="88" t="s">
        <v>32</v>
      </c>
      <c r="G92" s="87"/>
    </row>
    <row r="93" spans="1:7" x14ac:dyDescent="0.25">
      <c r="A93" s="85" t="s">
        <v>165</v>
      </c>
      <c r="B93" s="85" t="s">
        <v>288</v>
      </c>
      <c r="C93" s="86" t="s">
        <v>32</v>
      </c>
      <c r="D93" s="86">
        <v>581578.61148608604</v>
      </c>
      <c r="E93" s="101" t="s">
        <v>32</v>
      </c>
      <c r="F93" s="88" t="s">
        <v>32</v>
      </c>
      <c r="G93" s="87"/>
    </row>
    <row r="94" spans="1:7" x14ac:dyDescent="0.25">
      <c r="A94" s="85" t="s">
        <v>166</v>
      </c>
      <c r="B94" s="85" t="s">
        <v>283</v>
      </c>
      <c r="C94" s="86" t="s">
        <v>32</v>
      </c>
      <c r="D94" s="86">
        <v>533850.34583964897</v>
      </c>
      <c r="E94" s="101" t="s">
        <v>32</v>
      </c>
      <c r="F94" s="88" t="s">
        <v>32</v>
      </c>
      <c r="G94" s="87"/>
    </row>
    <row r="95" spans="1:7" x14ac:dyDescent="0.25">
      <c r="A95" s="85" t="s">
        <v>167</v>
      </c>
      <c r="B95" s="85" t="s">
        <v>284</v>
      </c>
      <c r="C95" s="86" t="s">
        <v>32</v>
      </c>
      <c r="D95" s="86">
        <v>545476.15127660404</v>
      </c>
      <c r="E95" s="101" t="s">
        <v>32</v>
      </c>
      <c r="F95" s="88" t="s">
        <v>32</v>
      </c>
      <c r="G95" s="87"/>
    </row>
    <row r="96" spans="1:7" x14ac:dyDescent="0.25">
      <c r="A96" s="85" t="s">
        <v>168</v>
      </c>
      <c r="B96" s="85" t="s">
        <v>285</v>
      </c>
      <c r="C96" s="86" t="s">
        <v>32</v>
      </c>
      <c r="D96" s="86">
        <v>476272.58807985898</v>
      </c>
      <c r="E96" s="101" t="s">
        <v>32</v>
      </c>
      <c r="F96" s="88" t="s">
        <v>32</v>
      </c>
      <c r="G96" s="87"/>
    </row>
    <row r="97" spans="1:7" x14ac:dyDescent="0.25">
      <c r="A97" s="85" t="s">
        <v>169</v>
      </c>
      <c r="B97" s="85" t="s">
        <v>280</v>
      </c>
      <c r="C97" s="86">
        <v>4294.3793352386501</v>
      </c>
      <c r="D97" s="86">
        <v>561925.24461136304</v>
      </c>
      <c r="E97" s="101">
        <v>7.6422609171239997E-3</v>
      </c>
      <c r="F97" s="88">
        <v>7.1688283333333302</v>
      </c>
      <c r="G97" s="87"/>
    </row>
    <row r="98" spans="1:7" x14ac:dyDescent="0.25">
      <c r="A98" s="85" t="s">
        <v>170</v>
      </c>
      <c r="B98" s="85" t="s">
        <v>281</v>
      </c>
      <c r="C98" s="86">
        <v>5071.5898466391</v>
      </c>
      <c r="D98" s="86">
        <v>582204.416188556</v>
      </c>
      <c r="E98" s="101">
        <v>8.7110123276640007E-3</v>
      </c>
      <c r="F98" s="88">
        <v>7.1744349999999999</v>
      </c>
      <c r="G98" s="87"/>
    </row>
    <row r="99" spans="1:7" x14ac:dyDescent="0.25">
      <c r="A99" s="85" t="s">
        <v>171</v>
      </c>
      <c r="B99" s="85" t="s">
        <v>282</v>
      </c>
      <c r="C99" s="86">
        <v>4856.3180783545304</v>
      </c>
      <c r="D99" s="86">
        <v>576864.93892480806</v>
      </c>
      <c r="E99" s="101">
        <v>8.4184663526370006E-3</v>
      </c>
      <c r="F99" s="88">
        <v>7.1688233333333304</v>
      </c>
      <c r="G99" s="87"/>
    </row>
    <row r="100" spans="1:7" x14ac:dyDescent="0.25">
      <c r="A100" s="85" t="s">
        <v>172</v>
      </c>
      <c r="B100" s="85" t="s">
        <v>274</v>
      </c>
      <c r="C100" s="86">
        <v>18890.836176228899</v>
      </c>
      <c r="D100" s="86">
        <v>592547.96094743302</v>
      </c>
      <c r="E100" s="101">
        <v>3.1880687170072003E-2</v>
      </c>
      <c r="F100" s="88">
        <v>7.1688316666666596</v>
      </c>
      <c r="G100" s="87"/>
    </row>
    <row r="101" spans="1:7" x14ac:dyDescent="0.25">
      <c r="A101" s="85" t="s">
        <v>173</v>
      </c>
      <c r="B101" s="85" t="s">
        <v>275</v>
      </c>
      <c r="C101" s="86">
        <v>14292.074079055001</v>
      </c>
      <c r="D101" s="86">
        <v>594624.64373836096</v>
      </c>
      <c r="E101" s="101">
        <v>2.4035455357521E-2</v>
      </c>
      <c r="F101" s="88">
        <v>7.1688266666666598</v>
      </c>
      <c r="G101" s="87"/>
    </row>
    <row r="102" spans="1:7" x14ac:dyDescent="0.25">
      <c r="A102" s="85" t="s">
        <v>174</v>
      </c>
      <c r="B102" s="85" t="s">
        <v>276</v>
      </c>
      <c r="C102" s="86">
        <v>16903.450104934898</v>
      </c>
      <c r="D102" s="86">
        <v>613364.901543285</v>
      </c>
      <c r="E102" s="101">
        <v>2.7558554560921999E-2</v>
      </c>
      <c r="F102" s="88">
        <v>7.1744316666666599</v>
      </c>
      <c r="G102" s="87"/>
    </row>
    <row r="104" spans="1:7" x14ac:dyDescent="0.25">
      <c r="A104" s="85" t="s">
        <v>42</v>
      </c>
      <c r="B104" s="85" t="s">
        <v>108</v>
      </c>
      <c r="C104" s="86">
        <v>86045.585520651293</v>
      </c>
      <c r="D104" s="86">
        <v>336156.137465954</v>
      </c>
      <c r="E104" s="101">
        <v>0.25596910462289502</v>
      </c>
      <c r="F104" s="88">
        <v>8.0369650000000004</v>
      </c>
      <c r="G104" s="87"/>
    </row>
    <row r="105" spans="1:7" x14ac:dyDescent="0.25">
      <c r="A105" s="85" t="s">
        <v>43</v>
      </c>
      <c r="B105" s="85" t="s">
        <v>109</v>
      </c>
      <c r="C105" s="86">
        <v>30810.310282730199</v>
      </c>
      <c r="D105" s="86">
        <v>92612.788956766599</v>
      </c>
      <c r="E105" s="101">
        <v>0.332678786912605</v>
      </c>
      <c r="F105" s="88">
        <v>8.0409766666666602</v>
      </c>
      <c r="G105" s="87"/>
    </row>
    <row r="106" spans="1:7" x14ac:dyDescent="0.25">
      <c r="A106" s="85" t="s">
        <v>44</v>
      </c>
      <c r="B106" s="85" t="s">
        <v>110</v>
      </c>
      <c r="C106" s="86">
        <v>238042.52772916999</v>
      </c>
      <c r="D106" s="86">
        <v>604783.42368647805</v>
      </c>
      <c r="E106" s="101">
        <v>0.39359962328030501</v>
      </c>
      <c r="F106" s="88">
        <v>8.0369516666666598</v>
      </c>
      <c r="G106" s="87"/>
    </row>
    <row r="107" spans="1:7" x14ac:dyDescent="0.25">
      <c r="A107" s="85" t="s">
        <v>193</v>
      </c>
      <c r="B107" s="85" t="s">
        <v>292</v>
      </c>
      <c r="C107" s="86">
        <v>201227.439639574</v>
      </c>
      <c r="D107" s="86">
        <v>525041.43563293305</v>
      </c>
      <c r="E107" s="101">
        <v>0.38326011240807401</v>
      </c>
      <c r="F107" s="88">
        <v>8.0276166666666597</v>
      </c>
      <c r="G107" s="87"/>
    </row>
    <row r="108" spans="1:7" x14ac:dyDescent="0.25">
      <c r="A108" s="85" t="s">
        <v>194</v>
      </c>
      <c r="B108" s="85" t="s">
        <v>293</v>
      </c>
      <c r="C108" s="86">
        <v>244565.06319470299</v>
      </c>
      <c r="D108" s="86">
        <v>620372.21823617397</v>
      </c>
      <c r="E108" s="101">
        <v>0.39422310671816502</v>
      </c>
      <c r="F108" s="88">
        <v>8.0234299999999905</v>
      </c>
      <c r="G108" s="87"/>
    </row>
    <row r="109" spans="1:7" x14ac:dyDescent="0.25">
      <c r="A109" s="85" t="s">
        <v>195</v>
      </c>
      <c r="B109" s="85" t="s">
        <v>294</v>
      </c>
      <c r="C109" s="86">
        <v>231522.13361170801</v>
      </c>
      <c r="D109" s="86">
        <v>575167.39488562802</v>
      </c>
      <c r="E109" s="101">
        <v>0.40253000373525399</v>
      </c>
      <c r="F109" s="88">
        <v>8.0276183333333293</v>
      </c>
      <c r="G109" s="87"/>
    </row>
    <row r="110" spans="1:7" x14ac:dyDescent="0.25">
      <c r="A110" s="85" t="s">
        <v>196</v>
      </c>
      <c r="B110" s="85" t="s">
        <v>301</v>
      </c>
      <c r="C110" s="86">
        <v>260160.983147227</v>
      </c>
      <c r="D110" s="86">
        <v>511999.53546624398</v>
      </c>
      <c r="E110" s="101">
        <v>0.50812738122958701</v>
      </c>
      <c r="F110" s="88">
        <v>8.0276166666666597</v>
      </c>
      <c r="G110" s="87"/>
    </row>
    <row r="111" spans="1:7" x14ac:dyDescent="0.25">
      <c r="A111" s="85" t="s">
        <v>197</v>
      </c>
      <c r="B111" s="85" t="s">
        <v>302</v>
      </c>
      <c r="C111" s="86">
        <v>253329.69027372799</v>
      </c>
      <c r="D111" s="86">
        <v>530526.77081906004</v>
      </c>
      <c r="E111" s="101">
        <v>0.47750595108070099</v>
      </c>
      <c r="F111" s="88">
        <v>8.0276183333333293</v>
      </c>
      <c r="G111" s="87"/>
    </row>
    <row r="112" spans="1:7" x14ac:dyDescent="0.25">
      <c r="A112" s="85" t="s">
        <v>198</v>
      </c>
      <c r="B112" s="85" t="s">
        <v>303</v>
      </c>
      <c r="C112" s="86">
        <v>251158.244325632</v>
      </c>
      <c r="D112" s="86">
        <v>528759.15341074101</v>
      </c>
      <c r="E112" s="101">
        <v>0.47499554892912099</v>
      </c>
      <c r="F112" s="88">
        <v>8.0276166666666597</v>
      </c>
      <c r="G112" s="87"/>
    </row>
    <row r="113" spans="1:7" x14ac:dyDescent="0.25">
      <c r="A113" s="85" t="s">
        <v>199</v>
      </c>
      <c r="B113" s="85" t="s">
        <v>298</v>
      </c>
      <c r="C113" s="86">
        <v>286142.195430869</v>
      </c>
      <c r="D113" s="86">
        <v>530384.21033372299</v>
      </c>
      <c r="E113" s="101">
        <v>0.53949983777010602</v>
      </c>
      <c r="F113" s="88">
        <v>8.0276200000000006</v>
      </c>
      <c r="G113" s="87"/>
    </row>
    <row r="114" spans="1:7" x14ac:dyDescent="0.25">
      <c r="A114" s="85" t="s">
        <v>200</v>
      </c>
      <c r="B114" s="85" t="s">
        <v>299</v>
      </c>
      <c r="C114" s="86">
        <v>289728.60404569999</v>
      </c>
      <c r="D114" s="86">
        <v>540832.53730642295</v>
      </c>
      <c r="E114" s="101">
        <v>0.53570853094133797</v>
      </c>
      <c r="F114" s="88">
        <v>8.0276099999999992</v>
      </c>
      <c r="G114" s="87"/>
    </row>
    <row r="115" spans="1:7" x14ac:dyDescent="0.25">
      <c r="A115" s="85" t="s">
        <v>201</v>
      </c>
      <c r="B115" s="85" t="s">
        <v>300</v>
      </c>
      <c r="C115" s="86">
        <v>306336.53444693302</v>
      </c>
      <c r="D115" s="86">
        <v>492027.851234206</v>
      </c>
      <c r="E115" s="101">
        <v>0.62259998835130204</v>
      </c>
      <c r="F115" s="88">
        <v>8.0276183333333293</v>
      </c>
      <c r="G115" s="87"/>
    </row>
    <row r="116" spans="1:7" x14ac:dyDescent="0.25">
      <c r="A116" s="85" t="s">
        <v>202</v>
      </c>
      <c r="B116" s="85" t="s">
        <v>295</v>
      </c>
      <c r="C116" s="86">
        <v>291710.05705208698</v>
      </c>
      <c r="D116" s="86">
        <v>515668.11669991899</v>
      </c>
      <c r="E116" s="101">
        <v>0.56569341327309897</v>
      </c>
      <c r="F116" s="88">
        <v>8.0276183333333293</v>
      </c>
      <c r="G116" s="87"/>
    </row>
    <row r="117" spans="1:7" x14ac:dyDescent="0.25">
      <c r="A117" s="85" t="s">
        <v>203</v>
      </c>
      <c r="B117" s="85" t="s">
        <v>296</v>
      </c>
      <c r="C117" s="86">
        <v>314521.20221537899</v>
      </c>
      <c r="D117" s="86">
        <v>501594.76352732402</v>
      </c>
      <c r="E117" s="101">
        <v>0.62704243561794304</v>
      </c>
      <c r="F117" s="88">
        <v>8.0276116666666599</v>
      </c>
      <c r="G117" s="87"/>
    </row>
    <row r="118" spans="1:7" x14ac:dyDescent="0.25">
      <c r="A118" s="85" t="s">
        <v>204</v>
      </c>
      <c r="B118" s="85" t="s">
        <v>297</v>
      </c>
      <c r="C118" s="86">
        <v>315898.87614488101</v>
      </c>
      <c r="D118" s="86">
        <v>441468.10754297598</v>
      </c>
      <c r="E118" s="101">
        <v>0.71556443318870799</v>
      </c>
      <c r="F118" s="88">
        <v>8.0234133333333304</v>
      </c>
      <c r="G118" s="87"/>
    </row>
    <row r="119" spans="1:7" x14ac:dyDescent="0.25">
      <c r="A119" s="85" t="s">
        <v>205</v>
      </c>
      <c r="B119" s="85" t="s">
        <v>289</v>
      </c>
      <c r="C119" s="86">
        <v>263605.54528959602</v>
      </c>
      <c r="D119" s="86">
        <v>616166.99313512095</v>
      </c>
      <c r="E119" s="101">
        <v>0.42781510244218601</v>
      </c>
      <c r="F119" s="88">
        <v>8.0276166666666597</v>
      </c>
      <c r="G119" s="87"/>
    </row>
    <row r="120" spans="1:7" x14ac:dyDescent="0.25">
      <c r="A120" s="85" t="s">
        <v>206</v>
      </c>
      <c r="B120" s="85" t="s">
        <v>290</v>
      </c>
      <c r="C120" s="86">
        <v>277313.68373959098</v>
      </c>
      <c r="D120" s="86">
        <v>606042.73126409599</v>
      </c>
      <c r="E120" s="101">
        <v>0.45758107379848501</v>
      </c>
      <c r="F120" s="88">
        <v>8.0276133333333295</v>
      </c>
      <c r="G120" s="87"/>
    </row>
    <row r="121" spans="1:7" x14ac:dyDescent="0.25">
      <c r="A121" s="85" t="s">
        <v>207</v>
      </c>
      <c r="B121" s="85" t="s">
        <v>291</v>
      </c>
      <c r="C121" s="86">
        <v>318569.15814344498</v>
      </c>
      <c r="D121" s="86">
        <v>638873.64106019295</v>
      </c>
      <c r="E121" s="101">
        <v>0.49864188732969</v>
      </c>
      <c r="F121" s="88">
        <v>8.0276150000000008</v>
      </c>
      <c r="G121" s="87"/>
    </row>
    <row r="122" spans="1:7" x14ac:dyDescent="0.25">
      <c r="A122" s="85" t="s">
        <v>175</v>
      </c>
      <c r="B122" s="85" t="s">
        <v>307</v>
      </c>
      <c r="C122" s="86">
        <v>244909.81515657101</v>
      </c>
      <c r="D122" s="86">
        <v>677000.67938177497</v>
      </c>
      <c r="E122" s="101">
        <v>0.361757118737633</v>
      </c>
      <c r="F122" s="88">
        <v>8.0318266666666602</v>
      </c>
      <c r="G122" s="87"/>
    </row>
    <row r="123" spans="1:7" x14ac:dyDescent="0.25">
      <c r="A123" s="85" t="s">
        <v>176</v>
      </c>
      <c r="B123" s="85" t="s">
        <v>308</v>
      </c>
      <c r="C123" s="86">
        <v>186721.555430006</v>
      </c>
      <c r="D123" s="86">
        <v>609683.68067410204</v>
      </c>
      <c r="E123" s="101">
        <v>0.30625972344143398</v>
      </c>
      <c r="F123" s="88">
        <v>8.0318183333333302</v>
      </c>
      <c r="G123" s="87"/>
    </row>
    <row r="124" spans="1:7" x14ac:dyDescent="0.25">
      <c r="A124" s="85" t="s">
        <v>177</v>
      </c>
      <c r="B124" s="85" t="s">
        <v>309</v>
      </c>
      <c r="C124" s="86">
        <v>301685.54493314499</v>
      </c>
      <c r="D124" s="86">
        <v>771371.57133053895</v>
      </c>
      <c r="E124" s="101">
        <v>0.39110275274050899</v>
      </c>
      <c r="F124" s="88">
        <v>8.0317016666666596</v>
      </c>
      <c r="G124" s="87"/>
    </row>
    <row r="125" spans="1:7" x14ac:dyDescent="0.25">
      <c r="A125" s="85" t="s">
        <v>178</v>
      </c>
      <c r="B125" s="85" t="s">
        <v>316</v>
      </c>
      <c r="C125" s="86">
        <v>335685.44829817198</v>
      </c>
      <c r="D125" s="86">
        <v>589910.30969434103</v>
      </c>
      <c r="E125" s="101">
        <v>0.56904489170922601</v>
      </c>
      <c r="F125" s="88">
        <v>8.0360200000000006</v>
      </c>
      <c r="G125" s="87"/>
    </row>
    <row r="126" spans="1:7" x14ac:dyDescent="0.25">
      <c r="A126" s="85" t="s">
        <v>179</v>
      </c>
      <c r="B126" s="85" t="s">
        <v>317</v>
      </c>
      <c r="C126" s="86">
        <v>633406.18338331801</v>
      </c>
      <c r="D126" s="86">
        <v>110699.055399266</v>
      </c>
      <c r="E126" s="101">
        <v>5.7218752327991202</v>
      </c>
      <c r="F126" s="88">
        <v>8.023415</v>
      </c>
      <c r="G126" s="87"/>
    </row>
    <row r="127" spans="1:7" x14ac:dyDescent="0.25">
      <c r="A127" s="85" t="s">
        <v>180</v>
      </c>
      <c r="B127" s="85" t="s">
        <v>318</v>
      </c>
      <c r="C127" s="86">
        <v>485087.39071495499</v>
      </c>
      <c r="D127" s="86">
        <v>499938.79843239998</v>
      </c>
      <c r="E127" s="101">
        <v>0.97029354840229998</v>
      </c>
      <c r="F127" s="88">
        <v>8.0234083333333306</v>
      </c>
      <c r="G127" s="87"/>
    </row>
    <row r="128" spans="1:7" x14ac:dyDescent="0.25">
      <c r="A128" s="85" t="s">
        <v>181</v>
      </c>
      <c r="B128" s="85" t="s">
        <v>313</v>
      </c>
      <c r="C128" s="86">
        <v>214002.787100063</v>
      </c>
      <c r="D128" s="86">
        <v>535439.46135819901</v>
      </c>
      <c r="E128" s="101">
        <v>0.39967690569018199</v>
      </c>
      <c r="F128" s="88">
        <v>8.0360200000000006</v>
      </c>
      <c r="G128" s="87"/>
    </row>
    <row r="129" spans="1:7" x14ac:dyDescent="0.25">
      <c r="A129" s="85" t="s">
        <v>182</v>
      </c>
      <c r="B129" s="85" t="s">
        <v>314</v>
      </c>
      <c r="C129" s="86">
        <v>196863.858308672</v>
      </c>
      <c r="D129" s="86">
        <v>556152.70613996102</v>
      </c>
      <c r="E129" s="101">
        <v>0.35397446804678501</v>
      </c>
      <c r="F129" s="88">
        <v>8.0318116666666608</v>
      </c>
      <c r="G129" s="87"/>
    </row>
    <row r="130" spans="1:7" x14ac:dyDescent="0.25">
      <c r="A130" s="85" t="s">
        <v>183</v>
      </c>
      <c r="B130" s="85" t="s">
        <v>315</v>
      </c>
      <c r="C130" s="86">
        <v>175393.15692737899</v>
      </c>
      <c r="D130" s="86">
        <v>444278.45268714702</v>
      </c>
      <c r="E130" s="101">
        <v>0.39478204685944501</v>
      </c>
      <c r="F130" s="88">
        <v>8.0318199999999997</v>
      </c>
      <c r="G130" s="87"/>
    </row>
    <row r="131" spans="1:7" x14ac:dyDescent="0.25">
      <c r="A131" s="85" t="s">
        <v>184</v>
      </c>
      <c r="B131" s="85" t="s">
        <v>310</v>
      </c>
      <c r="C131" s="86">
        <v>181021.39677320901</v>
      </c>
      <c r="D131" s="86">
        <v>588083.27860806196</v>
      </c>
      <c r="E131" s="101">
        <v>0.30781592226473498</v>
      </c>
      <c r="F131" s="88">
        <v>8.0318166666666606</v>
      </c>
      <c r="G131" s="87"/>
    </row>
    <row r="132" spans="1:7" x14ac:dyDescent="0.25">
      <c r="A132" s="85" t="s">
        <v>185</v>
      </c>
      <c r="B132" s="85" t="s">
        <v>311</v>
      </c>
      <c r="C132" s="86">
        <v>182281.633931441</v>
      </c>
      <c r="D132" s="86">
        <v>545321.43613726704</v>
      </c>
      <c r="E132" s="101">
        <v>0.33426456737629001</v>
      </c>
      <c r="F132" s="88">
        <v>8.0318216666666604</v>
      </c>
      <c r="G132" s="87"/>
    </row>
    <row r="133" spans="1:7" x14ac:dyDescent="0.25">
      <c r="A133" s="85" t="s">
        <v>186</v>
      </c>
      <c r="B133" s="85" t="s">
        <v>312</v>
      </c>
      <c r="C133" s="86">
        <v>175056.25871219701</v>
      </c>
      <c r="D133" s="86">
        <v>537526.74366292299</v>
      </c>
      <c r="E133" s="101">
        <v>0.325669858804223</v>
      </c>
      <c r="F133" s="88">
        <v>8.0318166666666606</v>
      </c>
      <c r="G133" s="87"/>
    </row>
    <row r="134" spans="1:7" x14ac:dyDescent="0.25">
      <c r="A134" s="85" t="s">
        <v>187</v>
      </c>
      <c r="B134" s="85" t="s">
        <v>304</v>
      </c>
      <c r="C134" s="86">
        <v>125773.801356364</v>
      </c>
      <c r="D134" s="86">
        <v>605379.34027585306</v>
      </c>
      <c r="E134" s="101">
        <v>0.207760313226171</v>
      </c>
      <c r="F134" s="88">
        <v>8.0318199999999997</v>
      </c>
      <c r="G134" s="87"/>
    </row>
    <row r="135" spans="1:7" x14ac:dyDescent="0.25">
      <c r="A135" s="85" t="s">
        <v>188</v>
      </c>
      <c r="B135" s="85" t="s">
        <v>305</v>
      </c>
      <c r="C135" s="86">
        <v>141488.229836924</v>
      </c>
      <c r="D135" s="86">
        <v>558686.46942807105</v>
      </c>
      <c r="E135" s="101">
        <v>0.25325157772617302</v>
      </c>
      <c r="F135" s="88">
        <v>8.0318266666666602</v>
      </c>
      <c r="G135" s="87"/>
    </row>
    <row r="136" spans="1:7" x14ac:dyDescent="0.25">
      <c r="A136" s="85" t="s">
        <v>189</v>
      </c>
      <c r="B136" s="85" t="s">
        <v>306</v>
      </c>
      <c r="C136" s="86">
        <v>199729.315427978</v>
      </c>
      <c r="D136" s="86">
        <v>539838.83161305205</v>
      </c>
      <c r="E136" s="101">
        <v>0.369979526725008</v>
      </c>
      <c r="F136" s="88">
        <v>8.0318199999999997</v>
      </c>
      <c r="G136" s="8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Summary</vt:lpstr>
      <vt:lpstr>Data</vt:lpstr>
      <vt:lpstr>Control</vt:lpstr>
      <vt:lpstr>Heat Inactived</vt:lpstr>
      <vt:lpstr>Raw Data</vt:lpstr>
      <vt:lpstr>Summary1</vt:lpstr>
      <vt:lpstr>Control!Table1</vt:lpstr>
      <vt:lpstr>Table1</vt:lpstr>
      <vt:lpstr>Table10</vt:lpstr>
      <vt:lpstr>Table11</vt:lpstr>
      <vt:lpstr>Table12</vt:lpstr>
      <vt:lpstr>Table2</vt:lpstr>
      <vt:lpstr>Table3</vt:lpstr>
      <vt:lpstr>Table5</vt:lpstr>
      <vt:lpstr>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Lau, Janice</cp:lastModifiedBy>
  <dcterms:created xsi:type="dcterms:W3CDTF">2020-06-22T16:31:06Z</dcterms:created>
  <dcterms:modified xsi:type="dcterms:W3CDTF">2021-04-30T20:21:05Z</dcterms:modified>
</cp:coreProperties>
</file>