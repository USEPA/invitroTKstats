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March 2021\"/>
    </mc:Choice>
  </mc:AlternateContent>
  <bookViews>
    <workbookView xWindow="0" yWindow="0" windowWidth="28800" windowHeight="11700" activeTab="4"/>
  </bookViews>
  <sheets>
    <sheet name="Summary" sheetId="1" r:id="rId1"/>
    <sheet name="Data" sheetId="2" r:id="rId2"/>
    <sheet name="Control" sheetId="13" r:id="rId3"/>
    <sheet name="10 uM raw data" sheetId="7" r:id="rId4"/>
    <sheet name="1 uM Raw data" sheetId="14" r:id="rId5"/>
  </sheets>
  <functionGroups builtInGroupCount="18"/>
  <definedNames>
    <definedName name="_xlnm.Print_Titles" localSheetId="4">'1 uM Raw data'!$A:$A,'1 uM Raw data'!$1:$1</definedName>
    <definedName name="_xlnm.Print_Titles" localSheetId="3">'10 uM raw data'!$A:$A,'10 uM raw data'!$1:$1</definedName>
    <definedName name="Summary1">Summary!$A$4:$H$18</definedName>
    <definedName name="Table1" localSheetId="2">Control!$Z$2:$AD$7</definedName>
    <definedName name="Table1">Data!$Z$2:$AD$7</definedName>
    <definedName name="Table10">Data!$Z$170:$AD$175</definedName>
    <definedName name="Table11">Data!$Z$191:$AD$196</definedName>
    <definedName name="Table12">Data!$Z$212:$AD$217</definedName>
    <definedName name="Table13">Data!$Z$233:$AD$238</definedName>
    <definedName name="Table14">Data!$Z$254:$AD$259</definedName>
    <definedName name="Table15">Data!$Z$275:$AD$280</definedName>
    <definedName name="Table2" localSheetId="2">Control!#REF!</definedName>
    <definedName name="Table2">Data!$Z$23:$AD$28</definedName>
    <definedName name="Table3" localSheetId="2">Control!#REF!</definedName>
    <definedName name="Table3">Data!$Z$44:$AD$49</definedName>
    <definedName name="Table4" localSheetId="2">Control!#REF!</definedName>
    <definedName name="Table4">Data!#REF!</definedName>
    <definedName name="Table5" localSheetId="2">Control!#REF!</definedName>
    <definedName name="Table5">Data!$Z$65:$AD$70</definedName>
    <definedName name="Table6" localSheetId="2">Control!#REF!</definedName>
    <definedName name="Table6">Data!$Z$86:$AD$91</definedName>
    <definedName name="Table7" localSheetId="2">Control!#REF!</definedName>
    <definedName name="Table7">Data!$Z$107:$AD$112</definedName>
    <definedName name="Table8" localSheetId="2">Control!#REF!</definedName>
    <definedName name="Table8">Data!$Z$128:$AD$133</definedName>
    <definedName name="Table9">Data!$Z$149:$AD$154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3" l="1"/>
  <c r="I18" i="13" s="1"/>
  <c r="I17" i="13"/>
  <c r="AB7" i="13" s="1"/>
  <c r="G17" i="13"/>
  <c r="G16" i="13"/>
  <c r="I16" i="13" s="1"/>
  <c r="I15" i="13"/>
  <c r="U15" i="13" s="1"/>
  <c r="G15" i="13"/>
  <c r="G14" i="13"/>
  <c r="I14" i="13" s="1"/>
  <c r="G13" i="13"/>
  <c r="I13" i="13" s="1"/>
  <c r="I12" i="13"/>
  <c r="U12" i="13" s="1"/>
  <c r="G12" i="13"/>
  <c r="G11" i="13"/>
  <c r="I11" i="13" s="1"/>
  <c r="G10" i="13"/>
  <c r="I10" i="13" s="1"/>
  <c r="I9" i="13"/>
  <c r="U9" i="13" s="1"/>
  <c r="G9" i="13"/>
  <c r="G8" i="13"/>
  <c r="I8" i="13" s="1"/>
  <c r="Z7" i="13"/>
  <c r="G7" i="13"/>
  <c r="I7" i="13" s="1"/>
  <c r="Z6" i="13"/>
  <c r="I6" i="13"/>
  <c r="U6" i="13" s="1"/>
  <c r="G6" i="13"/>
  <c r="Z5" i="13"/>
  <c r="G5" i="13"/>
  <c r="I5" i="13" s="1"/>
  <c r="AC4" i="13"/>
  <c r="Z4" i="13"/>
  <c r="G4" i="13"/>
  <c r="I4" i="13" s="1"/>
  <c r="Z3" i="13"/>
  <c r="U13" i="13" l="1"/>
  <c r="AA6" i="13"/>
  <c r="U5" i="13"/>
  <c r="AB3" i="13"/>
  <c r="U10" i="13"/>
  <c r="AA5" i="13"/>
  <c r="U16" i="13"/>
  <c r="AA7" i="13"/>
  <c r="AD7" i="13" s="1"/>
  <c r="AB6" i="13"/>
  <c r="U14" i="13"/>
  <c r="U11" i="13"/>
  <c r="AB5" i="13"/>
  <c r="U8" i="13"/>
  <c r="AB4" i="13"/>
  <c r="AA3" i="13"/>
  <c r="AD3" i="13" s="1"/>
  <c r="U4" i="13"/>
  <c r="U7" i="13"/>
  <c r="AA4" i="13"/>
  <c r="U18" i="13"/>
  <c r="AC7" i="13"/>
  <c r="AC3" i="13"/>
  <c r="U17" i="13"/>
  <c r="AC5" i="13"/>
  <c r="AC6" i="13"/>
  <c r="V18" i="13" l="1"/>
  <c r="V5" i="13"/>
  <c r="W16" i="13"/>
  <c r="W13" i="13"/>
  <c r="V10" i="13"/>
  <c r="V4" i="13"/>
  <c r="V16" i="13"/>
  <c r="V13" i="13"/>
  <c r="V11" i="13"/>
  <c r="V8" i="13"/>
  <c r="V17" i="13"/>
  <c r="W7" i="13"/>
  <c r="W14" i="13"/>
  <c r="W8" i="13"/>
  <c r="V14" i="13"/>
  <c r="W17" i="13"/>
  <c r="W15" i="13"/>
  <c r="W9" i="13"/>
  <c r="V7" i="13"/>
  <c r="W18" i="13"/>
  <c r="V15" i="13"/>
  <c r="V12" i="13"/>
  <c r="V9" i="13"/>
  <c r="V6" i="13"/>
  <c r="AD5" i="13"/>
  <c r="AD4" i="13"/>
  <c r="AD6" i="13"/>
  <c r="AA10" i="13" l="1"/>
  <c r="AA11" i="13"/>
  <c r="AA9" i="13"/>
  <c r="AA13" i="13" l="1"/>
  <c r="AA12" i="13"/>
</calcChain>
</file>

<file path=xl/comments1.xml><?xml version="1.0" encoding="utf-8"?>
<comments xmlns="http://schemas.openxmlformats.org/spreadsheetml/2006/main">
  <authors>
    <author>Bradley Snodgrass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Data!AA126 = 2058.44028504325</t>
        </r>
      </text>
    </comment>
  </commentList>
</comments>
</file>

<file path=xl/sharedStrings.xml><?xml version="1.0" encoding="utf-8"?>
<sst xmlns="http://schemas.openxmlformats.org/spreadsheetml/2006/main" count="1870" uniqueCount="585">
  <si>
    <t>SampleName</t>
  </si>
  <si>
    <t>CompoundName</t>
  </si>
  <si>
    <t>Transition</t>
  </si>
  <si>
    <t>Area</t>
  </si>
  <si>
    <t>ISTD Area</t>
  </si>
  <si>
    <t>ISTDResponseRatio</t>
  </si>
  <si>
    <t>Compound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</si>
  <si>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</si>
  <si>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</si>
  <si>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</si>
  <si>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</si>
  <si>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</si>
  <si>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</si>
  <si>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</si>
  <si>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</si>
  <si>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</si>
  <si>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</si>
  <si>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</si>
  <si>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</si>
  <si>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</si>
  <si>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</si>
  <si>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</si>
  <si>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</si>
  <si>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</si>
  <si>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</si>
  <si>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</si>
  <si>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</si>
  <si>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</si>
  <si>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Area Ratio</t>
  </si>
  <si>
    <t>Midazolam</t>
  </si>
  <si>
    <t>326.121 &gt; 291.203</t>
  </si>
  <si>
    <t>Control</t>
  </si>
  <si>
    <t>NF</t>
  </si>
  <si>
    <t>Blank 5</t>
  </si>
  <si>
    <t>Blank 6</t>
  </si>
  <si>
    <t>Blank_Human_3</t>
  </si>
  <si>
    <t>DTXSID1024209_10uM_Human_120_1</t>
  </si>
  <si>
    <t>DTXSID1024209_10uM_Human_120_2</t>
  </si>
  <si>
    <t>DTXSID1024209_10uM_Human_120_3</t>
  </si>
  <si>
    <t>DTXSID1024209_10uM_Human_60_1</t>
  </si>
  <si>
    <t>DTXSID1024209_10uM_Human_60_2</t>
  </si>
  <si>
    <t>DTXSID1024209_10uM_Human_60_3</t>
  </si>
  <si>
    <t>DTXSID1024209_10uM_Human_30_1</t>
  </si>
  <si>
    <t>DTXSID1024209_10uM_Human_30_2</t>
  </si>
  <si>
    <t>DTXSID1024209_10uM_Human_30_3</t>
  </si>
  <si>
    <t>DTXSID1024209_10uM_Human_15_1</t>
  </si>
  <si>
    <t>DTXSID1024209_10uM_Human_15_2</t>
  </si>
  <si>
    <t>DTXSID1024209_10uM_Human_15_3</t>
  </si>
  <si>
    <t>DTXSID1024209_10uM_Human_0_1</t>
  </si>
  <si>
    <t>DTXSID1024209_10uM_Human_0_2</t>
  </si>
  <si>
    <t>DTXSID1024209_10uM_Human_0_3</t>
  </si>
  <si>
    <t>DTXSID1024209_10uM_Human_HI_1</t>
  </si>
  <si>
    <t>DTXSID1024209_10uM_Human_HI_2</t>
  </si>
  <si>
    <t>DTXSID1024209 - Human</t>
  </si>
  <si>
    <t>DTXSID1024209</t>
  </si>
  <si>
    <t>DTXSID0024890_10uM_Human_120_1</t>
  </si>
  <si>
    <t>DTXSID0024890_10uM_Human_120_2</t>
  </si>
  <si>
    <t>DTXSID0024890_10uM_Human_120_3</t>
  </si>
  <si>
    <t>DTXSID0024890_10uM_Human_60_1</t>
  </si>
  <si>
    <t>DTXSID0024890_10uM_Human_60_2</t>
  </si>
  <si>
    <t>DTXSID0024890_10uM_Human_60_3</t>
  </si>
  <si>
    <t>DTXSID0024890_10uM_Human_30_1</t>
  </si>
  <si>
    <t>DTXSID0024890_10uM_Human_30_2</t>
  </si>
  <si>
    <t>DTXSID0024890_10uM_Human_30_3</t>
  </si>
  <si>
    <t>DTXSID0024890_10uM_Human_15_1</t>
  </si>
  <si>
    <t>DTXSID0024890_10uM_Human_15_2</t>
  </si>
  <si>
    <t>DTXSID0024890_10uM_Human_15_3</t>
  </si>
  <si>
    <t>DTXSID0024890_10uM_Human_0_1</t>
  </si>
  <si>
    <t>DTXSID0024890_10uM_Human_0_2</t>
  </si>
  <si>
    <t>DTXSID0024890_10uM_Human_0_3</t>
  </si>
  <si>
    <t>DTXSID0024890_10uM_Human_HI_1</t>
  </si>
  <si>
    <t>DTXSID0024890_10uM_Human_HI_2</t>
  </si>
  <si>
    <t>DTXSID0024890</t>
  </si>
  <si>
    <t>DTXSID0024890 - Human</t>
  </si>
  <si>
    <t xml:space="preserve">Points Deleted: (120,7.0610) (60,6.6270) </t>
  </si>
  <si>
    <t>Filename</t>
  </si>
  <si>
    <t>Sample Name</t>
  </si>
  <si>
    <t>RT</t>
  </si>
  <si>
    <t>Blank_5_158</t>
  </si>
  <si>
    <t>Blank_6_159</t>
  </si>
  <si>
    <t>Blank_Human_3_03</t>
  </si>
  <si>
    <t>DTXSID0024890_10uM_Human_120_1_04</t>
  </si>
  <si>
    <t>DTXSID0024890_10uM_Human_120_2_05</t>
  </si>
  <si>
    <t>DTXSID0024890_10uM_Human_120_3_06</t>
  </si>
  <si>
    <t>DTXSID0024890_10uM_Human_60_1_07</t>
  </si>
  <si>
    <t>DTXSID0024890_10uM_Human_60_2_08</t>
  </si>
  <si>
    <t>DTXSID0024890_10uM_Human_60_3_09</t>
  </si>
  <si>
    <t>DTXSID0024890_10uM_Human_30_1_10</t>
  </si>
  <si>
    <t>DTXSID0024890_10uM_Human_30_2_11</t>
  </si>
  <si>
    <t>DTXSID0024890_10uM_Human_30_3_12</t>
  </si>
  <si>
    <t>DTXSID0024890_10uM_Human_15_1_13</t>
  </si>
  <si>
    <t>DTXSID0024890_10uM_Human_15_2_14</t>
  </si>
  <si>
    <t>DTXSID0024890_10uM_Human_15_3_15</t>
  </si>
  <si>
    <t>DTXSID0024890_10uM_Human_0_1_72</t>
  </si>
  <si>
    <t>DTXSID0024890_10uM_Human_0_2_73</t>
  </si>
  <si>
    <t>DTXSID0024890_10uM_Human_0_3_74</t>
  </si>
  <si>
    <t>DTXSID0024890_10uM_Human_HI_1_75</t>
  </si>
  <si>
    <t>DTXSID0024890_10uM_Human_HI_2_76</t>
  </si>
  <si>
    <t>DTXSID1024209_10uM_Human_120_1_55</t>
  </si>
  <si>
    <t>DTXSID1024209_10uM_Human_120_2_56</t>
  </si>
  <si>
    <t>DTXSID1024209_10uM_Human_120_3_57</t>
  </si>
  <si>
    <t>DTXSID1024209_10uM_Human_60_1_58</t>
  </si>
  <si>
    <t>DTXSID1024209_10uM_Human_60_2_59</t>
  </si>
  <si>
    <t>DTXSID1024209_10uM_Human_60_3_60</t>
  </si>
  <si>
    <t>DTXSID1024209_10uM_Human_30_1_61</t>
  </si>
  <si>
    <t>DTXSID1024209_10uM_Human_30_2_62</t>
  </si>
  <si>
    <t>DTXSID1024209_10uM_Human_30_3_63</t>
  </si>
  <si>
    <t>DTXSID1024209_10uM_Human_15_1_64</t>
  </si>
  <si>
    <t>DTXSID1024209_10uM_Human_15_2_65</t>
  </si>
  <si>
    <t>DTXSID1024209_10uM_Human_15_3_66</t>
  </si>
  <si>
    <t>DTXSID1024209_10uM_Human_0_1_67</t>
  </si>
  <si>
    <t>DTXSID1024209_10uM_Human_0_2_68</t>
  </si>
  <si>
    <t>DTXSID1024209_10uM_Human_0_3_69</t>
  </si>
  <si>
    <t>DTXSID1024209_10uM_Human_HI_1_70</t>
  </si>
  <si>
    <t>DTXSID1024209_10uM_Human_HI_2_71</t>
  </si>
  <si>
    <t>DTXSID8024814</t>
  </si>
  <si>
    <t>Blank_Human_1</t>
  </si>
  <si>
    <t>Blank_Human_2</t>
  </si>
  <si>
    <t>DTXSID0027014_10uM_Human_0_1_77</t>
  </si>
  <si>
    <t>DTXSID0027014_10uM_Human_0_1</t>
  </si>
  <si>
    <t>DTXSID0027014_10uM_Human_0_2_78</t>
  </si>
  <si>
    <t>DTXSID0027014_10uM_Human_0_2</t>
  </si>
  <si>
    <t>DTXSID0027014_10uM_Human_0_3_79</t>
  </si>
  <si>
    <t>DTXSID0027014_10uM_Human_0_3</t>
  </si>
  <si>
    <t>DTXSID0027014_10uM_Human_120_1_21</t>
  </si>
  <si>
    <t>DTXSID0027014_10uM_Human_120_1</t>
  </si>
  <si>
    <t>DTXSID0027014_10uM_Human_120_2_22</t>
  </si>
  <si>
    <t>DTXSID0027014_10uM_Human_120_2</t>
  </si>
  <si>
    <t>DTXSID0027014_10uM_Human_120_3_23</t>
  </si>
  <si>
    <t>DTXSID0027014_10uM_Human_120_3</t>
  </si>
  <si>
    <t>DTXSID0027014_10uM_Human_15_1_30</t>
  </si>
  <si>
    <t>DTXSID0027014_10uM_Human_15_1</t>
  </si>
  <si>
    <t>DTXSID0027014_10uM_Human_15_2_31</t>
  </si>
  <si>
    <t>DTXSID0027014_10uM_Human_15_2</t>
  </si>
  <si>
    <t>DTXSID0027014_10uM_Human_15_3_32</t>
  </si>
  <si>
    <t>DTXSID0027014_10uM_Human_15_3</t>
  </si>
  <si>
    <t>DTXSID0027014_10uM_Human_30_1_27</t>
  </si>
  <si>
    <t>DTXSID0027014_10uM_Human_30_1</t>
  </si>
  <si>
    <t>DTXSID0027014_10uM_Human_30_2_28</t>
  </si>
  <si>
    <t>DTXSID0027014_10uM_Human_30_2</t>
  </si>
  <si>
    <t>DTXSID0027014_10uM_Human_30_3_29</t>
  </si>
  <si>
    <t>DTXSID0027014_10uM_Human_30_3</t>
  </si>
  <si>
    <t>DTXSID0027014_10uM_Human_60_1_24</t>
  </si>
  <si>
    <t>DTXSID0027014_10uM_Human_60_1</t>
  </si>
  <si>
    <t>DTXSID0027014_10uM_Human_60_2_25</t>
  </si>
  <si>
    <t>DTXSID0027014_10uM_Human_60_2</t>
  </si>
  <si>
    <t>DTXSID0027014_10uM_Human_60_3_26</t>
  </si>
  <si>
    <t>DTXSID0027014_10uM_Human_60_3</t>
  </si>
  <si>
    <t>DTXSID0027014_10uM_Human_HI_1_80</t>
  </si>
  <si>
    <t>DTXSID0027014_10uM_Human_HI_1</t>
  </si>
  <si>
    <t>DTXSID0027014_10uM_Human_HI_2_81</t>
  </si>
  <si>
    <t>DTXSID0027014_10uM_Human_HI_2</t>
  </si>
  <si>
    <t>DTXSID0029761_10uM_Human_0_1_82</t>
  </si>
  <si>
    <t>DTXSID0029761_10uM_Human_0_1</t>
  </si>
  <si>
    <t>DTXSID0029761_10uM_Human_0_2_83</t>
  </si>
  <si>
    <t>DTXSID0029761_10uM_Human_0_2</t>
  </si>
  <si>
    <t>DTXSID0029761_10uM_Human_0_3_84</t>
  </si>
  <si>
    <t>DTXSID0029761_10uM_Human_0_3</t>
  </si>
  <si>
    <t>DTXSID0029761_10uM_Human_120_1_38</t>
  </si>
  <si>
    <t>DTXSID0029761_10uM_Human_120_1</t>
  </si>
  <si>
    <t>DTXSID0029761_10uM_Human_120_2_39</t>
  </si>
  <si>
    <t>DTXSID0029761_10uM_Human_120_2</t>
  </si>
  <si>
    <t>DTXSID0029761_10uM_Human_120_3_40</t>
  </si>
  <si>
    <t>DTXSID0029761_10uM_Human_120_3</t>
  </si>
  <si>
    <t>DTXSID0029761_10uM_Human_15_1_47</t>
  </si>
  <si>
    <t>DTXSID0029761_10uM_Human_15_1</t>
  </si>
  <si>
    <t>DTXSID0029761_10uM_Human_15_2_48</t>
  </si>
  <si>
    <t>DTXSID0029761_10uM_Human_15_2</t>
  </si>
  <si>
    <t>DTXSID0029761_10uM_Human_15_3_49</t>
  </si>
  <si>
    <t>DTXSID0029761_10uM_Human_15_3</t>
  </si>
  <si>
    <t>DTXSID0029761_10uM_Human_30_1_44</t>
  </si>
  <si>
    <t>DTXSID0029761_10uM_Human_30_1</t>
  </si>
  <si>
    <t>DTXSID0029761_10uM_Human_30_2_45</t>
  </si>
  <si>
    <t>DTXSID0029761_10uM_Human_30_2</t>
  </si>
  <si>
    <t>DTXSID0029761_10uM_Human_30_3_46</t>
  </si>
  <si>
    <t>DTXSID0029761_10uM_Human_30_3</t>
  </si>
  <si>
    <t>DTXSID0029761_10uM_Human_60_1_41</t>
  </si>
  <si>
    <t>DTXSID0029761_10uM_Human_60_1</t>
  </si>
  <si>
    <t>DTXSID0029761_10uM_Human_60_2_42</t>
  </si>
  <si>
    <t>DTXSID0029761_10uM_Human_60_2</t>
  </si>
  <si>
    <t>DTXSID0029761_10uM_Human_60_3_43</t>
  </si>
  <si>
    <t>DTXSID0029761_10uM_Human_60_3</t>
  </si>
  <si>
    <t>DTXSID0029761_10uM_Human_HI_1_85</t>
  </si>
  <si>
    <t>DTXSID0029761_10uM_Human_HI_1</t>
  </si>
  <si>
    <t>DTXSID0029761_10uM_Human_HI_2_86</t>
  </si>
  <si>
    <t>DTXSID0029761_10uM_Human_HI_2</t>
  </si>
  <si>
    <t>DTXSID6024676_10uM_Human_0_1_99</t>
  </si>
  <si>
    <t>DTXSID6024676_10uM_Human_0_1</t>
  </si>
  <si>
    <t>DTXSID6024676_10uM_Human_0_2_100</t>
  </si>
  <si>
    <t>DTXSID6024676_10uM_Human_0_2</t>
  </si>
  <si>
    <t>DTXSID6024676_10uM_Human_0_3_101</t>
  </si>
  <si>
    <t>DTXSID6024676_10uM_Human_0_3</t>
  </si>
  <si>
    <t>DTXSID6024676_10uM_Human_120_1_87</t>
  </si>
  <si>
    <t>DTXSID6024676_10uM_Human_120_1</t>
  </si>
  <si>
    <t>DTXSID6024676_10uM_Human_120_2_88</t>
  </si>
  <si>
    <t>DTXSID6024676_10uM_Human_120_2</t>
  </si>
  <si>
    <t>DTXSID6024676_10uM_Human_120_3_89</t>
  </si>
  <si>
    <t>DTXSID6024676_10uM_Human_120_3</t>
  </si>
  <si>
    <t>DTXSID6024676_10uM_Human_15_1_96</t>
  </si>
  <si>
    <t>DTXSID6024676_10uM_Human_15_1</t>
  </si>
  <si>
    <t>DTXSID6024676_10uM_Human_15_2_97</t>
  </si>
  <si>
    <t>DTXSID6024676_10uM_Human_15_2</t>
  </si>
  <si>
    <t>DTXSID6024676_10uM_Human_15_3_98</t>
  </si>
  <si>
    <t>DTXSID6024676_10uM_Human_15_3</t>
  </si>
  <si>
    <t>DTXSID6024676_10uM_Human_30_1_93</t>
  </si>
  <si>
    <t>DTXSID6024676_10uM_Human_30_1</t>
  </si>
  <si>
    <t>DTXSID6024676_10uM_Human_30_2_94</t>
  </si>
  <si>
    <t>DTXSID6024676_10uM_Human_30_2</t>
  </si>
  <si>
    <t>DTXSID6024676_10uM_Human_30_3_95</t>
  </si>
  <si>
    <t>DTXSID6024676_10uM_Human_30_3</t>
  </si>
  <si>
    <t>DTXSID6024676_10uM_Human_60_1_90</t>
  </si>
  <si>
    <t>DTXSID6024676_10uM_Human_60_1</t>
  </si>
  <si>
    <t>DTXSID6024676_10uM_Human_60_2_91</t>
  </si>
  <si>
    <t>DTXSID6024676_10uM_Human_60_2</t>
  </si>
  <si>
    <t>DTXSID6024676_10uM_Human_60_3_92</t>
  </si>
  <si>
    <t>DTXSID6024676_10uM_Human_60_3</t>
  </si>
  <si>
    <t>DTXSID6024676_10uM_Human_HI_1_102</t>
  </si>
  <si>
    <t>DTXSID6024676_10uM_Human_HI_1</t>
  </si>
  <si>
    <t>DTXSID6024676_10uM_Human_HI_2_103</t>
  </si>
  <si>
    <t>DTXSID6024676_10uM_Human_HI_2</t>
  </si>
  <si>
    <t>DTXSID8021931_10uM_Human_0_1_116</t>
  </si>
  <si>
    <t>DTXSID8021931_10uM_Human_0_1</t>
  </si>
  <si>
    <t>DTXSID8021931_10uM_Human_0_2_117</t>
  </si>
  <si>
    <t>DTXSID8021931_10uM_Human_0_2</t>
  </si>
  <si>
    <t>DTXSID8021931_10uM_Human_0_3_118</t>
  </si>
  <si>
    <t>DTXSID8021931_10uM_Human_0_3</t>
  </si>
  <si>
    <t>DTXSID8021931_10uM_Human_120_1_104</t>
  </si>
  <si>
    <t>DTXSID8021931_10uM_Human_120_1</t>
  </si>
  <si>
    <t>DTXSID8021931_10uM_Human_120_2_105</t>
  </si>
  <si>
    <t>DTXSID8021931_10uM_Human_120_2</t>
  </si>
  <si>
    <t>DTXSID8021931_10uM_Human_120_3_106</t>
  </si>
  <si>
    <t>DTXSID8021931_10uM_Human_120_3</t>
  </si>
  <si>
    <t>DTXSID8021931_10uM_Human_15_1_113</t>
  </si>
  <si>
    <t>DTXSID8021931_10uM_Human_15_1</t>
  </si>
  <si>
    <t>DTXSID8021931_10uM_Human_15_2_114</t>
  </si>
  <si>
    <t>DTXSID8021931_10uM_Human_15_2</t>
  </si>
  <si>
    <t>DTXSID8021931_10uM_Human_15_3_115</t>
  </si>
  <si>
    <t>DTXSID8021931_10uM_Human_15_3</t>
  </si>
  <si>
    <t>DTXSID8021931_10uM_Human_30_1_110</t>
  </si>
  <si>
    <t>DTXSID8021931_10uM_Human_30_1</t>
  </si>
  <si>
    <t>DTXSID8021931_10uM_Human_30_2_111</t>
  </si>
  <si>
    <t>DTXSID8021931_10uM_Human_30_2</t>
  </si>
  <si>
    <t>DTXSID8021931_10uM_Human_30_3_112</t>
  </si>
  <si>
    <t>DTXSID8021931_10uM_Human_30_3</t>
  </si>
  <si>
    <t>DTXSID8021931_10uM_Human_60_1_107</t>
  </si>
  <si>
    <t>DTXSID8021931_10uM_Human_60_1</t>
  </si>
  <si>
    <t>DTXSID8021931_10uM_Human_60_2_108</t>
  </si>
  <si>
    <t>DTXSID8021931_10uM_Human_60_2</t>
  </si>
  <si>
    <t>DTXSID8021931_10uM_Human_60_3_109</t>
  </si>
  <si>
    <t>DTXSID8021931_10uM_Human_60_3</t>
  </si>
  <si>
    <t>DTXSID8021931_10uM_Human_HI_1_119</t>
  </si>
  <si>
    <t>DTXSID8021931_10uM_Human_HI_1</t>
  </si>
  <si>
    <t>DTXSID8021931_10uM_Human_HI_2_120</t>
  </si>
  <si>
    <t>DTXSID8021931_10uM_Human_HI_2</t>
  </si>
  <si>
    <t>DTXSID8024814_10uM_Human_0_1_133</t>
  </si>
  <si>
    <t>DTXSID8024814_10uM_Human_0_1</t>
  </si>
  <si>
    <t>DTXSID8024814_10uM_Human_0_2_134</t>
  </si>
  <si>
    <t>DTXSID8024814_10uM_Human_0_2</t>
  </si>
  <si>
    <t>DTXSID8024814_10uM_Human_0_3_135</t>
  </si>
  <si>
    <t>DTXSID8024814_10uM_Human_0_3</t>
  </si>
  <si>
    <t>DTXSID8024814_10uM_Human_120_1_121</t>
  </si>
  <si>
    <t>DTXSID8024814_10uM_Human_120_1</t>
  </si>
  <si>
    <t>DTXSID8024814_10uM_Human_120_2_122</t>
  </si>
  <si>
    <t>DTXSID8024814_10uM_Human_120_2</t>
  </si>
  <si>
    <t>DTXSID8024814_10uM_Human_120_3_123</t>
  </si>
  <si>
    <t>DTXSID8024814_10uM_Human_120_3</t>
  </si>
  <si>
    <t>DTXSID8024814_10uM_Human_15_1_130</t>
  </si>
  <si>
    <t>DTXSID8024814_10uM_Human_15_1</t>
  </si>
  <si>
    <t>DTXSID8024814_10uM_Human_15_2_131</t>
  </si>
  <si>
    <t>DTXSID8024814_10uM_Human_15_2</t>
  </si>
  <si>
    <t>DTXSID8024814_10uM_Human_15_3_132</t>
  </si>
  <si>
    <t>DTXSID8024814_10uM_Human_15_3</t>
  </si>
  <si>
    <t>DTXSID8024814_10uM_Human_30_1_127</t>
  </si>
  <si>
    <t>DTXSID8024814_10uM_Human_30_1</t>
  </si>
  <si>
    <t>DTXSID8024814_10uM_Human_30_2_128</t>
  </si>
  <si>
    <t>DTXSID8024814_10uM_Human_30_2</t>
  </si>
  <si>
    <t>DTXSID8024814_10uM_Human_30_3_129</t>
  </si>
  <si>
    <t>DTXSID8024814_10uM_Human_30_3</t>
  </si>
  <si>
    <t>DTXSID8024814_10uM_Human_60_1_124</t>
  </si>
  <si>
    <t>DTXSID8024814_10uM_Human_60_1</t>
  </si>
  <si>
    <t>DTXSID8024814_10uM_Human_60_2_125</t>
  </si>
  <si>
    <t>DTXSID8024814_10uM_Human_60_2</t>
  </si>
  <si>
    <t>DTXSID8024814_10uM_Human_60_3_126</t>
  </si>
  <si>
    <t>DTXSID8024814_10uM_Human_60_3</t>
  </si>
  <si>
    <t>DTXSID8024814_10uM_Human_HI_1_136</t>
  </si>
  <si>
    <t>DTXSID8024814_10uM_Human_HI_1</t>
  </si>
  <si>
    <t>DTXSID8024814_10uM_Human_HI_2_137</t>
  </si>
  <si>
    <t>DTXSID8024814_10uM_Human_HI_2</t>
  </si>
  <si>
    <t>DTXSID8024814 - Human</t>
  </si>
  <si>
    <t xml:space="preserve">Points Deleted: (120,0.9380) (120,1.0650) (120,0.4940) (60,0.9830) (60,1.2310) (60,2.2910) (15,1.4790) (15,0.7890) </t>
  </si>
  <si>
    <t>DTXSID6024676</t>
  </si>
  <si>
    <t>DTXSID6024676 - Human</t>
  </si>
  <si>
    <t>DTXSID8021931</t>
  </si>
  <si>
    <t>DTXSID8021931 - Human</t>
  </si>
  <si>
    <t>DTXSID0027014</t>
  </si>
  <si>
    <t>DTXSID0027014 - Human</t>
  </si>
  <si>
    <t>DTXSID0029761</t>
  </si>
  <si>
    <t>DTXSID0029761 - Human</t>
  </si>
  <si>
    <t>Blank_Human___1_____5P1_Inj 2021Feb19_EPA_5</t>
  </si>
  <si>
    <t>Blank_Human___2_____5P1_Inj 2021Feb19_EPA_6</t>
  </si>
  <si>
    <t>Midazolam_1uM_Human__120_1_____5P1_Inj 2021Feb19_EPA_9</t>
  </si>
  <si>
    <t>Midazolam_1uM_Human__120_2_____5P1_Inj 2021Feb19_EPA_10</t>
  </si>
  <si>
    <t>Midazolam_1uM_Human__120_3_____5P1_Inj 2021Feb19_EPA_11</t>
  </si>
  <si>
    <t>Midazolam_1uM_Human__60_1_____5P2_Inj 2021Feb19_EPA_12</t>
  </si>
  <si>
    <t>Midazolam_1uM_Human__60_2_____5P2_Inj 2021Feb19_EPA_13</t>
  </si>
  <si>
    <t>Midazolam_1uM_Human__60_3_____5P2_Inj 2021Feb19_EPA_14</t>
  </si>
  <si>
    <t>Midazolam_1uM_Human__30_1_____5P3_Inj 2021Feb19_EPA_15</t>
  </si>
  <si>
    <t>Midazolam_1uM_Human__30_2_____5P3_Inj 2021Feb19_EPA_16</t>
  </si>
  <si>
    <t>Midazolam_1uM_Human__30_3_____5P3_Inj 2021Feb19_EPA_17</t>
  </si>
  <si>
    <t>Midazolam_1uM_Human__15_1_____5P4_Inj 2021Feb19_EPA_18</t>
  </si>
  <si>
    <t>Midazolam_1uM_Human__15_2_____5P4_Inj 2021Feb19_EPA_19</t>
  </si>
  <si>
    <t>Midazolam_1uM_Human__15_3_____5P4_Inj 2021Feb19_EPA_20</t>
  </si>
  <si>
    <t>Midazolam_1uM_Human__0_1_____5P5_Inj 2021Feb19_EPA_21</t>
  </si>
  <si>
    <t>Midazolam_1uM_Human__0_2_____5P5_Inj 2021Feb19_EPA_22</t>
  </si>
  <si>
    <t>Midazolam_1uM_Human__0_3_____5P5_Inj 2021Feb19_EPA_23</t>
  </si>
  <si>
    <t>Midazolam-1uM - Human</t>
  </si>
  <si>
    <t>Blank_Human_1_03</t>
  </si>
  <si>
    <t>Blank_Human_2_04</t>
  </si>
  <si>
    <t>Blank_Human_3_05</t>
  </si>
  <si>
    <t>DTXSID0024890_1uM_Human_0_1_18</t>
  </si>
  <si>
    <t>DTXSID0024890_1uM_Human_0_1</t>
  </si>
  <si>
    <t>DTXSID0024890_1uM_Human_0_2_19</t>
  </si>
  <si>
    <t>DTXSID0024890_1uM_Human_0_2</t>
  </si>
  <si>
    <t>DTXSID0024890_1uM_Human_0_3_20</t>
  </si>
  <si>
    <t>DTXSID0024890_1uM_Human_0_3</t>
  </si>
  <si>
    <t>DTXSID0024890_1uM_Human_120_1_06</t>
  </si>
  <si>
    <t>DTXSID0024890_1uM_Human_120_1</t>
  </si>
  <si>
    <t>DTXSID0024890_1uM_Human_120_2_07</t>
  </si>
  <si>
    <t>DTXSID0024890_1uM_Human_120_2</t>
  </si>
  <si>
    <t>DTXSID0024890_1uM_Human_120_3_08</t>
  </si>
  <si>
    <t>DTXSID0024890_1uM_Human_120_3</t>
  </si>
  <si>
    <t>DTXSID0024890_1uM_Human_15_1_15</t>
  </si>
  <si>
    <t>DTXSID0024890_1uM_Human_15_1</t>
  </si>
  <si>
    <t>DTXSID0024890_1uM_Human_15_2_16</t>
  </si>
  <si>
    <t>DTXSID0024890_1uM_Human_15_2</t>
  </si>
  <si>
    <t>DTXSID0024890_1uM_Human_15_3_17</t>
  </si>
  <si>
    <t>DTXSID0024890_1uM_Human_15_3</t>
  </si>
  <si>
    <t>DTXSID0024890_1uM_Human_30_1_12</t>
  </si>
  <si>
    <t>DTXSID0024890_1uM_Human_30_1</t>
  </si>
  <si>
    <t>DTXSID0024890_1uM_Human_30_2_13</t>
  </si>
  <si>
    <t>DTXSID0024890_1uM_Human_30_2</t>
  </si>
  <si>
    <t>DTXSID0024890_1uM_Human_30_3_14</t>
  </si>
  <si>
    <t>DTXSID0024890_1uM_Human_30_3</t>
  </si>
  <si>
    <t>DTXSID0024890_1uM_Human_60_1_09</t>
  </si>
  <si>
    <t>DTXSID0024890_1uM_Human_60_1</t>
  </si>
  <si>
    <t>DTXSID0024890_1uM_Human_60_2_10</t>
  </si>
  <si>
    <t>DTXSID0024890_1uM_Human_60_2</t>
  </si>
  <si>
    <t>DTXSID0024890_1uM_Human_60_3_11</t>
  </si>
  <si>
    <t>DTXSID0024890_1uM_Human_60_3</t>
  </si>
  <si>
    <t>DTXSID0024890_1uM_Human_HI_1_21</t>
  </si>
  <si>
    <t>DTXSID0024890_1uM_Human_HI_1</t>
  </si>
  <si>
    <t>DTXSID0024890_1uM_Human_HI_2_22</t>
  </si>
  <si>
    <t>DTXSID0024890_1uM_Human_HI_2</t>
  </si>
  <si>
    <t>DTXSID0027014_1uM_Human_0_1_35</t>
  </si>
  <si>
    <t>DTXSID0027014_1uM_Human_0_1</t>
  </si>
  <si>
    <t>DTXSID0027014_1uM_Human_0_2_36</t>
  </si>
  <si>
    <t>DTXSID0027014_1uM_Human_0_2</t>
  </si>
  <si>
    <t>DTXSID0027014_1uM_Human_0_3_37</t>
  </si>
  <si>
    <t>DTXSID0027014_1uM_Human_0_3</t>
  </si>
  <si>
    <t>DTXSID0027014_1uM_Human_120_1_23</t>
  </si>
  <si>
    <t>DTXSID0027014_1uM_Human_120_1</t>
  </si>
  <si>
    <t>DTXSID0027014_1uM_Human_120_2_24</t>
  </si>
  <si>
    <t>DTXSID0027014_1uM_Human_120_2</t>
  </si>
  <si>
    <t>DTXSID0027014_1uM_Human_120_3_25</t>
  </si>
  <si>
    <t>DTXSID0027014_1uM_Human_120_3</t>
  </si>
  <si>
    <t>DTXSID0027014_1uM_Human_15_1_32</t>
  </si>
  <si>
    <t>DTXSID0027014_1uM_Human_15_1</t>
  </si>
  <si>
    <t>DTXSID0027014_1uM_Human_15_2_33</t>
  </si>
  <si>
    <t>DTXSID0027014_1uM_Human_15_2</t>
  </si>
  <si>
    <t>DTXSID0027014_1uM_Human_15_3_34</t>
  </si>
  <si>
    <t>DTXSID0027014_1uM_Human_15_3</t>
  </si>
  <si>
    <t>DTXSID0027014_1uM_Human_30_1_29</t>
  </si>
  <si>
    <t>DTXSID0027014_1uM_Human_30_1</t>
  </si>
  <si>
    <t>DTXSID0027014_1uM_Human_30_2_30</t>
  </si>
  <si>
    <t>DTXSID0027014_1uM_Human_30_2</t>
  </si>
  <si>
    <t>DTXSID0027014_1uM_Human_30_3_31</t>
  </si>
  <si>
    <t>DTXSID0027014_1uM_Human_30_3</t>
  </si>
  <si>
    <t>DTXSID0027014_1uM_Human_60_1_26</t>
  </si>
  <si>
    <t>DTXSID0027014_1uM_Human_60_1</t>
  </si>
  <si>
    <t>DTXSID0027014_1uM_Human_60_2_27</t>
  </si>
  <si>
    <t>DTXSID0027014_1uM_Human_60_2</t>
  </si>
  <si>
    <t>DTXSID0027014_1uM_Human_60_3_28</t>
  </si>
  <si>
    <t>DTXSID0027014_1uM_Human_60_3</t>
  </si>
  <si>
    <t>DTXSID0027014_1uM_Human_HI_1_38</t>
  </si>
  <si>
    <t>DTXSID0027014_1uM_Human_HI_1</t>
  </si>
  <si>
    <t>DTXSID0027014_1uM_Human_HI_2_39</t>
  </si>
  <si>
    <t>DTXSID0027014_1uM_Human_HI_2</t>
  </si>
  <si>
    <t>DTXSID0029761_1uM_Human_0_1_52</t>
  </si>
  <si>
    <t>DTXSID0029761_1uM_Human_0_1</t>
  </si>
  <si>
    <t>DTXSID0029761_1uM_Human_0_2_53</t>
  </si>
  <si>
    <t>DTXSID0029761_1uM_Human_0_2</t>
  </si>
  <si>
    <t>DTXSID0029761_1uM_Human_0_3_54</t>
  </si>
  <si>
    <t>DTXSID0029761_1uM_Human_0_3</t>
  </si>
  <si>
    <t>DTXSID0029761_1uM_Human_120_1_40</t>
  </si>
  <si>
    <t>DTXSID0029761_1uM_Human_120_1</t>
  </si>
  <si>
    <t>DTXSID0029761_1uM_Human_120_2_41</t>
  </si>
  <si>
    <t>DTXSID0029761_1uM_Human_120_2</t>
  </si>
  <si>
    <t>DTXSID0029761_1uM_Human_120_3_42</t>
  </si>
  <si>
    <t>DTXSID0029761_1uM_Human_120_3</t>
  </si>
  <si>
    <t>DTXSID0029761_1uM_Human_15_1_49</t>
  </si>
  <si>
    <t>DTXSID0029761_1uM_Human_15_1</t>
  </si>
  <si>
    <t>DTXSID0029761_1uM_Human_15_2_50</t>
  </si>
  <si>
    <t>DTXSID0029761_1uM_Human_15_2</t>
  </si>
  <si>
    <t>DTXSID0029761_1uM_Human_15_3_51</t>
  </si>
  <si>
    <t>DTXSID0029761_1uM_Human_15_3</t>
  </si>
  <si>
    <t>DTXSID0029761_1uM_Human_30_1_46</t>
  </si>
  <si>
    <t>DTXSID0029761_1uM_Human_30_1</t>
  </si>
  <si>
    <t>DTXSID0029761_1uM_Human_30_2_47</t>
  </si>
  <si>
    <t>DTXSID0029761_1uM_Human_30_2</t>
  </si>
  <si>
    <t>DTXSID0029761_1uM_Human_30_3_48</t>
  </si>
  <si>
    <t>DTXSID0029761_1uM_Human_30_3</t>
  </si>
  <si>
    <t>DTXSID0029761_1uM_Human_60_1_43</t>
  </si>
  <si>
    <t>DTXSID0029761_1uM_Human_60_1</t>
  </si>
  <si>
    <t>DTXSID0029761_1uM_Human_60_2_44</t>
  </si>
  <si>
    <t>DTXSID0029761_1uM_Human_60_2</t>
  </si>
  <si>
    <t>DTXSID0029761_1uM_Human_60_3_45</t>
  </si>
  <si>
    <t>DTXSID0029761_1uM_Human_60_3</t>
  </si>
  <si>
    <t>DTXSID0029761_1uM_Human_HI_1_55</t>
  </si>
  <si>
    <t>DTXSID0029761_1uM_Human_HI_1</t>
  </si>
  <si>
    <t>DTXSID0029761_1uM_Human_HI_2_56</t>
  </si>
  <si>
    <t>DTXSID0029761_1uM_Human_HI_2</t>
  </si>
  <si>
    <t>DTXSID1024209_1uM_Human_0_1_69</t>
  </si>
  <si>
    <t>DTXSID1024209_1uM_Human_0_1</t>
  </si>
  <si>
    <t>DTXSID1024209_1uM_Human_0_2_70</t>
  </si>
  <si>
    <t>DTXSID1024209_1uM_Human_0_2</t>
  </si>
  <si>
    <t>DTXSID1024209_1uM_Human_0_3_71</t>
  </si>
  <si>
    <t>DTXSID1024209_1uM_Human_0_3</t>
  </si>
  <si>
    <t>DTXSID1024209_1uM_Human_120_1_57</t>
  </si>
  <si>
    <t>DTXSID1024209_1uM_Human_120_1</t>
  </si>
  <si>
    <t>DTXSID1024209_1uM_Human_120_2_58</t>
  </si>
  <si>
    <t>DTXSID1024209_1uM_Human_120_2</t>
  </si>
  <si>
    <t>DTXSID1024209_1uM_Human_120_3_59</t>
  </si>
  <si>
    <t>DTXSID1024209_1uM_Human_120_3</t>
  </si>
  <si>
    <t>DTXSID1024209_1uM_Human_15_1_66</t>
  </si>
  <si>
    <t>DTXSID1024209_1uM_Human_15_1</t>
  </si>
  <si>
    <t>DTXSID1024209_1uM_Human_15_2_67</t>
  </si>
  <si>
    <t>DTXSID1024209_1uM_Human_15_2</t>
  </si>
  <si>
    <t>DTXSID1024209_1uM_Human_15_3_68</t>
  </si>
  <si>
    <t>DTXSID1024209_1uM_Human_15_3</t>
  </si>
  <si>
    <t>DTXSID1024209_1uM_Human_30_1_63</t>
  </si>
  <si>
    <t>DTXSID1024209_1uM_Human_30_1</t>
  </si>
  <si>
    <t>DTXSID1024209_1uM_Human_30_2_64</t>
  </si>
  <si>
    <t>DTXSID1024209_1uM_Human_30_2</t>
  </si>
  <si>
    <t>DTXSID1024209_1uM_Human_30_3_65</t>
  </si>
  <si>
    <t>DTXSID1024209_1uM_Human_30_3</t>
  </si>
  <si>
    <t>DTXSID1024209_1uM_Human_60_1_60</t>
  </si>
  <si>
    <t>DTXSID1024209_1uM_Human_60_1</t>
  </si>
  <si>
    <t>DTXSID1024209_1uM_Human_60_2_61</t>
  </si>
  <si>
    <t>DTXSID1024209_1uM_Human_60_2</t>
  </si>
  <si>
    <t>DTXSID1024209_1uM_Human_60_3_62</t>
  </si>
  <si>
    <t>DTXSID1024209_1uM_Human_60_3</t>
  </si>
  <si>
    <t>DTXSID1024209_1uM_Human_HI_1_72</t>
  </si>
  <si>
    <t>DTXSID1024209_1uM_Human_HI_1</t>
  </si>
  <si>
    <t>DTXSID1024209_1uM_Human_HI_2_73</t>
  </si>
  <si>
    <t>DTXSID1024209_1uM_Human_HI_2</t>
  </si>
  <si>
    <t>DTXSID6024676_1uM_Human_0_1_86</t>
  </si>
  <si>
    <t>DTXSID6024676_1uM_Human_0_1</t>
  </si>
  <si>
    <t>DTXSID6024676_1uM_Human_0_2_87</t>
  </si>
  <si>
    <t>DTXSID6024676_1uM_Human_0_2</t>
  </si>
  <si>
    <t>DTXSID6024676_1uM_Human_0_3_88</t>
  </si>
  <si>
    <t>DTXSID6024676_1uM_Human_0_3</t>
  </si>
  <si>
    <t>DTXSID6024676_1uM_Human_120_1_74</t>
  </si>
  <si>
    <t>DTXSID6024676_1uM_Human_120_1</t>
  </si>
  <si>
    <t>DTXSID6024676_1uM_Human_120_2_75</t>
  </si>
  <si>
    <t>DTXSID6024676_1uM_Human_120_2</t>
  </si>
  <si>
    <t>DTXSID6024676_1uM_Human_120_3_76</t>
  </si>
  <si>
    <t>DTXSID6024676_1uM_Human_120_3</t>
  </si>
  <si>
    <t>DTXSID6024676_1uM_Human_15_1_83</t>
  </si>
  <si>
    <t>DTXSID6024676_1uM_Human_15_1</t>
  </si>
  <si>
    <t>DTXSID6024676_1uM_Human_15_2_84</t>
  </si>
  <si>
    <t>DTXSID6024676_1uM_Human_15_2</t>
  </si>
  <si>
    <t>DTXSID6024676_1uM_Human_15_3_85</t>
  </si>
  <si>
    <t>DTXSID6024676_1uM_Human_15_3</t>
  </si>
  <si>
    <t>DTXSID6024676_1uM_Human_30_1_80</t>
  </si>
  <si>
    <t>DTXSID6024676_1uM_Human_30_1</t>
  </si>
  <si>
    <t>DTXSID6024676_1uM_Human_30_2_81</t>
  </si>
  <si>
    <t>DTXSID6024676_1uM_Human_30_2</t>
  </si>
  <si>
    <t>DTXSID6024676_1uM_Human_30_3_82</t>
  </si>
  <si>
    <t>DTXSID6024676_1uM_Human_30_3</t>
  </si>
  <si>
    <t>DTXSID6024676_1uM_Human_60_1_77</t>
  </si>
  <si>
    <t>DTXSID6024676_1uM_Human_60_1</t>
  </si>
  <si>
    <t>DTXSID6024676_1uM_Human_60_2_78</t>
  </si>
  <si>
    <t>DTXSID6024676_1uM_Human_60_2</t>
  </si>
  <si>
    <t>DTXSID6024676_1uM_Human_60_3_79</t>
  </si>
  <si>
    <t>DTXSID6024676_1uM_Human_60_3</t>
  </si>
  <si>
    <t>DTXSID6024676_1uM_Human_HI_1_89</t>
  </si>
  <si>
    <t>DTXSID6024676_1uM_Human_HI_1</t>
  </si>
  <si>
    <t>DTXSID6024676_1uM_Human_HI_2_90</t>
  </si>
  <si>
    <t>DTXSID6024676_1uM_Human_HI_2</t>
  </si>
  <si>
    <t>DTXSID8021931_1uM_Human_0_1_103</t>
  </si>
  <si>
    <t>DTXSID8021931_1uM_Human_0_1</t>
  </si>
  <si>
    <t>DTXSID8021931_1uM_Human_0_2_104</t>
  </si>
  <si>
    <t>DTXSID8021931_1uM_Human_0_2</t>
  </si>
  <si>
    <t>DTXSID8021931_1uM_Human_0_3_105</t>
  </si>
  <si>
    <t>DTXSID8021931_1uM_Human_0_3</t>
  </si>
  <si>
    <t>DTXSID8021931_1uM_Human_120_1_91</t>
  </si>
  <si>
    <t>DTXSID8021931_1uM_Human_120_1</t>
  </si>
  <si>
    <t>DTXSID8021931_1uM_Human_120_2_92</t>
  </si>
  <si>
    <t>DTXSID8021931_1uM_Human_120_2</t>
  </si>
  <si>
    <t>DTXSID8021931_1uM_Human_120_3_93</t>
  </si>
  <si>
    <t>DTXSID8021931_1uM_Human_120_3</t>
  </si>
  <si>
    <t>DTXSID8021931_1uM_Human_15_1_100</t>
  </si>
  <si>
    <t>DTXSID8021931_1uM_Human_15_1</t>
  </si>
  <si>
    <t>DTXSID8021931_1uM_Human_15_2_101</t>
  </si>
  <si>
    <t>DTXSID8021931_1uM_Human_15_2</t>
  </si>
  <si>
    <t>DTXSID8021931_1uM_Human_15_3_102</t>
  </si>
  <si>
    <t>DTXSID8021931_1uM_Human_15_3</t>
  </si>
  <si>
    <t>DTXSID8021931_1uM_Human_30_1_97</t>
  </si>
  <si>
    <t>DTXSID8021931_1uM_Human_30_1</t>
  </si>
  <si>
    <t>DTXSID8021931_1uM_Human_30_2_98</t>
  </si>
  <si>
    <t>DTXSID8021931_1uM_Human_30_2</t>
  </si>
  <si>
    <t>DTXSID8021931_1uM_Human_30_3_99</t>
  </si>
  <si>
    <t>DTXSID8021931_1uM_Human_30_3</t>
  </si>
  <si>
    <t>DTXSID8021931_1uM_Human_60_1_94</t>
  </si>
  <si>
    <t>DTXSID8021931_1uM_Human_60_1</t>
  </si>
  <si>
    <t>DTXSID8021931_1uM_Human_60_2_95</t>
  </si>
  <si>
    <t>DTXSID8021931_1uM_Human_60_2</t>
  </si>
  <si>
    <t>DTXSID8021931_1uM_Human_60_3_96</t>
  </si>
  <si>
    <t>DTXSID8021931_1uM_Human_60_3</t>
  </si>
  <si>
    <t>DTXSID8021931_1uM_Human_HI_1_106</t>
  </si>
  <si>
    <t>DTXSID8021931_1uM_Human_HI_1</t>
  </si>
  <si>
    <t>DTXSID8021931_1uM_Human_HI_2_107</t>
  </si>
  <si>
    <t>DTXSID8021931_1uM_Human_HI_2</t>
  </si>
  <si>
    <t>DTXSID8024814_1uM_Human_0_1_120</t>
  </si>
  <si>
    <t>DTXSID8024814_1uM_Human_0_1</t>
  </si>
  <si>
    <t>DTXSID8024814_1uM_Human_0_2_121</t>
  </si>
  <si>
    <t>DTXSID8024814_1uM_Human_0_2</t>
  </si>
  <si>
    <t>DTXSID8024814_1uM_Human_0_3_122</t>
  </si>
  <si>
    <t>DTXSID8024814_1uM_Human_0_3</t>
  </si>
  <si>
    <t>DTXSID8024814_1uM_Human_120_1_108</t>
  </si>
  <si>
    <t>DTXSID8024814_1uM_Human_120_1</t>
  </si>
  <si>
    <t>DTXSID8024814_1uM_Human_120_2_109</t>
  </si>
  <si>
    <t>DTXSID8024814_1uM_Human_120_2</t>
  </si>
  <si>
    <t>DTXSID8024814_1uM_Human_120_3_110</t>
  </si>
  <si>
    <t>DTXSID8024814_1uM_Human_120_3</t>
  </si>
  <si>
    <t>DTXSID8024814_1uM_Human_15_1_117</t>
  </si>
  <si>
    <t>DTXSID8024814_1uM_Human_15_1</t>
  </si>
  <si>
    <t>DTXSID8024814_1uM_Human_15_2_118</t>
  </si>
  <si>
    <t>DTXSID8024814_1uM_Human_15_2</t>
  </si>
  <si>
    <t>DTXSID8024814_1uM_Human_15_3_119</t>
  </si>
  <si>
    <t>DTXSID8024814_1uM_Human_15_3</t>
  </si>
  <si>
    <t>DTXSID8024814_1uM_Human_30_1_114</t>
  </si>
  <si>
    <t>DTXSID8024814_1uM_Human_30_1</t>
  </si>
  <si>
    <t>DTXSID8024814_1uM_Human_30_2_115</t>
  </si>
  <si>
    <t>DTXSID8024814_1uM_Human_30_2</t>
  </si>
  <si>
    <t>DTXSID8024814_1uM_Human_30_3_116</t>
  </si>
  <si>
    <t>DTXSID8024814_1uM_Human_30_3</t>
  </si>
  <si>
    <t>DTXSID8024814_1uM_Human_60_1_111</t>
  </si>
  <si>
    <t>DTXSID8024814_1uM_Human_60_1</t>
  </si>
  <si>
    <t>DTXSID8024814_1uM_Human_60_2_112</t>
  </si>
  <si>
    <t>DTXSID8024814_1uM_Human_60_2</t>
  </si>
  <si>
    <t>DTXSID8024814_1uM_Human_60_3_113</t>
  </si>
  <si>
    <t>DTXSID8024814_1uM_Human_60_3</t>
  </si>
  <si>
    <t>DTXSID8024814_1uM_Human_HI_1_123</t>
  </si>
  <si>
    <t>DTXSID8024814_1uM_Human_HI_1</t>
  </si>
  <si>
    <t>DTXSID8024814_1uM_Human_HI_2_124</t>
  </si>
  <si>
    <t>DTXSID8024814_1uM_Human_HI_2</t>
  </si>
  <si>
    <t>blanks from 1 uM sheet</t>
  </si>
  <si>
    <t>blank from 1um sheet used</t>
  </si>
  <si>
    <t>Concentration (uM)</t>
  </si>
  <si>
    <t>No peak detected</t>
  </si>
  <si>
    <t>&gt;480</t>
  </si>
  <si>
    <t>Avg % Remaining in HI hepatocytes</t>
  </si>
  <si>
    <t>HepStab</t>
  </si>
  <si>
    <t/>
  </si>
  <si>
    <t>1166.12%</t>
  </si>
  <si>
    <t>755.31%</t>
  </si>
  <si>
    <t>7.061</t>
  </si>
  <si>
    <t>6.627</t>
  </si>
  <si>
    <t>2.55%</t>
  </si>
  <si>
    <t>2.90%</t>
  </si>
  <si>
    <t>1.64%</t>
  </si>
  <si>
    <t>2.67%</t>
  </si>
  <si>
    <t>3.42%</t>
  </si>
  <si>
    <t>9.89%</t>
  </si>
  <si>
    <t>0.938</t>
  </si>
  <si>
    <t>1.065</t>
  </si>
  <si>
    <t>4.39%</t>
  </si>
  <si>
    <t>2.20%</t>
  </si>
  <si>
    <t>0.494</t>
  </si>
  <si>
    <t>0.983</t>
  </si>
  <si>
    <t>1.231</t>
  </si>
  <si>
    <t>2.291</t>
  </si>
  <si>
    <t>1.479</t>
  </si>
  <si>
    <t>0.789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</si>
</sst>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dd\ mmm\ yyyy"/>
    <numFmt numFmtId="165" formatCode="0.0%"/>
    <numFmt numFmtId="166" formatCode="0.00000"/>
    <numFmt numFmtId="167" formatCode="0.000"/>
    <numFmt numFmtId="168" formatCode="0.0"/>
    <numFmt numFmtId="169" formatCode="0.0000"/>
    <numFmt numFmtId="170" formatCode="0.000000"/>
    <numFmt numFmtId="171" formatCode="#.00"/>
    <numFmt numFmtId="172" formatCode="0.000%"/>
  </numFmts>
  <fonts count="16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0" fontId="2" fillId="0" borderId="0"/>
    <xf numFmtId="0" fontId="12" fillId="0" borderId="0"/>
    <xf numFmtId="0" fontId="1" fillId="0" borderId="0"/>
    <xf numFmtId="0" fontId="15" fillId="0" borderId="0"/>
  </cellStyleXfs>
  <cellXfs count="136">
    <xf numFmtId="0" fontId="0" fillId="0" borderId="0" xfId="0"/>
    <xf numFmtId="0" fontId="2" fillId="0" borderId="0" xfId="1"/>
    <xf numFmtId="0" fontId="4" fillId="0" borderId="0" xfId="1" applyFont="1"/>
    <xf numFmtId="0" fontId="6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/>
    <xf numFmtId="0" fontId="8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165" fontId="2" fillId="2" borderId="0" xfId="1" applyNumberFormat="1" applyFill="1" applyAlignment="1">
      <alignment horizontal="center"/>
    </xf>
    <xf numFmtId="0" fontId="3" fillId="2" borderId="1" xfId="1" applyFont="1" applyFill="1" applyBorder="1" applyAlignment="1">
      <alignment horizontal="center"/>
    </xf>
    <xf numFmtId="9" fontId="2" fillId="2" borderId="1" xfId="1" applyNumberFormat="1" applyFill="1" applyBorder="1" applyAlignment="1">
      <alignment horizontal="center"/>
    </xf>
    <xf numFmtId="9" fontId="2" fillId="2" borderId="0" xfId="1" applyNumberFormat="1" applyFill="1" applyAlignment="1">
      <alignment horizontal="center"/>
    </xf>
    <xf numFmtId="10" fontId="2" fillId="2" borderId="0" xfId="1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8" fillId="0" borderId="0" xfId="1" applyFont="1" applyAlignment="1">
      <alignment horizontal="center"/>
    </xf>
    <xf numFmtId="0" fontId="3" fillId="0" borderId="8" xfId="1" applyFont="1" applyBorder="1" applyAlignment="1">
      <alignment horizontal="center"/>
    </xf>
    <xf numFmtId="166" fontId="2" fillId="0" borderId="5" xfId="1" applyNumberFormat="1" applyBorder="1" applyAlignment="1">
      <alignment horizontal="center"/>
    </xf>
    <xf numFmtId="0" fontId="3" fillId="0" borderId="9" xfId="1" applyFont="1" applyBorder="1" applyAlignment="1">
      <alignment horizontal="center"/>
    </xf>
    <xf numFmtId="2" fontId="2" fillId="0" borderId="6" xfId="1" applyNumberFormat="1" applyBorder="1" applyAlignment="1">
      <alignment horizontal="center"/>
    </xf>
    <xf numFmtId="167" fontId="2" fillId="0" borderId="6" xfId="1" applyNumberFormat="1" applyBorder="1" applyAlignment="1">
      <alignment horizontal="center"/>
    </xf>
    <xf numFmtId="1" fontId="2" fillId="0" borderId="6" xfId="1" applyNumberForma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2" fillId="0" borderId="7" xfId="1" applyBorder="1" applyAlignment="1">
      <alignment horizontal="center"/>
    </xf>
    <xf numFmtId="169" fontId="2" fillId="0" borderId="5" xfId="1" applyNumberFormat="1" applyBorder="1" applyAlignment="1">
      <alignment horizontal="center"/>
    </xf>
    <xf numFmtId="168" fontId="2" fillId="0" borderId="6" xfId="1" applyNumberFormat="1" applyBorder="1" applyAlignment="1">
      <alignment horizontal="center"/>
    </xf>
    <xf numFmtId="170" fontId="2" fillId="0" borderId="5" xfId="1" applyNumberFormat="1" applyBorder="1" applyAlignment="1">
      <alignment horizontal="center"/>
    </xf>
    <xf numFmtId="169" fontId="2" fillId="0" borderId="6" xfId="1" applyNumberFormat="1" applyBorder="1" applyAlignment="1">
      <alignment horizontal="center"/>
    </xf>
    <xf numFmtId="0" fontId="4" fillId="3" borderId="0" xfId="1" applyFont="1" applyFill="1"/>
    <xf numFmtId="0" fontId="4" fillId="4" borderId="0" xfId="1" applyFont="1" applyFill="1"/>
    <xf numFmtId="0" fontId="4" fillId="3" borderId="0" xfId="1" applyFont="1" applyFill="1" applyAlignment="1">
      <alignment horizontal="center"/>
    </xf>
    <xf numFmtId="0" fontId="4" fillId="4" borderId="0" xfId="1" applyFont="1" applyFill="1" applyAlignment="1">
      <alignment horizontal="center"/>
    </xf>
    <xf numFmtId="0" fontId="5" fillId="4" borderId="0" xfId="1" applyFont="1" applyFill="1"/>
    <xf numFmtId="0" fontId="5" fillId="3" borderId="0" xfId="1" applyFont="1" applyFill="1"/>
    <xf numFmtId="0" fontId="0" fillId="0" borderId="0" xfId="0" applyAlignment="1">
      <alignment horizontal="center"/>
    </xf>
    <xf numFmtId="0" fontId="4" fillId="5" borderId="0" xfId="1" applyFont="1" applyFill="1"/>
    <xf numFmtId="0" fontId="4" fillId="5" borderId="0" xfId="1" applyFont="1" applyFill="1" applyAlignment="1">
      <alignment horizontal="center"/>
    </xf>
    <xf numFmtId="0" fontId="0" fillId="3" borderId="0" xfId="1" applyFont="1" applyFill="1"/>
    <xf numFmtId="0" fontId="0" fillId="4" borderId="0" xfId="1" applyFont="1" applyFill="1"/>
    <xf numFmtId="49" fontId="13" fillId="0" borderId="0" xfId="2" applyNumberFormat="1" applyFont="1" applyAlignment="1">
      <alignment horizontal="left"/>
    </xf>
    <xf numFmtId="49" fontId="14" fillId="0" borderId="0" xfId="2" applyNumberFormat="1" applyFont="1" applyAlignment="1">
      <alignment horizontal="left"/>
    </xf>
    <xf numFmtId="167" fontId="14" fillId="0" borderId="0" xfId="2" applyNumberFormat="1" applyFont="1" applyAlignment="1">
      <alignment horizontal="right"/>
    </xf>
    <xf numFmtId="49" fontId="14" fillId="0" borderId="0" xfId="2" applyNumberFormat="1" applyFont="1" applyAlignment="1">
      <alignment horizontal="right"/>
    </xf>
    <xf numFmtId="171" fontId="14" fillId="0" borderId="0" xfId="2" applyNumberFormat="1" applyFont="1" applyAlignment="1">
      <alignment horizontal="right"/>
    </xf>
    <xf numFmtId="0" fontId="12" fillId="0" borderId="0" xfId="2"/>
    <xf numFmtId="1" fontId="14" fillId="0" borderId="0" xfId="2" applyNumberFormat="1" applyFont="1" applyAlignment="1">
      <alignment horizontal="right"/>
    </xf>
    <xf numFmtId="167" fontId="13" fillId="0" borderId="0" xfId="2" applyNumberFormat="1" applyFont="1" applyAlignment="1">
      <alignment horizontal="right"/>
    </xf>
    <xf numFmtId="1" fontId="13" fillId="0" borderId="0" xfId="2" applyNumberFormat="1" applyFont="1" applyAlignment="1">
      <alignment horizontal="right"/>
    </xf>
    <xf numFmtId="49" fontId="13" fillId="0" borderId="0" xfId="2" applyNumberFormat="1" applyFont="1" applyAlignment="1">
      <alignment horizontal="center"/>
    </xf>
    <xf numFmtId="171" fontId="13" fillId="0" borderId="0" xfId="2" applyNumberFormat="1" applyFont="1" applyAlignment="1">
      <alignment horizontal="right"/>
    </xf>
    <xf numFmtId="0" fontId="12" fillId="0" borderId="0" xfId="2" applyAlignment="1">
      <alignment horizontal="center"/>
    </xf>
    <xf numFmtId="49" fontId="14" fillId="0" borderId="0" xfId="2" applyNumberFormat="1" applyFont="1" applyFill="1" applyAlignment="1">
      <alignment horizontal="left"/>
    </xf>
    <xf numFmtId="1" fontId="14" fillId="0" borderId="0" xfId="2" applyNumberFormat="1" applyFont="1" applyFill="1" applyAlignment="1">
      <alignment horizontal="right"/>
    </xf>
    <xf numFmtId="167" fontId="14" fillId="0" borderId="0" xfId="2" applyNumberFormat="1" applyFont="1" applyFill="1" applyAlignment="1">
      <alignment horizontal="right"/>
    </xf>
    <xf numFmtId="49" fontId="14" fillId="0" borderId="0" xfId="2" applyNumberFormat="1" applyFont="1" applyFill="1" applyAlignment="1">
      <alignment horizontal="right"/>
    </xf>
    <xf numFmtId="171" fontId="14" fillId="0" borderId="0" xfId="2" applyNumberFormat="1" applyFont="1" applyFill="1" applyAlignment="1">
      <alignment horizontal="right"/>
    </xf>
    <xf numFmtId="0" fontId="12" fillId="0" borderId="0" xfId="2" applyFill="1"/>
    <xf numFmtId="0" fontId="4" fillId="6" borderId="0" xfId="1" applyFont="1" applyFill="1"/>
    <xf numFmtId="0" fontId="5" fillId="6" borderId="0" xfId="1" applyFont="1" applyFill="1"/>
    <xf numFmtId="0" fontId="4" fillId="6" borderId="0" xfId="1" applyFont="1" applyFill="1" applyAlignment="1">
      <alignment horizontal="center"/>
    </xf>
    <xf numFmtId="0" fontId="4" fillId="7" borderId="0" xfId="1" applyFont="1" applyFill="1"/>
    <xf numFmtId="0" fontId="5" fillId="7" borderId="0" xfId="1" applyFont="1" applyFill="1"/>
    <xf numFmtId="0" fontId="4" fillId="7" borderId="0" xfId="1" applyFont="1" applyFill="1" applyAlignment="1">
      <alignment horizontal="center"/>
    </xf>
    <xf numFmtId="0" fontId="0" fillId="7" borderId="0" xfId="1" applyFont="1" applyFill="1"/>
    <xf numFmtId="0" fontId="5" fillId="5" borderId="0" xfId="1" applyFont="1" applyFill="1"/>
    <xf numFmtId="0" fontId="4" fillId="0" borderId="0" xfId="3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/>
    <xf numFmtId="0" fontId="8" fillId="0" borderId="0" xfId="3" applyFont="1"/>
    <xf numFmtId="0" fontId="8" fillId="0" borderId="0" xfId="3" applyFont="1" applyAlignment="1">
      <alignment horizontal="center"/>
    </xf>
    <xf numFmtId="0" fontId="1" fillId="0" borderId="0" xfId="3" applyAlignment="1">
      <alignment horizontal="center"/>
    </xf>
    <xf numFmtId="0" fontId="4" fillId="3" borderId="0" xfId="3" applyFont="1" applyFill="1"/>
    <xf numFmtId="0" fontId="4" fillId="3" borderId="0" xfId="3" applyFont="1" applyFill="1" applyAlignment="1">
      <alignment horizontal="center"/>
    </xf>
    <xf numFmtId="0" fontId="0" fillId="3" borderId="0" xfId="3" applyFont="1" applyFill="1"/>
    <xf numFmtId="0" fontId="3" fillId="2" borderId="2" xfId="3" applyFont="1" applyFill="1" applyBorder="1" applyAlignment="1">
      <alignment horizontal="center"/>
    </xf>
    <xf numFmtId="0" fontId="4" fillId="4" borderId="0" xfId="3" applyFont="1" applyFill="1"/>
    <xf numFmtId="0" fontId="4" fillId="4" borderId="0" xfId="3" applyFont="1" applyFill="1" applyAlignment="1">
      <alignment horizontal="center"/>
    </xf>
    <xf numFmtId="0" fontId="3" fillId="2" borderId="0" xfId="3" applyFont="1" applyFill="1" applyAlignment="1">
      <alignment horizontal="center"/>
    </xf>
    <xf numFmtId="172" fontId="1" fillId="2" borderId="0" xfId="3" applyNumberFormat="1" applyFill="1" applyAlignment="1">
      <alignment horizontal="center"/>
    </xf>
    <xf numFmtId="10" fontId="1" fillId="2" borderId="0" xfId="3" applyNumberFormat="1" applyFill="1" applyAlignment="1">
      <alignment horizontal="center"/>
    </xf>
    <xf numFmtId="0" fontId="5" fillId="3" borderId="0" xfId="3" applyFont="1" applyFill="1"/>
    <xf numFmtId="0" fontId="5" fillId="4" borderId="0" xfId="3" applyFont="1" applyFill="1"/>
    <xf numFmtId="165" fontId="1" fillId="2" borderId="0" xfId="3" applyNumberFormat="1" applyFill="1" applyAlignment="1">
      <alignment horizontal="center"/>
    </xf>
    <xf numFmtId="0" fontId="3" fillId="2" borderId="1" xfId="3" applyFont="1" applyFill="1" applyBorder="1" applyAlignment="1">
      <alignment horizontal="center"/>
    </xf>
    <xf numFmtId="9" fontId="1" fillId="2" borderId="1" xfId="3" applyNumberFormat="1" applyFill="1" applyBorder="1" applyAlignment="1">
      <alignment horizontal="center"/>
    </xf>
    <xf numFmtId="0" fontId="3" fillId="0" borderId="8" xfId="3" applyFont="1" applyBorder="1" applyAlignment="1">
      <alignment horizontal="center"/>
    </xf>
    <xf numFmtId="169" fontId="1" fillId="0" borderId="5" xfId="3" applyNumberFormat="1" applyBorder="1" applyAlignment="1">
      <alignment horizontal="center"/>
    </xf>
    <xf numFmtId="0" fontId="3" fillId="0" borderId="9" xfId="3" applyFont="1" applyBorder="1" applyAlignment="1">
      <alignment horizontal="center"/>
    </xf>
    <xf numFmtId="2" fontId="1" fillId="0" borderId="6" xfId="3" applyNumberFormat="1" applyBorder="1" applyAlignment="1">
      <alignment horizontal="center"/>
    </xf>
    <xf numFmtId="167" fontId="1" fillId="0" borderId="6" xfId="3" applyNumberFormat="1" applyBorder="1" applyAlignment="1">
      <alignment horizontal="center"/>
    </xf>
    <xf numFmtId="168" fontId="1" fillId="0" borderId="6" xfId="3" applyNumberFormat="1" applyBorder="1" applyAlignment="1">
      <alignment horizontal="center"/>
    </xf>
    <xf numFmtId="0" fontId="3" fillId="0" borderId="10" xfId="3" applyFont="1" applyBorder="1" applyAlignment="1">
      <alignment horizontal="center"/>
    </xf>
    <xf numFmtId="0" fontId="1" fillId="0" borderId="7" xfId="3" applyBorder="1" applyAlignment="1">
      <alignment horizontal="center"/>
    </xf>
    <xf numFmtId="0" fontId="0" fillId="3" borderId="0" xfId="1" quotePrefix="1" applyFont="1" applyFill="1"/>
    <xf numFmtId="0" fontId="0" fillId="4" borderId="0" xfId="1" quotePrefix="1" applyFont="1" applyFill="1"/>
    <xf numFmtId="0" fontId="0" fillId="5" borderId="0" xfId="1" applyFont="1" applyFill="1"/>
    <xf numFmtId="49" fontId="14" fillId="0" borderId="0" xfId="0" applyNumberFormat="1" applyFont="1" applyAlignment="1">
      <alignment horizontal="left"/>
    </xf>
    <xf numFmtId="1" fontId="14" fillId="0" borderId="0" xfId="0" applyNumberFormat="1" applyFont="1" applyAlignment="1">
      <alignment horizontal="right"/>
    </xf>
    <xf numFmtId="49" fontId="14" fillId="0" borderId="0" xfId="0" applyNumberFormat="1" applyFont="1" applyAlignment="1">
      <alignment horizontal="right"/>
    </xf>
    <xf numFmtId="171" fontId="14" fillId="0" borderId="0" xfId="0" applyNumberFormat="1" applyFont="1" applyAlignment="1">
      <alignment horizontal="right"/>
    </xf>
    <xf numFmtId="49" fontId="14" fillId="0" borderId="0" xfId="4" applyNumberFormat="1" applyFont="1" applyAlignment="1">
      <alignment horizontal="left"/>
    </xf>
    <xf numFmtId="167" fontId="14" fillId="0" borderId="0" xfId="4" applyNumberFormat="1" applyFont="1" applyAlignment="1">
      <alignment horizontal="right"/>
    </xf>
    <xf numFmtId="49" fontId="14" fillId="0" borderId="0" xfId="4" applyNumberFormat="1" applyFont="1" applyAlignment="1">
      <alignment horizontal="right"/>
    </xf>
    <xf numFmtId="171" fontId="14" fillId="0" borderId="0" xfId="4" applyNumberFormat="1" applyFont="1" applyAlignment="1">
      <alignment horizontal="right"/>
    </xf>
    <xf numFmtId="0" fontId="15" fillId="0" borderId="0" xfId="4"/>
    <xf numFmtId="1" fontId="14" fillId="0" borderId="0" xfId="4" applyNumberFormat="1" applyFont="1" applyAlignment="1">
      <alignment horizontal="right"/>
    </xf>
    <xf numFmtId="0" fontId="0" fillId="0" borderId="11" xfId="0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3" xfId="0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0" xfId="0" applyAlignment="1">
      <alignment horizontal="center"/>
    </xf>
    <xf numFmtId="168" fontId="0" fillId="0" borderId="12" xfId="0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</cellXfs>
  <cellStyles count="5">
    <cellStyle name="Normal" xfId="0" builtinId="0" customBuiltin="1"/>
    <cellStyle name="Normal 2" xfId="1"/>
    <cellStyle name="Normal 2 2" xfId="3"/>
    <cellStyle name="Normal 3" xfId="2"/>
    <cellStyle name="Normal 4" xfId="4"/>
  </cellStyles>
  <dxfs count="529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Data!$R$65</c:f>
          <c:strCache>
            <c:ptCount val="1"/>
            <c:pt idx="0">
              <c:v>DTXSID6024676 - Human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2.3325526932084308E-2"/>
                  <c:y val="0.15233069481090589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Data!$V$68:$V$82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Data!$W$68:$W$82</c:f>
              <c:numCache>
                <c:formatCode>General</c:formatCode>
                <c:ptCount val="15"/>
                <c:pt idx="0">
                  <c:v>4.7786624047957771</c:v>
                </c:pt>
                <c:pt idx="1">
                  <c:v>4.7964333429544865</c:v>
                </c:pt>
                <c:pt idx="2">
                  <c:v>4.4879112585633649</c:v>
                </c:pt>
                <c:pt idx="3">
                  <c:v>4.7325117811469211</c:v>
                </c:pt>
                <c:pt idx="4">
                  <c:v>4.7052684832126968</c:v>
                </c:pt>
                <c:pt idx="5">
                  <c:v>4.3501756315732942</c:v>
                </c:pt>
                <c:pt idx="6">
                  <c:v>4.3721630496376971</c:v>
                </c:pt>
                <c:pt idx="7">
                  <c:v>4.7585233213385738</c:v>
                </c:pt>
                <c:pt idx="8">
                  <c:v>4.2203822753058722</c:v>
                </c:pt>
                <c:pt idx="9">
                  <c:v>4.2529583596687504</c:v>
                </c:pt>
                <c:pt idx="10">
                  <c:v>4.3813484812223749</c:v>
                </c:pt>
                <c:pt idx="11">
                  <c:v>4.1960226805761884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E5-48DC-AE70-D528E4E7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547016"/>
        <c:axId val="567549968"/>
      </c:scatterChart>
      <c:valAx>
        <c:axId val="56754701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Data!$R$66</c:f>
              <c:strCache>
                <c:ptCount val="1"/>
                <c:pt idx="0">
                  <c:v>Time (Mins)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567549968"/>
        <c:crosses val="autoZero"/>
        <c:crossBetween val="midCat"/>
      </c:valAx>
      <c:valAx>
        <c:axId val="567549968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Data!$R$67</c:f>
              <c:strCache>
                <c:ptCount val="1"/>
                <c:pt idx="0">
                  <c:v>ln Percent Remaining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56754701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Control!$R$2</c:f>
          <c:strCache>
            <c:ptCount val="1"/>
            <c:pt idx="0">
              <c:v>Midazolam-1uM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8.1229508196721312E-2"/>
                  <c:y val="-0.4419752114319043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Control!$V$4:$V$18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Control!$W$4:$W$18</c:f>
              <c:numCache>
                <c:formatCode>General</c:formatCode>
                <c:ptCount val="15"/>
                <c:pt idx="3">
                  <c:v>1.9653585142488339</c:v>
                </c:pt>
                <c:pt idx="4">
                  <c:v>2.1732032420277689</c:v>
                </c:pt>
                <c:pt idx="5">
                  <c:v>1.9536791340893365</c:v>
                </c:pt>
                <c:pt idx="9">
                  <c:v>3.7867769672452023</c:v>
                </c:pt>
                <c:pt idx="10">
                  <c:v>4.0318587806058481</c:v>
                </c:pt>
                <c:pt idx="11">
                  <c:v>3.8690350227619272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2-4E3E-B7A2-65B7106C0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292656"/>
        <c:axId val="491293640"/>
      </c:scatterChart>
      <c:valAx>
        <c:axId val="49129265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Control!$R$3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1293640"/>
        <c:crosses val="autoZero"/>
        <c:crossBetween val="midCat"/>
      </c:valAx>
      <c:valAx>
        <c:axId val="491293640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Control!$R$4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129265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1.xml"/><Relationship Id="rId9" Type="http://schemas.openxmlformats.org/officeDocument/2006/relationships/image" Target="../media/image8.png"/><Relationship Id="rId1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17</xdr:col>
      <xdr:colOff>11402</xdr:colOff>
      <xdr:row>40</xdr:row>
      <xdr:rowOff>11363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29925" y="4391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43</xdr:row>
      <xdr:rowOff>0</xdr:rowOff>
    </xdr:from>
    <xdr:to>
      <xdr:col>17</xdr:col>
      <xdr:colOff>11402</xdr:colOff>
      <xdr:row>61</xdr:row>
      <xdr:rowOff>11363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29925" y="8582025"/>
          <a:ext cx="4078577" cy="3621338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64</xdr:row>
      <xdr:rowOff>0</xdr:rowOff>
    </xdr:from>
    <xdr:to>
      <xdr:col>17</xdr:col>
      <xdr:colOff>0</xdr:colOff>
      <xdr:row>82</xdr:row>
      <xdr:rowOff>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0</xdr:colOff>
      <xdr:row>85</xdr:row>
      <xdr:rowOff>0</xdr:rowOff>
    </xdr:from>
    <xdr:to>
      <xdr:col>17</xdr:col>
      <xdr:colOff>11402</xdr:colOff>
      <xdr:row>103</xdr:row>
      <xdr:rowOff>11363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29925" y="16964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17</xdr:col>
      <xdr:colOff>11402</xdr:colOff>
      <xdr:row>124</xdr:row>
      <xdr:rowOff>11363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29925" y="21155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127</xdr:row>
      <xdr:rowOff>0</xdr:rowOff>
    </xdr:from>
    <xdr:to>
      <xdr:col>17</xdr:col>
      <xdr:colOff>11402</xdr:colOff>
      <xdr:row>145</xdr:row>
      <xdr:rowOff>11363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829925" y="25346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148</xdr:row>
      <xdr:rowOff>0</xdr:rowOff>
    </xdr:from>
    <xdr:to>
      <xdr:col>17</xdr:col>
      <xdr:colOff>11402</xdr:colOff>
      <xdr:row>166</xdr:row>
      <xdr:rowOff>11363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829925" y="29537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169</xdr:row>
      <xdr:rowOff>0</xdr:rowOff>
    </xdr:from>
    <xdr:to>
      <xdr:col>17</xdr:col>
      <xdr:colOff>11402</xdr:colOff>
      <xdr:row>187</xdr:row>
      <xdr:rowOff>11363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829925" y="33728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190</xdr:row>
      <xdr:rowOff>0</xdr:rowOff>
    </xdr:from>
    <xdr:to>
      <xdr:col>17</xdr:col>
      <xdr:colOff>11402</xdr:colOff>
      <xdr:row>208</xdr:row>
      <xdr:rowOff>11363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829925" y="37919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211</xdr:row>
      <xdr:rowOff>0</xdr:rowOff>
    </xdr:from>
    <xdr:to>
      <xdr:col>17</xdr:col>
      <xdr:colOff>11402</xdr:colOff>
      <xdr:row>229</xdr:row>
      <xdr:rowOff>11363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829925" y="4211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232</xdr:row>
      <xdr:rowOff>0</xdr:rowOff>
    </xdr:from>
    <xdr:to>
      <xdr:col>17</xdr:col>
      <xdr:colOff>11402</xdr:colOff>
      <xdr:row>250</xdr:row>
      <xdr:rowOff>11363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829925" y="46301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253</xdr:row>
      <xdr:rowOff>0</xdr:rowOff>
    </xdr:from>
    <xdr:to>
      <xdr:col>17</xdr:col>
      <xdr:colOff>11402</xdr:colOff>
      <xdr:row>271</xdr:row>
      <xdr:rowOff>11363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829925" y="50492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274</xdr:row>
      <xdr:rowOff>0</xdr:rowOff>
    </xdr:from>
    <xdr:to>
      <xdr:col>17</xdr:col>
      <xdr:colOff>11402</xdr:colOff>
      <xdr:row>292</xdr:row>
      <xdr:rowOff>11363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829925" y="54683025"/>
          <a:ext cx="4078577" cy="3621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5"/>
  <sheetViews>
    <sheetView workbookViewId="0">
      <selection activeCell="E16" sqref="E16"/>
    </sheetView>
  </sheetViews>
  <sheetFormatPr defaultRowHeight="15" x14ac:dyDescent="0.25"/>
  <cols>
    <col min="1" max="1" width="15.85546875" style="5" bestFit="1" customWidth="1"/>
    <col min="2" max="2" width="19.85546875" style="5" bestFit="1" customWidth="1"/>
    <col min="3" max="3" width="30.7109375" style="5" bestFit="1" customWidth="1"/>
    <col min="4" max="4" width="15.7109375" style="5" bestFit="1" customWidth="1"/>
    <col min="5" max="5" width="16.5703125" style="5" bestFit="1" customWidth="1"/>
    <col min="6" max="6" width="31.28515625" style="5" bestFit="1" customWidth="1"/>
    <col min="7" max="7" width="31.28515625" style="47" customWidth="1"/>
    <col min="8" max="8" width="11.140625" style="20" bestFit="1" customWidth="1"/>
  </cols>
  <sheetData>
    <row r="1" spans="1:8" ht="15.75" x14ac:dyDescent="0.25">
      <c r="A1" s="132"/>
      <c r="B1" s="3" t="s">
        <v>563</v>
      </c>
    </row>
    <row r="2" spans="1:8" x14ac:dyDescent="0.25">
      <c r="A2" s="132"/>
      <c r="B2" s="4">
        <v>44246</v>
      </c>
    </row>
    <row r="3" spans="1:8" ht="15.75" thickBot="1" x14ac:dyDescent="0.3"/>
    <row r="4" spans="1:8" ht="16.5" thickTop="1" thickBot="1" x14ac:dyDescent="0.3">
      <c r="A4" s="21" t="s">
        <v>6</v>
      </c>
      <c r="B4" s="21" t="s">
        <v>559</v>
      </c>
      <c r="C4" s="21" t="s">
        <v>7</v>
      </c>
      <c r="D4" s="21" t="s">
        <v>8</v>
      </c>
      <c r="E4" s="21" t="s">
        <v>2</v>
      </c>
      <c r="F4" s="21" t="s">
        <v>9</v>
      </c>
      <c r="G4" s="21" t="s">
        <v>562</v>
      </c>
      <c r="H4" s="22" t="s">
        <v>10</v>
      </c>
    </row>
    <row r="5" spans="1:8" x14ac:dyDescent="0.25">
      <c r="A5" s="23" t="s">
        <v>54</v>
      </c>
      <c r="B5" s="23">
        <v>10</v>
      </c>
      <c r="C5" s="24">
        <v>0</v>
      </c>
      <c r="D5" s="25" t="s">
        <v>561</v>
      </c>
      <c r="E5" s="23">
        <v>79</v>
      </c>
      <c r="F5" s="25">
        <v>117.54793798295294</v>
      </c>
      <c r="G5" s="26">
        <v>87.118075718018957</v>
      </c>
      <c r="H5" s="27" t="s">
        <v>27</v>
      </c>
    </row>
    <row r="6" spans="1:8" x14ac:dyDescent="0.25">
      <c r="A6" s="5" t="s">
        <v>72</v>
      </c>
      <c r="B6" s="5">
        <v>10</v>
      </c>
      <c r="C6" s="17">
        <v>7.2296057175599246</v>
      </c>
      <c r="D6" s="18">
        <v>191.75241573032574</v>
      </c>
      <c r="E6" s="5">
        <v>135</v>
      </c>
      <c r="F6" s="19">
        <v>61.737141125388547</v>
      </c>
      <c r="G6" s="19">
        <v>32.270078230426279</v>
      </c>
    </row>
    <row r="7" spans="1:8" x14ac:dyDescent="0.25">
      <c r="A7" s="5" t="s">
        <v>115</v>
      </c>
      <c r="B7" s="5">
        <v>10</v>
      </c>
      <c r="C7" s="18">
        <v>235.06799584758349</v>
      </c>
      <c r="D7" s="17">
        <v>5.8974185580701279</v>
      </c>
      <c r="E7" s="5">
        <v>91</v>
      </c>
      <c r="F7" s="17">
        <v>2.3643959696309569</v>
      </c>
      <c r="G7" s="19">
        <v>60.723316087992856</v>
      </c>
    </row>
    <row r="8" spans="1:8" x14ac:dyDescent="0.25">
      <c r="A8" s="5" t="s">
        <v>290</v>
      </c>
      <c r="B8" s="5">
        <v>10</v>
      </c>
      <c r="C8" s="17">
        <v>0</v>
      </c>
      <c r="D8" s="18" t="s">
        <v>561</v>
      </c>
      <c r="E8" s="5">
        <v>56</v>
      </c>
      <c r="F8" s="18">
        <v>109.65281170656083</v>
      </c>
      <c r="G8" s="19">
        <v>59.13130300602792</v>
      </c>
      <c r="H8" s="20" t="s">
        <v>27</v>
      </c>
    </row>
    <row r="9" spans="1:8" x14ac:dyDescent="0.25">
      <c r="A9" s="5" t="s">
        <v>292</v>
      </c>
      <c r="B9" s="5">
        <v>10</v>
      </c>
      <c r="C9" s="17">
        <v>0</v>
      </c>
      <c r="D9" s="18" t="s">
        <v>561</v>
      </c>
      <c r="E9" s="5">
        <v>56</v>
      </c>
      <c r="F9" s="18">
        <v>215.70498313331578</v>
      </c>
      <c r="G9" s="18">
        <v>110.4641825962976</v>
      </c>
      <c r="H9" s="20" t="s">
        <v>27</v>
      </c>
    </row>
    <row r="10" spans="1:8" x14ac:dyDescent="0.25">
      <c r="A10" s="5" t="s">
        <v>294</v>
      </c>
      <c r="B10" s="5">
        <v>10</v>
      </c>
      <c r="C10" s="17">
        <v>1.5275053607143758</v>
      </c>
      <c r="D10" s="5" t="s">
        <v>561</v>
      </c>
      <c r="E10" s="5">
        <v>55</v>
      </c>
      <c r="F10" s="19">
        <v>88.767086556847303</v>
      </c>
      <c r="G10" s="19">
        <v>78.508242886136344</v>
      </c>
      <c r="H10" s="20" t="s">
        <v>27</v>
      </c>
    </row>
    <row r="11" spans="1:8" ht="15.75" thickBot="1" x14ac:dyDescent="0.3">
      <c r="A11" s="120" t="s">
        <v>296</v>
      </c>
      <c r="B11" s="120">
        <v>10</v>
      </c>
      <c r="C11" s="121">
        <v>0</v>
      </c>
      <c r="D11" s="121" t="s">
        <v>561</v>
      </c>
      <c r="E11" s="120">
        <v>49</v>
      </c>
      <c r="F11" s="126">
        <v>206.53263186951918</v>
      </c>
      <c r="G11" s="121">
        <v>70.72621766595762</v>
      </c>
      <c r="H11" s="127" t="s">
        <v>27</v>
      </c>
    </row>
    <row r="12" spans="1:8" x14ac:dyDescent="0.25">
      <c r="A12" s="5" t="s">
        <v>54</v>
      </c>
      <c r="B12" s="5">
        <v>1</v>
      </c>
      <c r="C12" s="133" t="s">
        <v>560</v>
      </c>
      <c r="D12" s="133"/>
      <c r="E12" s="133"/>
      <c r="F12" s="133"/>
      <c r="G12" s="125"/>
      <c r="H12" s="20" t="s">
        <v>27</v>
      </c>
    </row>
    <row r="13" spans="1:8" x14ac:dyDescent="0.25">
      <c r="A13" s="5" t="s">
        <v>72</v>
      </c>
      <c r="B13" s="5">
        <v>1</v>
      </c>
      <c r="C13" s="122">
        <v>7.479642308148116</v>
      </c>
      <c r="D13" s="123">
        <v>185.34233376503843</v>
      </c>
      <c r="E13" s="124">
        <v>135</v>
      </c>
      <c r="F13" s="123">
        <v>167.29724716959981</v>
      </c>
      <c r="G13" s="125">
        <v>81.827772127527638</v>
      </c>
      <c r="H13" s="20" t="s">
        <v>27</v>
      </c>
    </row>
    <row r="14" spans="1:8" x14ac:dyDescent="0.25">
      <c r="A14" s="5" t="s">
        <v>115</v>
      </c>
      <c r="B14" s="5">
        <v>1</v>
      </c>
      <c r="C14" s="134" t="s">
        <v>560</v>
      </c>
      <c r="D14" s="134"/>
      <c r="E14" s="134"/>
      <c r="F14" s="134"/>
      <c r="G14" s="125"/>
      <c r="H14" s="20" t="s">
        <v>27</v>
      </c>
    </row>
    <row r="15" spans="1:8" x14ac:dyDescent="0.25">
      <c r="A15" s="5" t="s">
        <v>290</v>
      </c>
      <c r="B15" s="5">
        <v>1</v>
      </c>
      <c r="C15" s="134" t="s">
        <v>560</v>
      </c>
      <c r="D15" s="134"/>
      <c r="E15" s="134"/>
      <c r="F15" s="134"/>
      <c r="G15" s="125"/>
      <c r="H15" s="20" t="s">
        <v>27</v>
      </c>
    </row>
    <row r="16" spans="1:8" x14ac:dyDescent="0.25">
      <c r="A16" s="5" t="s">
        <v>292</v>
      </c>
      <c r="B16" s="5">
        <v>1</v>
      </c>
      <c r="C16" s="17">
        <v>0</v>
      </c>
      <c r="D16" s="18" t="s">
        <v>561</v>
      </c>
      <c r="E16" s="5">
        <v>56</v>
      </c>
      <c r="F16" s="19">
        <v>97.945897683793916</v>
      </c>
      <c r="G16" s="19">
        <v>61.330332598882123</v>
      </c>
      <c r="H16" s="20" t="s">
        <v>27</v>
      </c>
    </row>
    <row r="17" spans="1:8" x14ac:dyDescent="0.25">
      <c r="A17" s="5" t="s">
        <v>294</v>
      </c>
      <c r="B17" s="5">
        <v>1</v>
      </c>
      <c r="C17" s="17">
        <v>4.6463495919384599</v>
      </c>
      <c r="D17" s="18">
        <v>298.36204394201161</v>
      </c>
      <c r="E17" s="5">
        <v>55</v>
      </c>
      <c r="F17" s="19">
        <v>72.56412784735177</v>
      </c>
      <c r="G17" s="19">
        <v>61.629426685379215</v>
      </c>
      <c r="H17" s="20" t="s">
        <v>27</v>
      </c>
    </row>
    <row r="18" spans="1:8" ht="15.75" thickBot="1" x14ac:dyDescent="0.3">
      <c r="A18" s="120" t="s">
        <v>296</v>
      </c>
      <c r="B18" s="120">
        <v>1</v>
      </c>
      <c r="C18" s="135" t="s">
        <v>560</v>
      </c>
      <c r="D18" s="135"/>
      <c r="E18" s="135"/>
      <c r="F18" s="135"/>
      <c r="G18" s="121"/>
      <c r="H18" s="127" t="s">
        <v>27</v>
      </c>
    </row>
    <row r="19" spans="1:8" ht="15.75" thickBot="1" x14ac:dyDescent="0.3">
      <c r="A19" s="128" t="s">
        <v>29</v>
      </c>
      <c r="B19" s="128">
        <v>1</v>
      </c>
      <c r="C19" s="129">
        <v>85.140526664078223</v>
      </c>
      <c r="D19" s="129">
        <v>16.282426424134211</v>
      </c>
      <c r="E19" s="128" t="s">
        <v>30</v>
      </c>
      <c r="F19" s="130">
        <v>1.346274985531718</v>
      </c>
      <c r="G19" s="128"/>
      <c r="H19" s="131" t="s">
        <v>31</v>
      </c>
    </row>
    <row r="20" spans="1:8" ht="15.75" thickTop="1" x14ac:dyDescent="0.25"/>
    <row r="25" spans="1:8" x14ac:dyDescent="0.25">
      <c r="F25" s="5" t="s">
        <v>27</v>
      </c>
    </row>
  </sheetData>
  <mergeCells count="5">
    <mergeCell ref="A1:A2"/>
    <mergeCell ref="C12:F12"/>
    <mergeCell ref="C14:F14"/>
    <mergeCell ref="C15:F15"/>
    <mergeCell ref="C18:F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294"/>
  <sheetViews>
    <sheetView workbookViewId="0">
      <pane ySplit="1" topLeftCell="A20" activePane="bottomLeft" state="frozenSplit"/>
      <selection pane="bottomLeft" activeCell="S286" sqref="S286"/>
    </sheetView>
  </sheetViews>
  <sheetFormatPr defaultRowHeight="15" x14ac:dyDescent="0.25"/>
  <cols>
    <col min="1" max="1" width="60" style="1" bestFit="1" customWidth="1"/>
    <col min="2" max="2" width="15.85546875" style="1" bestFit="1" customWidth="1"/>
    <col min="3" max="3" width="16.5703125" style="1" bestFit="1" customWidth="1"/>
    <col min="4" max="4" width="12" style="1" bestFit="1" customWidth="1"/>
    <col min="5" max="5" width="10.5703125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9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25" width="8.7109375" style="1" customWidth="1"/>
    <col min="26" max="26" width="20.5703125" style="9" bestFit="1" customWidth="1"/>
    <col min="27" max="29" width="21" style="9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11</v>
      </c>
      <c r="H1" s="6" t="s">
        <v>12</v>
      </c>
      <c r="I1" s="6" t="s">
        <v>13</v>
      </c>
      <c r="J1" s="8"/>
      <c r="K1" s="6"/>
      <c r="R1" s="7" t="s">
        <v>15</v>
      </c>
      <c r="Z1" s="28" t="s">
        <v>14</v>
      </c>
    </row>
    <row r="2" spans="1:30" ht="16.5" thickTop="1" thickBot="1" x14ac:dyDescent="0.3">
      <c r="A2" s="41" t="s">
        <v>33</v>
      </c>
      <c r="B2" s="50" t="s">
        <v>54</v>
      </c>
      <c r="C2" s="41">
        <v>79</v>
      </c>
      <c r="D2" s="41" t="s">
        <v>32</v>
      </c>
      <c r="E2" s="41">
        <v>1614810.53299363</v>
      </c>
      <c r="F2" s="41">
        <v>0</v>
      </c>
      <c r="G2" s="41"/>
      <c r="H2" s="41"/>
      <c r="I2" s="41"/>
      <c r="J2" s="43"/>
      <c r="K2" s="41"/>
      <c r="L2" s="41"/>
      <c r="M2" s="41"/>
      <c r="N2" s="41"/>
      <c r="O2" s="41"/>
      <c r="P2" s="41"/>
      <c r="Q2" s="41"/>
      <c r="R2" s="50" t="s">
        <v>53</v>
      </c>
      <c r="S2" s="41"/>
      <c r="T2" s="41">
        <v>1</v>
      </c>
      <c r="U2" s="41"/>
      <c r="V2" s="41"/>
      <c r="W2" s="41"/>
      <c r="X2" s="41"/>
      <c r="Y2" s="41"/>
      <c r="Z2" s="10" t="s">
        <v>16</v>
      </c>
      <c r="AA2" s="10" t="s">
        <v>18</v>
      </c>
      <c r="AB2" s="10" t="s">
        <v>19</v>
      </c>
      <c r="AC2" s="10" t="s">
        <v>20</v>
      </c>
      <c r="AD2" s="10" t="s">
        <v>21</v>
      </c>
    </row>
    <row r="3" spans="1:30" ht="15.75" thickTop="1" x14ac:dyDescent="0.25">
      <c r="A3" s="42" t="s">
        <v>34</v>
      </c>
      <c r="B3" s="42" t="s">
        <v>54</v>
      </c>
      <c r="C3" s="42">
        <v>79</v>
      </c>
      <c r="D3" s="42" t="s">
        <v>32</v>
      </c>
      <c r="E3" s="42">
        <v>1438754.3494833999</v>
      </c>
      <c r="F3" s="42">
        <v>0</v>
      </c>
      <c r="G3" s="42"/>
      <c r="H3" s="42"/>
      <c r="I3" s="42"/>
      <c r="J3" s="44"/>
      <c r="K3" s="42"/>
      <c r="L3" s="42"/>
      <c r="M3" s="42"/>
      <c r="N3" s="42"/>
      <c r="O3" s="42"/>
      <c r="P3" s="42"/>
      <c r="Q3" s="42"/>
      <c r="R3" s="42" t="s">
        <v>16</v>
      </c>
      <c r="S3" s="42"/>
      <c r="T3" s="42">
        <v>5</v>
      </c>
      <c r="U3" s="42"/>
      <c r="V3" s="42"/>
      <c r="W3" s="42"/>
      <c r="X3" s="42"/>
      <c r="Y3" s="42"/>
      <c r="Z3" s="11">
        <v>120</v>
      </c>
      <c r="AA3" s="12">
        <v>1.098630518185189</v>
      </c>
      <c r="AB3" s="12">
        <v>1.3011226603342656</v>
      </c>
      <c r="AC3" s="12">
        <v>1.1266849609691341</v>
      </c>
      <c r="AD3" s="12">
        <v>1.1754793798295295</v>
      </c>
    </row>
    <row r="4" spans="1:30" x14ac:dyDescent="0.25">
      <c r="A4" s="41" t="s">
        <v>35</v>
      </c>
      <c r="B4" s="41" t="s">
        <v>54</v>
      </c>
      <c r="C4" s="41">
        <v>79</v>
      </c>
      <c r="D4" s="41" t="s">
        <v>32</v>
      </c>
      <c r="E4" s="41">
        <v>1834176.57378164</v>
      </c>
      <c r="F4" s="41">
        <v>0</v>
      </c>
      <c r="G4" s="41"/>
      <c r="H4" s="41"/>
      <c r="I4" s="41"/>
      <c r="J4" s="43"/>
      <c r="K4" s="41"/>
      <c r="L4" s="41"/>
      <c r="M4" s="41"/>
      <c r="N4" s="41"/>
      <c r="O4" s="41"/>
      <c r="P4" s="41"/>
      <c r="Q4" s="41"/>
      <c r="R4" s="41" t="s">
        <v>17</v>
      </c>
      <c r="S4" s="41"/>
      <c r="T4" s="41">
        <v>19</v>
      </c>
      <c r="U4" s="41"/>
      <c r="V4" s="41"/>
      <c r="W4" s="41"/>
      <c r="X4" s="41"/>
      <c r="Y4" s="41"/>
      <c r="Z4" s="11">
        <v>60</v>
      </c>
      <c r="AA4" s="12">
        <v>0.88255317147726697</v>
      </c>
      <c r="AB4" s="12">
        <v>1.0738830424395183</v>
      </c>
      <c r="AC4" s="12">
        <v>0.89133784710208241</v>
      </c>
      <c r="AD4" s="12">
        <v>0.94925802033962248</v>
      </c>
    </row>
    <row r="5" spans="1:30" x14ac:dyDescent="0.25">
      <c r="A5" s="42" t="s">
        <v>36</v>
      </c>
      <c r="B5" s="42" t="s">
        <v>54</v>
      </c>
      <c r="C5" s="42">
        <v>79</v>
      </c>
      <c r="D5" s="42">
        <v>69348.166490753603</v>
      </c>
      <c r="E5" s="42">
        <v>1796105.1805519799</v>
      </c>
      <c r="F5" s="42">
        <v>3.8610303695823002E-2</v>
      </c>
      <c r="G5" s="42">
        <v>109.8630518185189</v>
      </c>
      <c r="H5" s="42">
        <v>120</v>
      </c>
      <c r="I5" s="45">
        <v>4.6992346066886528</v>
      </c>
      <c r="J5" s="44"/>
      <c r="K5" s="42"/>
      <c r="L5" s="42"/>
      <c r="M5" s="42"/>
      <c r="N5" s="42"/>
      <c r="O5" s="42"/>
      <c r="P5" s="42"/>
      <c r="Q5" s="42"/>
      <c r="R5" s="42"/>
      <c r="S5" s="42"/>
      <c r="T5" s="42"/>
      <c r="U5" s="42">
        <v>1</v>
      </c>
      <c r="V5" s="42">
        <v>120</v>
      </c>
      <c r="W5" s="42">
        <v>4.6992346066886528</v>
      </c>
      <c r="X5" s="42"/>
      <c r="Y5" s="42"/>
      <c r="Z5" s="11">
        <v>30</v>
      </c>
      <c r="AA5" s="12">
        <v>0.86854005485171359</v>
      </c>
      <c r="AB5" s="12">
        <v>0.92094700258735784</v>
      </c>
      <c r="AC5" s="12">
        <v>0.93995818656675079</v>
      </c>
      <c r="AD5" s="12">
        <v>0.90981508133527411</v>
      </c>
    </row>
    <row r="6" spans="1:30" x14ac:dyDescent="0.25">
      <c r="A6" s="41" t="s">
        <v>37</v>
      </c>
      <c r="B6" s="41" t="s">
        <v>54</v>
      </c>
      <c r="C6" s="41">
        <v>79</v>
      </c>
      <c r="D6" s="41">
        <v>71444.677286931197</v>
      </c>
      <c r="E6" s="41">
        <v>1463852.80561762</v>
      </c>
      <c r="F6" s="41">
        <v>4.8805916150010002E-2</v>
      </c>
      <c r="G6" s="41">
        <v>130.11226603342655</v>
      </c>
      <c r="H6" s="41">
        <v>120</v>
      </c>
      <c r="I6" s="46">
        <v>4.8683976626532202</v>
      </c>
      <c r="J6" s="43"/>
      <c r="K6" s="41"/>
      <c r="L6" s="41"/>
      <c r="M6" s="41"/>
      <c r="N6" s="41"/>
      <c r="O6" s="41"/>
      <c r="P6" s="41"/>
      <c r="Q6" s="41"/>
      <c r="R6" s="41"/>
      <c r="S6" s="41"/>
      <c r="T6" s="41"/>
      <c r="U6" s="41">
        <v>2</v>
      </c>
      <c r="V6" s="41">
        <v>120</v>
      </c>
      <c r="W6" s="41">
        <v>4.8683976626532202</v>
      </c>
      <c r="X6" s="41"/>
      <c r="Y6" s="41"/>
      <c r="Z6" s="11">
        <v>15</v>
      </c>
      <c r="AA6" s="12">
        <v>1.0022424669503291</v>
      </c>
      <c r="AB6" s="12">
        <v>0.92482757621188427</v>
      </c>
      <c r="AC6" s="12">
        <v>0.90410529275645402</v>
      </c>
      <c r="AD6" s="12">
        <v>0.94372511197288922</v>
      </c>
    </row>
    <row r="7" spans="1:30" ht="15.75" thickBot="1" x14ac:dyDescent="0.3">
      <c r="A7" s="42" t="s">
        <v>38</v>
      </c>
      <c r="B7" s="42" t="s">
        <v>54</v>
      </c>
      <c r="C7" s="42">
        <v>79</v>
      </c>
      <c r="D7" s="42">
        <v>64862.1012583599</v>
      </c>
      <c r="E7" s="42">
        <v>1487558.6118602799</v>
      </c>
      <c r="F7" s="42">
        <v>4.3603055866985999E-2</v>
      </c>
      <c r="G7" s="42">
        <v>112.6684960969134</v>
      </c>
      <c r="H7" s="42">
        <v>120</v>
      </c>
      <c r="I7" s="45">
        <v>4.7244498442296505</v>
      </c>
      <c r="J7" s="44"/>
      <c r="K7" s="42"/>
      <c r="L7" s="42"/>
      <c r="M7" s="42"/>
      <c r="N7" s="42"/>
      <c r="O7" s="42"/>
      <c r="P7" s="42"/>
      <c r="Q7" s="42"/>
      <c r="R7" s="42"/>
      <c r="S7" s="42"/>
      <c r="T7" s="42"/>
      <c r="U7" s="42">
        <v>3</v>
      </c>
      <c r="V7" s="42">
        <v>120</v>
      </c>
      <c r="W7" s="42">
        <v>4.7244498442296505</v>
      </c>
      <c r="X7" s="42"/>
      <c r="Y7" s="42"/>
      <c r="Z7" s="13">
        <v>0</v>
      </c>
      <c r="AA7" s="14">
        <v>1</v>
      </c>
      <c r="AB7" s="14">
        <v>1</v>
      </c>
      <c r="AC7" s="14">
        <v>1</v>
      </c>
      <c r="AD7" s="14">
        <v>1</v>
      </c>
    </row>
    <row r="8" spans="1:30" ht="16.5" thickTop="1" thickBot="1" x14ac:dyDescent="0.3">
      <c r="A8" s="41" t="s">
        <v>39</v>
      </c>
      <c r="B8" s="41" t="s">
        <v>54</v>
      </c>
      <c r="C8" s="41">
        <v>79</v>
      </c>
      <c r="D8" s="41">
        <v>51950.172782528098</v>
      </c>
      <c r="E8" s="41">
        <v>1674921.8864398301</v>
      </c>
      <c r="F8" s="41">
        <v>3.1016474978993E-2</v>
      </c>
      <c r="G8" s="41">
        <v>88.2553171477267</v>
      </c>
      <c r="H8" s="41">
        <v>60</v>
      </c>
      <c r="I8" s="46">
        <v>4.4802339449641311</v>
      </c>
      <c r="J8" s="43"/>
      <c r="K8" s="41"/>
      <c r="L8" s="41"/>
      <c r="M8" s="41"/>
      <c r="N8" s="41"/>
      <c r="O8" s="41"/>
      <c r="P8" s="41"/>
      <c r="Q8" s="41"/>
      <c r="R8" s="41"/>
      <c r="S8" s="41"/>
      <c r="T8" s="41"/>
      <c r="U8" s="41">
        <v>4</v>
      </c>
      <c r="V8" s="41">
        <v>60</v>
      </c>
      <c r="W8" s="41">
        <v>4.4802339449641311</v>
      </c>
      <c r="X8" s="41"/>
      <c r="Y8" s="41"/>
    </row>
    <row r="9" spans="1:30" x14ac:dyDescent="0.25">
      <c r="A9" s="42" t="s">
        <v>40</v>
      </c>
      <c r="B9" s="42" t="s">
        <v>54</v>
      </c>
      <c r="C9" s="42">
        <v>79</v>
      </c>
      <c r="D9" s="42">
        <v>63626.565122152802</v>
      </c>
      <c r="E9" s="42">
        <v>1579527.7677353299</v>
      </c>
      <c r="F9" s="42">
        <v>4.0282017462332002E-2</v>
      </c>
      <c r="G9" s="42">
        <v>107.38830424395182</v>
      </c>
      <c r="H9" s="42">
        <v>60</v>
      </c>
      <c r="I9" s="45">
        <v>4.6764512771127285</v>
      </c>
      <c r="J9" s="44"/>
      <c r="K9" s="42"/>
      <c r="L9" s="42"/>
      <c r="M9" s="42"/>
      <c r="N9" s="42"/>
      <c r="O9" s="42"/>
      <c r="P9" s="42"/>
      <c r="Q9" s="42"/>
      <c r="R9" s="42"/>
      <c r="S9" s="42"/>
      <c r="T9" s="42"/>
      <c r="U9" s="42">
        <v>5</v>
      </c>
      <c r="V9" s="42">
        <v>60</v>
      </c>
      <c r="W9" s="42">
        <v>4.6764512771127285</v>
      </c>
      <c r="X9" s="42"/>
      <c r="Y9" s="42"/>
      <c r="Z9" s="29" t="s">
        <v>22</v>
      </c>
      <c r="AA9" s="30">
        <v>1.5849000261621013E-3</v>
      </c>
    </row>
    <row r="10" spans="1:30" x14ac:dyDescent="0.25">
      <c r="A10" s="41" t="s">
        <v>41</v>
      </c>
      <c r="B10" s="41" t="s">
        <v>54</v>
      </c>
      <c r="C10" s="41">
        <v>79</v>
      </c>
      <c r="D10" s="41">
        <v>58384.763952268499</v>
      </c>
      <c r="E10" s="41">
        <v>1692554.8486385001</v>
      </c>
      <c r="F10" s="41">
        <v>3.4495049894090003E-2</v>
      </c>
      <c r="G10" s="41">
        <v>89.133784710208246</v>
      </c>
      <c r="H10" s="41">
        <v>60</v>
      </c>
      <c r="I10" s="46">
        <v>4.4901384400505782</v>
      </c>
      <c r="J10" s="43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>
        <v>6</v>
      </c>
      <c r="V10" s="41">
        <v>60</v>
      </c>
      <c r="W10" s="41">
        <v>4.4901384400505782</v>
      </c>
      <c r="X10" s="41"/>
      <c r="Y10" s="41"/>
      <c r="Z10" s="31" t="s">
        <v>23</v>
      </c>
      <c r="AA10" s="32">
        <v>4.5235798816460626</v>
      </c>
    </row>
    <row r="11" spans="1:30" ht="17.25" x14ac:dyDescent="0.25">
      <c r="A11" s="42" t="s">
        <v>42</v>
      </c>
      <c r="B11" s="42" t="s">
        <v>54</v>
      </c>
      <c r="C11" s="42">
        <v>79</v>
      </c>
      <c r="D11" s="42">
        <v>50007.019841766603</v>
      </c>
      <c r="E11" s="42">
        <v>1638285.40785609</v>
      </c>
      <c r="F11" s="42">
        <v>3.0523997590388E-2</v>
      </c>
      <c r="G11" s="42">
        <v>86.854005485171356</v>
      </c>
      <c r="H11" s="42">
        <v>30</v>
      </c>
      <c r="I11" s="45">
        <v>4.4642286111995899</v>
      </c>
      <c r="J11" s="44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>
        <v>7</v>
      </c>
      <c r="V11" s="42">
        <v>30</v>
      </c>
      <c r="W11" s="42">
        <v>4.4642286111995899</v>
      </c>
      <c r="X11" s="42"/>
      <c r="Y11" s="42"/>
      <c r="Z11" s="31" t="s">
        <v>24</v>
      </c>
      <c r="AA11" s="33">
        <v>0.3955529302615064</v>
      </c>
    </row>
    <row r="12" spans="1:30" ht="18" x14ac:dyDescent="0.35">
      <c r="A12" s="41" t="s">
        <v>43</v>
      </c>
      <c r="B12" s="41" t="s">
        <v>54</v>
      </c>
      <c r="C12" s="41">
        <v>79</v>
      </c>
      <c r="D12" s="41">
        <v>57934.824252272199</v>
      </c>
      <c r="E12" s="41">
        <v>1677068.59466241</v>
      </c>
      <c r="F12" s="41">
        <v>3.4545291967580001E-2</v>
      </c>
      <c r="G12" s="41">
        <v>92.094700258735784</v>
      </c>
      <c r="H12" s="41">
        <v>30</v>
      </c>
      <c r="I12" s="46">
        <v>4.5228173982693773</v>
      </c>
      <c r="J12" s="43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>
        <v>8</v>
      </c>
      <c r="V12" s="41">
        <v>30</v>
      </c>
      <c r="W12" s="41">
        <v>4.5228173982693773</v>
      </c>
      <c r="X12" s="41"/>
      <c r="Y12" s="41"/>
      <c r="Z12" s="31" t="s">
        <v>25</v>
      </c>
      <c r="AA12" s="34" t="s">
        <v>564</v>
      </c>
    </row>
    <row r="13" spans="1:30" ht="18.75" x14ac:dyDescent="0.35">
      <c r="A13" s="42" t="s">
        <v>44</v>
      </c>
      <c r="B13" s="42" t="s">
        <v>54</v>
      </c>
      <c r="C13" s="42">
        <v>79</v>
      </c>
      <c r="D13" s="42">
        <v>58060.572951678798</v>
      </c>
      <c r="E13" s="42">
        <v>1596093.58663356</v>
      </c>
      <c r="F13" s="42">
        <v>3.6376672043484999E-2</v>
      </c>
      <c r="G13" s="42">
        <v>93.995818656675084</v>
      </c>
      <c r="H13" s="42">
        <v>30</v>
      </c>
      <c r="I13" s="45">
        <v>4.5432502989048364</v>
      </c>
      <c r="J13" s="44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>
        <v>9</v>
      </c>
      <c r="V13" s="42">
        <v>30</v>
      </c>
      <c r="W13" s="42">
        <v>4.5432502989048364</v>
      </c>
      <c r="X13" s="42"/>
      <c r="Y13" s="42"/>
      <c r="Z13" s="31" t="s">
        <v>26</v>
      </c>
      <c r="AA13" s="32">
        <v>0</v>
      </c>
    </row>
    <row r="14" spans="1:30" ht="15.75" thickBot="1" x14ac:dyDescent="0.3">
      <c r="A14" s="41" t="s">
        <v>45</v>
      </c>
      <c r="B14" s="41" t="s">
        <v>54</v>
      </c>
      <c r="C14" s="41">
        <v>79</v>
      </c>
      <c r="D14" s="41">
        <v>61066.895661970397</v>
      </c>
      <c r="E14" s="41">
        <v>1733730.0779275901</v>
      </c>
      <c r="F14" s="41">
        <v>3.5222839148621003E-2</v>
      </c>
      <c r="G14" s="41">
        <v>100.22424669503292</v>
      </c>
      <c r="H14" s="41">
        <v>15</v>
      </c>
      <c r="I14" s="46">
        <v>4.6074101423619647</v>
      </c>
      <c r="J14" s="43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>
        <v>10</v>
      </c>
      <c r="V14" s="41">
        <v>15</v>
      </c>
      <c r="W14" s="41">
        <v>4.6074101423619647</v>
      </c>
      <c r="X14" s="41"/>
      <c r="Y14" s="41"/>
      <c r="Z14" s="35" t="s">
        <v>10</v>
      </c>
      <c r="AA14" s="36" t="s">
        <v>27</v>
      </c>
    </row>
    <row r="15" spans="1:30" x14ac:dyDescent="0.25">
      <c r="A15" s="42" t="s">
        <v>46</v>
      </c>
      <c r="B15" s="42" t="s">
        <v>54</v>
      </c>
      <c r="C15" s="42">
        <v>79</v>
      </c>
      <c r="D15" s="42">
        <v>58175.269930512797</v>
      </c>
      <c r="E15" s="42">
        <v>1676962.71705405</v>
      </c>
      <c r="F15" s="42">
        <v>3.4690854685612997E-2</v>
      </c>
      <c r="G15" s="42">
        <v>92.482757621188426</v>
      </c>
      <c r="H15" s="42">
        <v>15</v>
      </c>
      <c r="I15" s="45">
        <v>4.5270222230477168</v>
      </c>
      <c r="J15" s="44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>
        <v>11</v>
      </c>
      <c r="V15" s="42">
        <v>15</v>
      </c>
      <c r="W15" s="42">
        <v>4.5270222230477168</v>
      </c>
      <c r="X15" s="42"/>
      <c r="Y15" s="42"/>
    </row>
    <row r="16" spans="1:30" x14ac:dyDescent="0.25">
      <c r="A16" s="41" t="s">
        <v>47</v>
      </c>
      <c r="B16" s="41" t="s">
        <v>54</v>
      </c>
      <c r="C16" s="41">
        <v>79</v>
      </c>
      <c r="D16" s="41">
        <v>59873.2990662468</v>
      </c>
      <c r="E16" s="41">
        <v>1711195.9636208899</v>
      </c>
      <c r="F16" s="41">
        <v>3.4989153983015997E-2</v>
      </c>
      <c r="G16" s="41">
        <v>90.410529275645402</v>
      </c>
      <c r="H16" s="41">
        <v>15</v>
      </c>
      <c r="I16" s="46">
        <v>4.5043607349036403</v>
      </c>
      <c r="J16" s="43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>
        <v>12</v>
      </c>
      <c r="V16" s="41">
        <v>15</v>
      </c>
      <c r="W16" s="41">
        <v>4.5043607349036403</v>
      </c>
      <c r="X16" s="41"/>
      <c r="Y16" s="41"/>
    </row>
    <row r="17" spans="1:30" x14ac:dyDescent="0.25">
      <c r="A17" s="42" t="s">
        <v>48</v>
      </c>
      <c r="B17" s="42" t="s">
        <v>54</v>
      </c>
      <c r="C17" s="42">
        <v>79</v>
      </c>
      <c r="D17" s="42">
        <v>60606.566084946302</v>
      </c>
      <c r="E17" s="42">
        <v>1724519.53830482</v>
      </c>
      <c r="F17" s="42">
        <v>3.5144029823241003E-2</v>
      </c>
      <c r="G17" s="42">
        <v>100</v>
      </c>
      <c r="H17" s="42">
        <v>0</v>
      </c>
      <c r="I17" s="45">
        <v>4.6051701859880918</v>
      </c>
      <c r="J17" s="44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>
        <v>13</v>
      </c>
      <c r="V17" s="42">
        <v>0</v>
      </c>
      <c r="W17" s="42">
        <v>4.6051701859880918</v>
      </c>
      <c r="X17" s="42"/>
      <c r="Y17" s="42"/>
    </row>
    <row r="18" spans="1:30" x14ac:dyDescent="0.25">
      <c r="A18" s="41" t="s">
        <v>49</v>
      </c>
      <c r="B18" s="41" t="s">
        <v>54</v>
      </c>
      <c r="C18" s="41">
        <v>79</v>
      </c>
      <c r="D18" s="41">
        <v>64849.752456891998</v>
      </c>
      <c r="E18" s="41">
        <v>1728837.17988999</v>
      </c>
      <c r="F18" s="41">
        <v>3.7510618820113001E-2</v>
      </c>
      <c r="G18" s="41">
        <v>100</v>
      </c>
      <c r="H18" s="41">
        <v>0</v>
      </c>
      <c r="I18" s="46">
        <v>4.6051701859880918</v>
      </c>
      <c r="J18" s="43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>
        <v>14</v>
      </c>
      <c r="V18" s="41">
        <v>0</v>
      </c>
      <c r="W18" s="41">
        <v>4.6051701859880918</v>
      </c>
      <c r="X18" s="41"/>
      <c r="Y18" s="41"/>
    </row>
    <row r="19" spans="1:30" x14ac:dyDescent="0.25">
      <c r="A19" s="42" t="s">
        <v>50</v>
      </c>
      <c r="B19" s="42" t="s">
        <v>54</v>
      </c>
      <c r="C19" s="42">
        <v>79</v>
      </c>
      <c r="D19" s="42">
        <v>63961.937914694303</v>
      </c>
      <c r="E19" s="42">
        <v>1652750.06739815</v>
      </c>
      <c r="F19" s="42">
        <v>3.8700308761981002E-2</v>
      </c>
      <c r="G19" s="42">
        <v>100</v>
      </c>
      <c r="H19" s="42">
        <v>0</v>
      </c>
      <c r="I19" s="45">
        <v>4.6051701859880918</v>
      </c>
      <c r="J19" s="44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>
        <v>15</v>
      </c>
      <c r="V19" s="42">
        <v>0</v>
      </c>
      <c r="W19" s="42">
        <v>4.6051701859880918</v>
      </c>
      <c r="X19" s="42"/>
      <c r="Y19" s="42"/>
    </row>
    <row r="20" spans="1:30" x14ac:dyDescent="0.25">
      <c r="A20" s="41" t="s">
        <v>51</v>
      </c>
      <c r="B20" s="41" t="s">
        <v>54</v>
      </c>
      <c r="C20" s="41">
        <v>79</v>
      </c>
      <c r="D20" s="41">
        <v>66483.046152428506</v>
      </c>
      <c r="E20" s="41">
        <v>2009803.66327705</v>
      </c>
      <c r="F20" s="41">
        <v>3.3079373556333003E-2</v>
      </c>
      <c r="G20" s="41">
        <v>89.11872715982426</v>
      </c>
      <c r="H20" s="41"/>
      <c r="I20" s="41"/>
      <c r="J20" s="43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</row>
    <row r="21" spans="1:30" x14ac:dyDescent="0.25">
      <c r="A21" s="48" t="s">
        <v>52</v>
      </c>
      <c r="B21" s="48" t="s">
        <v>54</v>
      </c>
      <c r="C21" s="48">
        <v>79</v>
      </c>
      <c r="D21" s="48">
        <v>66433.899352257606</v>
      </c>
      <c r="E21" s="48">
        <v>2102727.3798966301</v>
      </c>
      <c r="F21" s="48">
        <v>3.1594157182431998E-2</v>
      </c>
      <c r="G21" s="48">
        <v>85.117424276213669</v>
      </c>
      <c r="H21" s="48"/>
      <c r="I21" s="48"/>
      <c r="J21" s="49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</row>
    <row r="22" spans="1:30" ht="15.75" thickBot="1" x14ac:dyDescent="0.3">
      <c r="A22" s="41"/>
      <c r="B22" s="41"/>
      <c r="C22" s="41"/>
      <c r="D22" s="41"/>
      <c r="E22" s="41"/>
      <c r="F22" s="41"/>
      <c r="G22" s="41"/>
      <c r="H22" s="41"/>
      <c r="I22" s="41"/>
      <c r="J22" s="43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30" ht="16.5" thickTop="1" thickBot="1" x14ac:dyDescent="0.3">
      <c r="A23" s="42" t="s">
        <v>33</v>
      </c>
      <c r="B23" s="51" t="s">
        <v>72</v>
      </c>
      <c r="C23" s="42">
        <v>135</v>
      </c>
      <c r="D23" s="42">
        <v>63006.637593644802</v>
      </c>
      <c r="E23" s="42">
        <v>1614810.53299363</v>
      </c>
      <c r="F23" s="42">
        <v>3.9017975363859002E-2</v>
      </c>
      <c r="G23" s="42"/>
      <c r="H23" s="42"/>
      <c r="I23" s="42"/>
      <c r="J23" s="44"/>
      <c r="K23" s="42"/>
      <c r="L23" s="42"/>
      <c r="M23" s="42"/>
      <c r="N23" s="42"/>
      <c r="O23" s="42"/>
      <c r="P23" s="42"/>
      <c r="Q23" s="42"/>
      <c r="R23" s="51" t="s">
        <v>73</v>
      </c>
      <c r="S23" s="42"/>
      <c r="T23" s="42">
        <v>2</v>
      </c>
      <c r="U23" s="42"/>
      <c r="V23" s="42"/>
      <c r="W23" s="42"/>
      <c r="X23" s="42"/>
      <c r="Y23" s="42"/>
      <c r="Z23" s="10" t="s">
        <v>16</v>
      </c>
      <c r="AA23" s="10" t="s">
        <v>18</v>
      </c>
      <c r="AB23" s="10" t="s">
        <v>19</v>
      </c>
      <c r="AC23" s="10" t="s">
        <v>20</v>
      </c>
      <c r="AD23" s="10" t="s">
        <v>21</v>
      </c>
    </row>
    <row r="24" spans="1:30" ht="15.75" thickTop="1" x14ac:dyDescent="0.25">
      <c r="A24" s="41" t="s">
        <v>34</v>
      </c>
      <c r="B24" s="41" t="s">
        <v>72</v>
      </c>
      <c r="C24" s="41">
        <v>135</v>
      </c>
      <c r="D24" s="41">
        <v>45333.222140236903</v>
      </c>
      <c r="E24" s="41">
        <v>1438754.3494833999</v>
      </c>
      <c r="F24" s="41">
        <v>3.150866036062E-2</v>
      </c>
      <c r="G24" s="41"/>
      <c r="H24" s="41"/>
      <c r="I24" s="41"/>
      <c r="J24" s="43"/>
      <c r="K24" s="41"/>
      <c r="L24" s="41"/>
      <c r="M24" s="41"/>
      <c r="N24" s="41"/>
      <c r="O24" s="41"/>
      <c r="P24" s="41"/>
      <c r="Q24" s="41"/>
      <c r="R24" s="41" t="s">
        <v>16</v>
      </c>
      <c r="S24" s="41"/>
      <c r="T24" s="41">
        <v>24</v>
      </c>
      <c r="U24" s="41"/>
      <c r="V24" s="41"/>
      <c r="W24" s="41"/>
      <c r="X24" s="41"/>
      <c r="Y24" s="41"/>
      <c r="Z24" s="11">
        <v>120</v>
      </c>
      <c r="AA24" s="12" t="s">
        <v>565</v>
      </c>
      <c r="AB24" s="12">
        <v>0.93317981898897939</v>
      </c>
      <c r="AC24" s="12">
        <v>0.30156300351879145</v>
      </c>
      <c r="AD24" s="12">
        <v>0.61737141125388539</v>
      </c>
    </row>
    <row r="25" spans="1:30" x14ac:dyDescent="0.25">
      <c r="A25" s="42" t="s">
        <v>35</v>
      </c>
      <c r="B25" s="42" t="s">
        <v>72</v>
      </c>
      <c r="C25" s="42">
        <v>135</v>
      </c>
      <c r="D25" s="42">
        <v>5917.2234289363796</v>
      </c>
      <c r="E25" s="42">
        <v>1834176.57378164</v>
      </c>
      <c r="F25" s="42">
        <v>3.226092576647E-3</v>
      </c>
      <c r="G25" s="42"/>
      <c r="H25" s="42"/>
      <c r="I25" s="42"/>
      <c r="J25" s="44"/>
      <c r="K25" s="42"/>
      <c r="L25" s="42"/>
      <c r="M25" s="42"/>
      <c r="N25" s="42"/>
      <c r="O25" s="42"/>
      <c r="P25" s="42"/>
      <c r="Q25" s="42"/>
      <c r="R25" s="42" t="s">
        <v>17</v>
      </c>
      <c r="S25" s="42"/>
      <c r="T25" s="42">
        <v>38</v>
      </c>
      <c r="U25" s="42"/>
      <c r="V25" s="42"/>
      <c r="W25" s="42"/>
      <c r="X25" s="42"/>
      <c r="Y25" s="42"/>
      <c r="Z25" s="11">
        <v>60</v>
      </c>
      <c r="AA25" s="12">
        <v>1.2570690892506124</v>
      </c>
      <c r="AB25" s="12">
        <v>1.3097270078719518</v>
      </c>
      <c r="AC25" s="12" t="s">
        <v>566</v>
      </c>
      <c r="AD25" s="12">
        <v>1.2833980485612821</v>
      </c>
    </row>
    <row r="26" spans="1:30" x14ac:dyDescent="0.25">
      <c r="A26" s="41" t="s">
        <v>55</v>
      </c>
      <c r="B26" s="41" t="s">
        <v>72</v>
      </c>
      <c r="C26" s="41">
        <v>135</v>
      </c>
      <c r="D26" s="41">
        <v>16599506.0848995</v>
      </c>
      <c r="E26" s="41">
        <v>374583.378584144</v>
      </c>
      <c r="F26" s="41">
        <v>44.314582637495903</v>
      </c>
      <c r="G26" s="41">
        <v>1166.1240337550025</v>
      </c>
      <c r="H26" s="41">
        <v>120</v>
      </c>
      <c r="I26" s="46" t="s">
        <v>567</v>
      </c>
      <c r="J26" s="43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 t="s">
        <v>564</v>
      </c>
      <c r="V26" s="41">
        <v>120</v>
      </c>
      <c r="W26" s="41">
        <v>4.5360128213182129</v>
      </c>
      <c r="X26" s="41"/>
      <c r="Y26" s="41"/>
      <c r="Z26" s="11">
        <v>30</v>
      </c>
      <c r="AA26" s="12">
        <v>1.1179472100132826</v>
      </c>
      <c r="AB26" s="12">
        <v>1.0882222177659637</v>
      </c>
      <c r="AC26" s="15">
        <v>0.36317006447522621</v>
      </c>
      <c r="AD26" s="12">
        <v>0.85644649741815748</v>
      </c>
    </row>
    <row r="27" spans="1:30" x14ac:dyDescent="0.25">
      <c r="A27" s="42" t="s">
        <v>56</v>
      </c>
      <c r="B27" s="42" t="s">
        <v>72</v>
      </c>
      <c r="C27" s="42">
        <v>135</v>
      </c>
      <c r="D27" s="42">
        <v>9660984.93563856</v>
      </c>
      <c r="E27" s="42">
        <v>2682959.1619118499</v>
      </c>
      <c r="F27" s="42">
        <v>3.6008691719161998</v>
      </c>
      <c r="G27" s="42">
        <v>93.317981898897941</v>
      </c>
      <c r="H27" s="42">
        <v>120</v>
      </c>
      <c r="I27" s="45">
        <v>4.5360128213182129</v>
      </c>
      <c r="J27" s="44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>
        <v>2</v>
      </c>
      <c r="V27" s="42">
        <v>120</v>
      </c>
      <c r="W27" s="42">
        <v>3.4063938682374846</v>
      </c>
      <c r="X27" s="42"/>
      <c r="Y27" s="42"/>
      <c r="Z27" s="11">
        <v>15</v>
      </c>
      <c r="AA27" s="12">
        <v>1.1278279378146507</v>
      </c>
      <c r="AB27" s="12">
        <v>1.105023286975032</v>
      </c>
      <c r="AC27" s="15">
        <v>0.4740747251440719</v>
      </c>
      <c r="AD27" s="12">
        <v>0.90230864997791826</v>
      </c>
    </row>
    <row r="28" spans="1:30" ht="15.75" thickBot="1" x14ac:dyDescent="0.3">
      <c r="A28" s="41" t="s">
        <v>57</v>
      </c>
      <c r="B28" s="41" t="s">
        <v>72</v>
      </c>
      <c r="C28" s="41">
        <v>135</v>
      </c>
      <c r="D28" s="41">
        <v>8344808.3364100503</v>
      </c>
      <c r="E28" s="41">
        <v>1782014.59401069</v>
      </c>
      <c r="F28" s="41">
        <v>4.6827946103565701</v>
      </c>
      <c r="G28" s="41">
        <v>30.156300351879146</v>
      </c>
      <c r="H28" s="41">
        <v>120</v>
      </c>
      <c r="I28" s="46">
        <v>3.4063938682374846</v>
      </c>
      <c r="J28" s="43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>
        <v>3</v>
      </c>
      <c r="V28" s="41">
        <v>60</v>
      </c>
      <c r="W28" s="41">
        <v>4.8339530776900643</v>
      </c>
      <c r="X28" s="41"/>
      <c r="Y28" s="41"/>
      <c r="Z28" s="13">
        <v>0</v>
      </c>
      <c r="AA28" s="14">
        <v>1</v>
      </c>
      <c r="AB28" s="14">
        <v>1</v>
      </c>
      <c r="AC28" s="14">
        <v>1</v>
      </c>
      <c r="AD28" s="14">
        <v>1</v>
      </c>
    </row>
    <row r="29" spans="1:30" ht="16.5" thickTop="1" thickBot="1" x14ac:dyDescent="0.3">
      <c r="A29" s="42" t="s">
        <v>58</v>
      </c>
      <c r="B29" s="42" t="s">
        <v>72</v>
      </c>
      <c r="C29" s="42">
        <v>135</v>
      </c>
      <c r="D29" s="42">
        <v>11298047.8286332</v>
      </c>
      <c r="E29" s="42">
        <v>2354251.3448272301</v>
      </c>
      <c r="F29" s="42">
        <v>4.7989981415779202</v>
      </c>
      <c r="G29" s="42">
        <v>125.70690892506124</v>
      </c>
      <c r="H29" s="42">
        <v>60</v>
      </c>
      <c r="I29" s="45">
        <v>4.8339530776900643</v>
      </c>
      <c r="J29" s="44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>
        <v>4</v>
      </c>
      <c r="V29" s="42">
        <v>60</v>
      </c>
      <c r="W29" s="42">
        <v>4.8749889105473017</v>
      </c>
      <c r="X29" s="42"/>
      <c r="Y29" s="42"/>
    </row>
    <row r="30" spans="1:30" x14ac:dyDescent="0.25">
      <c r="A30" s="41" t="s">
        <v>59</v>
      </c>
      <c r="B30" s="41" t="s">
        <v>72</v>
      </c>
      <c r="C30" s="41">
        <v>135</v>
      </c>
      <c r="D30" s="41">
        <v>12498607.964587901</v>
      </c>
      <c r="E30" s="41">
        <v>2477947.7973917602</v>
      </c>
      <c r="F30" s="41">
        <v>5.0439351376746799</v>
      </c>
      <c r="G30" s="41">
        <v>130.97270078719518</v>
      </c>
      <c r="H30" s="41">
        <v>60</v>
      </c>
      <c r="I30" s="46">
        <v>4.8749889105473017</v>
      </c>
      <c r="J30" s="43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>
        <v>5</v>
      </c>
      <c r="V30" s="41">
        <v>30</v>
      </c>
      <c r="W30" s="41">
        <v>4.7166643413711942</v>
      </c>
      <c r="X30" s="41"/>
      <c r="Y30" s="41"/>
      <c r="Z30" s="29" t="s">
        <v>22</v>
      </c>
      <c r="AA30" s="30">
        <v>-3.6148028587799624E-3</v>
      </c>
    </row>
    <row r="31" spans="1:30" x14ac:dyDescent="0.25">
      <c r="A31" s="42" t="s">
        <v>60</v>
      </c>
      <c r="B31" s="42" t="s">
        <v>72</v>
      </c>
      <c r="C31" s="42">
        <v>135</v>
      </c>
      <c r="D31" s="42">
        <v>22096269.790262699</v>
      </c>
      <c r="E31" s="42">
        <v>189347.227694006</v>
      </c>
      <c r="F31" s="42">
        <v>116.697086402401</v>
      </c>
      <c r="G31" s="42">
        <v>755.31389531294451</v>
      </c>
      <c r="H31" s="42">
        <v>60</v>
      </c>
      <c r="I31" s="45" t="s">
        <v>568</v>
      </c>
      <c r="J31" s="44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 t="s">
        <v>564</v>
      </c>
      <c r="V31" s="42">
        <v>30</v>
      </c>
      <c r="W31" s="42">
        <v>4.6897155578370082</v>
      </c>
      <c r="X31" s="42"/>
      <c r="Y31" s="42"/>
      <c r="Z31" s="31" t="s">
        <v>23</v>
      </c>
      <c r="AA31" s="32">
        <v>4.5803179175392223</v>
      </c>
    </row>
    <row r="32" spans="1:30" ht="17.25" x14ac:dyDescent="0.25">
      <c r="A32" s="41" t="s">
        <v>61</v>
      </c>
      <c r="B32" s="41" t="s">
        <v>72</v>
      </c>
      <c r="C32" s="41">
        <v>135</v>
      </c>
      <c r="D32" s="41">
        <v>12062430.256374501</v>
      </c>
      <c r="E32" s="41">
        <v>2824524.2640352198</v>
      </c>
      <c r="F32" s="41">
        <v>4.2706059954824598</v>
      </c>
      <c r="G32" s="41">
        <v>111.79472100132826</v>
      </c>
      <c r="H32" s="41">
        <v>30</v>
      </c>
      <c r="I32" s="46">
        <v>4.7166643413711942</v>
      </c>
      <c r="J32" s="43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>
        <v>7</v>
      </c>
      <c r="V32" s="41">
        <v>30</v>
      </c>
      <c r="W32" s="41">
        <v>3.5922861287371992</v>
      </c>
      <c r="X32" s="41"/>
      <c r="Y32" s="41"/>
      <c r="Z32" s="31" t="s">
        <v>24</v>
      </c>
      <c r="AA32" s="33">
        <v>9.4086437269101167E-2</v>
      </c>
    </row>
    <row r="33" spans="1:30" ht="18" x14ac:dyDescent="0.35">
      <c r="A33" s="42" t="s">
        <v>62</v>
      </c>
      <c r="B33" s="42" t="s">
        <v>72</v>
      </c>
      <c r="C33" s="42">
        <v>135</v>
      </c>
      <c r="D33" s="42">
        <v>10557295.435926</v>
      </c>
      <c r="E33" s="42">
        <v>2516608.90613396</v>
      </c>
      <c r="F33" s="42">
        <v>4.1950481102541399</v>
      </c>
      <c r="G33" s="42">
        <v>108.82222177659638</v>
      </c>
      <c r="H33" s="42">
        <v>30</v>
      </c>
      <c r="I33" s="45">
        <v>4.6897155578370082</v>
      </c>
      <c r="J33" s="44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>
        <v>8</v>
      </c>
      <c r="V33" s="42">
        <v>15</v>
      </c>
      <c r="W33" s="42">
        <v>4.7254637900305871</v>
      </c>
      <c r="X33" s="42"/>
      <c r="Y33" s="42"/>
      <c r="Z33" s="31" t="s">
        <v>25</v>
      </c>
      <c r="AA33" s="34">
        <v>191.75241573032574</v>
      </c>
    </row>
    <row r="34" spans="1:30" ht="18.75" x14ac:dyDescent="0.35">
      <c r="A34" s="41" t="s">
        <v>63</v>
      </c>
      <c r="B34" s="41" t="s">
        <v>72</v>
      </c>
      <c r="C34" s="41">
        <v>135</v>
      </c>
      <c r="D34" s="41">
        <v>11876667.920525599</v>
      </c>
      <c r="E34" s="41">
        <v>2107873.12308652</v>
      </c>
      <c r="F34" s="41">
        <v>5.6344320682521696</v>
      </c>
      <c r="G34" s="41">
        <v>36.317006447522623</v>
      </c>
      <c r="H34" s="41">
        <v>30</v>
      </c>
      <c r="I34" s="46">
        <v>3.5922861287371992</v>
      </c>
      <c r="J34" s="43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>
        <v>9</v>
      </c>
      <c r="V34" s="41">
        <v>15</v>
      </c>
      <c r="W34" s="41">
        <v>4.7050365949212996</v>
      </c>
      <c r="X34" s="41"/>
      <c r="Y34" s="41"/>
      <c r="Z34" s="31" t="s">
        <v>26</v>
      </c>
      <c r="AA34" s="32">
        <v>7.2296057175599246</v>
      </c>
    </row>
    <row r="35" spans="1:30" ht="15.75" thickBot="1" x14ac:dyDescent="0.3">
      <c r="A35" s="42" t="s">
        <v>64</v>
      </c>
      <c r="B35" s="42" t="s">
        <v>72</v>
      </c>
      <c r="C35" s="42">
        <v>135</v>
      </c>
      <c r="D35" s="42">
        <v>9270626.4259908907</v>
      </c>
      <c r="E35" s="42">
        <v>2151889.3030594699</v>
      </c>
      <c r="F35" s="42">
        <v>4.3081335144936403</v>
      </c>
      <c r="G35" s="42">
        <v>112.78279378146507</v>
      </c>
      <c r="H35" s="42">
        <v>15</v>
      </c>
      <c r="I35" s="45">
        <v>4.7254637900305871</v>
      </c>
      <c r="J35" s="44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>
        <v>10</v>
      </c>
      <c r="V35" s="42">
        <v>15</v>
      </c>
      <c r="W35" s="42">
        <v>3.8587798642591675</v>
      </c>
      <c r="X35" s="42"/>
      <c r="Y35" s="42"/>
      <c r="Z35" s="35" t="s">
        <v>10</v>
      </c>
      <c r="AA35" s="36" t="s">
        <v>74</v>
      </c>
    </row>
    <row r="36" spans="1:30" x14ac:dyDescent="0.25">
      <c r="A36" s="41" t="s">
        <v>65</v>
      </c>
      <c r="B36" s="41" t="s">
        <v>72</v>
      </c>
      <c r="C36" s="41">
        <v>135</v>
      </c>
      <c r="D36" s="41">
        <v>8495599.2180646099</v>
      </c>
      <c r="E36" s="41">
        <v>1994536.21673951</v>
      </c>
      <c r="F36" s="41">
        <v>4.2594359263891697</v>
      </c>
      <c r="G36" s="41">
        <v>110.5023286975032</v>
      </c>
      <c r="H36" s="41">
        <v>15</v>
      </c>
      <c r="I36" s="46">
        <v>4.7050365949212996</v>
      </c>
      <c r="J36" s="43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>
        <v>11</v>
      </c>
      <c r="V36" s="41">
        <v>0</v>
      </c>
      <c r="W36" s="41">
        <v>4.6051701859880918</v>
      </c>
      <c r="X36" s="41"/>
      <c r="Y36" s="41"/>
    </row>
    <row r="37" spans="1:30" x14ac:dyDescent="0.25">
      <c r="A37" s="42" t="s">
        <v>66</v>
      </c>
      <c r="B37" s="42" t="s">
        <v>72</v>
      </c>
      <c r="C37" s="42">
        <v>135</v>
      </c>
      <c r="D37" s="42">
        <v>20262092.854552899</v>
      </c>
      <c r="E37" s="42">
        <v>2757661.2583282902</v>
      </c>
      <c r="F37" s="42">
        <v>7.3475640974250496</v>
      </c>
      <c r="G37" s="42">
        <v>47.407472514407189</v>
      </c>
      <c r="H37" s="42">
        <v>15</v>
      </c>
      <c r="I37" s="45">
        <v>3.8587798642591675</v>
      </c>
      <c r="J37" s="44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>
        <v>12</v>
      </c>
      <c r="V37" s="42">
        <v>0</v>
      </c>
      <c r="W37" s="42">
        <v>4.6051701859880918</v>
      </c>
      <c r="X37" s="42"/>
      <c r="Y37" s="42"/>
    </row>
    <row r="38" spans="1:30" x14ac:dyDescent="0.25">
      <c r="A38" s="41" t="s">
        <v>67</v>
      </c>
      <c r="B38" s="41" t="s">
        <v>72</v>
      </c>
      <c r="C38" s="41">
        <v>135</v>
      </c>
      <c r="D38" s="41">
        <v>6811701.2659499096</v>
      </c>
      <c r="E38" s="41">
        <v>1781938.07852178</v>
      </c>
      <c r="F38" s="41">
        <v>3.8226363463766302</v>
      </c>
      <c r="G38" s="41">
        <v>100</v>
      </c>
      <c r="H38" s="41">
        <v>0</v>
      </c>
      <c r="I38" s="46">
        <v>4.6051701859880918</v>
      </c>
      <c r="J38" s="43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>
        <v>13</v>
      </c>
      <c r="V38" s="41">
        <v>0</v>
      </c>
      <c r="W38" s="41">
        <v>4.6051701859880918</v>
      </c>
      <c r="X38" s="41"/>
      <c r="Y38" s="41"/>
    </row>
    <row r="39" spans="1:30" x14ac:dyDescent="0.25">
      <c r="A39" s="42" t="s">
        <v>68</v>
      </c>
      <c r="B39" s="42" t="s">
        <v>72</v>
      </c>
      <c r="C39" s="42">
        <v>135</v>
      </c>
      <c r="D39" s="42">
        <v>7038549.1472942401</v>
      </c>
      <c r="E39" s="42">
        <v>1824901.02066284</v>
      </c>
      <c r="F39" s="42">
        <v>3.8569484413667898</v>
      </c>
      <c r="G39" s="42">
        <v>100</v>
      </c>
      <c r="H39" s="42">
        <v>0</v>
      </c>
      <c r="I39" s="45">
        <v>4.6051701859880918</v>
      </c>
      <c r="J39" s="44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>
        <v>14</v>
      </c>
      <c r="V39" s="42" t="s">
        <v>564</v>
      </c>
      <c r="W39" s="42" t="s">
        <v>564</v>
      </c>
      <c r="X39" s="42"/>
      <c r="Y39" s="42"/>
    </row>
    <row r="40" spans="1:30" x14ac:dyDescent="0.25">
      <c r="A40" s="41" t="s">
        <v>69</v>
      </c>
      <c r="B40" s="41" t="s">
        <v>72</v>
      </c>
      <c r="C40" s="41">
        <v>135</v>
      </c>
      <c r="D40" s="41">
        <v>1664479.3892889901</v>
      </c>
      <c r="E40" s="41">
        <v>107583.765186235</v>
      </c>
      <c r="F40" s="41">
        <v>15.4714736596887</v>
      </c>
      <c r="G40" s="41">
        <v>100</v>
      </c>
      <c r="H40" s="41">
        <v>0</v>
      </c>
      <c r="I40" s="46">
        <v>4.6051701859880918</v>
      </c>
      <c r="J40" s="43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>
        <v>15</v>
      </c>
      <c r="V40" s="41" t="s">
        <v>564</v>
      </c>
      <c r="W40" s="41" t="s">
        <v>564</v>
      </c>
      <c r="X40" s="41"/>
      <c r="Y40" s="41"/>
    </row>
    <row r="41" spans="1:30" x14ac:dyDescent="0.25">
      <c r="A41" s="42" t="s">
        <v>70</v>
      </c>
      <c r="B41" s="42" t="s">
        <v>72</v>
      </c>
      <c r="C41" s="42">
        <v>135</v>
      </c>
      <c r="D41" s="42">
        <v>7727690.6604058398</v>
      </c>
      <c r="E41" s="42">
        <v>2811464.7858560998</v>
      </c>
      <c r="F41" s="42">
        <v>2.7486350529027601</v>
      </c>
      <c r="G41" s="48">
        <v>35.617832236188335</v>
      </c>
      <c r="H41" s="42"/>
      <c r="I41" s="42"/>
      <c r="J41" s="44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</row>
    <row r="42" spans="1:30" x14ac:dyDescent="0.25">
      <c r="A42" s="73" t="s">
        <v>71</v>
      </c>
      <c r="B42" s="73" t="s">
        <v>72</v>
      </c>
      <c r="C42" s="73">
        <v>135</v>
      </c>
      <c r="D42" s="73">
        <v>6578028.5956756901</v>
      </c>
      <c r="E42" s="73">
        <v>2947222.8123079902</v>
      </c>
      <c r="F42" s="73">
        <v>2.2319413952026101</v>
      </c>
      <c r="G42" s="73">
        <v>28.922324224664216</v>
      </c>
      <c r="H42" s="73"/>
      <c r="I42" s="73"/>
      <c r="J42" s="75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</row>
    <row r="43" spans="1:30" ht="15.75" thickBot="1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4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</row>
    <row r="44" spans="1:30" ht="16.5" thickTop="1" thickBot="1" x14ac:dyDescent="0.3">
      <c r="A44" s="41" t="s">
        <v>116</v>
      </c>
      <c r="B44" s="50" t="s">
        <v>115</v>
      </c>
      <c r="C44" s="41">
        <v>91</v>
      </c>
      <c r="D44" s="41" t="s">
        <v>32</v>
      </c>
      <c r="E44" s="41">
        <v>535785.55124895996</v>
      </c>
      <c r="F44" s="107">
        <v>0</v>
      </c>
      <c r="G44" s="50" t="s">
        <v>557</v>
      </c>
      <c r="H44" s="41"/>
      <c r="I44" s="41"/>
      <c r="J44" s="43"/>
      <c r="K44" s="41"/>
      <c r="L44" s="41"/>
      <c r="M44" s="41"/>
      <c r="N44" s="41"/>
      <c r="O44" s="41"/>
      <c r="P44" s="41"/>
      <c r="Q44" s="41"/>
      <c r="R44" s="50" t="s">
        <v>288</v>
      </c>
      <c r="S44" s="41"/>
      <c r="T44" s="41">
        <v>3</v>
      </c>
      <c r="U44" s="41"/>
      <c r="V44" s="41"/>
      <c r="W44" s="41"/>
      <c r="X44" s="41"/>
      <c r="Y44" s="41"/>
      <c r="Z44" s="10" t="s">
        <v>16</v>
      </c>
      <c r="AA44" s="10" t="s">
        <v>18</v>
      </c>
      <c r="AB44" s="10" t="s">
        <v>19</v>
      </c>
      <c r="AC44" s="10" t="s">
        <v>20</v>
      </c>
      <c r="AD44" s="10" t="s">
        <v>21</v>
      </c>
    </row>
    <row r="45" spans="1:30" ht="15.75" thickTop="1" x14ac:dyDescent="0.25">
      <c r="A45" s="42" t="s">
        <v>117</v>
      </c>
      <c r="B45" s="42" t="s">
        <v>115</v>
      </c>
      <c r="C45" s="42">
        <v>91</v>
      </c>
      <c r="D45" s="42" t="s">
        <v>32</v>
      </c>
      <c r="E45" s="42">
        <v>1314081.40024331</v>
      </c>
      <c r="F45" s="108">
        <v>0</v>
      </c>
      <c r="G45" s="51"/>
      <c r="H45" s="42"/>
      <c r="I45" s="42"/>
      <c r="J45" s="44"/>
      <c r="K45" s="42"/>
      <c r="L45" s="42"/>
      <c r="M45" s="42"/>
      <c r="N45" s="42"/>
      <c r="O45" s="42"/>
      <c r="P45" s="42"/>
      <c r="Q45" s="42"/>
      <c r="R45" s="42" t="s">
        <v>16</v>
      </c>
      <c r="S45" s="42"/>
      <c r="T45" s="42">
        <v>43</v>
      </c>
      <c r="U45" s="42"/>
      <c r="V45" s="42"/>
      <c r="W45" s="42"/>
      <c r="X45" s="42"/>
      <c r="Y45" s="42"/>
      <c r="Z45" s="11">
        <v>120</v>
      </c>
      <c r="AA45" s="12" t="s">
        <v>569</v>
      </c>
      <c r="AB45" s="16" t="s">
        <v>570</v>
      </c>
      <c r="AC45" s="16" t="s">
        <v>571</v>
      </c>
      <c r="AD45" s="12" t="s">
        <v>564</v>
      </c>
    </row>
    <row r="46" spans="1:30" x14ac:dyDescent="0.25">
      <c r="A46" s="41" t="s">
        <v>35</v>
      </c>
      <c r="B46" s="41" t="s">
        <v>115</v>
      </c>
      <c r="C46" s="41">
        <v>91</v>
      </c>
      <c r="D46" s="41" t="s">
        <v>32</v>
      </c>
      <c r="E46" s="41">
        <v>1532416.1873884399</v>
      </c>
      <c r="F46" s="41">
        <v>0</v>
      </c>
      <c r="G46" s="41"/>
      <c r="H46" s="41"/>
      <c r="I46" s="41"/>
      <c r="J46" s="43"/>
      <c r="K46" s="41"/>
      <c r="L46" s="41"/>
      <c r="M46" s="41"/>
      <c r="N46" s="41"/>
      <c r="O46" s="41"/>
      <c r="P46" s="41"/>
      <c r="Q46" s="41"/>
      <c r="R46" s="41" t="s">
        <v>17</v>
      </c>
      <c r="S46" s="41"/>
      <c r="T46" s="41">
        <v>57</v>
      </c>
      <c r="U46" s="41"/>
      <c r="V46" s="41"/>
      <c r="W46" s="41"/>
      <c r="X46" s="41"/>
      <c r="Y46" s="41"/>
      <c r="Z46" s="11">
        <v>60</v>
      </c>
      <c r="AA46" s="12" t="s">
        <v>572</v>
      </c>
      <c r="AB46" s="12" t="s">
        <v>573</v>
      </c>
      <c r="AC46" s="12" t="s">
        <v>574</v>
      </c>
      <c r="AD46" s="12" t="s">
        <v>564</v>
      </c>
    </row>
    <row r="47" spans="1:30" x14ac:dyDescent="0.25">
      <c r="A47" s="42" t="s">
        <v>261</v>
      </c>
      <c r="B47" s="42" t="s">
        <v>115</v>
      </c>
      <c r="C47" s="42">
        <v>91</v>
      </c>
      <c r="D47" s="42">
        <v>5743.5212493381396</v>
      </c>
      <c r="E47" s="42">
        <v>1740365.9375829</v>
      </c>
      <c r="F47" s="42">
        <v>3.3001802237719998E-3</v>
      </c>
      <c r="G47" s="42">
        <v>2.5540586067531623</v>
      </c>
      <c r="H47" s="42">
        <v>120</v>
      </c>
      <c r="I47" s="45" t="s">
        <v>575</v>
      </c>
      <c r="J47" s="44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 t="s">
        <v>564</v>
      </c>
      <c r="V47" s="42">
        <v>30</v>
      </c>
      <c r="W47" s="42">
        <v>1.1221700281811955</v>
      </c>
      <c r="X47" s="42"/>
      <c r="Y47" s="42"/>
      <c r="Z47" s="11">
        <v>30</v>
      </c>
      <c r="AA47" s="15">
        <v>3.071512244741452E-2</v>
      </c>
      <c r="AB47" s="12">
        <v>3.6959472026930354E-2</v>
      </c>
      <c r="AC47" s="12">
        <v>2.2435150349019016E-2</v>
      </c>
      <c r="AD47" s="12">
        <v>3.0036581607787965E-2</v>
      </c>
    </row>
    <row r="48" spans="1:30" x14ac:dyDescent="0.25">
      <c r="A48" s="41" t="s">
        <v>263</v>
      </c>
      <c r="B48" s="41" t="s">
        <v>115</v>
      </c>
      <c r="C48" s="41">
        <v>91</v>
      </c>
      <c r="D48" s="41">
        <v>5689.9824407345704</v>
      </c>
      <c r="E48" s="41">
        <v>1518043.8485701701</v>
      </c>
      <c r="F48" s="41">
        <v>3.7482332582779998E-3</v>
      </c>
      <c r="G48" s="41">
        <v>2.9008135205663121</v>
      </c>
      <c r="H48" s="41">
        <v>120</v>
      </c>
      <c r="I48" s="46" t="s">
        <v>576</v>
      </c>
      <c r="J48" s="43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 t="s">
        <v>564</v>
      </c>
      <c r="V48" s="41">
        <v>30</v>
      </c>
      <c r="W48" s="41">
        <v>1.3072368686917557</v>
      </c>
      <c r="X48" s="41"/>
      <c r="Y48" s="41"/>
      <c r="Z48" s="11">
        <v>15</v>
      </c>
      <c r="AA48" s="15" t="s">
        <v>577</v>
      </c>
      <c r="AB48" s="12" t="s">
        <v>578</v>
      </c>
      <c r="AC48" s="12">
        <v>0.16007860388194209</v>
      </c>
      <c r="AD48" s="12">
        <v>0.16007860388194209</v>
      </c>
    </row>
    <row r="49" spans="1:30" ht="15.75" thickBot="1" x14ac:dyDescent="0.3">
      <c r="A49" s="42" t="s">
        <v>265</v>
      </c>
      <c r="B49" s="42" t="s">
        <v>115</v>
      </c>
      <c r="C49" s="42">
        <v>91</v>
      </c>
      <c r="D49" s="42">
        <v>3161.4891890325898</v>
      </c>
      <c r="E49" s="42">
        <v>1493438.3088529599</v>
      </c>
      <c r="F49" s="42">
        <v>2.1169198421469998E-3</v>
      </c>
      <c r="G49" s="42">
        <v>1.6383157815733966</v>
      </c>
      <c r="H49" s="42">
        <v>120</v>
      </c>
      <c r="I49" s="45" t="s">
        <v>579</v>
      </c>
      <c r="J49" s="44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 t="s">
        <v>564</v>
      </c>
      <c r="V49" s="42">
        <v>30</v>
      </c>
      <c r="W49" s="42">
        <v>0.80804384795006923</v>
      </c>
      <c r="X49" s="42"/>
      <c r="Y49" s="42"/>
      <c r="Z49" s="13">
        <v>0</v>
      </c>
      <c r="AA49" s="14">
        <v>1</v>
      </c>
      <c r="AB49" s="14">
        <v>1</v>
      </c>
      <c r="AC49" s="14">
        <v>1</v>
      </c>
      <c r="AD49" s="14">
        <v>1</v>
      </c>
    </row>
    <row r="50" spans="1:30" ht="16.5" thickTop="1" thickBot="1" x14ac:dyDescent="0.3">
      <c r="A50" s="41" t="s">
        <v>279</v>
      </c>
      <c r="B50" s="41" t="s">
        <v>115</v>
      </c>
      <c r="C50" s="41">
        <v>91</v>
      </c>
      <c r="D50" s="41">
        <v>4986.7793273909701</v>
      </c>
      <c r="E50" s="41">
        <v>1444148.4716815399</v>
      </c>
      <c r="F50" s="41">
        <v>3.4530932415729998E-3</v>
      </c>
      <c r="G50" s="41">
        <v>2.6724002677285315</v>
      </c>
      <c r="H50" s="41">
        <v>60</v>
      </c>
      <c r="I50" s="46" t="s">
        <v>580</v>
      </c>
      <c r="J50" s="43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 t="s">
        <v>564</v>
      </c>
      <c r="V50" s="41">
        <v>15</v>
      </c>
      <c r="W50" s="41">
        <v>2.7730798758662276</v>
      </c>
      <c r="X50" s="41"/>
      <c r="Y50" s="41"/>
    </row>
    <row r="51" spans="1:30" x14ac:dyDescent="0.25">
      <c r="A51" s="42" t="s">
        <v>281</v>
      </c>
      <c r="B51" s="42" t="s">
        <v>115</v>
      </c>
      <c r="C51" s="42">
        <v>91</v>
      </c>
      <c r="D51" s="42">
        <v>6263.2187403462503</v>
      </c>
      <c r="E51" s="42">
        <v>1415377.07845064</v>
      </c>
      <c r="F51" s="42">
        <v>4.4251237608019999E-3</v>
      </c>
      <c r="G51" s="42">
        <v>3.4246691577063082</v>
      </c>
      <c r="H51" s="42">
        <v>60</v>
      </c>
      <c r="I51" s="45" t="s">
        <v>581</v>
      </c>
      <c r="J51" s="44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 t="s">
        <v>564</v>
      </c>
      <c r="V51" s="42">
        <v>0</v>
      </c>
      <c r="W51" s="42">
        <v>4.6051701859880918</v>
      </c>
      <c r="X51" s="42"/>
      <c r="Y51" s="42"/>
      <c r="Z51" s="29" t="s">
        <v>22</v>
      </c>
      <c r="AA51" s="37">
        <v>-0.11753399792379174</v>
      </c>
    </row>
    <row r="52" spans="1:30" x14ac:dyDescent="0.25">
      <c r="A52" s="41" t="s">
        <v>283</v>
      </c>
      <c r="B52" s="41" t="s">
        <v>115</v>
      </c>
      <c r="C52" s="41">
        <v>91</v>
      </c>
      <c r="D52" s="41">
        <v>17040.405035184202</v>
      </c>
      <c r="E52" s="41">
        <v>1333965.4675658301</v>
      </c>
      <c r="F52" s="41">
        <v>1.2774247497035001E-2</v>
      </c>
      <c r="G52" s="41">
        <v>9.8861803151182492</v>
      </c>
      <c r="H52" s="41">
        <v>60</v>
      </c>
      <c r="I52" s="46" t="s">
        <v>582</v>
      </c>
      <c r="J52" s="43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 t="s">
        <v>564</v>
      </c>
      <c r="V52" s="41">
        <v>0</v>
      </c>
      <c r="W52" s="41">
        <v>4.6051701859880918</v>
      </c>
      <c r="X52" s="41"/>
      <c r="Y52" s="41"/>
      <c r="Z52" s="31" t="s">
        <v>23</v>
      </c>
      <c r="AA52" s="32">
        <v>4.5953015658073797</v>
      </c>
    </row>
    <row r="53" spans="1:30" ht="17.25" x14ac:dyDescent="0.25">
      <c r="A53" s="42" t="s">
        <v>273</v>
      </c>
      <c r="B53" s="42" t="s">
        <v>115</v>
      </c>
      <c r="C53" s="42">
        <v>91</v>
      </c>
      <c r="D53" s="42">
        <v>5751.37748877591</v>
      </c>
      <c r="E53" s="42">
        <v>1449148.27217949</v>
      </c>
      <c r="F53" s="42">
        <v>3.9687984999119998E-3</v>
      </c>
      <c r="G53" s="42">
        <v>3.0715122447414518</v>
      </c>
      <c r="H53" s="42">
        <v>30</v>
      </c>
      <c r="I53" s="45">
        <v>1.1221700281811955</v>
      </c>
      <c r="J53" s="44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>
        <v>7</v>
      </c>
      <c r="V53" s="42">
        <v>0</v>
      </c>
      <c r="W53" s="42">
        <v>4.6051701859880918</v>
      </c>
      <c r="X53" s="42"/>
      <c r="Y53" s="42"/>
      <c r="Z53" s="31" t="s">
        <v>24</v>
      </c>
      <c r="AA53" s="33">
        <v>0.99300008322473488</v>
      </c>
    </row>
    <row r="54" spans="1:30" ht="18" x14ac:dyDescent="0.35">
      <c r="A54" s="41" t="s">
        <v>275</v>
      </c>
      <c r="B54" s="41" t="s">
        <v>115</v>
      </c>
      <c r="C54" s="41">
        <v>91</v>
      </c>
      <c r="D54" s="41">
        <v>7043.1057698060004</v>
      </c>
      <c r="E54" s="41">
        <v>1474794.98782426</v>
      </c>
      <c r="F54" s="41">
        <v>4.775650736511E-3</v>
      </c>
      <c r="G54" s="41">
        <v>3.6959472026930356</v>
      </c>
      <c r="H54" s="41">
        <v>30</v>
      </c>
      <c r="I54" s="46">
        <v>1.3072368686917557</v>
      </c>
      <c r="J54" s="43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>
        <v>8</v>
      </c>
      <c r="V54" s="41" t="s">
        <v>564</v>
      </c>
      <c r="W54" s="41" t="s">
        <v>564</v>
      </c>
      <c r="X54" s="41"/>
      <c r="Y54" s="41"/>
      <c r="Z54" s="31" t="s">
        <v>25</v>
      </c>
      <c r="AA54" s="38">
        <v>5.8974185580701279</v>
      </c>
    </row>
    <row r="55" spans="1:30" ht="18.75" x14ac:dyDescent="0.35">
      <c r="A55" s="42" t="s">
        <v>277</v>
      </c>
      <c r="B55" s="42" t="s">
        <v>115</v>
      </c>
      <c r="C55" s="42">
        <v>91</v>
      </c>
      <c r="D55" s="42">
        <v>4187.7300280264999</v>
      </c>
      <c r="E55" s="42">
        <v>1444584.3077863301</v>
      </c>
      <c r="F55" s="42">
        <v>2.8989170140189999E-3</v>
      </c>
      <c r="G55" s="42">
        <v>2.2435150349019017</v>
      </c>
      <c r="H55" s="42">
        <v>30</v>
      </c>
      <c r="I55" s="45">
        <v>0.80804384795006923</v>
      </c>
      <c r="J55" s="44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>
        <v>9</v>
      </c>
      <c r="V55" s="42" t="s">
        <v>564</v>
      </c>
      <c r="W55" s="42" t="s">
        <v>564</v>
      </c>
      <c r="X55" s="42"/>
      <c r="Y55" s="42"/>
      <c r="Z55" s="31" t="s">
        <v>26</v>
      </c>
      <c r="AA55" s="38">
        <v>235.06799584758349</v>
      </c>
    </row>
    <row r="56" spans="1:30" ht="15.75" thickBot="1" x14ac:dyDescent="0.3">
      <c r="A56" s="41" t="s">
        <v>267</v>
      </c>
      <c r="B56" s="41" t="s">
        <v>115</v>
      </c>
      <c r="C56" s="41">
        <v>91</v>
      </c>
      <c r="D56" s="41">
        <v>9026.9778177946901</v>
      </c>
      <c r="E56" s="41">
        <v>1592403.90483569</v>
      </c>
      <c r="F56" s="41">
        <v>5.6687739777469999E-3</v>
      </c>
      <c r="G56" s="41">
        <v>4.3871485754965107</v>
      </c>
      <c r="H56" s="41">
        <v>15</v>
      </c>
      <c r="I56" s="46" t="s">
        <v>583</v>
      </c>
      <c r="J56" s="43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 t="s">
        <v>564</v>
      </c>
      <c r="V56" s="41" t="s">
        <v>564</v>
      </c>
      <c r="W56" s="41" t="s">
        <v>564</v>
      </c>
      <c r="X56" s="41"/>
      <c r="Y56" s="41"/>
      <c r="Z56" s="35" t="s">
        <v>10</v>
      </c>
      <c r="AA56" s="36" t="s">
        <v>289</v>
      </c>
    </row>
    <row r="57" spans="1:30" x14ac:dyDescent="0.25">
      <c r="A57" s="42" t="s">
        <v>269</v>
      </c>
      <c r="B57" s="42" t="s">
        <v>115</v>
      </c>
      <c r="C57" s="42">
        <v>91</v>
      </c>
      <c r="D57" s="42">
        <v>4598.2999799736699</v>
      </c>
      <c r="E57" s="42">
        <v>1617059.8068573701</v>
      </c>
      <c r="F57" s="42">
        <v>2.8436177564210002E-3</v>
      </c>
      <c r="G57" s="42">
        <v>2.2007181161767173</v>
      </c>
      <c r="H57" s="42">
        <v>15</v>
      </c>
      <c r="I57" s="45" t="s">
        <v>584</v>
      </c>
      <c r="J57" s="44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 t="s">
        <v>564</v>
      </c>
      <c r="V57" s="42" t="s">
        <v>564</v>
      </c>
      <c r="W57" s="42" t="s">
        <v>564</v>
      </c>
      <c r="X57" s="42"/>
      <c r="Y57" s="42"/>
    </row>
    <row r="58" spans="1:30" x14ac:dyDescent="0.25">
      <c r="A58" s="41" t="s">
        <v>271</v>
      </c>
      <c r="B58" s="41" t="s">
        <v>115</v>
      </c>
      <c r="C58" s="41">
        <v>91</v>
      </c>
      <c r="D58" s="41">
        <v>14308.5628283279</v>
      </c>
      <c r="E58" s="41">
        <v>691760.76775124401</v>
      </c>
      <c r="F58" s="41">
        <v>2.0684264698679001E-2</v>
      </c>
      <c r="G58" s="41">
        <v>16.00786038819421</v>
      </c>
      <c r="H58" s="41">
        <v>15</v>
      </c>
      <c r="I58" s="46">
        <v>2.7730798758662276</v>
      </c>
      <c r="J58" s="43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>
        <v>12</v>
      </c>
      <c r="V58" s="41" t="s">
        <v>564</v>
      </c>
      <c r="W58" s="41" t="s">
        <v>564</v>
      </c>
      <c r="X58" s="41"/>
      <c r="Y58" s="41"/>
    </row>
    <row r="59" spans="1:30" x14ac:dyDescent="0.25">
      <c r="A59" s="42" t="s">
        <v>255</v>
      </c>
      <c r="B59" s="42" t="s">
        <v>115</v>
      </c>
      <c r="C59" s="42">
        <v>91</v>
      </c>
      <c r="D59" s="42">
        <v>24566.022208359202</v>
      </c>
      <c r="E59" s="42">
        <v>162942.976923476</v>
      </c>
      <c r="F59" s="42">
        <v>0.150764535374214</v>
      </c>
      <c r="G59" s="42">
        <v>100</v>
      </c>
      <c r="H59" s="42">
        <v>0</v>
      </c>
      <c r="I59" s="45">
        <v>4.6051701859880918</v>
      </c>
      <c r="J59" s="44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>
        <v>13</v>
      </c>
      <c r="V59" s="42" t="s">
        <v>564</v>
      </c>
      <c r="W59" s="42" t="s">
        <v>564</v>
      </c>
      <c r="X59" s="42"/>
      <c r="Y59" s="42"/>
    </row>
    <row r="60" spans="1:30" x14ac:dyDescent="0.25">
      <c r="A60" s="41" t="s">
        <v>257</v>
      </c>
      <c r="B60" s="41" t="s">
        <v>115</v>
      </c>
      <c r="C60" s="41">
        <v>91</v>
      </c>
      <c r="D60" s="41">
        <v>25718.000683925799</v>
      </c>
      <c r="E60" s="41">
        <v>205476.94448648399</v>
      </c>
      <c r="F60" s="41">
        <v>0.12516246408179099</v>
      </c>
      <c r="G60" s="41">
        <v>100</v>
      </c>
      <c r="H60" s="41">
        <v>0</v>
      </c>
      <c r="I60" s="46">
        <v>4.6051701859880918</v>
      </c>
      <c r="J60" s="43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>
        <v>14</v>
      </c>
      <c r="V60" s="41" t="s">
        <v>564</v>
      </c>
      <c r="W60" s="41" t="s">
        <v>564</v>
      </c>
      <c r="X60" s="41"/>
      <c r="Y60" s="41"/>
    </row>
    <row r="61" spans="1:30" x14ac:dyDescent="0.25">
      <c r="A61" s="42" t="s">
        <v>259</v>
      </c>
      <c r="B61" s="42" t="s">
        <v>115</v>
      </c>
      <c r="C61" s="42">
        <v>91</v>
      </c>
      <c r="D61" s="42">
        <v>21668.0788016796</v>
      </c>
      <c r="E61" s="42">
        <v>193962.83939708001</v>
      </c>
      <c r="F61" s="42">
        <v>0.111712526322224</v>
      </c>
      <c r="G61" s="42">
        <v>100</v>
      </c>
      <c r="H61" s="42">
        <v>0</v>
      </c>
      <c r="I61" s="45">
        <v>4.6051701859880918</v>
      </c>
      <c r="J61" s="44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>
        <v>15</v>
      </c>
      <c r="V61" s="42" t="s">
        <v>564</v>
      </c>
      <c r="W61" s="42" t="s">
        <v>564</v>
      </c>
      <c r="X61" s="42"/>
      <c r="Y61" s="42"/>
    </row>
    <row r="62" spans="1:30" x14ac:dyDescent="0.25">
      <c r="A62" s="70" t="s">
        <v>285</v>
      </c>
      <c r="B62" s="70" t="s">
        <v>115</v>
      </c>
      <c r="C62" s="70">
        <v>91</v>
      </c>
      <c r="D62" s="70">
        <v>25420.030590385901</v>
      </c>
      <c r="E62" s="70">
        <v>302030.45341216098</v>
      </c>
      <c r="F62" s="70">
        <v>8.4163799720211999E-2</v>
      </c>
      <c r="G62" s="70">
        <v>65.135617595685531</v>
      </c>
      <c r="H62" s="70"/>
      <c r="I62" s="71"/>
      <c r="J62" s="72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</row>
    <row r="63" spans="1:30" x14ac:dyDescent="0.25">
      <c r="A63" s="42" t="s">
        <v>287</v>
      </c>
      <c r="B63" s="42" t="s">
        <v>115</v>
      </c>
      <c r="C63" s="42">
        <v>91</v>
      </c>
      <c r="D63" s="42">
        <v>19953.883027406599</v>
      </c>
      <c r="E63" s="42">
        <v>274237.77131890203</v>
      </c>
      <c r="F63" s="42">
        <v>7.2761249959995E-2</v>
      </c>
      <c r="G63" s="42">
        <v>56.311014580300188</v>
      </c>
      <c r="H63" s="42"/>
      <c r="I63" s="45"/>
      <c r="J63" s="44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</row>
    <row r="64" spans="1:30" ht="15.75" thickBot="1" x14ac:dyDescent="0.3">
      <c r="A64" s="41"/>
      <c r="B64" s="41"/>
      <c r="C64" s="41"/>
      <c r="D64" s="41"/>
      <c r="E64" s="41"/>
      <c r="F64" s="41"/>
      <c r="G64" s="41"/>
      <c r="H64" s="41"/>
      <c r="I64" s="41"/>
      <c r="J64" s="43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</row>
    <row r="65" spans="1:30" ht="16.5" thickTop="1" thickBot="1" x14ac:dyDescent="0.3">
      <c r="A65" s="41" t="s">
        <v>33</v>
      </c>
      <c r="B65" s="76" t="s">
        <v>290</v>
      </c>
      <c r="C65" s="41">
        <v>56</v>
      </c>
      <c r="D65" s="41" t="s">
        <v>32</v>
      </c>
      <c r="E65" s="41">
        <v>1614810.53299363</v>
      </c>
      <c r="F65" s="41">
        <v>0</v>
      </c>
      <c r="G65" s="41"/>
      <c r="H65" s="41"/>
      <c r="I65" s="41"/>
      <c r="J65" s="43"/>
      <c r="K65" s="41"/>
      <c r="L65" s="41"/>
      <c r="M65" s="41"/>
      <c r="N65" s="41"/>
      <c r="O65" s="41"/>
      <c r="P65" s="41"/>
      <c r="Q65" s="41"/>
      <c r="R65" s="50" t="s">
        <v>291</v>
      </c>
      <c r="S65" s="41"/>
      <c r="T65" s="41">
        <v>5</v>
      </c>
      <c r="U65" s="41"/>
      <c r="V65" s="41"/>
      <c r="W65" s="41"/>
      <c r="X65" s="41"/>
      <c r="Y65" s="41"/>
      <c r="Z65" s="10" t="s">
        <v>16</v>
      </c>
      <c r="AA65" s="10" t="s">
        <v>18</v>
      </c>
      <c r="AB65" s="10" t="s">
        <v>19</v>
      </c>
      <c r="AC65" s="10" t="s">
        <v>20</v>
      </c>
      <c r="AD65" s="10" t="s">
        <v>21</v>
      </c>
    </row>
    <row r="66" spans="1:30" ht="15.75" thickTop="1" x14ac:dyDescent="0.25">
      <c r="A66" s="42" t="s">
        <v>34</v>
      </c>
      <c r="B66" s="42" t="s">
        <v>290</v>
      </c>
      <c r="C66" s="42">
        <v>56</v>
      </c>
      <c r="D66" s="42" t="s">
        <v>32</v>
      </c>
      <c r="E66" s="42">
        <v>1438754.3494833999</v>
      </c>
      <c r="F66" s="42">
        <v>0</v>
      </c>
      <c r="G66" s="42"/>
      <c r="H66" s="42"/>
      <c r="I66" s="42"/>
      <c r="J66" s="44"/>
      <c r="K66" s="42"/>
      <c r="L66" s="42"/>
      <c r="M66" s="42"/>
      <c r="N66" s="42"/>
      <c r="O66" s="42"/>
      <c r="P66" s="42"/>
      <c r="Q66" s="42"/>
      <c r="R66" s="42" t="s">
        <v>16</v>
      </c>
      <c r="S66" s="42"/>
      <c r="T66" s="42">
        <v>81</v>
      </c>
      <c r="U66" s="42"/>
      <c r="V66" s="42"/>
      <c r="W66" s="42"/>
      <c r="X66" s="42"/>
      <c r="Y66" s="42"/>
      <c r="Z66" s="11">
        <v>120</v>
      </c>
      <c r="AA66" s="12">
        <v>1.1894514313832636</v>
      </c>
      <c r="AB66" s="12">
        <v>1.2107780348354507</v>
      </c>
      <c r="AC66" s="12">
        <v>0.88935488497811055</v>
      </c>
      <c r="AD66" s="12">
        <v>1.0965281170656083</v>
      </c>
    </row>
    <row r="67" spans="1:30" x14ac:dyDescent="0.25">
      <c r="A67" s="41" t="s">
        <v>35</v>
      </c>
      <c r="B67" s="41" t="s">
        <v>290</v>
      </c>
      <c r="C67" s="41">
        <v>56</v>
      </c>
      <c r="D67" s="41" t="s">
        <v>32</v>
      </c>
      <c r="E67" s="41">
        <v>1834176.57378164</v>
      </c>
      <c r="F67" s="41">
        <v>0</v>
      </c>
      <c r="G67" s="41"/>
      <c r="H67" s="41"/>
      <c r="I67" s="41"/>
      <c r="J67" s="43"/>
      <c r="K67" s="41"/>
      <c r="L67" s="41"/>
      <c r="M67" s="41"/>
      <c r="N67" s="41"/>
      <c r="O67" s="41"/>
      <c r="P67" s="41"/>
      <c r="Q67" s="41"/>
      <c r="R67" s="41" t="s">
        <v>17</v>
      </c>
      <c r="S67" s="41"/>
      <c r="T67" s="41">
        <v>95</v>
      </c>
      <c r="U67" s="41"/>
      <c r="V67" s="41"/>
      <c r="W67" s="41"/>
      <c r="X67" s="41"/>
      <c r="Y67" s="41"/>
      <c r="Z67" s="11">
        <v>60</v>
      </c>
      <c r="AA67" s="12">
        <v>1.1358049369899035</v>
      </c>
      <c r="AB67" s="12">
        <v>1.1052795586490545</v>
      </c>
      <c r="AC67" s="12">
        <v>0.77492071784638572</v>
      </c>
      <c r="AD67" s="12">
        <v>1.0053350711617812</v>
      </c>
    </row>
    <row r="68" spans="1:30" x14ac:dyDescent="0.25">
      <c r="A68" s="42" t="s">
        <v>193</v>
      </c>
      <c r="B68" s="42" t="s">
        <v>290</v>
      </c>
      <c r="C68" s="42">
        <v>56</v>
      </c>
      <c r="D68" s="42">
        <v>220925.89104729</v>
      </c>
      <c r="E68" s="42">
        <v>1933552.9617677999</v>
      </c>
      <c r="F68" s="42">
        <v>0.114259032680078</v>
      </c>
      <c r="G68" s="42">
        <v>118.94514313832636</v>
      </c>
      <c r="H68" s="42">
        <v>120</v>
      </c>
      <c r="I68" s="45">
        <v>4.7786624047957771</v>
      </c>
      <c r="J68" s="44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>
        <v>1</v>
      </c>
      <c r="V68" s="42">
        <v>120</v>
      </c>
      <c r="W68" s="42">
        <v>4.7786624047957771</v>
      </c>
      <c r="X68" s="42"/>
      <c r="Y68" s="42"/>
      <c r="Z68" s="11">
        <v>30</v>
      </c>
      <c r="AA68" s="15">
        <v>0.79214792045901861</v>
      </c>
      <c r="AB68" s="12">
        <v>1.1657365690568355</v>
      </c>
      <c r="AC68" s="12">
        <v>0.68059496782086004</v>
      </c>
      <c r="AD68" s="15">
        <v>0.87949315244557136</v>
      </c>
    </row>
    <row r="69" spans="1:30" x14ac:dyDescent="0.25">
      <c r="A69" s="41" t="s">
        <v>195</v>
      </c>
      <c r="B69" s="41" t="s">
        <v>290</v>
      </c>
      <c r="C69" s="41">
        <v>56</v>
      </c>
      <c r="D69" s="41">
        <v>161021.588191927</v>
      </c>
      <c r="E69" s="41">
        <v>1630710.5579621899</v>
      </c>
      <c r="F69" s="41">
        <v>9.8743205779662002E-2</v>
      </c>
      <c r="G69" s="41">
        <v>121.07780348354507</v>
      </c>
      <c r="H69" s="41">
        <v>120</v>
      </c>
      <c r="I69" s="46">
        <v>4.7964333429544865</v>
      </c>
      <c r="J69" s="43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>
        <v>2</v>
      </c>
      <c r="V69" s="41">
        <v>120</v>
      </c>
      <c r="W69" s="41">
        <v>4.7964333429544865</v>
      </c>
      <c r="X69" s="41"/>
      <c r="Y69" s="41"/>
      <c r="Z69" s="11">
        <v>15</v>
      </c>
      <c r="AA69" s="15">
        <v>0.70313116451374935</v>
      </c>
      <c r="AB69" s="12">
        <v>0.79945766115405958</v>
      </c>
      <c r="AC69" s="12">
        <v>0.66421624960441361</v>
      </c>
      <c r="AD69" s="15">
        <v>0.72226835842407422</v>
      </c>
    </row>
    <row r="70" spans="1:30" ht="15.75" thickBot="1" x14ac:dyDescent="0.3">
      <c r="A70" s="42" t="s">
        <v>197</v>
      </c>
      <c r="B70" s="42" t="s">
        <v>290</v>
      </c>
      <c r="C70" s="42">
        <v>56</v>
      </c>
      <c r="D70" s="42">
        <v>178366.687350778</v>
      </c>
      <c r="E70" s="42">
        <v>1514660.27061933</v>
      </c>
      <c r="F70" s="42">
        <v>0.117760194025453</v>
      </c>
      <c r="G70" s="42">
        <v>88.93548849781105</v>
      </c>
      <c r="H70" s="42">
        <v>120</v>
      </c>
      <c r="I70" s="45">
        <v>4.4879112585633649</v>
      </c>
      <c r="J70" s="44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>
        <v>3</v>
      </c>
      <c r="V70" s="42">
        <v>120</v>
      </c>
      <c r="W70" s="42">
        <v>4.4879112585633649</v>
      </c>
      <c r="X70" s="42"/>
      <c r="Y70" s="42"/>
      <c r="Z70" s="13">
        <v>0</v>
      </c>
      <c r="AA70" s="14">
        <v>1</v>
      </c>
      <c r="AB70" s="14">
        <v>1</v>
      </c>
      <c r="AC70" s="14">
        <v>1</v>
      </c>
      <c r="AD70" s="14">
        <v>1</v>
      </c>
    </row>
    <row r="71" spans="1:30" ht="16.5" thickTop="1" thickBot="1" x14ac:dyDescent="0.3">
      <c r="A71" s="41" t="s">
        <v>211</v>
      </c>
      <c r="B71" s="41" t="s">
        <v>290</v>
      </c>
      <c r="C71" s="41">
        <v>56</v>
      </c>
      <c r="D71" s="41">
        <v>162091.020728125</v>
      </c>
      <c r="E71" s="41">
        <v>1485632.4444957401</v>
      </c>
      <c r="F71" s="41">
        <v>0.109105735627054</v>
      </c>
      <c r="G71" s="41">
        <v>113.58049369899035</v>
      </c>
      <c r="H71" s="41">
        <v>60</v>
      </c>
      <c r="I71" s="46">
        <v>4.7325117811469211</v>
      </c>
      <c r="J71" s="43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>
        <v>4</v>
      </c>
      <c r="V71" s="41">
        <v>60</v>
      </c>
      <c r="W71" s="41">
        <v>4.7325117811469211</v>
      </c>
      <c r="X71" s="41"/>
      <c r="Y71" s="41"/>
    </row>
    <row r="72" spans="1:30" x14ac:dyDescent="0.25">
      <c r="A72" s="42" t="s">
        <v>213</v>
      </c>
      <c r="B72" s="42" t="s">
        <v>290</v>
      </c>
      <c r="C72" s="42">
        <v>56</v>
      </c>
      <c r="D72" s="42">
        <v>135930.04845000099</v>
      </c>
      <c r="E72" s="42">
        <v>1507997.57929038</v>
      </c>
      <c r="F72" s="42">
        <v>9.0139434118962997E-2</v>
      </c>
      <c r="G72" s="42">
        <v>110.52795586490545</v>
      </c>
      <c r="H72" s="42">
        <v>60</v>
      </c>
      <c r="I72" s="45">
        <v>4.7052684832126968</v>
      </c>
      <c r="J72" s="44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>
        <v>5</v>
      </c>
      <c r="V72" s="42">
        <v>60</v>
      </c>
      <c r="W72" s="42">
        <v>4.7052684832126968</v>
      </c>
      <c r="X72" s="42"/>
      <c r="Y72" s="42"/>
      <c r="Z72" s="29" t="s">
        <v>22</v>
      </c>
      <c r="AA72" s="30">
        <v>2.0248508691063658E-3</v>
      </c>
    </row>
    <row r="73" spans="1:30" x14ac:dyDescent="0.25">
      <c r="A73" s="41" t="s">
        <v>215</v>
      </c>
      <c r="B73" s="41" t="s">
        <v>290</v>
      </c>
      <c r="C73" s="41">
        <v>56</v>
      </c>
      <c r="D73" s="41">
        <v>154467.98941043401</v>
      </c>
      <c r="E73" s="41">
        <v>1505420.4244231901</v>
      </c>
      <c r="F73" s="41">
        <v>0.102607874122353</v>
      </c>
      <c r="G73" s="41">
        <v>77.492071784638568</v>
      </c>
      <c r="H73" s="41">
        <v>60</v>
      </c>
      <c r="I73" s="46">
        <v>4.3501756315732942</v>
      </c>
      <c r="J73" s="43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>
        <v>6</v>
      </c>
      <c r="V73" s="41">
        <v>60</v>
      </c>
      <c r="W73" s="41">
        <v>4.3501756315732942</v>
      </c>
      <c r="X73" s="41"/>
      <c r="Y73" s="41"/>
      <c r="Z73" s="31" t="s">
        <v>23</v>
      </c>
      <c r="AA73" s="32">
        <v>4.4320731527542314</v>
      </c>
    </row>
    <row r="74" spans="1:30" ht="17.25" x14ac:dyDescent="0.25">
      <c r="A74" s="42" t="s">
        <v>205</v>
      </c>
      <c r="B74" s="42" t="s">
        <v>290</v>
      </c>
      <c r="C74" s="42">
        <v>56</v>
      </c>
      <c r="D74" s="42">
        <v>116703.870170996</v>
      </c>
      <c r="E74" s="42">
        <v>1533681.37077881</v>
      </c>
      <c r="F74" s="42">
        <v>7.6093947800731004E-2</v>
      </c>
      <c r="G74" s="42">
        <v>79.214792045901859</v>
      </c>
      <c r="H74" s="42">
        <v>30</v>
      </c>
      <c r="I74" s="45">
        <v>4.3721630496376971</v>
      </c>
      <c r="J74" s="44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>
        <v>7</v>
      </c>
      <c r="V74" s="42">
        <v>30</v>
      </c>
      <c r="W74" s="42">
        <v>4.3721630496376971</v>
      </c>
      <c r="X74" s="42"/>
      <c r="Y74" s="42"/>
      <c r="Z74" s="31" t="s">
        <v>24</v>
      </c>
      <c r="AA74" s="33">
        <v>0.17342946672966569</v>
      </c>
    </row>
    <row r="75" spans="1:30" ht="18" x14ac:dyDescent="0.35">
      <c r="A75" s="41" t="s">
        <v>207</v>
      </c>
      <c r="B75" s="41" t="s">
        <v>290</v>
      </c>
      <c r="C75" s="41">
        <v>56</v>
      </c>
      <c r="D75" s="41">
        <v>143388.526640622</v>
      </c>
      <c r="E75" s="41">
        <v>1508242.9106069501</v>
      </c>
      <c r="F75" s="41">
        <v>9.5069915881732997E-2</v>
      </c>
      <c r="G75" s="41">
        <v>116.57365690568355</v>
      </c>
      <c r="H75" s="41">
        <v>30</v>
      </c>
      <c r="I75" s="46">
        <v>4.7585233213385738</v>
      </c>
      <c r="J75" s="43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>
        <v>8</v>
      </c>
      <c r="V75" s="41">
        <v>30</v>
      </c>
      <c r="W75" s="41">
        <v>4.7585233213385738</v>
      </c>
      <c r="X75" s="41"/>
      <c r="Y75" s="41"/>
      <c r="Z75" s="31" t="s">
        <v>25</v>
      </c>
      <c r="AA75" s="34" t="s">
        <v>564</v>
      </c>
    </row>
    <row r="76" spans="1:30" ht="18.75" x14ac:dyDescent="0.35">
      <c r="A76" s="42" t="s">
        <v>209</v>
      </c>
      <c r="B76" s="42" t="s">
        <v>290</v>
      </c>
      <c r="C76" s="42">
        <v>56</v>
      </c>
      <c r="D76" s="42">
        <v>132880.95799999801</v>
      </c>
      <c r="E76" s="42">
        <v>1474519.7675181499</v>
      </c>
      <c r="F76" s="42">
        <v>9.0118125865249005E-2</v>
      </c>
      <c r="G76" s="42">
        <v>68.059496782086001</v>
      </c>
      <c r="H76" s="42">
        <v>30</v>
      </c>
      <c r="I76" s="45">
        <v>4.2203822753058722</v>
      </c>
      <c r="J76" s="44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>
        <v>9</v>
      </c>
      <c r="V76" s="42">
        <v>30</v>
      </c>
      <c r="W76" s="42">
        <v>4.2203822753058722</v>
      </c>
      <c r="X76" s="42"/>
      <c r="Y76" s="42"/>
      <c r="Z76" s="31" t="s">
        <v>26</v>
      </c>
      <c r="AA76" s="32">
        <v>0</v>
      </c>
    </row>
    <row r="77" spans="1:30" ht="15.75" thickBot="1" x14ac:dyDescent="0.3">
      <c r="A77" s="41" t="s">
        <v>199</v>
      </c>
      <c r="B77" s="41" t="s">
        <v>290</v>
      </c>
      <c r="C77" s="41">
        <v>56</v>
      </c>
      <c r="D77" s="41">
        <v>107359.648563814</v>
      </c>
      <c r="E77" s="41">
        <v>1589501.3609831</v>
      </c>
      <c r="F77" s="41">
        <v>6.7542973664025993E-2</v>
      </c>
      <c r="G77" s="41">
        <v>70.313116451374938</v>
      </c>
      <c r="H77" s="41">
        <v>15</v>
      </c>
      <c r="I77" s="46">
        <v>4.2529583596687504</v>
      </c>
      <c r="J77" s="43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>
        <v>10</v>
      </c>
      <c r="V77" s="41">
        <v>15</v>
      </c>
      <c r="W77" s="41">
        <v>4.2529583596687504</v>
      </c>
      <c r="X77" s="41"/>
      <c r="Y77" s="41"/>
      <c r="Z77" s="35" t="s">
        <v>10</v>
      </c>
      <c r="AA77" s="36" t="s">
        <v>27</v>
      </c>
    </row>
    <row r="78" spans="1:30" x14ac:dyDescent="0.25">
      <c r="A78" s="42" t="s">
        <v>201</v>
      </c>
      <c r="B78" s="42" t="s">
        <v>290</v>
      </c>
      <c r="C78" s="42">
        <v>56</v>
      </c>
      <c r="D78" s="42">
        <v>104774.199687499</v>
      </c>
      <c r="E78" s="42">
        <v>1607001.1750129799</v>
      </c>
      <c r="F78" s="42">
        <v>6.5198583122785994E-2</v>
      </c>
      <c r="G78" s="42">
        <v>79.945766115405959</v>
      </c>
      <c r="H78" s="42">
        <v>15</v>
      </c>
      <c r="I78" s="45">
        <v>4.3813484812223749</v>
      </c>
      <c r="J78" s="44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>
        <v>11</v>
      </c>
      <c r="V78" s="42">
        <v>15</v>
      </c>
      <c r="W78" s="42">
        <v>4.3813484812223749</v>
      </c>
      <c r="X78" s="42"/>
      <c r="Y78" s="42"/>
    </row>
    <row r="79" spans="1:30" x14ac:dyDescent="0.25">
      <c r="A79" s="41" t="s">
        <v>203</v>
      </c>
      <c r="B79" s="41" t="s">
        <v>290</v>
      </c>
      <c r="C79" s="41">
        <v>56</v>
      </c>
      <c r="D79" s="41">
        <v>138956.09118749999</v>
      </c>
      <c r="E79" s="41">
        <v>1579954.8455467899</v>
      </c>
      <c r="F79" s="41">
        <v>8.7949406642320996E-2</v>
      </c>
      <c r="G79" s="41">
        <v>66.421624960441363</v>
      </c>
      <c r="H79" s="41">
        <v>15</v>
      </c>
      <c r="I79" s="46">
        <v>4.1960226805761884</v>
      </c>
      <c r="J79" s="43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>
        <v>12</v>
      </c>
      <c r="V79" s="41">
        <v>15</v>
      </c>
      <c r="W79" s="41">
        <v>4.1960226805761884</v>
      </c>
      <c r="X79" s="41"/>
      <c r="Y79" s="41"/>
    </row>
    <row r="80" spans="1:30" x14ac:dyDescent="0.25">
      <c r="A80" s="42" t="s">
        <v>187</v>
      </c>
      <c r="B80" s="42" t="s">
        <v>290</v>
      </c>
      <c r="C80" s="42">
        <v>56</v>
      </c>
      <c r="D80" s="42">
        <v>137882.323167575</v>
      </c>
      <c r="E80" s="42">
        <v>1435372.9662085399</v>
      </c>
      <c r="F80" s="42">
        <v>9.6060275909880005E-2</v>
      </c>
      <c r="G80" s="42">
        <v>100</v>
      </c>
      <c r="H80" s="42">
        <v>0</v>
      </c>
      <c r="I80" s="45">
        <v>4.6051701859880918</v>
      </c>
      <c r="J80" s="44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>
        <v>13</v>
      </c>
      <c r="V80" s="42">
        <v>0</v>
      </c>
      <c r="W80" s="42">
        <v>4.6051701859880918</v>
      </c>
      <c r="X80" s="42"/>
      <c r="Y80" s="42"/>
    </row>
    <row r="81" spans="1:30" x14ac:dyDescent="0.25">
      <c r="A81" s="41" t="s">
        <v>189</v>
      </c>
      <c r="B81" s="41" t="s">
        <v>290</v>
      </c>
      <c r="C81" s="41">
        <v>56</v>
      </c>
      <c r="D81" s="41">
        <v>121681.84196365</v>
      </c>
      <c r="E81" s="41">
        <v>1492049.0004817301</v>
      </c>
      <c r="F81" s="41">
        <v>8.1553515953138006E-2</v>
      </c>
      <c r="G81" s="41">
        <v>100</v>
      </c>
      <c r="H81" s="41">
        <v>0</v>
      </c>
      <c r="I81" s="46">
        <v>4.6051701859880918</v>
      </c>
      <c r="J81" s="43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>
        <v>14</v>
      </c>
      <c r="V81" s="41">
        <v>0</v>
      </c>
      <c r="W81" s="41">
        <v>4.6051701859880918</v>
      </c>
      <c r="X81" s="41"/>
      <c r="Y81" s="41"/>
    </row>
    <row r="82" spans="1:30" x14ac:dyDescent="0.25">
      <c r="A82" s="42" t="s">
        <v>191</v>
      </c>
      <c r="B82" s="42" t="s">
        <v>290</v>
      </c>
      <c r="C82" s="42">
        <v>56</v>
      </c>
      <c r="D82" s="42">
        <v>174563.831049998</v>
      </c>
      <c r="E82" s="42">
        <v>1318350.37441644</v>
      </c>
      <c r="F82" s="42">
        <v>0.13241080249798301</v>
      </c>
      <c r="G82" s="42">
        <v>100</v>
      </c>
      <c r="H82" s="42">
        <v>0</v>
      </c>
      <c r="I82" s="45">
        <v>4.6051701859880918</v>
      </c>
      <c r="J82" s="44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>
        <v>15</v>
      </c>
      <c r="V82" s="42">
        <v>0</v>
      </c>
      <c r="W82" s="42">
        <v>4.6051701859880918</v>
      </c>
      <c r="X82" s="42"/>
      <c r="Y82" s="42"/>
    </row>
    <row r="83" spans="1:30" x14ac:dyDescent="0.25">
      <c r="A83" s="41" t="s">
        <v>217</v>
      </c>
      <c r="B83" s="41" t="s">
        <v>290</v>
      </c>
      <c r="C83" s="41">
        <v>56</v>
      </c>
      <c r="D83" s="41">
        <v>58311.104214330597</v>
      </c>
      <c r="E83" s="41">
        <v>1692516.6390434201</v>
      </c>
      <c r="F83" s="41">
        <v>3.4452307805545E-2</v>
      </c>
      <c r="G83" s="41">
        <v>33.338298088790786</v>
      </c>
      <c r="H83" s="41"/>
      <c r="I83" s="46"/>
      <c r="J83" s="43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</row>
    <row r="84" spans="1:30" x14ac:dyDescent="0.25">
      <c r="A84" s="42" t="s">
        <v>219</v>
      </c>
      <c r="B84" s="42" t="s">
        <v>290</v>
      </c>
      <c r="C84" s="42">
        <v>56</v>
      </c>
      <c r="D84" s="42">
        <v>154856.778592983</v>
      </c>
      <c r="E84" s="42">
        <v>1764506.6971388001</v>
      </c>
      <c r="F84" s="42">
        <v>8.7762080384330005E-2</v>
      </c>
      <c r="G84" s="42">
        <v>84.924307923265062</v>
      </c>
      <c r="H84" s="42"/>
      <c r="I84" s="45"/>
      <c r="J84" s="44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</row>
    <row r="85" spans="1:30" ht="15.75" thickBot="1" x14ac:dyDescent="0.3">
      <c r="A85" s="41"/>
      <c r="B85" s="41"/>
      <c r="C85" s="41"/>
      <c r="D85" s="41"/>
      <c r="E85" s="41"/>
      <c r="F85" s="41"/>
      <c r="G85" s="41"/>
      <c r="H85" s="41"/>
      <c r="I85" s="41"/>
      <c r="J85" s="43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</row>
    <row r="86" spans="1:30" ht="16.5" thickTop="1" thickBot="1" x14ac:dyDescent="0.3">
      <c r="A86" s="42" t="s">
        <v>33</v>
      </c>
      <c r="B86" s="51" t="s">
        <v>292</v>
      </c>
      <c r="C86" s="42">
        <v>56</v>
      </c>
      <c r="D86" s="42" t="s">
        <v>32</v>
      </c>
      <c r="E86" s="42">
        <v>1614810.53299363</v>
      </c>
      <c r="F86" s="42">
        <v>0</v>
      </c>
      <c r="G86" s="42"/>
      <c r="H86" s="42"/>
      <c r="I86" s="42"/>
      <c r="J86" s="44"/>
      <c r="K86" s="42"/>
      <c r="L86" s="42"/>
      <c r="M86" s="42"/>
      <c r="N86" s="42"/>
      <c r="O86" s="42"/>
      <c r="P86" s="42"/>
      <c r="Q86" s="42"/>
      <c r="R86" s="51" t="s">
        <v>293</v>
      </c>
      <c r="S86" s="42"/>
      <c r="T86" s="42">
        <v>6</v>
      </c>
      <c r="U86" s="42"/>
      <c r="V86" s="42"/>
      <c r="W86" s="42"/>
      <c r="X86" s="42"/>
      <c r="Y86" s="42"/>
      <c r="Z86" s="10" t="s">
        <v>16</v>
      </c>
      <c r="AA86" s="10" t="s">
        <v>18</v>
      </c>
      <c r="AB86" s="10" t="s">
        <v>19</v>
      </c>
      <c r="AC86" s="10" t="s">
        <v>20</v>
      </c>
      <c r="AD86" s="10" t="s">
        <v>21</v>
      </c>
    </row>
    <row r="87" spans="1:30" ht="15.75" thickTop="1" x14ac:dyDescent="0.25">
      <c r="A87" s="41" t="s">
        <v>34</v>
      </c>
      <c r="B87" s="41" t="s">
        <v>292</v>
      </c>
      <c r="C87" s="41">
        <v>56</v>
      </c>
      <c r="D87" s="41" t="s">
        <v>32</v>
      </c>
      <c r="E87" s="41">
        <v>1438754.3494833999</v>
      </c>
      <c r="F87" s="41">
        <v>0</v>
      </c>
      <c r="G87" s="41"/>
      <c r="H87" s="41"/>
      <c r="I87" s="41"/>
      <c r="J87" s="43"/>
      <c r="K87" s="41"/>
      <c r="L87" s="41"/>
      <c r="M87" s="41"/>
      <c r="N87" s="41"/>
      <c r="O87" s="41"/>
      <c r="P87" s="41"/>
      <c r="Q87" s="41"/>
      <c r="R87" s="41" t="s">
        <v>16</v>
      </c>
      <c r="S87" s="41"/>
      <c r="T87" s="41">
        <v>100</v>
      </c>
      <c r="U87" s="41"/>
      <c r="V87" s="41"/>
      <c r="W87" s="41"/>
      <c r="X87" s="41"/>
      <c r="Y87" s="41"/>
      <c r="Z87" s="11">
        <v>120</v>
      </c>
      <c r="AA87" s="12">
        <v>2.9348773698924502</v>
      </c>
      <c r="AB87" s="12">
        <v>2.7035890648594521</v>
      </c>
      <c r="AC87" s="12">
        <v>0.83268305924757124</v>
      </c>
      <c r="AD87" s="12">
        <v>2.1570498313331581</v>
      </c>
    </row>
    <row r="88" spans="1:30" x14ac:dyDescent="0.25">
      <c r="A88" s="42" t="s">
        <v>35</v>
      </c>
      <c r="B88" s="42" t="s">
        <v>292</v>
      </c>
      <c r="C88" s="42">
        <v>56</v>
      </c>
      <c r="D88" s="42" t="s">
        <v>32</v>
      </c>
      <c r="E88" s="42">
        <v>1834176.57378164</v>
      </c>
      <c r="F88" s="42">
        <v>0</v>
      </c>
      <c r="G88" s="42"/>
      <c r="H88" s="42"/>
      <c r="I88" s="42"/>
      <c r="J88" s="44"/>
      <c r="K88" s="42"/>
      <c r="L88" s="42"/>
      <c r="M88" s="42"/>
      <c r="N88" s="42"/>
      <c r="O88" s="42"/>
      <c r="P88" s="42"/>
      <c r="Q88" s="42"/>
      <c r="R88" s="42" t="s">
        <v>17</v>
      </c>
      <c r="S88" s="42"/>
      <c r="T88" s="42">
        <v>114</v>
      </c>
      <c r="U88" s="42"/>
      <c r="V88" s="42"/>
      <c r="W88" s="42"/>
      <c r="X88" s="42"/>
      <c r="Y88" s="42"/>
      <c r="Z88" s="11">
        <v>60</v>
      </c>
      <c r="AA88" s="12">
        <v>3.1713169082664709</v>
      </c>
      <c r="AB88" s="12">
        <v>2.7629814376544686</v>
      </c>
      <c r="AC88" s="12">
        <v>0.8529073206892277</v>
      </c>
      <c r="AD88" s="12">
        <v>2.2624018888700559</v>
      </c>
    </row>
    <row r="89" spans="1:30" x14ac:dyDescent="0.25">
      <c r="A89" s="50" t="s">
        <v>227</v>
      </c>
      <c r="B89" s="41" t="s">
        <v>292</v>
      </c>
      <c r="C89" s="41">
        <v>56</v>
      </c>
      <c r="D89" s="41">
        <v>59973022.631689101</v>
      </c>
      <c r="E89" s="41">
        <v>1743175.59816592</v>
      </c>
      <c r="F89" s="41">
        <v>34.4044642976815</v>
      </c>
      <c r="G89" s="41">
        <v>293.48773698924504</v>
      </c>
      <c r="H89" s="41">
        <v>120</v>
      </c>
      <c r="I89" s="46">
        <v>5.6818358564165381</v>
      </c>
      <c r="J89" s="43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>
        <v>1</v>
      </c>
      <c r="V89" s="41">
        <v>120</v>
      </c>
      <c r="W89" s="41">
        <v>5.6818358564165381</v>
      </c>
      <c r="X89" s="41"/>
      <c r="Y89" s="41"/>
      <c r="Z89" s="11">
        <v>30</v>
      </c>
      <c r="AA89" s="12">
        <v>3.537200130474476</v>
      </c>
      <c r="AB89" s="12">
        <v>3.2060717814144279</v>
      </c>
      <c r="AC89" s="12">
        <v>0.90592510916481028</v>
      </c>
      <c r="AD89" s="12">
        <v>2.549732340351238</v>
      </c>
    </row>
    <row r="90" spans="1:30" x14ac:dyDescent="0.25">
      <c r="A90" s="42" t="s">
        <v>229</v>
      </c>
      <c r="B90" s="42" t="s">
        <v>292</v>
      </c>
      <c r="C90" s="42">
        <v>56</v>
      </c>
      <c r="D90" s="42">
        <v>57420666.896875203</v>
      </c>
      <c r="E90" s="42">
        <v>1538302.23890715</v>
      </c>
      <c r="F90" s="42">
        <v>37.327298527282998</v>
      </c>
      <c r="G90" s="42">
        <v>270.35890648594523</v>
      </c>
      <c r="H90" s="42">
        <v>120</v>
      </c>
      <c r="I90" s="45">
        <v>5.5997503595647977</v>
      </c>
      <c r="J90" s="44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>
        <v>2</v>
      </c>
      <c r="V90" s="42">
        <v>120</v>
      </c>
      <c r="W90" s="42">
        <v>5.5997503595647977</v>
      </c>
      <c r="X90" s="42"/>
      <c r="Y90" s="42"/>
      <c r="Z90" s="11">
        <v>15</v>
      </c>
      <c r="AA90" s="12">
        <v>3.1118252167011415</v>
      </c>
      <c r="AB90" s="12">
        <v>2.7192322363665267</v>
      </c>
      <c r="AC90" s="12">
        <v>0.87244152871797842</v>
      </c>
      <c r="AD90" s="12">
        <v>2.2344996605952154</v>
      </c>
    </row>
    <row r="91" spans="1:30" ht="15.75" thickBot="1" x14ac:dyDescent="0.3">
      <c r="A91" s="41" t="s">
        <v>231</v>
      </c>
      <c r="B91" s="41" t="s">
        <v>292</v>
      </c>
      <c r="C91" s="41">
        <v>56</v>
      </c>
      <c r="D91" s="41">
        <v>60448745.990215302</v>
      </c>
      <c r="E91" s="41">
        <v>1478895.6000266001</v>
      </c>
      <c r="F91" s="41">
        <v>40.874248316870897</v>
      </c>
      <c r="G91" s="41">
        <v>83.268305924757129</v>
      </c>
      <c r="H91" s="41">
        <v>120</v>
      </c>
      <c r="I91" s="46">
        <v>4.4220679956761471</v>
      </c>
      <c r="J91" s="43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>
        <v>3</v>
      </c>
      <c r="V91" s="41">
        <v>120</v>
      </c>
      <c r="W91" s="41">
        <v>4.4220679956761471</v>
      </c>
      <c r="X91" s="41"/>
      <c r="Y91" s="41"/>
      <c r="Z91" s="13">
        <v>0</v>
      </c>
      <c r="AA91" s="14">
        <v>1</v>
      </c>
      <c r="AB91" s="14">
        <v>1</v>
      </c>
      <c r="AC91" s="14">
        <v>1</v>
      </c>
      <c r="AD91" s="14">
        <v>1</v>
      </c>
    </row>
    <row r="92" spans="1:30" ht="16.5" thickTop="1" thickBot="1" x14ac:dyDescent="0.3">
      <c r="A92" s="42" t="s">
        <v>245</v>
      </c>
      <c r="B92" s="42" t="s">
        <v>292</v>
      </c>
      <c r="C92" s="42">
        <v>56</v>
      </c>
      <c r="D92" s="42">
        <v>56619818.191495501</v>
      </c>
      <c r="E92" s="42">
        <v>1523014.32085432</v>
      </c>
      <c r="F92" s="42">
        <v>37.176156137346801</v>
      </c>
      <c r="G92" s="42">
        <v>317.13169082664712</v>
      </c>
      <c r="H92" s="42">
        <v>60</v>
      </c>
      <c r="I92" s="45">
        <v>5.75931711608599</v>
      </c>
      <c r="J92" s="44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>
        <v>4</v>
      </c>
      <c r="V92" s="42">
        <v>60</v>
      </c>
      <c r="W92" s="42">
        <v>5.75931711608599</v>
      </c>
      <c r="X92" s="42"/>
      <c r="Y92" s="42"/>
    </row>
    <row r="93" spans="1:30" x14ac:dyDescent="0.25">
      <c r="A93" s="41" t="s">
        <v>247</v>
      </c>
      <c r="B93" s="41" t="s">
        <v>292</v>
      </c>
      <c r="C93" s="41">
        <v>56</v>
      </c>
      <c r="D93" s="41">
        <v>57229886.154651903</v>
      </c>
      <c r="E93" s="41">
        <v>1500234.1111532799</v>
      </c>
      <c r="F93" s="41">
        <v>38.147303630269498</v>
      </c>
      <c r="G93" s="41">
        <v>276.29814376544687</v>
      </c>
      <c r="H93" s="41">
        <v>60</v>
      </c>
      <c r="I93" s="46">
        <v>5.6214805137216679</v>
      </c>
      <c r="J93" s="43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>
        <v>5</v>
      </c>
      <c r="V93" s="41">
        <v>60</v>
      </c>
      <c r="W93" s="41">
        <v>5.6214805137216679</v>
      </c>
      <c r="X93" s="41"/>
      <c r="Y93" s="41"/>
      <c r="Z93" s="29" t="s">
        <v>22</v>
      </c>
      <c r="AA93" s="30">
        <v>2.846827276185895E-3</v>
      </c>
    </row>
    <row r="94" spans="1:30" x14ac:dyDescent="0.25">
      <c r="A94" s="42" t="s">
        <v>249</v>
      </c>
      <c r="B94" s="42" t="s">
        <v>292</v>
      </c>
      <c r="C94" s="42">
        <v>56</v>
      </c>
      <c r="D94" s="42">
        <v>59167092.423481502</v>
      </c>
      <c r="E94" s="42">
        <v>1413215.3169833999</v>
      </c>
      <c r="F94" s="42">
        <v>41.867004774458202</v>
      </c>
      <c r="G94" s="42">
        <v>85.290732068922765</v>
      </c>
      <c r="H94" s="42">
        <v>60</v>
      </c>
      <c r="I94" s="45">
        <v>4.4460657975855735</v>
      </c>
      <c r="J94" s="44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>
        <v>6</v>
      </c>
      <c r="V94" s="42">
        <v>60</v>
      </c>
      <c r="W94" s="42">
        <v>4.4460657975855735</v>
      </c>
      <c r="X94" s="42"/>
      <c r="Y94" s="42"/>
      <c r="Z94" s="31" t="s">
        <v>23</v>
      </c>
      <c r="AA94" s="32">
        <v>5.0256082380242848</v>
      </c>
    </row>
    <row r="95" spans="1:30" ht="17.25" x14ac:dyDescent="0.25">
      <c r="A95" s="41" t="s">
        <v>239</v>
      </c>
      <c r="B95" s="41" t="s">
        <v>292</v>
      </c>
      <c r="C95" s="41">
        <v>56</v>
      </c>
      <c r="D95" s="41">
        <v>57553998.7277226</v>
      </c>
      <c r="E95" s="41">
        <v>1388004.99834781</v>
      </c>
      <c r="F95" s="41">
        <v>41.465267629605599</v>
      </c>
      <c r="G95" s="41">
        <v>353.72001304744759</v>
      </c>
      <c r="H95" s="41">
        <v>30</v>
      </c>
      <c r="I95" s="46">
        <v>5.8685056765939061</v>
      </c>
      <c r="J95" s="43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>
        <v>7</v>
      </c>
      <c r="V95" s="41">
        <v>30</v>
      </c>
      <c r="W95" s="41">
        <v>5.8685056765939061</v>
      </c>
      <c r="X95" s="41"/>
      <c r="Y95" s="41"/>
      <c r="Z95" s="31" t="s">
        <v>24</v>
      </c>
      <c r="AA95" s="33">
        <v>4.1055975529767016E-2</v>
      </c>
    </row>
    <row r="96" spans="1:30" ht="18" x14ac:dyDescent="0.35">
      <c r="A96" s="42" t="s">
        <v>241</v>
      </c>
      <c r="B96" s="42" t="s">
        <v>292</v>
      </c>
      <c r="C96" s="42">
        <v>56</v>
      </c>
      <c r="D96" s="42">
        <v>60398049.893943503</v>
      </c>
      <c r="E96" s="42">
        <v>1364469.3859953501</v>
      </c>
      <c r="F96" s="42">
        <v>44.2648626006984</v>
      </c>
      <c r="G96" s="42">
        <v>320.60717814144277</v>
      </c>
      <c r="H96" s="42">
        <v>30</v>
      </c>
      <c r="I96" s="45">
        <v>5.7702166296361064</v>
      </c>
      <c r="J96" s="44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>
        <v>8</v>
      </c>
      <c r="V96" s="42">
        <v>30</v>
      </c>
      <c r="W96" s="42">
        <v>5.7702166296361064</v>
      </c>
      <c r="X96" s="42"/>
      <c r="Y96" s="42"/>
      <c r="Z96" s="31" t="s">
        <v>25</v>
      </c>
      <c r="AA96" s="34" t="s">
        <v>564</v>
      </c>
    </row>
    <row r="97" spans="1:30" ht="18.75" x14ac:dyDescent="0.35">
      <c r="A97" s="41" t="s">
        <v>243</v>
      </c>
      <c r="B97" s="41" t="s">
        <v>292</v>
      </c>
      <c r="C97" s="41">
        <v>56</v>
      </c>
      <c r="D97" s="41">
        <v>62897266.944029301</v>
      </c>
      <c r="E97" s="41">
        <v>1414390.8160669799</v>
      </c>
      <c r="F97" s="41">
        <v>44.469510286363899</v>
      </c>
      <c r="G97" s="41">
        <v>90.592510916481032</v>
      </c>
      <c r="H97" s="41">
        <v>30</v>
      </c>
      <c r="I97" s="46">
        <v>4.5063715486663343</v>
      </c>
      <c r="J97" s="43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>
        <v>9</v>
      </c>
      <c r="V97" s="41">
        <v>30</v>
      </c>
      <c r="W97" s="41">
        <v>4.5063715486663343</v>
      </c>
      <c r="X97" s="41"/>
      <c r="Y97" s="41"/>
      <c r="Z97" s="31" t="s">
        <v>26</v>
      </c>
      <c r="AA97" s="32">
        <v>0</v>
      </c>
    </row>
    <row r="98" spans="1:30" ht="15.75" thickBot="1" x14ac:dyDescent="0.3">
      <c r="A98" s="42" t="s">
        <v>233</v>
      </c>
      <c r="B98" s="42" t="s">
        <v>292</v>
      </c>
      <c r="C98" s="42">
        <v>56</v>
      </c>
      <c r="D98" s="42">
        <v>55908733.143662401</v>
      </c>
      <c r="E98" s="42">
        <v>1532638.0921907199</v>
      </c>
      <c r="F98" s="42">
        <v>36.478757397806604</v>
      </c>
      <c r="G98" s="42">
        <v>311.18252167011417</v>
      </c>
      <c r="H98" s="42">
        <v>15</v>
      </c>
      <c r="I98" s="45">
        <v>5.7403796264278446</v>
      </c>
      <c r="J98" s="44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>
        <v>10</v>
      </c>
      <c r="V98" s="42">
        <v>15</v>
      </c>
      <c r="W98" s="42">
        <v>5.7403796264278446</v>
      </c>
      <c r="X98" s="42"/>
      <c r="Y98" s="42"/>
      <c r="Z98" s="35" t="s">
        <v>10</v>
      </c>
      <c r="AA98" s="36" t="s">
        <v>27</v>
      </c>
    </row>
    <row r="99" spans="1:30" x14ac:dyDescent="0.25">
      <c r="A99" s="41" t="s">
        <v>235</v>
      </c>
      <c r="B99" s="41" t="s">
        <v>292</v>
      </c>
      <c r="C99" s="41">
        <v>56</v>
      </c>
      <c r="D99" s="41">
        <v>58991841.550586298</v>
      </c>
      <c r="E99" s="41">
        <v>1571302.40332356</v>
      </c>
      <c r="F99" s="41">
        <v>37.543277109363999</v>
      </c>
      <c r="G99" s="41">
        <v>271.92322363665266</v>
      </c>
      <c r="H99" s="41">
        <v>15</v>
      </c>
      <c r="I99" s="46">
        <v>5.605519760409722</v>
      </c>
      <c r="J99" s="43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>
        <v>11</v>
      </c>
      <c r="V99" s="41">
        <v>15</v>
      </c>
      <c r="W99" s="41">
        <v>5.605519760409722</v>
      </c>
      <c r="X99" s="41"/>
      <c r="Y99" s="41"/>
    </row>
    <row r="100" spans="1:30" x14ac:dyDescent="0.25">
      <c r="A100" s="42" t="s">
        <v>237</v>
      </c>
      <c r="B100" s="42" t="s">
        <v>292</v>
      </c>
      <c r="C100" s="42">
        <v>56</v>
      </c>
      <c r="D100" s="42">
        <v>64720253.582753897</v>
      </c>
      <c r="E100" s="42">
        <v>1511241.3576926801</v>
      </c>
      <c r="F100" s="42">
        <v>42.825888302558397</v>
      </c>
      <c r="G100" s="42">
        <v>87.244152871797837</v>
      </c>
      <c r="H100" s="42">
        <v>15</v>
      </c>
      <c r="I100" s="45">
        <v>4.4687105430408645</v>
      </c>
      <c r="J100" s="44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>
        <v>12</v>
      </c>
      <c r="V100" s="42">
        <v>15</v>
      </c>
      <c r="W100" s="42">
        <v>4.4687105430408645</v>
      </c>
      <c r="X100" s="42"/>
      <c r="Y100" s="42"/>
    </row>
    <row r="101" spans="1:30" x14ac:dyDescent="0.25">
      <c r="A101" s="41" t="s">
        <v>221</v>
      </c>
      <c r="B101" s="41" t="s">
        <v>292</v>
      </c>
      <c r="C101" s="41">
        <v>56</v>
      </c>
      <c r="D101" s="41">
        <v>2193752.79568739</v>
      </c>
      <c r="E101" s="41">
        <v>187138.37191283001</v>
      </c>
      <c r="F101" s="41">
        <v>11.722624137764999</v>
      </c>
      <c r="G101" s="41">
        <v>100</v>
      </c>
      <c r="H101" s="41">
        <v>0</v>
      </c>
      <c r="I101" s="46">
        <v>4.6051701859880918</v>
      </c>
      <c r="J101" s="43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>
        <v>13</v>
      </c>
      <c r="V101" s="41">
        <v>0</v>
      </c>
      <c r="W101" s="41">
        <v>4.6051701859880918</v>
      </c>
      <c r="X101" s="41"/>
      <c r="Y101" s="41"/>
    </row>
    <row r="102" spans="1:30" x14ac:dyDescent="0.25">
      <c r="A102" s="42" t="s">
        <v>223</v>
      </c>
      <c r="B102" s="42" t="s">
        <v>292</v>
      </c>
      <c r="C102" s="42">
        <v>56</v>
      </c>
      <c r="D102" s="42">
        <v>2487839.31089905</v>
      </c>
      <c r="E102" s="42">
        <v>180192.39059472599</v>
      </c>
      <c r="F102" s="42">
        <v>13.8065725344334</v>
      </c>
      <c r="G102" s="42">
        <v>100</v>
      </c>
      <c r="H102" s="42">
        <v>0</v>
      </c>
      <c r="I102" s="45">
        <v>4.6051701859880918</v>
      </c>
      <c r="J102" s="44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>
        <v>14</v>
      </c>
      <c r="V102" s="42">
        <v>0</v>
      </c>
      <c r="W102" s="42">
        <v>4.6051701859880918</v>
      </c>
      <c r="X102" s="42"/>
      <c r="Y102" s="42"/>
    </row>
    <row r="103" spans="1:30" x14ac:dyDescent="0.25">
      <c r="A103" s="41" t="s">
        <v>225</v>
      </c>
      <c r="B103" s="41" t="s">
        <v>292</v>
      </c>
      <c r="C103" s="41">
        <v>56</v>
      </c>
      <c r="D103" s="41">
        <v>63042101.409014396</v>
      </c>
      <c r="E103" s="41">
        <v>1284282.6969122901</v>
      </c>
      <c r="F103" s="41">
        <v>49.087402299028</v>
      </c>
      <c r="G103" s="41">
        <v>100</v>
      </c>
      <c r="H103" s="41">
        <v>0</v>
      </c>
      <c r="I103" s="46">
        <v>4.6051701859880918</v>
      </c>
      <c r="J103" s="43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>
        <v>15</v>
      </c>
      <c r="V103" s="41">
        <v>0</v>
      </c>
      <c r="W103" s="41">
        <v>4.6051701859880918</v>
      </c>
      <c r="X103" s="41"/>
      <c r="Y103" s="41"/>
    </row>
    <row r="104" spans="1:30" x14ac:dyDescent="0.25">
      <c r="A104" s="42" t="s">
        <v>251</v>
      </c>
      <c r="B104" s="42" t="s">
        <v>292</v>
      </c>
      <c r="C104" s="42">
        <v>56</v>
      </c>
      <c r="D104" s="42">
        <v>49615303.574205801</v>
      </c>
      <c r="E104" s="42">
        <v>1677920.37249197</v>
      </c>
      <c r="F104" s="42">
        <v>29.569522122506399</v>
      </c>
      <c r="G104" s="42">
        <v>118.88583450677903</v>
      </c>
      <c r="H104" s="42"/>
      <c r="I104" s="42"/>
      <c r="J104" s="44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</row>
    <row r="105" spans="1:30" x14ac:dyDescent="0.25">
      <c r="A105" s="73" t="s">
        <v>253</v>
      </c>
      <c r="B105" s="73" t="s">
        <v>292</v>
      </c>
      <c r="C105" s="73">
        <v>56</v>
      </c>
      <c r="D105" s="73">
        <v>44405524.076781496</v>
      </c>
      <c r="E105" s="73">
        <v>1749611.3364957301</v>
      </c>
      <c r="F105" s="73">
        <v>25.3802219673087</v>
      </c>
      <c r="G105" s="73">
        <v>102.04253068581619</v>
      </c>
      <c r="H105" s="73"/>
      <c r="I105" s="73"/>
      <c r="J105" s="75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</row>
    <row r="106" spans="1:30" ht="15.75" thickBot="1" x14ac:dyDescent="0.3">
      <c r="A106" s="42"/>
      <c r="B106" s="42"/>
      <c r="C106" s="42"/>
      <c r="D106" s="42"/>
      <c r="E106" s="42"/>
      <c r="F106" s="42"/>
      <c r="G106" s="42"/>
      <c r="H106" s="42"/>
      <c r="I106" s="42"/>
      <c r="J106" s="44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</row>
    <row r="107" spans="1:30" ht="16.5" thickTop="1" thickBot="1" x14ac:dyDescent="0.3">
      <c r="A107" s="41" t="s">
        <v>116</v>
      </c>
      <c r="B107" s="50" t="s">
        <v>294</v>
      </c>
      <c r="C107" s="41">
        <v>55</v>
      </c>
      <c r="D107" s="41" t="s">
        <v>32</v>
      </c>
      <c r="E107" s="41">
        <v>535785.55124895996</v>
      </c>
      <c r="F107" s="41">
        <v>0</v>
      </c>
      <c r="G107" s="50" t="s">
        <v>558</v>
      </c>
      <c r="H107" s="41"/>
      <c r="I107" s="41"/>
      <c r="J107" s="43"/>
      <c r="K107" s="41"/>
      <c r="L107" s="41"/>
      <c r="M107" s="41"/>
      <c r="N107" s="41"/>
      <c r="O107" s="41"/>
      <c r="P107" s="41"/>
      <c r="Q107" s="41"/>
      <c r="R107" s="50" t="s">
        <v>295</v>
      </c>
      <c r="S107" s="41"/>
      <c r="T107" s="41">
        <v>7</v>
      </c>
      <c r="U107" s="41"/>
      <c r="V107" s="41"/>
      <c r="W107" s="41"/>
      <c r="X107" s="41"/>
      <c r="Y107" s="41"/>
      <c r="Z107" s="10" t="s">
        <v>16</v>
      </c>
      <c r="AA107" s="10" t="s">
        <v>18</v>
      </c>
      <c r="AB107" s="10" t="s">
        <v>19</v>
      </c>
      <c r="AC107" s="10" t="s">
        <v>20</v>
      </c>
      <c r="AD107" s="10" t="s">
        <v>21</v>
      </c>
    </row>
    <row r="108" spans="1:30" ht="15.75" thickTop="1" x14ac:dyDescent="0.25">
      <c r="A108" s="42" t="s">
        <v>117</v>
      </c>
      <c r="B108" s="42" t="s">
        <v>294</v>
      </c>
      <c r="C108" s="42">
        <v>55</v>
      </c>
      <c r="D108" s="42" t="s">
        <v>32</v>
      </c>
      <c r="E108" s="42">
        <v>1314081.40024331</v>
      </c>
      <c r="F108" s="42">
        <v>0</v>
      </c>
      <c r="G108" s="42" t="s">
        <v>558</v>
      </c>
      <c r="H108" s="42"/>
      <c r="I108" s="42"/>
      <c r="J108" s="44"/>
      <c r="K108" s="42"/>
      <c r="L108" s="42"/>
      <c r="M108" s="42"/>
      <c r="N108" s="42"/>
      <c r="O108" s="42"/>
      <c r="P108" s="42"/>
      <c r="Q108" s="42"/>
      <c r="R108" s="42" t="s">
        <v>16</v>
      </c>
      <c r="S108" s="42"/>
      <c r="T108" s="42">
        <v>119</v>
      </c>
      <c r="U108" s="42"/>
      <c r="V108" s="42"/>
      <c r="W108" s="42"/>
      <c r="X108" s="42"/>
      <c r="Y108" s="42"/>
      <c r="Z108" s="11">
        <v>120</v>
      </c>
      <c r="AA108" s="12">
        <v>0.87523641389091467</v>
      </c>
      <c r="AB108" s="12">
        <v>1.0047922094926836</v>
      </c>
      <c r="AC108" s="12">
        <v>0.78298397332182124</v>
      </c>
      <c r="AD108" s="12">
        <v>0.88767086556847319</v>
      </c>
    </row>
    <row r="109" spans="1:30" x14ac:dyDescent="0.25">
      <c r="A109" s="41" t="s">
        <v>35</v>
      </c>
      <c r="B109" s="41" t="s">
        <v>294</v>
      </c>
      <c r="C109" s="41">
        <v>55</v>
      </c>
      <c r="D109" s="41" t="s">
        <v>32</v>
      </c>
      <c r="E109" s="41">
        <v>1532416.1873884399</v>
      </c>
      <c r="F109" s="41">
        <v>0</v>
      </c>
      <c r="G109" s="41" t="s">
        <v>558</v>
      </c>
      <c r="H109" s="41"/>
      <c r="I109" s="41"/>
      <c r="J109" s="43"/>
      <c r="K109" s="41"/>
      <c r="L109" s="41"/>
      <c r="M109" s="41"/>
      <c r="N109" s="41"/>
      <c r="O109" s="41"/>
      <c r="P109" s="41"/>
      <c r="Q109" s="41"/>
      <c r="R109" s="41" t="s">
        <v>17</v>
      </c>
      <c r="S109" s="41"/>
      <c r="T109" s="41">
        <v>133</v>
      </c>
      <c r="U109" s="41"/>
      <c r="V109" s="41"/>
      <c r="W109" s="41"/>
      <c r="X109" s="41"/>
      <c r="Y109" s="41"/>
      <c r="Z109" s="11">
        <v>60</v>
      </c>
      <c r="AA109" s="15">
        <v>0.96495133878184181</v>
      </c>
      <c r="AB109" s="12">
        <v>1.0096118103002347</v>
      </c>
      <c r="AC109" s="15">
        <v>0.99274098409195721</v>
      </c>
      <c r="AD109" s="15">
        <v>0.98910137772467799</v>
      </c>
    </row>
    <row r="110" spans="1:30" x14ac:dyDescent="0.25">
      <c r="A110" s="42" t="s">
        <v>125</v>
      </c>
      <c r="B110" s="42" t="s">
        <v>294</v>
      </c>
      <c r="C110" s="42">
        <v>55</v>
      </c>
      <c r="D110" s="42">
        <v>163905233.89604101</v>
      </c>
      <c r="E110" s="42">
        <v>2582267.4315616698</v>
      </c>
      <c r="F110" s="42">
        <v>63.473376882934403</v>
      </c>
      <c r="G110" s="42">
        <v>87.523641389091466</v>
      </c>
      <c r="H110" s="42">
        <v>120</v>
      </c>
      <c r="I110" s="45">
        <v>4.471908944173455</v>
      </c>
      <c r="J110" s="44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>
        <v>1</v>
      </c>
      <c r="V110" s="42">
        <v>120</v>
      </c>
      <c r="W110" s="42">
        <v>4.471908944173455</v>
      </c>
      <c r="X110" s="42"/>
      <c r="Y110" s="42"/>
      <c r="Z110" s="11">
        <v>30</v>
      </c>
      <c r="AA110" s="15">
        <v>0.90015949668798101</v>
      </c>
      <c r="AB110" s="12">
        <v>1.0016930530035513</v>
      </c>
      <c r="AC110" s="12">
        <v>1.0012341824112307</v>
      </c>
      <c r="AD110" s="12">
        <v>0.9676955773675876</v>
      </c>
    </row>
    <row r="111" spans="1:30" x14ac:dyDescent="0.25">
      <c r="A111" s="41" t="s">
        <v>127</v>
      </c>
      <c r="B111" s="41" t="s">
        <v>294</v>
      </c>
      <c r="C111" s="41">
        <v>55</v>
      </c>
      <c r="D111" s="41">
        <v>151210389.48440701</v>
      </c>
      <c r="E111" s="41">
        <v>2131038.56518924</v>
      </c>
      <c r="F111" s="41">
        <v>70.956195704032098</v>
      </c>
      <c r="G111" s="41">
        <v>100.47922094926835</v>
      </c>
      <c r="H111" s="41">
        <v>120</v>
      </c>
      <c r="I111" s="46">
        <v>4.6099509493983142</v>
      </c>
      <c r="J111" s="43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>
        <v>2</v>
      </c>
      <c r="V111" s="41">
        <v>120</v>
      </c>
      <c r="W111" s="41">
        <v>4.6099509493983142</v>
      </c>
      <c r="X111" s="41"/>
      <c r="Y111" s="41"/>
      <c r="Z111" s="11">
        <v>15</v>
      </c>
      <c r="AA111" s="15">
        <v>0.97397919956471957</v>
      </c>
      <c r="AB111" s="12">
        <v>0.94812732730656823</v>
      </c>
      <c r="AC111" s="12">
        <v>0.87689408419059134</v>
      </c>
      <c r="AD111" s="12">
        <v>0.93300020368729308</v>
      </c>
    </row>
    <row r="112" spans="1:30" ht="15.75" thickBot="1" x14ac:dyDescent="0.3">
      <c r="A112" s="42" t="s">
        <v>129</v>
      </c>
      <c r="B112" s="42" t="s">
        <v>294</v>
      </c>
      <c r="C112" s="42">
        <v>55</v>
      </c>
      <c r="D112" s="42">
        <v>138068461.54858601</v>
      </c>
      <c r="E112" s="42">
        <v>2532925.1061284002</v>
      </c>
      <c r="F112" s="42">
        <v>54.509492291947303</v>
      </c>
      <c r="G112" s="42">
        <v>78.29839733218212</v>
      </c>
      <c r="H112" s="42">
        <v>120</v>
      </c>
      <c r="I112" s="45">
        <v>4.3605271344882004</v>
      </c>
      <c r="J112" s="44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>
        <v>3</v>
      </c>
      <c r="V112" s="42">
        <v>120</v>
      </c>
      <c r="W112" s="42">
        <v>4.3605271344882004</v>
      </c>
      <c r="X112" s="42"/>
      <c r="Y112" s="42"/>
      <c r="Z112" s="13">
        <v>0</v>
      </c>
      <c r="AA112" s="14">
        <v>1</v>
      </c>
      <c r="AB112" s="14">
        <v>1</v>
      </c>
      <c r="AC112" s="14">
        <v>1</v>
      </c>
      <c r="AD112" s="14">
        <v>1</v>
      </c>
    </row>
    <row r="113" spans="1:30" ht="16.5" thickTop="1" thickBot="1" x14ac:dyDescent="0.3">
      <c r="A113" s="41" t="s">
        <v>143</v>
      </c>
      <c r="B113" s="41" t="s">
        <v>294</v>
      </c>
      <c r="C113" s="41">
        <v>55</v>
      </c>
      <c r="D113" s="41">
        <v>131399116.808175</v>
      </c>
      <c r="E113" s="41">
        <v>1877676.65647968</v>
      </c>
      <c r="F113" s="41">
        <v>69.979629535644193</v>
      </c>
      <c r="G113" s="41">
        <v>96.495133878184177</v>
      </c>
      <c r="H113" s="41">
        <v>60</v>
      </c>
      <c r="I113" s="46">
        <v>4.5694925809406932</v>
      </c>
      <c r="J113" s="43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>
        <v>4</v>
      </c>
      <c r="V113" s="41">
        <v>60</v>
      </c>
      <c r="W113" s="41">
        <v>4.5694925809406932</v>
      </c>
      <c r="X113" s="41"/>
      <c r="Y113" s="41"/>
    </row>
    <row r="114" spans="1:30" x14ac:dyDescent="0.25">
      <c r="A114" s="42" t="s">
        <v>145</v>
      </c>
      <c r="B114" s="42" t="s">
        <v>294</v>
      </c>
      <c r="C114" s="42">
        <v>55</v>
      </c>
      <c r="D114" s="42">
        <v>126564535.005137</v>
      </c>
      <c r="E114" s="42">
        <v>1775184.6828162801</v>
      </c>
      <c r="F114" s="42">
        <v>71.296545215986001</v>
      </c>
      <c r="G114" s="42">
        <v>100.96118103002347</v>
      </c>
      <c r="H114" s="42">
        <v>60</v>
      </c>
      <c r="I114" s="45">
        <v>4.6147360967239219</v>
      </c>
      <c r="J114" s="44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>
        <v>5</v>
      </c>
      <c r="V114" s="42">
        <v>60</v>
      </c>
      <c r="W114" s="42">
        <v>4.6147360967239219</v>
      </c>
      <c r="X114" s="42"/>
      <c r="Y114" s="42"/>
      <c r="Z114" s="29" t="s">
        <v>22</v>
      </c>
      <c r="AA114" s="39">
        <v>-7.6375268035718793E-4</v>
      </c>
    </row>
    <row r="115" spans="1:30" x14ac:dyDescent="0.25">
      <c r="A115" s="41" t="s">
        <v>147</v>
      </c>
      <c r="B115" s="41" t="s">
        <v>294</v>
      </c>
      <c r="C115" s="41">
        <v>55</v>
      </c>
      <c r="D115" s="41">
        <v>133299199.418176</v>
      </c>
      <c r="E115" s="41">
        <v>1928733.95068996</v>
      </c>
      <c r="F115" s="41">
        <v>69.112279259921607</v>
      </c>
      <c r="G115" s="41">
        <v>99.274098409195716</v>
      </c>
      <c r="H115" s="41">
        <v>60</v>
      </c>
      <c r="I115" s="46">
        <v>4.59788469522534</v>
      </c>
      <c r="J115" s="43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>
        <v>6</v>
      </c>
      <c r="V115" s="41">
        <v>60</v>
      </c>
      <c r="W115" s="41">
        <v>4.59788469522534</v>
      </c>
      <c r="X115" s="41"/>
      <c r="Y115" s="41"/>
      <c r="Z115" s="31" t="s">
        <v>23</v>
      </c>
      <c r="AA115" s="32">
        <v>4.5915537329412306</v>
      </c>
    </row>
    <row r="116" spans="1:30" ht="17.25" x14ac:dyDescent="0.25">
      <c r="A116" s="42" t="s">
        <v>137</v>
      </c>
      <c r="B116" s="42" t="s">
        <v>294</v>
      </c>
      <c r="C116" s="42">
        <v>55</v>
      </c>
      <c r="D116" s="42">
        <v>130293732.949287</v>
      </c>
      <c r="E116" s="42">
        <v>1995895.6572370499</v>
      </c>
      <c r="F116" s="42">
        <v>65.280833933801503</v>
      </c>
      <c r="G116" s="42">
        <v>90.0159496687981</v>
      </c>
      <c r="H116" s="42">
        <v>30</v>
      </c>
      <c r="I116" s="45">
        <v>4.4999868731711157</v>
      </c>
      <c r="J116" s="44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>
        <v>7</v>
      </c>
      <c r="V116" s="42">
        <v>30</v>
      </c>
      <c r="W116" s="42">
        <v>4.4999868731711157</v>
      </c>
      <c r="X116" s="42"/>
      <c r="Y116" s="42"/>
      <c r="Z116" s="31" t="s">
        <v>24</v>
      </c>
      <c r="AA116" s="40">
        <v>0.20623167341148532</v>
      </c>
    </row>
    <row r="117" spans="1:30" ht="18" x14ac:dyDescent="0.35">
      <c r="A117" s="41" t="s">
        <v>139</v>
      </c>
      <c r="B117" s="41" t="s">
        <v>294</v>
      </c>
      <c r="C117" s="41">
        <v>55</v>
      </c>
      <c r="D117" s="41">
        <v>121252070.821927</v>
      </c>
      <c r="E117" s="41">
        <v>1714116.9085879</v>
      </c>
      <c r="F117" s="41">
        <v>70.737340151328993</v>
      </c>
      <c r="G117" s="41">
        <v>100.16930530035512</v>
      </c>
      <c r="H117" s="41">
        <v>30</v>
      </c>
      <c r="I117" s="46">
        <v>4.6068618073930265</v>
      </c>
      <c r="J117" s="43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>
        <v>8</v>
      </c>
      <c r="V117" s="41">
        <v>30</v>
      </c>
      <c r="W117" s="41">
        <v>4.6068618073930265</v>
      </c>
      <c r="X117" s="41"/>
      <c r="Y117" s="41"/>
      <c r="Z117" s="31" t="s">
        <v>25</v>
      </c>
      <c r="AA117" s="34">
        <v>907.55449818621616</v>
      </c>
    </row>
    <row r="118" spans="1:30" ht="18.75" x14ac:dyDescent="0.35">
      <c r="A118" s="42" t="s">
        <v>141</v>
      </c>
      <c r="B118" s="42" t="s">
        <v>294</v>
      </c>
      <c r="C118" s="42">
        <v>55</v>
      </c>
      <c r="D118" s="42">
        <v>123619611.569479</v>
      </c>
      <c r="E118" s="42">
        <v>1773505.10224188</v>
      </c>
      <c r="F118" s="42">
        <v>69.703555638612102</v>
      </c>
      <c r="G118" s="42">
        <v>100.12341824112308</v>
      </c>
      <c r="H118" s="42">
        <v>30</v>
      </c>
      <c r="I118" s="45">
        <v>4.6064036074222683</v>
      </c>
      <c r="J118" s="44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>
        <v>9</v>
      </c>
      <c r="V118" s="42">
        <v>30</v>
      </c>
      <c r="W118" s="42">
        <v>4.6064036074222683</v>
      </c>
      <c r="X118" s="42"/>
      <c r="Y118" s="42"/>
      <c r="Z118" s="31" t="s">
        <v>26</v>
      </c>
      <c r="AA118" s="33">
        <v>1.5275053607143758</v>
      </c>
    </row>
    <row r="119" spans="1:30" ht="15.75" thickBot="1" x14ac:dyDescent="0.3">
      <c r="A119" s="41" t="s">
        <v>131</v>
      </c>
      <c r="B119" s="41" t="s">
        <v>294</v>
      </c>
      <c r="C119" s="41">
        <v>55</v>
      </c>
      <c r="D119" s="41">
        <v>118825692.64774901</v>
      </c>
      <c r="E119" s="41">
        <v>1682265.1431386201</v>
      </c>
      <c r="F119" s="41">
        <v>70.634342708935094</v>
      </c>
      <c r="G119" s="41">
        <v>97.397919956471952</v>
      </c>
      <c r="H119" s="41">
        <v>15</v>
      </c>
      <c r="I119" s="46">
        <v>4.5788048547374141</v>
      </c>
      <c r="J119" s="43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>
        <v>10</v>
      </c>
      <c r="V119" s="41">
        <v>15</v>
      </c>
      <c r="W119" s="41">
        <v>4.5788048547374141</v>
      </c>
      <c r="X119" s="41"/>
      <c r="Y119" s="41"/>
      <c r="Z119" s="35" t="s">
        <v>10</v>
      </c>
      <c r="AA119" s="36" t="s">
        <v>27</v>
      </c>
    </row>
    <row r="120" spans="1:30" x14ac:dyDescent="0.25">
      <c r="A120" s="42" t="s">
        <v>133</v>
      </c>
      <c r="B120" s="42" t="s">
        <v>294</v>
      </c>
      <c r="C120" s="42">
        <v>55</v>
      </c>
      <c r="D120" s="42">
        <v>111824871.383586</v>
      </c>
      <c r="E120" s="42">
        <v>1670158.4665637901</v>
      </c>
      <c r="F120" s="42">
        <v>66.9546474914181</v>
      </c>
      <c r="G120" s="42">
        <v>94.812732730656819</v>
      </c>
      <c r="H120" s="42">
        <v>15</v>
      </c>
      <c r="I120" s="45">
        <v>4.551903711746812</v>
      </c>
      <c r="J120" s="44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>
        <v>11</v>
      </c>
      <c r="V120" s="42">
        <v>15</v>
      </c>
      <c r="W120" s="42">
        <v>4.551903711746812</v>
      </c>
      <c r="X120" s="42"/>
      <c r="Y120" s="42"/>
    </row>
    <row r="121" spans="1:30" x14ac:dyDescent="0.25">
      <c r="A121" s="41" t="s">
        <v>135</v>
      </c>
      <c r="B121" s="41" t="s">
        <v>294</v>
      </c>
      <c r="C121" s="41">
        <v>55</v>
      </c>
      <c r="D121" s="41">
        <v>116974383.657849</v>
      </c>
      <c r="E121" s="41">
        <v>1916127.31127875</v>
      </c>
      <c r="F121" s="41">
        <v>61.047292092394997</v>
      </c>
      <c r="G121" s="41">
        <v>87.689408419059134</v>
      </c>
      <c r="H121" s="41">
        <v>15</v>
      </c>
      <c r="I121" s="46">
        <v>4.4738011214925262</v>
      </c>
      <c r="J121" s="43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>
        <v>12</v>
      </c>
      <c r="V121" s="41">
        <v>15</v>
      </c>
      <c r="W121" s="41">
        <v>4.4738011214925262</v>
      </c>
      <c r="X121" s="41"/>
      <c r="Y121" s="41"/>
    </row>
    <row r="122" spans="1:30" x14ac:dyDescent="0.25">
      <c r="A122" s="42" t="s">
        <v>119</v>
      </c>
      <c r="B122" s="42" t="s">
        <v>294</v>
      </c>
      <c r="C122" s="42">
        <v>55</v>
      </c>
      <c r="D122" s="42">
        <v>129904297.588073</v>
      </c>
      <c r="E122" s="42">
        <v>1791254.4936706</v>
      </c>
      <c r="F122" s="42">
        <v>72.521407788279504</v>
      </c>
      <c r="G122" s="42">
        <v>100</v>
      </c>
      <c r="H122" s="42">
        <v>0</v>
      </c>
      <c r="I122" s="45">
        <v>4.6051701859880918</v>
      </c>
      <c r="J122" s="44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>
        <v>13</v>
      </c>
      <c r="V122" s="42">
        <v>0</v>
      </c>
      <c r="W122" s="42">
        <v>4.6051701859880918</v>
      </c>
      <c r="X122" s="42"/>
      <c r="Y122" s="42"/>
    </row>
    <row r="123" spans="1:30" x14ac:dyDescent="0.25">
      <c r="A123" s="41" t="s">
        <v>121</v>
      </c>
      <c r="B123" s="41" t="s">
        <v>294</v>
      </c>
      <c r="C123" s="41">
        <v>55</v>
      </c>
      <c r="D123" s="41">
        <v>115645134.49903899</v>
      </c>
      <c r="E123" s="41">
        <v>1637620.6342156699</v>
      </c>
      <c r="F123" s="41">
        <v>70.617780505939294</v>
      </c>
      <c r="G123" s="41">
        <v>100</v>
      </c>
      <c r="H123" s="41">
        <v>0</v>
      </c>
      <c r="I123" s="46">
        <v>4.6051701859880918</v>
      </c>
      <c r="J123" s="43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>
        <v>14</v>
      </c>
      <c r="V123" s="41">
        <v>0</v>
      </c>
      <c r="W123" s="41">
        <v>4.6051701859880918</v>
      </c>
      <c r="X123" s="41"/>
      <c r="Y123" s="41"/>
    </row>
    <row r="124" spans="1:30" x14ac:dyDescent="0.25">
      <c r="A124" s="42" t="s">
        <v>123</v>
      </c>
      <c r="B124" s="42" t="s">
        <v>294</v>
      </c>
      <c r="C124" s="42">
        <v>55</v>
      </c>
      <c r="D124" s="42">
        <v>113700958.96957199</v>
      </c>
      <c r="E124" s="42">
        <v>1633220.6535273299</v>
      </c>
      <c r="F124" s="42">
        <v>69.617634778257298</v>
      </c>
      <c r="G124" s="42">
        <v>100</v>
      </c>
      <c r="H124" s="42">
        <v>0</v>
      </c>
      <c r="I124" s="45">
        <v>4.6051701859880918</v>
      </c>
      <c r="J124" s="44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>
        <v>15</v>
      </c>
      <c r="V124" s="42">
        <v>0</v>
      </c>
      <c r="W124" s="42">
        <v>4.6051701859880918</v>
      </c>
      <c r="X124" s="42"/>
      <c r="Y124" s="42"/>
    </row>
    <row r="125" spans="1:30" x14ac:dyDescent="0.25">
      <c r="A125" s="73" t="s">
        <v>149</v>
      </c>
      <c r="B125" s="73" t="s">
        <v>294</v>
      </c>
      <c r="C125" s="73">
        <v>55</v>
      </c>
      <c r="D125" s="73">
        <v>104545547.808318</v>
      </c>
      <c r="E125" s="73">
        <v>1995106.4801314699</v>
      </c>
      <c r="F125" s="73">
        <v>52.400986538537303</v>
      </c>
      <c r="G125" s="73">
        <v>73.888563170573548</v>
      </c>
      <c r="H125" s="73"/>
      <c r="I125" s="74"/>
      <c r="J125" s="75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</row>
    <row r="126" spans="1:30" x14ac:dyDescent="0.25">
      <c r="A126" s="42" t="s">
        <v>151</v>
      </c>
      <c r="B126" s="42" t="s">
        <v>294</v>
      </c>
      <c r="C126" s="42">
        <v>55</v>
      </c>
      <c r="D126" s="42">
        <v>100633767.604765</v>
      </c>
      <c r="E126" s="42">
        <v>1707004.0951004999</v>
      </c>
      <c r="F126" s="42">
        <v>58.9534424045073</v>
      </c>
      <c r="G126" s="42">
        <v>83.12792260169914</v>
      </c>
      <c r="H126" s="42"/>
      <c r="I126" s="45"/>
      <c r="J126" s="44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</row>
    <row r="127" spans="1:30" ht="15.75" thickBot="1" x14ac:dyDescent="0.3">
      <c r="A127" s="41"/>
      <c r="B127" s="41"/>
      <c r="C127" s="41"/>
      <c r="D127" s="41"/>
      <c r="E127" s="41"/>
      <c r="F127" s="41"/>
      <c r="G127" s="41"/>
      <c r="H127" s="41"/>
      <c r="I127" s="41"/>
      <c r="J127" s="43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</row>
    <row r="128" spans="1:30" ht="16.5" thickTop="1" thickBot="1" x14ac:dyDescent="0.3">
      <c r="A128" s="42" t="s">
        <v>33</v>
      </c>
      <c r="B128" s="51" t="s">
        <v>296</v>
      </c>
      <c r="C128" s="42">
        <v>49</v>
      </c>
      <c r="D128" s="42" t="s">
        <v>32</v>
      </c>
      <c r="E128" s="42">
        <v>1614810.53299363</v>
      </c>
      <c r="F128" s="42">
        <v>0</v>
      </c>
      <c r="G128" s="42"/>
      <c r="H128" s="42"/>
      <c r="I128" s="42"/>
      <c r="J128" s="44"/>
      <c r="K128" s="42"/>
      <c r="L128" s="42"/>
      <c r="M128" s="42"/>
      <c r="N128" s="42"/>
      <c r="O128" s="42"/>
      <c r="P128" s="42"/>
      <c r="Q128" s="42"/>
      <c r="R128" s="51" t="s">
        <v>297</v>
      </c>
      <c r="S128" s="42"/>
      <c r="T128" s="42">
        <v>8</v>
      </c>
      <c r="U128" s="42"/>
      <c r="V128" s="42"/>
      <c r="W128" s="42"/>
      <c r="X128" s="42"/>
      <c r="Y128" s="42"/>
      <c r="Z128" s="10" t="s">
        <v>16</v>
      </c>
      <c r="AA128" s="10" t="s">
        <v>18</v>
      </c>
      <c r="AB128" s="10" t="s">
        <v>19</v>
      </c>
      <c r="AC128" s="10" t="s">
        <v>20</v>
      </c>
      <c r="AD128" s="10" t="s">
        <v>21</v>
      </c>
    </row>
    <row r="129" spans="1:30" ht="15.75" thickTop="1" x14ac:dyDescent="0.25">
      <c r="A129" s="41" t="s">
        <v>34</v>
      </c>
      <c r="B129" s="41" t="s">
        <v>296</v>
      </c>
      <c r="C129" s="41">
        <v>49</v>
      </c>
      <c r="D129" s="41" t="s">
        <v>32</v>
      </c>
      <c r="E129" s="41">
        <v>1438754.3494833999</v>
      </c>
      <c r="F129" s="41">
        <v>0</v>
      </c>
      <c r="G129" s="41"/>
      <c r="H129" s="41"/>
      <c r="I129" s="41"/>
      <c r="J129" s="43"/>
      <c r="K129" s="41"/>
      <c r="L129" s="41"/>
      <c r="M129" s="41"/>
      <c r="N129" s="41"/>
      <c r="O129" s="41"/>
      <c r="P129" s="41"/>
      <c r="Q129" s="41"/>
      <c r="R129" s="41" t="s">
        <v>16</v>
      </c>
      <c r="S129" s="41"/>
      <c r="T129" s="41">
        <v>138</v>
      </c>
      <c r="U129" s="41"/>
      <c r="V129" s="41"/>
      <c r="W129" s="41"/>
      <c r="X129" s="41"/>
      <c r="Y129" s="41"/>
      <c r="Z129" s="11">
        <v>120</v>
      </c>
      <c r="AA129" s="12">
        <v>2.1003301573431163</v>
      </c>
      <c r="AB129" s="12">
        <v>2.2804756892375542</v>
      </c>
      <c r="AC129" s="12">
        <v>1.8151731095049051</v>
      </c>
      <c r="AD129" s="12">
        <v>2.0653263186951922</v>
      </c>
    </row>
    <row r="130" spans="1:30" x14ac:dyDescent="0.25">
      <c r="A130" s="42" t="s">
        <v>35</v>
      </c>
      <c r="B130" s="42" t="s">
        <v>296</v>
      </c>
      <c r="C130" s="42">
        <v>49</v>
      </c>
      <c r="D130" s="42" t="s">
        <v>32</v>
      </c>
      <c r="E130" s="42">
        <v>1834176.57378164</v>
      </c>
      <c r="F130" s="42">
        <v>0</v>
      </c>
      <c r="G130" s="42"/>
      <c r="H130" s="42"/>
      <c r="I130" s="42"/>
      <c r="J130" s="44"/>
      <c r="K130" s="42"/>
      <c r="L130" s="42"/>
      <c r="M130" s="42"/>
      <c r="N130" s="42"/>
      <c r="O130" s="42"/>
      <c r="P130" s="42"/>
      <c r="Q130" s="42"/>
      <c r="R130" s="42" t="s">
        <v>17</v>
      </c>
      <c r="S130" s="42"/>
      <c r="T130" s="42">
        <v>152</v>
      </c>
      <c r="U130" s="42"/>
      <c r="V130" s="42"/>
      <c r="W130" s="42"/>
      <c r="X130" s="42"/>
      <c r="Y130" s="42"/>
      <c r="Z130" s="11">
        <v>60</v>
      </c>
      <c r="AA130" s="12">
        <v>1.4690500826190869</v>
      </c>
      <c r="AB130" s="12">
        <v>2.0788883983689725</v>
      </c>
      <c r="AC130" s="12">
        <v>1.5497191302072872</v>
      </c>
      <c r="AD130" s="12">
        <v>1.6992192037317821</v>
      </c>
    </row>
    <row r="131" spans="1:30" x14ac:dyDescent="0.25">
      <c r="A131" s="41" t="s">
        <v>159</v>
      </c>
      <c r="B131" s="41" t="s">
        <v>296</v>
      </c>
      <c r="C131" s="41">
        <v>49</v>
      </c>
      <c r="D131" s="41">
        <v>1204425.5239154</v>
      </c>
      <c r="E131" s="41">
        <v>1350128.9884317899</v>
      </c>
      <c r="F131" s="41">
        <v>0.89208181902261996</v>
      </c>
      <c r="G131" s="41">
        <v>210.03301573431165</v>
      </c>
      <c r="H131" s="41">
        <v>120</v>
      </c>
      <c r="I131" s="46">
        <v>5.3472647361424848</v>
      </c>
      <c r="J131" s="43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>
        <v>1</v>
      </c>
      <c r="V131" s="41">
        <v>120</v>
      </c>
      <c r="W131" s="41">
        <v>5.3472647361424848</v>
      </c>
      <c r="X131" s="41"/>
      <c r="Y131" s="41"/>
      <c r="Z131" s="11">
        <v>30</v>
      </c>
      <c r="AA131" s="12">
        <v>1.4456479216695839</v>
      </c>
      <c r="AB131" s="12">
        <v>1.9385675911568792</v>
      </c>
      <c r="AC131" s="12">
        <v>1.4200795813526117</v>
      </c>
      <c r="AD131" s="12">
        <v>1.6014316980596917</v>
      </c>
    </row>
    <row r="132" spans="1:30" x14ac:dyDescent="0.25">
      <c r="A132" s="42" t="s">
        <v>161</v>
      </c>
      <c r="B132" s="42" t="s">
        <v>296</v>
      </c>
      <c r="C132" s="42">
        <v>49</v>
      </c>
      <c r="D132" s="42">
        <v>1098429.79374643</v>
      </c>
      <c r="E132" s="42">
        <v>1142117.2832016</v>
      </c>
      <c r="F132" s="42">
        <v>0.96174868369673505</v>
      </c>
      <c r="G132" s="42">
        <v>228.04756892375542</v>
      </c>
      <c r="H132" s="42">
        <v>120</v>
      </c>
      <c r="I132" s="45">
        <v>5.4295542428235608</v>
      </c>
      <c r="J132" s="44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>
        <v>2</v>
      </c>
      <c r="V132" s="42">
        <v>120</v>
      </c>
      <c r="W132" s="42">
        <v>5.4295542428235608</v>
      </c>
      <c r="X132" s="42"/>
      <c r="Y132" s="42"/>
      <c r="Z132" s="11">
        <v>15</v>
      </c>
      <c r="AA132" s="12">
        <v>1.3111221218208524</v>
      </c>
      <c r="AB132" s="12">
        <v>1.3583993585150522</v>
      </c>
      <c r="AC132" s="12">
        <v>1.1946696436845285</v>
      </c>
      <c r="AD132" s="12">
        <v>1.2880637080068111</v>
      </c>
    </row>
    <row r="133" spans="1:30" ht="15.75" thickBot="1" x14ac:dyDescent="0.3">
      <c r="A133" s="41" t="s">
        <v>163</v>
      </c>
      <c r="B133" s="41" t="s">
        <v>296</v>
      </c>
      <c r="C133" s="41">
        <v>49</v>
      </c>
      <c r="D133" s="41">
        <v>1173985.9470351201</v>
      </c>
      <c r="E133" s="41">
        <v>1362114.07163548</v>
      </c>
      <c r="F133" s="41">
        <v>0.86188519117604401</v>
      </c>
      <c r="G133" s="41">
        <v>181.5173109504905</v>
      </c>
      <c r="H133" s="41">
        <v>120</v>
      </c>
      <c r="I133" s="46">
        <v>5.2013510262944838</v>
      </c>
      <c r="J133" s="43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>
        <v>3</v>
      </c>
      <c r="V133" s="41">
        <v>120</v>
      </c>
      <c r="W133" s="41">
        <v>5.2013510262944838</v>
      </c>
      <c r="X133" s="41"/>
      <c r="Y133" s="41"/>
      <c r="Z133" s="13">
        <v>0</v>
      </c>
      <c r="AA133" s="14">
        <v>1</v>
      </c>
      <c r="AB133" s="14">
        <v>1</v>
      </c>
      <c r="AC133" s="14">
        <v>1</v>
      </c>
      <c r="AD133" s="14">
        <v>1</v>
      </c>
    </row>
    <row r="134" spans="1:30" ht="16.5" thickTop="1" thickBot="1" x14ac:dyDescent="0.3">
      <c r="A134" s="42" t="s">
        <v>177</v>
      </c>
      <c r="B134" s="42" t="s">
        <v>296</v>
      </c>
      <c r="C134" s="42">
        <v>49</v>
      </c>
      <c r="D134" s="42">
        <v>980626.30466316605</v>
      </c>
      <c r="E134" s="42">
        <v>1571628.2136665799</v>
      </c>
      <c r="F134" s="42">
        <v>0.623955650665866</v>
      </c>
      <c r="G134" s="42">
        <v>146.90500826190868</v>
      </c>
      <c r="H134" s="42">
        <v>60</v>
      </c>
      <c r="I134" s="45">
        <v>4.9897861756000994</v>
      </c>
      <c r="J134" s="44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>
        <v>4</v>
      </c>
      <c r="V134" s="42">
        <v>60</v>
      </c>
      <c r="W134" s="42">
        <v>4.9897861756000994</v>
      </c>
      <c r="X134" s="42"/>
      <c r="Y134" s="42"/>
    </row>
    <row r="135" spans="1:30" x14ac:dyDescent="0.25">
      <c r="A135" s="41" t="s">
        <v>179</v>
      </c>
      <c r="B135" s="41" t="s">
        <v>296</v>
      </c>
      <c r="C135" s="41">
        <v>49</v>
      </c>
      <c r="D135" s="41">
        <v>1108347.77825437</v>
      </c>
      <c r="E135" s="41">
        <v>1264179.4482620701</v>
      </c>
      <c r="F135" s="41">
        <v>0.876732950988938</v>
      </c>
      <c r="G135" s="41">
        <v>207.88883983689726</v>
      </c>
      <c r="H135" s="41">
        <v>60</v>
      </c>
      <c r="I135" s="46">
        <v>5.337003512984916</v>
      </c>
      <c r="J135" s="43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>
        <v>5</v>
      </c>
      <c r="V135" s="41">
        <v>60</v>
      </c>
      <c r="W135" s="41">
        <v>5.337003512984916</v>
      </c>
      <c r="X135" s="41"/>
      <c r="Y135" s="41"/>
      <c r="Z135" s="29" t="s">
        <v>22</v>
      </c>
      <c r="AA135" s="37">
        <v>5.2647112018768668E-3</v>
      </c>
    </row>
    <row r="136" spans="1:30" x14ac:dyDescent="0.25">
      <c r="A136" s="42" t="s">
        <v>181</v>
      </c>
      <c r="B136" s="42" t="s">
        <v>296</v>
      </c>
      <c r="C136" s="42">
        <v>49</v>
      </c>
      <c r="D136" s="42">
        <v>1074778.27555422</v>
      </c>
      <c r="E136" s="42">
        <v>1460610.8274628799</v>
      </c>
      <c r="F136" s="42">
        <v>0.73584164607429203</v>
      </c>
      <c r="G136" s="42">
        <v>154.97191302072872</v>
      </c>
      <c r="H136" s="42">
        <v>60</v>
      </c>
      <c r="I136" s="45">
        <v>5.0432438941815185</v>
      </c>
      <c r="J136" s="44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>
        <v>6</v>
      </c>
      <c r="V136" s="42">
        <v>60</v>
      </c>
      <c r="W136" s="42">
        <v>5.0432438941815185</v>
      </c>
      <c r="X136" s="42"/>
      <c r="Y136" s="42"/>
      <c r="Z136" s="31" t="s">
        <v>23</v>
      </c>
      <c r="AA136" s="32">
        <v>4.758489012250334</v>
      </c>
    </row>
    <row r="137" spans="1:30" ht="17.25" x14ac:dyDescent="0.25">
      <c r="A137" s="41" t="s">
        <v>171</v>
      </c>
      <c r="B137" s="41" t="s">
        <v>296</v>
      </c>
      <c r="C137" s="41">
        <v>49</v>
      </c>
      <c r="D137" s="41">
        <v>964821.055435644</v>
      </c>
      <c r="E137" s="41">
        <v>1571328.9652976701</v>
      </c>
      <c r="F137" s="41">
        <v>0.61401595512042795</v>
      </c>
      <c r="G137" s="41">
        <v>144.5647921669584</v>
      </c>
      <c r="H137" s="41">
        <v>30</v>
      </c>
      <c r="I137" s="46">
        <v>4.9737277957549884</v>
      </c>
      <c r="J137" s="43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>
        <v>7</v>
      </c>
      <c r="V137" s="41">
        <v>30</v>
      </c>
      <c r="W137" s="41">
        <v>4.9737277957549884</v>
      </c>
      <c r="X137" s="41"/>
      <c r="Y137" s="41"/>
      <c r="Z137" s="31" t="s">
        <v>24</v>
      </c>
      <c r="AA137" s="33">
        <v>0.69757222898785054</v>
      </c>
    </row>
    <row r="138" spans="1:30" ht="18" x14ac:dyDescent="0.35">
      <c r="A138" s="42" t="s">
        <v>173</v>
      </c>
      <c r="B138" s="42" t="s">
        <v>296</v>
      </c>
      <c r="C138" s="42">
        <v>49</v>
      </c>
      <c r="D138" s="42">
        <v>1027181.34926273</v>
      </c>
      <c r="E138" s="42">
        <v>1256406.0631413299</v>
      </c>
      <c r="F138" s="42">
        <v>0.81755523106480499</v>
      </c>
      <c r="G138" s="42">
        <v>193.85675911568791</v>
      </c>
      <c r="H138" s="42">
        <v>30</v>
      </c>
      <c r="I138" s="45">
        <v>5.2671195312711969</v>
      </c>
      <c r="J138" s="44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>
        <v>8</v>
      </c>
      <c r="V138" s="42">
        <v>30</v>
      </c>
      <c r="W138" s="42">
        <v>5.2671195312711969</v>
      </c>
      <c r="X138" s="42"/>
      <c r="Y138" s="42"/>
      <c r="Z138" s="31" t="s">
        <v>25</v>
      </c>
      <c r="AA138" s="38" t="s">
        <v>564</v>
      </c>
    </row>
    <row r="139" spans="1:30" ht="18.75" x14ac:dyDescent="0.35">
      <c r="A139" s="41" t="s">
        <v>175</v>
      </c>
      <c r="B139" s="41" t="s">
        <v>296</v>
      </c>
      <c r="C139" s="41">
        <v>49</v>
      </c>
      <c r="D139" s="41">
        <v>990009.86235450697</v>
      </c>
      <c r="E139" s="41">
        <v>1468234.6477468901</v>
      </c>
      <c r="F139" s="41">
        <v>0.67428586014759095</v>
      </c>
      <c r="G139" s="41">
        <v>142.00795813526116</v>
      </c>
      <c r="H139" s="41">
        <v>30</v>
      </c>
      <c r="I139" s="46">
        <v>4.9558830992369636</v>
      </c>
      <c r="J139" s="43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>
        <v>9</v>
      </c>
      <c r="V139" s="41">
        <v>30</v>
      </c>
      <c r="W139" s="41">
        <v>4.9558830992369636</v>
      </c>
      <c r="X139" s="41"/>
      <c r="Y139" s="41"/>
      <c r="Z139" s="31" t="s">
        <v>26</v>
      </c>
      <c r="AA139" s="38">
        <v>0</v>
      </c>
    </row>
    <row r="140" spans="1:30" ht="15.75" thickBot="1" x14ac:dyDescent="0.3">
      <c r="A140" s="42" t="s">
        <v>165</v>
      </c>
      <c r="B140" s="42" t="s">
        <v>296</v>
      </c>
      <c r="C140" s="42">
        <v>49</v>
      </c>
      <c r="D140" s="42">
        <v>881597.28699328296</v>
      </c>
      <c r="E140" s="42">
        <v>1583105.9449466099</v>
      </c>
      <c r="F140" s="42">
        <v>0.55687826187969602</v>
      </c>
      <c r="G140" s="42">
        <v>131.11221218208524</v>
      </c>
      <c r="H140" s="42">
        <v>15</v>
      </c>
      <c r="I140" s="45">
        <v>4.8760535380871834</v>
      </c>
      <c r="J140" s="44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>
        <v>10</v>
      </c>
      <c r="V140" s="42">
        <v>15</v>
      </c>
      <c r="W140" s="42">
        <v>4.8760535380871834</v>
      </c>
      <c r="X140" s="42"/>
      <c r="Y140" s="42"/>
      <c r="Z140" s="35" t="s">
        <v>10</v>
      </c>
      <c r="AA140" s="36" t="s">
        <v>27</v>
      </c>
    </row>
    <row r="141" spans="1:30" x14ac:dyDescent="0.25">
      <c r="A141" s="41" t="s">
        <v>167</v>
      </c>
      <c r="B141" s="41" t="s">
        <v>296</v>
      </c>
      <c r="C141" s="41">
        <v>49</v>
      </c>
      <c r="D141" s="41">
        <v>863036.56473109301</v>
      </c>
      <c r="E141" s="41">
        <v>1506487.64591603</v>
      </c>
      <c r="F141" s="41">
        <v>0.57287994831601596</v>
      </c>
      <c r="G141" s="41">
        <v>135.83993585150523</v>
      </c>
      <c r="H141" s="41">
        <v>15</v>
      </c>
      <c r="I141" s="46">
        <v>4.9114772503272457</v>
      </c>
      <c r="J141" s="43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>
        <v>11</v>
      </c>
      <c r="V141" s="41">
        <v>15</v>
      </c>
      <c r="W141" s="41">
        <v>4.9114772503272457</v>
      </c>
      <c r="X141" s="41"/>
      <c r="Y141" s="41"/>
    </row>
    <row r="142" spans="1:30" x14ac:dyDescent="0.25">
      <c r="A142" s="42" t="s">
        <v>169</v>
      </c>
      <c r="B142" s="42" t="s">
        <v>296</v>
      </c>
      <c r="C142" s="42">
        <v>49</v>
      </c>
      <c r="D142" s="42">
        <v>908696.32924349897</v>
      </c>
      <c r="E142" s="42">
        <v>1601915.3966361999</v>
      </c>
      <c r="F142" s="42">
        <v>0.56725613047457601</v>
      </c>
      <c r="G142" s="42">
        <v>119.46696436845285</v>
      </c>
      <c r="H142" s="42">
        <v>15</v>
      </c>
      <c r="I142" s="45">
        <v>4.783039884352994</v>
      </c>
      <c r="J142" s="44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>
        <v>12</v>
      </c>
      <c r="V142" s="42">
        <v>15</v>
      </c>
      <c r="W142" s="42">
        <v>4.783039884352994</v>
      </c>
      <c r="X142" s="42"/>
      <c r="Y142" s="42"/>
    </row>
    <row r="143" spans="1:30" x14ac:dyDescent="0.25">
      <c r="A143" s="41" t="s">
        <v>153</v>
      </c>
      <c r="B143" s="41" t="s">
        <v>296</v>
      </c>
      <c r="C143" s="41">
        <v>49</v>
      </c>
      <c r="D143" s="41">
        <v>683217.97502552602</v>
      </c>
      <c r="E143" s="41">
        <v>1608578.14427515</v>
      </c>
      <c r="F143" s="41">
        <v>0.42473409044942201</v>
      </c>
      <c r="G143" s="41">
        <v>100</v>
      </c>
      <c r="H143" s="41">
        <v>0</v>
      </c>
      <c r="I143" s="46">
        <v>4.6051701859880918</v>
      </c>
      <c r="J143" s="43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>
        <v>13</v>
      </c>
      <c r="V143" s="41">
        <v>0</v>
      </c>
      <c r="W143" s="41">
        <v>4.6051701859880918</v>
      </c>
      <c r="X143" s="41"/>
      <c r="Y143" s="41"/>
    </row>
    <row r="144" spans="1:30" x14ac:dyDescent="0.25">
      <c r="A144" s="42" t="s">
        <v>155</v>
      </c>
      <c r="B144" s="42" t="s">
        <v>296</v>
      </c>
      <c r="C144" s="42">
        <v>49</v>
      </c>
      <c r="D144" s="42">
        <v>705639.71906596201</v>
      </c>
      <c r="E144" s="42">
        <v>1673196.1810490601</v>
      </c>
      <c r="F144" s="42">
        <v>0.42173160987227298</v>
      </c>
      <c r="G144" s="42">
        <v>100</v>
      </c>
      <c r="H144" s="42">
        <v>0</v>
      </c>
      <c r="I144" s="45">
        <v>4.6051701859880918</v>
      </c>
      <c r="J144" s="44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>
        <v>14</v>
      </c>
      <c r="V144" s="42">
        <v>0</v>
      </c>
      <c r="W144" s="42">
        <v>4.6051701859880918</v>
      </c>
      <c r="X144" s="42"/>
      <c r="Y144" s="42"/>
    </row>
    <row r="145" spans="1:30" x14ac:dyDescent="0.25">
      <c r="A145" s="41" t="s">
        <v>157</v>
      </c>
      <c r="B145" s="41" t="s">
        <v>296</v>
      </c>
      <c r="C145" s="41">
        <v>49</v>
      </c>
      <c r="D145" s="41">
        <v>714026.81074740097</v>
      </c>
      <c r="E145" s="41">
        <v>1503776.0012626699</v>
      </c>
      <c r="F145" s="41">
        <v>0.47482258670696498</v>
      </c>
      <c r="G145" s="41">
        <v>100</v>
      </c>
      <c r="H145" s="41">
        <v>0</v>
      </c>
      <c r="I145" s="46">
        <v>4.6051701859880918</v>
      </c>
      <c r="J145" s="43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>
        <v>15</v>
      </c>
      <c r="V145" s="41">
        <v>0</v>
      </c>
      <c r="W145" s="41">
        <v>4.6051701859880918</v>
      </c>
      <c r="X145" s="41"/>
      <c r="Y145" s="41"/>
    </row>
    <row r="146" spans="1:30" x14ac:dyDescent="0.25">
      <c r="A146" s="48" t="s">
        <v>183</v>
      </c>
      <c r="B146" s="48" t="s">
        <v>296</v>
      </c>
      <c r="C146" s="48">
        <v>49</v>
      </c>
      <c r="D146" s="48">
        <v>470321.16657132702</v>
      </c>
      <c r="E146" s="48">
        <v>1731975.55580838</v>
      </c>
      <c r="F146" s="48">
        <v>0.27155185013671201</v>
      </c>
      <c r="G146" s="48">
        <v>61.656154709594077</v>
      </c>
      <c r="H146" s="48"/>
      <c r="I146" s="77"/>
      <c r="J146" s="49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</row>
    <row r="147" spans="1:30" x14ac:dyDescent="0.25">
      <c r="A147" s="41" t="s">
        <v>185</v>
      </c>
      <c r="B147" s="41" t="s">
        <v>296</v>
      </c>
      <c r="C147" s="41">
        <v>49</v>
      </c>
      <c r="D147" s="41">
        <v>616802.134163048</v>
      </c>
      <c r="E147" s="41">
        <v>1755039.4717337501</v>
      </c>
      <c r="F147" s="41">
        <v>0.35144630311574998</v>
      </c>
      <c r="G147" s="41">
        <v>79.796280622321163</v>
      </c>
      <c r="H147" s="41"/>
      <c r="I147" s="46"/>
      <c r="J147" s="43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</row>
    <row r="148" spans="1:30" ht="15.75" thickBot="1" x14ac:dyDescent="0.3">
      <c r="A148" s="42"/>
      <c r="B148" s="42"/>
      <c r="C148" s="42"/>
      <c r="D148" s="42"/>
      <c r="E148" s="42"/>
      <c r="F148" s="42"/>
      <c r="G148" s="42"/>
      <c r="H148" s="42"/>
      <c r="I148" s="42"/>
      <c r="J148" s="44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</row>
    <row r="149" spans="1:30" ht="16.5" thickTop="1" thickBot="1" x14ac:dyDescent="0.3">
      <c r="A149" s="41" t="s">
        <v>33</v>
      </c>
      <c r="B149" s="50" t="s">
        <v>54</v>
      </c>
      <c r="C149" s="41">
        <v>79</v>
      </c>
      <c r="D149" s="41" t="s">
        <v>32</v>
      </c>
      <c r="E149" s="41">
        <v>1614810.53299363</v>
      </c>
      <c r="F149" s="41">
        <v>0</v>
      </c>
      <c r="G149" s="41"/>
      <c r="H149" s="41"/>
      <c r="I149" s="41"/>
      <c r="J149" s="43"/>
      <c r="K149" s="41"/>
      <c r="L149" s="41"/>
      <c r="M149" s="41"/>
      <c r="N149" s="41"/>
      <c r="O149" s="41"/>
      <c r="P149" s="41"/>
      <c r="Q149" s="41"/>
      <c r="R149" s="50" t="s">
        <v>53</v>
      </c>
      <c r="S149" s="41"/>
      <c r="T149" s="41">
        <v>9</v>
      </c>
      <c r="U149" s="41"/>
      <c r="V149" s="41"/>
      <c r="W149" s="41"/>
      <c r="X149" s="41"/>
      <c r="Y149" s="41"/>
      <c r="Z149" s="10" t="s">
        <v>16</v>
      </c>
      <c r="AA149" s="10" t="s">
        <v>18</v>
      </c>
      <c r="AB149" s="10" t="s">
        <v>19</v>
      </c>
      <c r="AC149" s="10" t="s">
        <v>20</v>
      </c>
      <c r="AD149" s="10" t="s">
        <v>21</v>
      </c>
    </row>
    <row r="150" spans="1:30" ht="15.75" thickTop="1" x14ac:dyDescent="0.25">
      <c r="A150" s="42" t="s">
        <v>34</v>
      </c>
      <c r="B150" s="42" t="s">
        <v>54</v>
      </c>
      <c r="C150" s="42">
        <v>79</v>
      </c>
      <c r="D150" s="42" t="s">
        <v>32</v>
      </c>
      <c r="E150" s="42">
        <v>1438754.3494833999</v>
      </c>
      <c r="F150" s="42">
        <v>0</v>
      </c>
      <c r="G150" s="42"/>
      <c r="H150" s="42"/>
      <c r="I150" s="42"/>
      <c r="J150" s="44"/>
      <c r="K150" s="42"/>
      <c r="L150" s="42"/>
      <c r="M150" s="42"/>
      <c r="N150" s="42"/>
      <c r="O150" s="42"/>
      <c r="P150" s="42"/>
      <c r="Q150" s="42"/>
      <c r="R150" s="42" t="s">
        <v>16</v>
      </c>
      <c r="S150" s="42"/>
      <c r="T150" s="42">
        <v>157</v>
      </c>
      <c r="U150" s="42"/>
      <c r="V150" s="42"/>
      <c r="W150" s="42"/>
      <c r="X150" s="42"/>
      <c r="Y150" s="42"/>
      <c r="Z150" s="11">
        <v>120</v>
      </c>
      <c r="AA150" s="16" t="e">
        <v>#DIV/0!</v>
      </c>
      <c r="AB150" s="16" t="e">
        <v>#DIV/0!</v>
      </c>
      <c r="AC150" s="16" t="e">
        <v>#DIV/0!</v>
      </c>
      <c r="AD150" s="16" t="s">
        <v>564</v>
      </c>
    </row>
    <row r="151" spans="1:30" x14ac:dyDescent="0.25">
      <c r="A151" s="41" t="s">
        <v>35</v>
      </c>
      <c r="B151" s="41" t="s">
        <v>54</v>
      </c>
      <c r="C151" s="41">
        <v>79</v>
      </c>
      <c r="D151" s="41" t="s">
        <v>32</v>
      </c>
      <c r="E151" s="41">
        <v>1834176.57378164</v>
      </c>
      <c r="F151" s="41">
        <v>0</v>
      </c>
      <c r="G151" s="41"/>
      <c r="H151" s="41"/>
      <c r="I151" s="41"/>
      <c r="J151" s="43"/>
      <c r="K151" s="41"/>
      <c r="L151" s="41"/>
      <c r="M151" s="41"/>
      <c r="N151" s="41"/>
      <c r="O151" s="41"/>
      <c r="P151" s="41"/>
      <c r="Q151" s="41"/>
      <c r="R151" s="41" t="s">
        <v>17</v>
      </c>
      <c r="S151" s="41"/>
      <c r="T151" s="41">
        <v>171</v>
      </c>
      <c r="U151" s="41"/>
      <c r="V151" s="41"/>
      <c r="W151" s="41"/>
      <c r="X151" s="41"/>
      <c r="Y151" s="41"/>
      <c r="Z151" s="11">
        <v>60</v>
      </c>
      <c r="AA151" s="12" t="e">
        <v>#DIV/0!</v>
      </c>
      <c r="AB151" s="12" t="e">
        <v>#DIV/0!</v>
      </c>
      <c r="AC151" s="16" t="e">
        <v>#DIV/0!</v>
      </c>
      <c r="AD151" s="12" t="s">
        <v>564</v>
      </c>
    </row>
    <row r="152" spans="1:30" x14ac:dyDescent="0.25">
      <c r="A152" s="42" t="s">
        <v>428</v>
      </c>
      <c r="B152" s="42" t="s">
        <v>54</v>
      </c>
      <c r="C152" s="42">
        <v>79</v>
      </c>
      <c r="D152" s="42" t="s">
        <v>32</v>
      </c>
      <c r="E152" s="42">
        <v>1243571.3345315501</v>
      </c>
      <c r="F152" s="42">
        <v>0</v>
      </c>
      <c r="G152" s="42" t="e">
        <v>#DIV/0!</v>
      </c>
      <c r="H152" s="42">
        <v>120</v>
      </c>
      <c r="I152" s="45" t="e">
        <v>#DIV/0!</v>
      </c>
      <c r="J152" s="44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>
        <v>1</v>
      </c>
      <c r="V152" s="42">
        <v>120</v>
      </c>
      <c r="W152" s="42"/>
      <c r="X152" s="42"/>
      <c r="Y152" s="42"/>
      <c r="Z152" s="11">
        <v>30</v>
      </c>
      <c r="AA152" s="12" t="e">
        <v>#DIV/0!</v>
      </c>
      <c r="AB152" s="12" t="e">
        <v>#DIV/0!</v>
      </c>
      <c r="AC152" s="12" t="e">
        <v>#DIV/0!</v>
      </c>
      <c r="AD152" s="12" t="s">
        <v>564</v>
      </c>
    </row>
    <row r="153" spans="1:30" x14ac:dyDescent="0.25">
      <c r="A153" s="41" t="s">
        <v>430</v>
      </c>
      <c r="B153" s="41" t="s">
        <v>54</v>
      </c>
      <c r="C153" s="41">
        <v>79</v>
      </c>
      <c r="D153" s="41" t="s">
        <v>32</v>
      </c>
      <c r="E153" s="41">
        <v>1556621.34364445</v>
      </c>
      <c r="F153" s="41">
        <v>0</v>
      </c>
      <c r="G153" s="41" t="e">
        <v>#DIV/0!</v>
      </c>
      <c r="H153" s="41">
        <v>120</v>
      </c>
      <c r="I153" s="46" t="e">
        <v>#DIV/0!</v>
      </c>
      <c r="J153" s="43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>
        <v>2</v>
      </c>
      <c r="V153" s="41">
        <v>120</v>
      </c>
      <c r="W153" s="41"/>
      <c r="X153" s="41"/>
      <c r="Y153" s="41"/>
      <c r="Z153" s="11">
        <v>15</v>
      </c>
      <c r="AA153" s="12" t="e">
        <v>#DIV/0!</v>
      </c>
      <c r="AB153" s="12" t="e">
        <v>#DIV/0!</v>
      </c>
      <c r="AC153" s="12" t="e">
        <v>#DIV/0!</v>
      </c>
      <c r="AD153" s="12" t="s">
        <v>564</v>
      </c>
    </row>
    <row r="154" spans="1:30" ht="15.75" thickBot="1" x14ac:dyDescent="0.3">
      <c r="A154" s="42" t="s">
        <v>432</v>
      </c>
      <c r="B154" s="42" t="s">
        <v>54</v>
      </c>
      <c r="C154" s="42">
        <v>79</v>
      </c>
      <c r="D154" s="42" t="s">
        <v>32</v>
      </c>
      <c r="E154" s="42">
        <v>1360881.94558013</v>
      </c>
      <c r="F154" s="42">
        <v>0</v>
      </c>
      <c r="G154" s="42" t="e">
        <v>#DIV/0!</v>
      </c>
      <c r="H154" s="42">
        <v>120</v>
      </c>
      <c r="I154" s="45" t="e">
        <v>#DIV/0!</v>
      </c>
      <c r="J154" s="44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>
        <v>3</v>
      </c>
      <c r="V154" s="42">
        <v>120</v>
      </c>
      <c r="W154" s="42"/>
      <c r="X154" s="42"/>
      <c r="Y154" s="42"/>
      <c r="Z154" s="13">
        <v>0</v>
      </c>
      <c r="AA154" s="14" t="e">
        <v>#DIV/0!</v>
      </c>
      <c r="AB154" s="14" t="e">
        <v>#DIV/0!</v>
      </c>
      <c r="AC154" s="14" t="e">
        <v>#DIV/0!</v>
      </c>
      <c r="AD154" s="14" t="s">
        <v>564</v>
      </c>
    </row>
    <row r="155" spans="1:30" ht="16.5" thickTop="1" thickBot="1" x14ac:dyDescent="0.3">
      <c r="A155" s="41" t="s">
        <v>446</v>
      </c>
      <c r="B155" s="41" t="s">
        <v>54</v>
      </c>
      <c r="C155" s="41">
        <v>79</v>
      </c>
      <c r="D155" s="41" t="s">
        <v>32</v>
      </c>
      <c r="E155" s="41">
        <v>1030897.12162926</v>
      </c>
      <c r="F155" s="41">
        <v>0</v>
      </c>
      <c r="G155" s="41" t="e">
        <v>#DIV/0!</v>
      </c>
      <c r="H155" s="41">
        <v>60</v>
      </c>
      <c r="I155" s="46" t="e">
        <v>#DIV/0!</v>
      </c>
      <c r="J155" s="43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>
        <v>4</v>
      </c>
      <c r="V155" s="41">
        <v>60</v>
      </c>
      <c r="W155" s="41" t="s">
        <v>564</v>
      </c>
      <c r="X155" s="41"/>
      <c r="Y155" s="41"/>
    </row>
    <row r="156" spans="1:30" x14ac:dyDescent="0.25">
      <c r="A156" s="42" t="s">
        <v>448</v>
      </c>
      <c r="B156" s="42" t="s">
        <v>54</v>
      </c>
      <c r="C156" s="42">
        <v>79</v>
      </c>
      <c r="D156" s="42" t="s">
        <v>32</v>
      </c>
      <c r="E156" s="42">
        <v>1120009.8644948299</v>
      </c>
      <c r="F156" s="42">
        <v>0</v>
      </c>
      <c r="G156" s="42" t="e">
        <v>#DIV/0!</v>
      </c>
      <c r="H156" s="42">
        <v>60</v>
      </c>
      <c r="I156" s="45" t="e">
        <v>#DIV/0!</v>
      </c>
      <c r="J156" s="44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>
        <v>5</v>
      </c>
      <c r="V156" s="42">
        <v>60</v>
      </c>
      <c r="W156" s="42" t="s">
        <v>564</v>
      </c>
      <c r="X156" s="42"/>
      <c r="Y156" s="42"/>
      <c r="Z156" s="29" t="s">
        <v>22</v>
      </c>
      <c r="AA156" s="37" t="s">
        <v>564</v>
      </c>
    </row>
    <row r="157" spans="1:30" x14ac:dyDescent="0.25">
      <c r="A157" s="41" t="s">
        <v>450</v>
      </c>
      <c r="B157" s="41" t="s">
        <v>54</v>
      </c>
      <c r="C157" s="41">
        <v>79</v>
      </c>
      <c r="D157" s="41" t="s">
        <v>32</v>
      </c>
      <c r="E157" s="41">
        <v>1280563.5445686099</v>
      </c>
      <c r="F157" s="41">
        <v>0</v>
      </c>
      <c r="G157" s="41" t="e">
        <v>#DIV/0!</v>
      </c>
      <c r="H157" s="41">
        <v>60</v>
      </c>
      <c r="I157" s="46" t="e">
        <v>#DIV/0!</v>
      </c>
      <c r="J157" s="43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>
        <v>6</v>
      </c>
      <c r="V157" s="41">
        <v>60</v>
      </c>
      <c r="W157" s="41" t="s">
        <v>564</v>
      </c>
      <c r="X157" s="41"/>
      <c r="Y157" s="41"/>
      <c r="Z157" s="31" t="s">
        <v>23</v>
      </c>
      <c r="AA157" s="32" t="s">
        <v>564</v>
      </c>
    </row>
    <row r="158" spans="1:30" ht="17.25" x14ac:dyDescent="0.25">
      <c r="A158" s="42" t="s">
        <v>440</v>
      </c>
      <c r="B158" s="42" t="s">
        <v>54</v>
      </c>
      <c r="C158" s="42">
        <v>79</v>
      </c>
      <c r="D158" s="42" t="s">
        <v>32</v>
      </c>
      <c r="E158" s="42">
        <v>765188.74981835298</v>
      </c>
      <c r="F158" s="42">
        <v>0</v>
      </c>
      <c r="G158" s="42" t="e">
        <v>#DIV/0!</v>
      </c>
      <c r="H158" s="42">
        <v>30</v>
      </c>
      <c r="I158" s="45" t="e">
        <v>#DIV/0!</v>
      </c>
      <c r="J158" s="44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>
        <v>7</v>
      </c>
      <c r="V158" s="42">
        <v>30</v>
      </c>
      <c r="W158" s="42"/>
      <c r="X158" s="42"/>
      <c r="Y158" s="42"/>
      <c r="Z158" s="31" t="s">
        <v>24</v>
      </c>
      <c r="AA158" s="33" t="s">
        <v>564</v>
      </c>
    </row>
    <row r="159" spans="1:30" ht="18" x14ac:dyDescent="0.35">
      <c r="A159" s="41" t="s">
        <v>442</v>
      </c>
      <c r="B159" s="41" t="s">
        <v>54</v>
      </c>
      <c r="C159" s="41">
        <v>79</v>
      </c>
      <c r="D159" s="41" t="s">
        <v>32</v>
      </c>
      <c r="E159" s="41">
        <v>1193413.3720686501</v>
      </c>
      <c r="F159" s="41">
        <v>0</v>
      </c>
      <c r="G159" s="41" t="e">
        <v>#DIV/0!</v>
      </c>
      <c r="H159" s="41">
        <v>30</v>
      </c>
      <c r="I159" s="46" t="e">
        <v>#DIV/0!</v>
      </c>
      <c r="J159" s="43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>
        <v>8</v>
      </c>
      <c r="V159" s="41">
        <v>30</v>
      </c>
      <c r="W159" s="41"/>
      <c r="X159" s="41"/>
      <c r="Y159" s="41"/>
      <c r="Z159" s="31" t="s">
        <v>25</v>
      </c>
      <c r="AA159" s="38" t="s">
        <v>564</v>
      </c>
    </row>
    <row r="160" spans="1:30" ht="18.75" x14ac:dyDescent="0.35">
      <c r="A160" s="42" t="s">
        <v>444</v>
      </c>
      <c r="B160" s="42" t="s">
        <v>54</v>
      </c>
      <c r="C160" s="42">
        <v>79</v>
      </c>
      <c r="D160" s="42" t="s">
        <v>32</v>
      </c>
      <c r="E160" s="42">
        <v>1270589.23558048</v>
      </c>
      <c r="F160" s="42">
        <v>0</v>
      </c>
      <c r="G160" s="42" t="e">
        <v>#DIV/0!</v>
      </c>
      <c r="H160" s="42">
        <v>30</v>
      </c>
      <c r="I160" s="45" t="e">
        <v>#DIV/0!</v>
      </c>
      <c r="J160" s="44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>
        <v>9</v>
      </c>
      <c r="V160" s="42">
        <v>30</v>
      </c>
      <c r="W160" s="42"/>
      <c r="X160" s="42"/>
      <c r="Y160" s="42"/>
      <c r="Z160" s="31" t="s">
        <v>26</v>
      </c>
      <c r="AA160" s="38">
        <v>0</v>
      </c>
    </row>
    <row r="161" spans="1:30" ht="15.75" thickBot="1" x14ac:dyDescent="0.3">
      <c r="A161" s="41" t="s">
        <v>434</v>
      </c>
      <c r="B161" s="41" t="s">
        <v>54</v>
      </c>
      <c r="C161" s="41">
        <v>79</v>
      </c>
      <c r="D161" s="41" t="s">
        <v>32</v>
      </c>
      <c r="E161" s="41">
        <v>1153694.6204159099</v>
      </c>
      <c r="F161" s="41">
        <v>0</v>
      </c>
      <c r="G161" s="41" t="e">
        <v>#DIV/0!</v>
      </c>
      <c r="H161" s="41">
        <v>15</v>
      </c>
      <c r="I161" s="46" t="e">
        <v>#DIV/0!</v>
      </c>
      <c r="J161" s="43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>
        <v>10</v>
      </c>
      <c r="V161" s="41">
        <v>15</v>
      </c>
      <c r="W161" s="41" t="s">
        <v>564</v>
      </c>
      <c r="X161" s="41"/>
      <c r="Y161" s="41"/>
      <c r="Z161" s="35" t="s">
        <v>10</v>
      </c>
      <c r="AA161" s="36" t="s">
        <v>27</v>
      </c>
    </row>
    <row r="162" spans="1:30" x14ac:dyDescent="0.25">
      <c r="A162" s="42" t="s">
        <v>436</v>
      </c>
      <c r="B162" s="42" t="s">
        <v>54</v>
      </c>
      <c r="C162" s="42">
        <v>79</v>
      </c>
      <c r="D162" s="42" t="s">
        <v>32</v>
      </c>
      <c r="E162" s="42">
        <v>1190182.0872816099</v>
      </c>
      <c r="F162" s="42">
        <v>0</v>
      </c>
      <c r="G162" s="42" t="e">
        <v>#DIV/0!</v>
      </c>
      <c r="H162" s="42">
        <v>15</v>
      </c>
      <c r="I162" s="45" t="e">
        <v>#DIV/0!</v>
      </c>
      <c r="J162" s="44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>
        <v>11</v>
      </c>
      <c r="V162" s="42">
        <v>15</v>
      </c>
      <c r="W162" s="42" t="s">
        <v>564</v>
      </c>
      <c r="X162" s="42"/>
      <c r="Y162" s="42"/>
    </row>
    <row r="163" spans="1:30" x14ac:dyDescent="0.25">
      <c r="A163" s="41" t="s">
        <v>438</v>
      </c>
      <c r="B163" s="41" t="s">
        <v>54</v>
      </c>
      <c r="C163" s="41">
        <v>79</v>
      </c>
      <c r="D163" s="41" t="s">
        <v>32</v>
      </c>
      <c r="E163" s="41">
        <v>1185583.3975992501</v>
      </c>
      <c r="F163" s="41">
        <v>0</v>
      </c>
      <c r="G163" s="41" t="e">
        <v>#DIV/0!</v>
      </c>
      <c r="H163" s="41">
        <v>15</v>
      </c>
      <c r="I163" s="46" t="e">
        <v>#DIV/0!</v>
      </c>
      <c r="J163" s="43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>
        <v>12</v>
      </c>
      <c r="V163" s="41">
        <v>15</v>
      </c>
      <c r="W163" s="41" t="s">
        <v>564</v>
      </c>
      <c r="X163" s="41"/>
      <c r="Y163" s="41"/>
    </row>
    <row r="164" spans="1:30" x14ac:dyDescent="0.25">
      <c r="A164" s="42" t="s">
        <v>422</v>
      </c>
      <c r="B164" s="42" t="s">
        <v>54</v>
      </c>
      <c r="C164" s="42">
        <v>79</v>
      </c>
      <c r="D164" s="42" t="s">
        <v>32</v>
      </c>
      <c r="E164" s="42">
        <v>1243023.63306204</v>
      </c>
      <c r="F164" s="42">
        <v>0</v>
      </c>
      <c r="G164" s="42" t="e">
        <v>#DIV/0!</v>
      </c>
      <c r="H164" s="42">
        <v>0</v>
      </c>
      <c r="I164" s="45" t="e">
        <v>#DIV/0!</v>
      </c>
      <c r="J164" s="44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>
        <v>13</v>
      </c>
      <c r="V164" s="42">
        <v>0</v>
      </c>
      <c r="W164" s="42" t="s">
        <v>564</v>
      </c>
      <c r="X164" s="42"/>
      <c r="Y164" s="42"/>
    </row>
    <row r="165" spans="1:30" x14ac:dyDescent="0.25">
      <c r="A165" s="41" t="s">
        <v>424</v>
      </c>
      <c r="B165" s="41" t="s">
        <v>54</v>
      </c>
      <c r="C165" s="41">
        <v>79</v>
      </c>
      <c r="D165" s="41" t="s">
        <v>32</v>
      </c>
      <c r="E165" s="41">
        <v>1222228.0281150299</v>
      </c>
      <c r="F165" s="41">
        <v>0</v>
      </c>
      <c r="G165" s="41" t="e">
        <v>#DIV/0!</v>
      </c>
      <c r="H165" s="41">
        <v>0</v>
      </c>
      <c r="I165" s="46" t="e">
        <v>#DIV/0!</v>
      </c>
      <c r="J165" s="43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>
        <v>14</v>
      </c>
      <c r="V165" s="41">
        <v>0</v>
      </c>
      <c r="W165" s="41" t="s">
        <v>564</v>
      </c>
      <c r="X165" s="41"/>
      <c r="Y165" s="41"/>
    </row>
    <row r="166" spans="1:30" x14ac:dyDescent="0.25">
      <c r="A166" s="42" t="s">
        <v>426</v>
      </c>
      <c r="B166" s="42" t="s">
        <v>54</v>
      </c>
      <c r="C166" s="42">
        <v>79</v>
      </c>
      <c r="D166" s="42" t="s">
        <v>32</v>
      </c>
      <c r="E166" s="42">
        <v>1215145.8221229699</v>
      </c>
      <c r="F166" s="42">
        <v>0</v>
      </c>
      <c r="G166" s="42" t="e">
        <v>#DIV/0!</v>
      </c>
      <c r="H166" s="42">
        <v>0</v>
      </c>
      <c r="I166" s="45" t="e">
        <v>#DIV/0!</v>
      </c>
      <c r="J166" s="44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>
        <v>15</v>
      </c>
      <c r="V166" s="42">
        <v>0</v>
      </c>
      <c r="W166" s="42" t="s">
        <v>564</v>
      </c>
      <c r="X166" s="42"/>
      <c r="Y166" s="42"/>
    </row>
    <row r="167" spans="1:30" x14ac:dyDescent="0.25">
      <c r="A167" s="50" t="s">
        <v>452</v>
      </c>
      <c r="B167" s="41" t="s">
        <v>54</v>
      </c>
      <c r="C167" s="41">
        <v>79</v>
      </c>
      <c r="D167" s="41" t="s">
        <v>32</v>
      </c>
      <c r="E167" s="41">
        <v>1619989.65333784</v>
      </c>
      <c r="F167" s="41">
        <v>0</v>
      </c>
      <c r="G167" s="41" t="e">
        <v>#DIV/0!</v>
      </c>
      <c r="H167" s="41"/>
      <c r="I167" s="41"/>
      <c r="J167" s="43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</row>
    <row r="168" spans="1:30" x14ac:dyDescent="0.25">
      <c r="A168" s="109" t="s">
        <v>454</v>
      </c>
      <c r="B168" s="48" t="s">
        <v>54</v>
      </c>
      <c r="C168" s="48">
        <v>79</v>
      </c>
      <c r="D168" s="48" t="s">
        <v>32</v>
      </c>
      <c r="E168" s="48">
        <v>1611031.06865157</v>
      </c>
      <c r="F168" s="48">
        <v>0</v>
      </c>
      <c r="G168" s="48" t="e">
        <v>#DIV/0!</v>
      </c>
      <c r="H168" s="48"/>
      <c r="I168" s="48"/>
      <c r="J168" s="49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</row>
    <row r="169" spans="1:30" ht="15.75" thickBot="1" x14ac:dyDescent="0.3">
      <c r="A169" s="50"/>
      <c r="B169" s="41"/>
      <c r="C169" s="41"/>
      <c r="D169" s="41"/>
      <c r="E169" s="41"/>
      <c r="F169" s="41"/>
      <c r="G169" s="41"/>
      <c r="H169" s="41"/>
      <c r="I169" s="41"/>
      <c r="J169" s="43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</row>
    <row r="170" spans="1:30" ht="16.5" thickTop="1" thickBot="1" x14ac:dyDescent="0.3">
      <c r="A170" s="42" t="s">
        <v>33</v>
      </c>
      <c r="B170" s="51" t="s">
        <v>72</v>
      </c>
      <c r="C170" s="42">
        <v>135</v>
      </c>
      <c r="D170" s="42">
        <v>63006.637593644802</v>
      </c>
      <c r="E170" s="42">
        <v>1614810.53299363</v>
      </c>
      <c r="F170" s="42">
        <v>3.9017975363859002E-2</v>
      </c>
      <c r="G170" s="42"/>
      <c r="H170" s="42"/>
      <c r="I170" s="42"/>
      <c r="J170" s="44"/>
      <c r="K170" s="42"/>
      <c r="L170" s="42"/>
      <c r="M170" s="42"/>
      <c r="N170" s="42"/>
      <c r="O170" s="42"/>
      <c r="P170" s="42"/>
      <c r="Q170" s="42"/>
      <c r="R170" s="51" t="s">
        <v>73</v>
      </c>
      <c r="S170" s="42"/>
      <c r="T170" s="42">
        <v>10</v>
      </c>
      <c r="U170" s="42"/>
      <c r="V170" s="42"/>
      <c r="W170" s="42"/>
      <c r="X170" s="42"/>
      <c r="Y170" s="42"/>
      <c r="Z170" s="10" t="s">
        <v>16</v>
      </c>
      <c r="AA170" s="10" t="s">
        <v>18</v>
      </c>
      <c r="AB170" s="10" t="s">
        <v>19</v>
      </c>
      <c r="AC170" s="10" t="s">
        <v>20</v>
      </c>
      <c r="AD170" s="10" t="s">
        <v>21</v>
      </c>
    </row>
    <row r="171" spans="1:30" ht="15.75" thickTop="1" x14ac:dyDescent="0.25">
      <c r="A171" s="41" t="s">
        <v>34</v>
      </c>
      <c r="B171" s="41" t="s">
        <v>72</v>
      </c>
      <c r="C171" s="41">
        <v>135</v>
      </c>
      <c r="D171" s="41">
        <v>45333.222140236903</v>
      </c>
      <c r="E171" s="41">
        <v>1438754.3494833999</v>
      </c>
      <c r="F171" s="41">
        <v>3.150866036062E-2</v>
      </c>
      <c r="G171" s="41"/>
      <c r="H171" s="41"/>
      <c r="I171" s="41"/>
      <c r="J171" s="43"/>
      <c r="K171" s="41"/>
      <c r="L171" s="41"/>
      <c r="M171" s="41"/>
      <c r="N171" s="41"/>
      <c r="O171" s="41"/>
      <c r="P171" s="41"/>
      <c r="Q171" s="41"/>
      <c r="R171" s="41" t="s">
        <v>16</v>
      </c>
      <c r="S171" s="41"/>
      <c r="T171" s="41">
        <v>176</v>
      </c>
      <c r="U171" s="41"/>
      <c r="V171" s="41"/>
      <c r="W171" s="41"/>
      <c r="X171" s="41"/>
      <c r="Y171" s="41"/>
      <c r="Z171" s="11">
        <v>120</v>
      </c>
      <c r="AA171" s="12">
        <v>0.40331059078728176</v>
      </c>
      <c r="AB171" s="12">
        <v>3.0539458957652345E-2</v>
      </c>
      <c r="AC171" s="12">
        <v>4.5850673653430603</v>
      </c>
      <c r="AD171" s="12">
        <v>1.6729724716959982</v>
      </c>
    </row>
    <row r="172" spans="1:30" x14ac:dyDescent="0.25">
      <c r="A172" s="42" t="s">
        <v>35</v>
      </c>
      <c r="B172" s="42" t="s">
        <v>72</v>
      </c>
      <c r="C172" s="42">
        <v>135</v>
      </c>
      <c r="D172" s="42">
        <v>5917.2234289363796</v>
      </c>
      <c r="E172" s="42">
        <v>1834176.57378164</v>
      </c>
      <c r="F172" s="42">
        <v>3.226092576647E-3</v>
      </c>
      <c r="G172" s="42"/>
      <c r="H172" s="42"/>
      <c r="I172" s="42"/>
      <c r="J172" s="44"/>
      <c r="K172" s="42"/>
      <c r="L172" s="42"/>
      <c r="M172" s="42"/>
      <c r="N172" s="42"/>
      <c r="O172" s="42"/>
      <c r="P172" s="42"/>
      <c r="Q172" s="42"/>
      <c r="R172" s="42" t="s">
        <v>17</v>
      </c>
      <c r="S172" s="42"/>
      <c r="T172" s="42">
        <v>190</v>
      </c>
      <c r="U172" s="42"/>
      <c r="V172" s="42"/>
      <c r="W172" s="42"/>
      <c r="X172" s="42"/>
      <c r="Y172" s="42"/>
      <c r="Z172" s="11">
        <v>60</v>
      </c>
      <c r="AA172" s="12">
        <v>1.5464050194617203</v>
      </c>
      <c r="AB172" s="12">
        <v>2.0771148923577378</v>
      </c>
      <c r="AC172" s="12">
        <v>0.94662576615404315</v>
      </c>
      <c r="AD172" s="12">
        <v>1.5233818926578337</v>
      </c>
    </row>
    <row r="173" spans="1:30" x14ac:dyDescent="0.25">
      <c r="A173" s="41" t="s">
        <v>326</v>
      </c>
      <c r="B173" s="41" t="s">
        <v>72</v>
      </c>
      <c r="C173" s="41">
        <v>135</v>
      </c>
      <c r="D173" s="41">
        <v>833922.67904297903</v>
      </c>
      <c r="E173" s="41">
        <v>1383686.60474227</v>
      </c>
      <c r="F173" s="41">
        <v>0.60268176058429501</v>
      </c>
      <c r="G173" s="41">
        <v>40.331059078728174</v>
      </c>
      <c r="H173" s="41">
        <v>120</v>
      </c>
      <c r="I173" s="46">
        <v>3.6971218688610401</v>
      </c>
      <c r="J173" s="43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>
        <v>1</v>
      </c>
      <c r="V173" s="41">
        <v>120</v>
      </c>
      <c r="W173" s="41">
        <v>3.6971218688610401</v>
      </c>
      <c r="X173" s="41"/>
      <c r="Y173" s="41"/>
      <c r="Z173" s="11">
        <v>30</v>
      </c>
      <c r="AA173" s="12">
        <v>1.3029579425194771</v>
      </c>
      <c r="AB173" s="12">
        <v>3.6997874829396205</v>
      </c>
      <c r="AC173" s="12">
        <v>2.0248374053986127</v>
      </c>
      <c r="AD173" s="12">
        <v>2.3425276102859036</v>
      </c>
    </row>
    <row r="174" spans="1:30" x14ac:dyDescent="0.25">
      <c r="A174" s="42" t="s">
        <v>328</v>
      </c>
      <c r="B174" s="42" t="s">
        <v>72</v>
      </c>
      <c r="C174" s="42">
        <v>135</v>
      </c>
      <c r="D174" s="42">
        <v>477135.12223706499</v>
      </c>
      <c r="E174" s="42">
        <v>8645099.2201391105</v>
      </c>
      <c r="F174" s="42">
        <v>5.5191399206334001E-2</v>
      </c>
      <c r="G174" s="42">
        <v>3.0539458957652346</v>
      </c>
      <c r="H174" s="42">
        <v>120</v>
      </c>
      <c r="I174" s="45">
        <v>1.1164344907800614</v>
      </c>
      <c r="J174" s="44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>
        <v>2</v>
      </c>
      <c r="V174" s="42">
        <v>120</v>
      </c>
      <c r="W174" s="42"/>
      <c r="X174" s="42"/>
      <c r="Y174" s="42"/>
      <c r="Z174" s="11">
        <v>15</v>
      </c>
      <c r="AA174" s="12">
        <v>0.9863346871395825</v>
      </c>
      <c r="AB174" s="12">
        <v>1.1021818483858006</v>
      </c>
      <c r="AC174" s="12">
        <v>0.90118251265075755</v>
      </c>
      <c r="AD174" s="12">
        <v>0.9965663493920468</v>
      </c>
    </row>
    <row r="175" spans="1:30" ht="15.75" thickBot="1" x14ac:dyDescent="0.3">
      <c r="A175" s="41" t="s">
        <v>330</v>
      </c>
      <c r="B175" s="41" t="s">
        <v>72</v>
      </c>
      <c r="C175" s="41">
        <v>135</v>
      </c>
      <c r="D175" s="41">
        <v>2693819.3828886398</v>
      </c>
      <c r="E175" s="41">
        <v>475285.48501061002</v>
      </c>
      <c r="F175" s="41">
        <v>5.6677922382344601</v>
      </c>
      <c r="G175" s="41">
        <v>458.50673653430601</v>
      </c>
      <c r="H175" s="41">
        <v>120</v>
      </c>
      <c r="I175" s="46">
        <v>6.1279749841388709</v>
      </c>
      <c r="J175" s="43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>
        <v>3</v>
      </c>
      <c r="V175" s="41">
        <v>120</v>
      </c>
      <c r="W175" s="41"/>
      <c r="X175" s="41"/>
      <c r="Y175" s="41"/>
      <c r="Z175" s="13">
        <v>0</v>
      </c>
      <c r="AA175" s="14">
        <v>1</v>
      </c>
      <c r="AB175" s="14">
        <v>1</v>
      </c>
      <c r="AC175" s="14">
        <v>1</v>
      </c>
      <c r="AD175" s="14">
        <v>1</v>
      </c>
    </row>
    <row r="176" spans="1:30" ht="16.5" thickTop="1" thickBot="1" x14ac:dyDescent="0.3">
      <c r="A176" s="42" t="s">
        <v>344</v>
      </c>
      <c r="B176" s="42" t="s">
        <v>72</v>
      </c>
      <c r="C176" s="42">
        <v>135</v>
      </c>
      <c r="D176" s="42">
        <v>1200186.4249076201</v>
      </c>
      <c r="E176" s="42">
        <v>535517.56644705799</v>
      </c>
      <c r="F176" s="42">
        <v>2.2411709719820698</v>
      </c>
      <c r="G176" s="42">
        <v>154.64050194617204</v>
      </c>
      <c r="H176" s="42">
        <v>60</v>
      </c>
      <c r="I176" s="45">
        <v>5.0411030807960753</v>
      </c>
      <c r="J176" s="44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>
        <v>4</v>
      </c>
      <c r="V176" s="42">
        <v>60</v>
      </c>
      <c r="W176" s="42">
        <v>5.0411030807960753</v>
      </c>
      <c r="X176" s="42"/>
      <c r="Y176" s="42"/>
    </row>
    <row r="177" spans="1:30" x14ac:dyDescent="0.25">
      <c r="A177" s="41" t="s">
        <v>346</v>
      </c>
      <c r="B177" s="41" t="s">
        <v>72</v>
      </c>
      <c r="C177" s="41">
        <v>135</v>
      </c>
      <c r="D177" s="41">
        <v>1611538.81768287</v>
      </c>
      <c r="E177" s="41">
        <v>765102.84570592502</v>
      </c>
      <c r="F177" s="41">
        <v>2.10630352079788</v>
      </c>
      <c r="G177" s="41">
        <v>207.7114892357738</v>
      </c>
      <c r="H177" s="41">
        <v>60</v>
      </c>
      <c r="I177" s="46">
        <v>5.3361500458460212</v>
      </c>
      <c r="J177" s="43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>
        <v>5</v>
      </c>
      <c r="V177" s="41">
        <v>60</v>
      </c>
      <c r="W177" s="41">
        <v>5.3361500458460212</v>
      </c>
      <c r="X177" s="41"/>
      <c r="Y177" s="41"/>
      <c r="Z177" s="29" t="s">
        <v>22</v>
      </c>
      <c r="AA177" s="30">
        <v>-3.7398211540740581E-3</v>
      </c>
    </row>
    <row r="178" spans="1:30" x14ac:dyDescent="0.25">
      <c r="A178" s="42" t="s">
        <v>348</v>
      </c>
      <c r="B178" s="42" t="s">
        <v>72</v>
      </c>
      <c r="C178" s="42">
        <v>135</v>
      </c>
      <c r="D178" s="42">
        <v>1409269.8920082699</v>
      </c>
      <c r="E178" s="42">
        <v>1184586.86957888</v>
      </c>
      <c r="F178" s="42">
        <v>1.1896720520878701</v>
      </c>
      <c r="G178" s="42">
        <v>94.662576615404319</v>
      </c>
      <c r="H178" s="42">
        <v>60</v>
      </c>
      <c r="I178" s="45">
        <v>4.5503187437928876</v>
      </c>
      <c r="J178" s="44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>
        <v>6</v>
      </c>
      <c r="V178" s="42">
        <v>60</v>
      </c>
      <c r="W178" s="42">
        <v>4.5503187437928876</v>
      </c>
      <c r="X178" s="42"/>
      <c r="Y178" s="42"/>
      <c r="Z178" s="31" t="s">
        <v>23</v>
      </c>
      <c r="AA178" s="32">
        <v>4.827524492874355</v>
      </c>
    </row>
    <row r="179" spans="1:30" ht="17.25" x14ac:dyDescent="0.25">
      <c r="A179" s="41" t="s">
        <v>338</v>
      </c>
      <c r="B179" s="41" t="s">
        <v>72</v>
      </c>
      <c r="C179" s="41">
        <v>135</v>
      </c>
      <c r="D179" s="41">
        <v>953114.31775438599</v>
      </c>
      <c r="E179" s="41">
        <v>503701.98892088199</v>
      </c>
      <c r="F179" s="41">
        <v>1.8922186902543501</v>
      </c>
      <c r="G179" s="41">
        <v>130.29579425194771</v>
      </c>
      <c r="H179" s="41">
        <v>30</v>
      </c>
      <c r="I179" s="46">
        <v>4.8698072061881357</v>
      </c>
      <c r="J179" s="43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>
        <v>7</v>
      </c>
      <c r="V179" s="41">
        <v>30</v>
      </c>
      <c r="W179" s="41">
        <v>4.8698072061881357</v>
      </c>
      <c r="X179" s="41"/>
      <c r="Y179" s="41"/>
      <c r="Z179" s="31" t="s">
        <v>24</v>
      </c>
      <c r="AA179" s="33">
        <v>9.6535501146898947E-2</v>
      </c>
    </row>
    <row r="180" spans="1:30" ht="18" x14ac:dyDescent="0.35">
      <c r="A180" s="42" t="s">
        <v>340</v>
      </c>
      <c r="B180" s="42" t="s">
        <v>72</v>
      </c>
      <c r="C180" s="42">
        <v>135</v>
      </c>
      <c r="D180" s="42">
        <v>345916.40719455399</v>
      </c>
      <c r="E180" s="42">
        <v>92675.051664358805</v>
      </c>
      <c r="F180" s="42">
        <v>3.73257312493722</v>
      </c>
      <c r="G180" s="42">
        <v>369.97874829396204</v>
      </c>
      <c r="H180" s="42">
        <v>30</v>
      </c>
      <c r="I180" s="45">
        <v>5.9134455669453541</v>
      </c>
      <c r="J180" s="44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>
        <v>8</v>
      </c>
      <c r="V180" s="42">
        <v>30</v>
      </c>
      <c r="W180" s="42"/>
      <c r="X180" s="42"/>
      <c r="Y180" s="42"/>
      <c r="Z180" s="31" t="s">
        <v>25</v>
      </c>
      <c r="AA180" s="34">
        <v>185.34233376503843</v>
      </c>
    </row>
    <row r="181" spans="1:30" ht="18.75" x14ac:dyDescent="0.35">
      <c r="A181" s="41" t="s">
        <v>342</v>
      </c>
      <c r="B181" s="41" t="s">
        <v>72</v>
      </c>
      <c r="C181" s="41">
        <v>135</v>
      </c>
      <c r="D181" s="41">
        <v>261938.54461763901</v>
      </c>
      <c r="E181" s="41">
        <v>104079.621126094</v>
      </c>
      <c r="F181" s="41">
        <v>2.5167130873804302</v>
      </c>
      <c r="G181" s="41">
        <v>202.48374053986126</v>
      </c>
      <c r="H181" s="41">
        <v>30</v>
      </c>
      <c r="I181" s="46">
        <v>5.3106595896925732</v>
      </c>
      <c r="J181" s="43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>
        <v>9</v>
      </c>
      <c r="V181" s="41">
        <v>30</v>
      </c>
      <c r="W181" s="41">
        <v>5.3106595896925732</v>
      </c>
      <c r="X181" s="41"/>
      <c r="Y181" s="41"/>
      <c r="Z181" s="31" t="s">
        <v>26</v>
      </c>
      <c r="AA181" s="32">
        <v>7.479642308148116</v>
      </c>
    </row>
    <row r="182" spans="1:30" ht="15.75" thickBot="1" x14ac:dyDescent="0.3">
      <c r="A182" s="42" t="s">
        <v>332</v>
      </c>
      <c r="B182" s="42" t="s">
        <v>72</v>
      </c>
      <c r="C182" s="42">
        <v>135</v>
      </c>
      <c r="D182" s="42">
        <v>88610.309123084604</v>
      </c>
      <c r="E182" s="42">
        <v>61604.365668291997</v>
      </c>
      <c r="F182" s="42">
        <v>1.4383771046390701</v>
      </c>
      <c r="G182" s="42">
        <v>98.633468713958251</v>
      </c>
      <c r="H182" s="42">
        <v>15</v>
      </c>
      <c r="I182" s="45">
        <v>4.591410643301745</v>
      </c>
      <c r="J182" s="44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>
        <v>10</v>
      </c>
      <c r="V182" s="42">
        <v>15</v>
      </c>
      <c r="W182" s="42">
        <v>4.591410643301745</v>
      </c>
      <c r="X182" s="42"/>
      <c r="Y182" s="42"/>
      <c r="Z182" s="35" t="s">
        <v>10</v>
      </c>
      <c r="AA182" s="36" t="s">
        <v>27</v>
      </c>
    </row>
    <row r="183" spans="1:30" x14ac:dyDescent="0.25">
      <c r="A183" s="41" t="s">
        <v>334</v>
      </c>
      <c r="B183" s="41" t="s">
        <v>72</v>
      </c>
      <c r="C183" s="41">
        <v>135</v>
      </c>
      <c r="D183" s="41">
        <v>1675884.8129038301</v>
      </c>
      <c r="E183" s="41">
        <v>1484122.3685211199</v>
      </c>
      <c r="F183" s="41">
        <v>1.1292093215829599</v>
      </c>
      <c r="G183" s="41">
        <v>110.21818483858006</v>
      </c>
      <c r="H183" s="41">
        <v>15</v>
      </c>
      <c r="I183" s="46">
        <v>4.7024618997890881</v>
      </c>
      <c r="J183" s="43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>
        <v>11</v>
      </c>
      <c r="V183" s="41">
        <v>15</v>
      </c>
      <c r="W183" s="41">
        <v>4.7024618997890881</v>
      </c>
      <c r="X183" s="41"/>
      <c r="Y183" s="41"/>
    </row>
    <row r="184" spans="1:30" x14ac:dyDescent="0.25">
      <c r="A184" s="42" t="s">
        <v>336</v>
      </c>
      <c r="B184" s="42" t="s">
        <v>72</v>
      </c>
      <c r="C184" s="42">
        <v>135</v>
      </c>
      <c r="D184" s="42">
        <v>1567402.4036858501</v>
      </c>
      <c r="E184" s="42">
        <v>1382504.31777452</v>
      </c>
      <c r="F184" s="42">
        <v>1.1337414165974999</v>
      </c>
      <c r="G184" s="42">
        <v>90.118251265075756</v>
      </c>
      <c r="H184" s="42">
        <v>15</v>
      </c>
      <c r="I184" s="45">
        <v>4.5011227108604137</v>
      </c>
      <c r="J184" s="44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>
        <v>12</v>
      </c>
      <c r="V184" s="42">
        <v>15</v>
      </c>
      <c r="W184" s="42">
        <v>4.5011227108604137</v>
      </c>
      <c r="X184" s="42"/>
      <c r="Y184" s="42"/>
    </row>
    <row r="185" spans="1:30" x14ac:dyDescent="0.25">
      <c r="A185" s="41" t="s">
        <v>320</v>
      </c>
      <c r="B185" s="41" t="s">
        <v>72</v>
      </c>
      <c r="C185" s="41">
        <v>135</v>
      </c>
      <c r="D185" s="41">
        <v>1173753.82497522</v>
      </c>
      <c r="E185" s="41">
        <v>805063.26894963603</v>
      </c>
      <c r="F185" s="41">
        <v>1.45796469699409</v>
      </c>
      <c r="G185" s="41">
        <v>100</v>
      </c>
      <c r="H185" s="41">
        <v>0</v>
      </c>
      <c r="I185" s="46">
        <v>4.6051701859880918</v>
      </c>
      <c r="J185" s="43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>
        <v>13</v>
      </c>
      <c r="V185" s="41">
        <v>0</v>
      </c>
      <c r="W185" s="41">
        <v>4.6051701859880918</v>
      </c>
      <c r="X185" s="41"/>
      <c r="Y185" s="41"/>
    </row>
    <row r="186" spans="1:30" x14ac:dyDescent="0.25">
      <c r="A186" s="42" t="s">
        <v>322</v>
      </c>
      <c r="B186" s="42" t="s">
        <v>72</v>
      </c>
      <c r="C186" s="42">
        <v>135</v>
      </c>
      <c r="D186" s="42">
        <v>1051106.75202995</v>
      </c>
      <c r="E186" s="42">
        <v>1023671.3719554601</v>
      </c>
      <c r="F186" s="42">
        <v>1.02680096447562</v>
      </c>
      <c r="G186" s="42">
        <v>100</v>
      </c>
      <c r="H186" s="42">
        <v>0</v>
      </c>
      <c r="I186" s="45">
        <v>4.6051701859880918</v>
      </c>
      <c r="J186" s="44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>
        <v>14</v>
      </c>
      <c r="V186" s="42">
        <v>0</v>
      </c>
      <c r="W186" s="42">
        <v>4.6051701859880918</v>
      </c>
      <c r="X186" s="42"/>
      <c r="Y186" s="42"/>
    </row>
    <row r="187" spans="1:30" x14ac:dyDescent="0.25">
      <c r="A187" s="41" t="s">
        <v>324</v>
      </c>
      <c r="B187" s="41" t="s">
        <v>72</v>
      </c>
      <c r="C187" s="41">
        <v>135</v>
      </c>
      <c r="D187" s="41">
        <v>1573053.24030161</v>
      </c>
      <c r="E187" s="41">
        <v>1253065.4603329301</v>
      </c>
      <c r="F187" s="41">
        <v>1.2553639774602501</v>
      </c>
      <c r="G187" s="41">
        <v>100</v>
      </c>
      <c r="H187" s="41">
        <v>0</v>
      </c>
      <c r="I187" s="46">
        <v>4.6051701859880918</v>
      </c>
      <c r="J187" s="43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>
        <v>15</v>
      </c>
      <c r="V187" s="41">
        <v>0</v>
      </c>
      <c r="W187" s="41">
        <v>4.6051701859880918</v>
      </c>
      <c r="X187" s="41"/>
      <c r="Y187" s="41"/>
    </row>
    <row r="188" spans="1:30" x14ac:dyDescent="0.25">
      <c r="A188" s="42" t="s">
        <v>350</v>
      </c>
      <c r="B188" s="42" t="s">
        <v>72</v>
      </c>
      <c r="C188" s="42">
        <v>135</v>
      </c>
      <c r="D188" s="42">
        <v>1203739.6578825801</v>
      </c>
      <c r="E188" s="42">
        <v>842583.25134298904</v>
      </c>
      <c r="F188" s="42">
        <v>1.42862993771114</v>
      </c>
      <c r="G188" s="42">
        <v>114.59201222660293</v>
      </c>
      <c r="H188" s="42"/>
      <c r="I188" s="42"/>
      <c r="J188" s="44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</row>
    <row r="189" spans="1:30" x14ac:dyDescent="0.25">
      <c r="A189" s="73" t="s">
        <v>352</v>
      </c>
      <c r="B189" s="73" t="s">
        <v>72</v>
      </c>
      <c r="C189" s="73">
        <v>135</v>
      </c>
      <c r="D189" s="73">
        <v>1144492.3287792101</v>
      </c>
      <c r="E189" s="73">
        <v>1871064.14109695</v>
      </c>
      <c r="F189" s="73">
        <v>0.61167990110068005</v>
      </c>
      <c r="G189" s="73">
        <v>49.06353202845235</v>
      </c>
      <c r="H189" s="73"/>
      <c r="I189" s="73"/>
      <c r="J189" s="75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</row>
    <row r="190" spans="1:30" ht="15.75" thickBot="1" x14ac:dyDescent="0.3">
      <c r="A190" s="42"/>
      <c r="B190" s="42"/>
      <c r="C190" s="42"/>
      <c r="D190" s="42"/>
      <c r="E190" s="42"/>
      <c r="F190" s="42"/>
      <c r="G190" s="42"/>
      <c r="H190" s="42"/>
      <c r="I190" s="42"/>
      <c r="J190" s="44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</row>
    <row r="191" spans="1:30" ht="16.5" thickTop="1" thickBot="1" x14ac:dyDescent="0.3">
      <c r="A191" s="41" t="s">
        <v>116</v>
      </c>
      <c r="B191" s="50" t="s">
        <v>115</v>
      </c>
      <c r="C191" s="41">
        <v>91</v>
      </c>
      <c r="D191" s="41" t="s">
        <v>32</v>
      </c>
      <c r="E191" s="41">
        <v>535785.55124895996</v>
      </c>
      <c r="F191" s="41">
        <v>0</v>
      </c>
      <c r="G191" s="41"/>
      <c r="H191" s="41"/>
      <c r="I191" s="41"/>
      <c r="J191" s="43"/>
      <c r="K191" s="41"/>
      <c r="L191" s="41"/>
      <c r="M191" s="41"/>
      <c r="N191" s="41"/>
      <c r="O191" s="41"/>
      <c r="P191" s="41"/>
      <c r="Q191" s="41"/>
      <c r="R191" s="50" t="s">
        <v>288</v>
      </c>
      <c r="S191" s="41"/>
      <c r="T191" s="41">
        <v>11</v>
      </c>
      <c r="U191" s="41"/>
      <c r="V191" s="41"/>
      <c r="W191" s="41"/>
      <c r="X191" s="41"/>
      <c r="Y191" s="41"/>
      <c r="Z191" s="10" t="s">
        <v>16</v>
      </c>
      <c r="AA191" s="10" t="s">
        <v>18</v>
      </c>
      <c r="AB191" s="10" t="s">
        <v>19</v>
      </c>
      <c r="AC191" s="10" t="s">
        <v>20</v>
      </c>
      <c r="AD191" s="10" t="s">
        <v>21</v>
      </c>
    </row>
    <row r="192" spans="1:30" ht="15.75" thickTop="1" x14ac:dyDescent="0.25">
      <c r="A192" s="42" t="s">
        <v>117</v>
      </c>
      <c r="B192" s="42" t="s">
        <v>115</v>
      </c>
      <c r="C192" s="42">
        <v>91</v>
      </c>
      <c r="D192" s="42" t="s">
        <v>32</v>
      </c>
      <c r="E192" s="42">
        <v>1314081.40024331</v>
      </c>
      <c r="F192" s="42">
        <v>0</v>
      </c>
      <c r="G192" s="42"/>
      <c r="H192" s="42"/>
      <c r="I192" s="42"/>
      <c r="J192" s="44"/>
      <c r="K192" s="42"/>
      <c r="L192" s="42"/>
      <c r="M192" s="42"/>
      <c r="N192" s="42"/>
      <c r="O192" s="42"/>
      <c r="P192" s="42"/>
      <c r="Q192" s="42"/>
      <c r="R192" s="42" t="s">
        <v>16</v>
      </c>
      <c r="S192" s="42"/>
      <c r="T192" s="42">
        <v>195</v>
      </c>
      <c r="U192" s="42"/>
      <c r="V192" s="42"/>
      <c r="W192" s="42"/>
      <c r="X192" s="42"/>
      <c r="Y192" s="42"/>
      <c r="Z192" s="11">
        <v>120</v>
      </c>
      <c r="AA192" s="12" t="e">
        <v>#DIV/0!</v>
      </c>
      <c r="AB192" s="12" t="e">
        <v>#DIV/0!</v>
      </c>
      <c r="AC192" s="12" t="e">
        <v>#DIV/0!</v>
      </c>
      <c r="AD192" s="12" t="s">
        <v>564</v>
      </c>
    </row>
    <row r="193" spans="1:30" x14ac:dyDescent="0.25">
      <c r="A193" s="41" t="s">
        <v>35</v>
      </c>
      <c r="B193" s="41" t="s">
        <v>115</v>
      </c>
      <c r="C193" s="41">
        <v>91</v>
      </c>
      <c r="D193" s="41" t="s">
        <v>32</v>
      </c>
      <c r="E193" s="41">
        <v>1532416.1873884399</v>
      </c>
      <c r="F193" s="41">
        <v>0</v>
      </c>
      <c r="G193" s="41"/>
      <c r="H193" s="41"/>
      <c r="I193" s="41"/>
      <c r="J193" s="43"/>
      <c r="K193" s="41"/>
      <c r="L193" s="41"/>
      <c r="M193" s="41"/>
      <c r="N193" s="41"/>
      <c r="O193" s="41"/>
      <c r="P193" s="41"/>
      <c r="Q193" s="41"/>
      <c r="R193" s="41" t="s">
        <v>17</v>
      </c>
      <c r="S193" s="41"/>
      <c r="T193" s="41">
        <v>209</v>
      </c>
      <c r="U193" s="41"/>
      <c r="V193" s="41"/>
      <c r="W193" s="41"/>
      <c r="X193" s="41"/>
      <c r="Y193" s="41"/>
      <c r="Z193" s="11">
        <v>60</v>
      </c>
      <c r="AA193" s="12" t="e">
        <v>#DIV/0!</v>
      </c>
      <c r="AB193" s="12" t="e">
        <v>#DIV/0!</v>
      </c>
      <c r="AC193" s="12" t="e">
        <v>#DIV/0!</v>
      </c>
      <c r="AD193" s="12" t="s">
        <v>564</v>
      </c>
    </row>
    <row r="194" spans="1:30" x14ac:dyDescent="0.25">
      <c r="A194" s="42" t="s">
        <v>530</v>
      </c>
      <c r="B194" s="42" t="s">
        <v>115</v>
      </c>
      <c r="C194" s="42">
        <v>91</v>
      </c>
      <c r="D194" s="42" t="s">
        <v>32</v>
      </c>
      <c r="E194" s="42">
        <v>1235345.83885341</v>
      </c>
      <c r="F194" s="42">
        <v>0</v>
      </c>
      <c r="G194" s="42" t="e">
        <v>#DIV/0!</v>
      </c>
      <c r="H194" s="42">
        <v>120</v>
      </c>
      <c r="I194" s="45" t="e">
        <v>#DIV/0!</v>
      </c>
      <c r="J194" s="44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>
        <v>1</v>
      </c>
      <c r="V194" s="42">
        <v>120</v>
      </c>
      <c r="W194" s="42" t="s">
        <v>564</v>
      </c>
      <c r="X194" s="42"/>
      <c r="Y194" s="42"/>
      <c r="Z194" s="11">
        <v>30</v>
      </c>
      <c r="AA194" s="12" t="e">
        <v>#DIV/0!</v>
      </c>
      <c r="AB194" s="12" t="e">
        <v>#DIV/0!</v>
      </c>
      <c r="AC194" s="12" t="e">
        <v>#DIV/0!</v>
      </c>
      <c r="AD194" s="12" t="s">
        <v>564</v>
      </c>
    </row>
    <row r="195" spans="1:30" x14ac:dyDescent="0.25">
      <c r="A195" s="41" t="s">
        <v>532</v>
      </c>
      <c r="B195" s="41" t="s">
        <v>115</v>
      </c>
      <c r="C195" s="41">
        <v>91</v>
      </c>
      <c r="D195" s="41" t="s">
        <v>32</v>
      </c>
      <c r="E195" s="41">
        <v>211430.84322234301</v>
      </c>
      <c r="F195" s="41">
        <v>0</v>
      </c>
      <c r="G195" s="41" t="e">
        <v>#DIV/0!</v>
      </c>
      <c r="H195" s="41">
        <v>120</v>
      </c>
      <c r="I195" s="46" t="e">
        <v>#DIV/0!</v>
      </c>
      <c r="J195" s="43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>
        <v>2</v>
      </c>
      <c r="V195" s="41">
        <v>120</v>
      </c>
      <c r="W195" s="41" t="s">
        <v>564</v>
      </c>
      <c r="X195" s="41"/>
      <c r="Y195" s="41"/>
      <c r="Z195" s="11">
        <v>15</v>
      </c>
      <c r="AA195" s="12" t="e">
        <v>#DIV/0!</v>
      </c>
      <c r="AB195" s="12" t="e">
        <v>#DIV/0!</v>
      </c>
      <c r="AC195" s="12" t="e">
        <v>#DIV/0!</v>
      </c>
      <c r="AD195" s="12" t="s">
        <v>564</v>
      </c>
    </row>
    <row r="196" spans="1:30" ht="15.75" thickBot="1" x14ac:dyDescent="0.3">
      <c r="A196" s="42" t="s">
        <v>534</v>
      </c>
      <c r="B196" s="42" t="s">
        <v>115</v>
      </c>
      <c r="C196" s="42">
        <v>91</v>
      </c>
      <c r="D196" s="42" t="s">
        <v>32</v>
      </c>
      <c r="E196" s="42">
        <v>1323632.9130945599</v>
      </c>
      <c r="F196" s="42">
        <v>0</v>
      </c>
      <c r="G196" s="42" t="e">
        <v>#DIV/0!</v>
      </c>
      <c r="H196" s="42">
        <v>120</v>
      </c>
      <c r="I196" s="45" t="e">
        <v>#DIV/0!</v>
      </c>
      <c r="J196" s="44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>
        <v>3</v>
      </c>
      <c r="V196" s="42">
        <v>120</v>
      </c>
      <c r="W196" s="42" t="s">
        <v>564</v>
      </c>
      <c r="X196" s="42"/>
      <c r="Y196" s="42"/>
      <c r="Z196" s="13">
        <v>0</v>
      </c>
      <c r="AA196" s="14" t="e">
        <v>#DIV/0!</v>
      </c>
      <c r="AB196" s="14" t="e">
        <v>#DIV/0!</v>
      </c>
      <c r="AC196" s="14" t="e">
        <v>#DIV/0!</v>
      </c>
      <c r="AD196" s="14" t="s">
        <v>564</v>
      </c>
    </row>
    <row r="197" spans="1:30" ht="16.5" thickTop="1" thickBot="1" x14ac:dyDescent="0.3">
      <c r="A197" s="41" t="s">
        <v>548</v>
      </c>
      <c r="B197" s="41" t="s">
        <v>115</v>
      </c>
      <c r="C197" s="41">
        <v>91</v>
      </c>
      <c r="D197" s="41" t="s">
        <v>32</v>
      </c>
      <c r="E197" s="41">
        <v>1209894.0353127001</v>
      </c>
      <c r="F197" s="41">
        <v>0</v>
      </c>
      <c r="G197" s="41" t="e">
        <v>#DIV/0!</v>
      </c>
      <c r="H197" s="41">
        <v>60</v>
      </c>
      <c r="I197" s="46" t="e">
        <v>#DIV/0!</v>
      </c>
      <c r="J197" s="43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>
        <v>4</v>
      </c>
      <c r="V197" s="41">
        <v>60</v>
      </c>
      <c r="W197" s="41" t="s">
        <v>564</v>
      </c>
      <c r="X197" s="41"/>
      <c r="Y197" s="41"/>
    </row>
    <row r="198" spans="1:30" x14ac:dyDescent="0.25">
      <c r="A198" s="42" t="s">
        <v>550</v>
      </c>
      <c r="B198" s="42" t="s">
        <v>115</v>
      </c>
      <c r="C198" s="42">
        <v>91</v>
      </c>
      <c r="D198" s="42" t="s">
        <v>32</v>
      </c>
      <c r="E198" s="42">
        <v>143715.555772263</v>
      </c>
      <c r="F198" s="42">
        <v>0</v>
      </c>
      <c r="G198" s="42" t="e">
        <v>#DIV/0!</v>
      </c>
      <c r="H198" s="42">
        <v>60</v>
      </c>
      <c r="I198" s="45" t="e">
        <v>#DIV/0!</v>
      </c>
      <c r="J198" s="44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>
        <v>5</v>
      </c>
      <c r="V198" s="42">
        <v>60</v>
      </c>
      <c r="W198" s="42" t="s">
        <v>564</v>
      </c>
      <c r="X198" s="42"/>
      <c r="Y198" s="42"/>
      <c r="Z198" s="29" t="s">
        <v>22</v>
      </c>
      <c r="AA198" s="30" t="s">
        <v>564</v>
      </c>
    </row>
    <row r="199" spans="1:30" x14ac:dyDescent="0.25">
      <c r="A199" s="41" t="s">
        <v>552</v>
      </c>
      <c r="B199" s="41" t="s">
        <v>115</v>
      </c>
      <c r="C199" s="41">
        <v>91</v>
      </c>
      <c r="D199" s="41" t="s">
        <v>32</v>
      </c>
      <c r="E199" s="41">
        <v>1127228.2572778999</v>
      </c>
      <c r="F199" s="41">
        <v>0</v>
      </c>
      <c r="G199" s="41" t="e">
        <v>#DIV/0!</v>
      </c>
      <c r="H199" s="41">
        <v>60</v>
      </c>
      <c r="I199" s="46" t="e">
        <v>#DIV/0!</v>
      </c>
      <c r="J199" s="43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>
        <v>6</v>
      </c>
      <c r="V199" s="41">
        <v>60</v>
      </c>
      <c r="W199" s="41" t="s">
        <v>564</v>
      </c>
      <c r="X199" s="41"/>
      <c r="Y199" s="41"/>
      <c r="Z199" s="31" t="s">
        <v>23</v>
      </c>
      <c r="AA199" s="32" t="s">
        <v>564</v>
      </c>
    </row>
    <row r="200" spans="1:30" ht="17.25" x14ac:dyDescent="0.25">
      <c r="A200" s="42" t="s">
        <v>542</v>
      </c>
      <c r="B200" s="42" t="s">
        <v>115</v>
      </c>
      <c r="C200" s="42">
        <v>91</v>
      </c>
      <c r="D200" s="42" t="s">
        <v>32</v>
      </c>
      <c r="E200" s="42">
        <v>1294993.2872325999</v>
      </c>
      <c r="F200" s="42">
        <v>0</v>
      </c>
      <c r="G200" s="42" t="e">
        <v>#DIV/0!</v>
      </c>
      <c r="H200" s="42">
        <v>30</v>
      </c>
      <c r="I200" s="45" t="e">
        <v>#DIV/0!</v>
      </c>
      <c r="J200" s="44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>
        <v>7</v>
      </c>
      <c r="V200" s="42">
        <v>30</v>
      </c>
      <c r="W200" s="42" t="s">
        <v>564</v>
      </c>
      <c r="X200" s="42"/>
      <c r="Y200" s="42"/>
      <c r="Z200" s="31" t="s">
        <v>24</v>
      </c>
      <c r="AA200" s="33" t="s">
        <v>564</v>
      </c>
    </row>
    <row r="201" spans="1:30" ht="18" x14ac:dyDescent="0.35">
      <c r="A201" s="41" t="s">
        <v>544</v>
      </c>
      <c r="B201" s="41" t="s">
        <v>115</v>
      </c>
      <c r="C201" s="41">
        <v>91</v>
      </c>
      <c r="D201" s="41" t="s">
        <v>32</v>
      </c>
      <c r="E201" s="41">
        <v>1368114.6756540099</v>
      </c>
      <c r="F201" s="41">
        <v>0</v>
      </c>
      <c r="G201" s="41" t="e">
        <v>#DIV/0!</v>
      </c>
      <c r="H201" s="41">
        <v>30</v>
      </c>
      <c r="I201" s="46" t="e">
        <v>#DIV/0!</v>
      </c>
      <c r="J201" s="43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>
        <v>8</v>
      </c>
      <c r="V201" s="41">
        <v>30</v>
      </c>
      <c r="W201" s="41" t="s">
        <v>564</v>
      </c>
      <c r="X201" s="41"/>
      <c r="Y201" s="41"/>
      <c r="Z201" s="31" t="s">
        <v>25</v>
      </c>
      <c r="AA201" s="38" t="s">
        <v>564</v>
      </c>
    </row>
    <row r="202" spans="1:30" ht="18.75" x14ac:dyDescent="0.35">
      <c r="A202" s="42" t="s">
        <v>546</v>
      </c>
      <c r="B202" s="42" t="s">
        <v>115</v>
      </c>
      <c r="C202" s="42">
        <v>91</v>
      </c>
      <c r="D202" s="42" t="s">
        <v>32</v>
      </c>
      <c r="E202" s="42">
        <v>1379279.36725366</v>
      </c>
      <c r="F202" s="42">
        <v>0</v>
      </c>
      <c r="G202" s="42" t="e">
        <v>#DIV/0!</v>
      </c>
      <c r="H202" s="42">
        <v>30</v>
      </c>
      <c r="I202" s="45" t="e">
        <v>#DIV/0!</v>
      </c>
      <c r="J202" s="44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>
        <v>9</v>
      </c>
      <c r="V202" s="42">
        <v>30</v>
      </c>
      <c r="W202" s="42" t="s">
        <v>564</v>
      </c>
      <c r="X202" s="42"/>
      <c r="Y202" s="42"/>
      <c r="Z202" s="31" t="s">
        <v>26</v>
      </c>
      <c r="AA202" s="38">
        <v>0</v>
      </c>
    </row>
    <row r="203" spans="1:30" ht="15.75" thickBot="1" x14ac:dyDescent="0.3">
      <c r="A203" s="41" t="s">
        <v>536</v>
      </c>
      <c r="B203" s="41" t="s">
        <v>115</v>
      </c>
      <c r="C203" s="41">
        <v>91</v>
      </c>
      <c r="D203" s="41" t="s">
        <v>32</v>
      </c>
      <c r="E203" s="41">
        <v>1412061.4113634501</v>
      </c>
      <c r="F203" s="41">
        <v>0</v>
      </c>
      <c r="G203" s="41" t="e">
        <v>#DIV/0!</v>
      </c>
      <c r="H203" s="41">
        <v>15</v>
      </c>
      <c r="I203" s="46" t="e">
        <v>#DIV/0!</v>
      </c>
      <c r="J203" s="43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>
        <v>10</v>
      </c>
      <c r="V203" s="41">
        <v>15</v>
      </c>
      <c r="W203" s="41" t="s">
        <v>564</v>
      </c>
      <c r="X203" s="41"/>
      <c r="Y203" s="41"/>
      <c r="Z203" s="35" t="s">
        <v>10</v>
      </c>
      <c r="AA203" s="36" t="s">
        <v>27</v>
      </c>
    </row>
    <row r="204" spans="1:30" x14ac:dyDescent="0.25">
      <c r="A204" s="42" t="s">
        <v>538</v>
      </c>
      <c r="B204" s="42" t="s">
        <v>115</v>
      </c>
      <c r="C204" s="42">
        <v>91</v>
      </c>
      <c r="D204" s="42" t="s">
        <v>32</v>
      </c>
      <c r="E204" s="42">
        <v>1325951.2845419999</v>
      </c>
      <c r="F204" s="42">
        <v>0</v>
      </c>
      <c r="G204" s="42" t="e">
        <v>#DIV/0!</v>
      </c>
      <c r="H204" s="42">
        <v>15</v>
      </c>
      <c r="I204" s="45" t="e">
        <v>#DIV/0!</v>
      </c>
      <c r="J204" s="44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>
        <v>11</v>
      </c>
      <c r="V204" s="42">
        <v>15</v>
      </c>
      <c r="W204" s="42" t="s">
        <v>564</v>
      </c>
      <c r="X204" s="42"/>
      <c r="Y204" s="42"/>
    </row>
    <row r="205" spans="1:30" x14ac:dyDescent="0.25">
      <c r="A205" s="41" t="s">
        <v>540</v>
      </c>
      <c r="B205" s="41" t="s">
        <v>115</v>
      </c>
      <c r="C205" s="41">
        <v>91</v>
      </c>
      <c r="D205" s="41" t="s">
        <v>32</v>
      </c>
      <c r="E205" s="41">
        <v>1291928.4344009201</v>
      </c>
      <c r="F205" s="41">
        <v>0</v>
      </c>
      <c r="G205" s="41" t="e">
        <v>#DIV/0!</v>
      </c>
      <c r="H205" s="41">
        <v>15</v>
      </c>
      <c r="I205" s="46" t="e">
        <v>#DIV/0!</v>
      </c>
      <c r="J205" s="43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>
        <v>12</v>
      </c>
      <c r="V205" s="41">
        <v>15</v>
      </c>
      <c r="W205" s="41" t="s">
        <v>564</v>
      </c>
      <c r="X205" s="41"/>
      <c r="Y205" s="41"/>
    </row>
    <row r="206" spans="1:30" x14ac:dyDescent="0.25">
      <c r="A206" s="42" t="s">
        <v>524</v>
      </c>
      <c r="B206" s="42" t="s">
        <v>115</v>
      </c>
      <c r="C206" s="42">
        <v>91</v>
      </c>
      <c r="D206" s="42" t="s">
        <v>32</v>
      </c>
      <c r="E206" s="42">
        <v>1073116.42634719</v>
      </c>
      <c r="F206" s="42">
        <v>0</v>
      </c>
      <c r="G206" s="42" t="e">
        <v>#DIV/0!</v>
      </c>
      <c r="H206" s="42">
        <v>0</v>
      </c>
      <c r="I206" s="45" t="e">
        <v>#DIV/0!</v>
      </c>
      <c r="J206" s="44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>
        <v>13</v>
      </c>
      <c r="V206" s="42">
        <v>0</v>
      </c>
      <c r="W206" s="42" t="s">
        <v>564</v>
      </c>
      <c r="X206" s="42"/>
      <c r="Y206" s="42"/>
    </row>
    <row r="207" spans="1:30" x14ac:dyDescent="0.25">
      <c r="A207" s="41" t="s">
        <v>526</v>
      </c>
      <c r="B207" s="41" t="s">
        <v>115</v>
      </c>
      <c r="C207" s="41">
        <v>91</v>
      </c>
      <c r="D207" s="41" t="s">
        <v>32</v>
      </c>
      <c r="E207" s="41">
        <v>1029174.82846727</v>
      </c>
      <c r="F207" s="41">
        <v>0</v>
      </c>
      <c r="G207" s="41" t="e">
        <v>#DIV/0!</v>
      </c>
      <c r="H207" s="41">
        <v>0</v>
      </c>
      <c r="I207" s="46" t="e">
        <v>#DIV/0!</v>
      </c>
      <c r="J207" s="43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>
        <v>14</v>
      </c>
      <c r="V207" s="41">
        <v>0</v>
      </c>
      <c r="W207" s="41" t="s">
        <v>564</v>
      </c>
      <c r="X207" s="41"/>
      <c r="Y207" s="41"/>
    </row>
    <row r="208" spans="1:30" x14ac:dyDescent="0.25">
      <c r="A208" s="42" t="s">
        <v>528</v>
      </c>
      <c r="B208" s="42" t="s">
        <v>115</v>
      </c>
      <c r="C208" s="42">
        <v>91</v>
      </c>
      <c r="D208" s="42" t="s">
        <v>32</v>
      </c>
      <c r="E208" s="42">
        <v>1069674.2588402501</v>
      </c>
      <c r="F208" s="42">
        <v>0</v>
      </c>
      <c r="G208" s="42" t="e">
        <v>#DIV/0!</v>
      </c>
      <c r="H208" s="42">
        <v>0</v>
      </c>
      <c r="I208" s="45" t="e">
        <v>#DIV/0!</v>
      </c>
      <c r="J208" s="44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>
        <v>15</v>
      </c>
      <c r="V208" s="42">
        <v>0</v>
      </c>
      <c r="W208" s="42" t="s">
        <v>564</v>
      </c>
      <c r="X208" s="42"/>
      <c r="Y208" s="42"/>
    </row>
    <row r="209" spans="1:30" x14ac:dyDescent="0.25">
      <c r="A209" s="41" t="s">
        <v>554</v>
      </c>
      <c r="B209" s="41" t="s">
        <v>115</v>
      </c>
      <c r="C209" s="41">
        <v>91</v>
      </c>
      <c r="D209" s="41" t="s">
        <v>32</v>
      </c>
      <c r="E209" s="41">
        <v>1668919.88280237</v>
      </c>
      <c r="F209" s="41">
        <v>0</v>
      </c>
      <c r="G209" s="41" t="e">
        <v>#DIV/0!</v>
      </c>
      <c r="H209" s="41"/>
      <c r="I209" s="41"/>
      <c r="J209" s="43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</row>
    <row r="210" spans="1:30" x14ac:dyDescent="0.25">
      <c r="A210" s="48" t="s">
        <v>556</v>
      </c>
      <c r="B210" s="48" t="s">
        <v>115</v>
      </c>
      <c r="C210" s="48">
        <v>91</v>
      </c>
      <c r="D210" s="48" t="s">
        <v>32</v>
      </c>
      <c r="E210" s="48">
        <v>1756441.30452475</v>
      </c>
      <c r="F210" s="48">
        <v>0</v>
      </c>
      <c r="G210" s="48" t="e">
        <v>#DIV/0!</v>
      </c>
      <c r="H210" s="48"/>
      <c r="I210" s="48"/>
      <c r="J210" s="49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</row>
    <row r="211" spans="1:30" ht="15.75" thickBot="1" x14ac:dyDescent="0.3">
      <c r="A211" s="41"/>
      <c r="B211" s="41"/>
      <c r="C211" s="41"/>
      <c r="D211" s="41"/>
      <c r="E211" s="41"/>
      <c r="F211" s="41"/>
      <c r="G211" s="41"/>
      <c r="H211" s="41"/>
      <c r="I211" s="41"/>
      <c r="J211" s="43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</row>
    <row r="212" spans="1:30" ht="16.5" thickTop="1" thickBot="1" x14ac:dyDescent="0.3">
      <c r="A212" s="42" t="s">
        <v>33</v>
      </c>
      <c r="B212" s="51" t="s">
        <v>290</v>
      </c>
      <c r="C212" s="42">
        <v>56</v>
      </c>
      <c r="D212" s="42" t="s">
        <v>32</v>
      </c>
      <c r="E212" s="42">
        <v>1614810.53299363</v>
      </c>
      <c r="F212" s="42">
        <v>0</v>
      </c>
      <c r="G212" s="42"/>
      <c r="H212" s="42"/>
      <c r="I212" s="42"/>
      <c r="J212" s="44"/>
      <c r="K212" s="42"/>
      <c r="L212" s="42"/>
      <c r="M212" s="42"/>
      <c r="N212" s="42"/>
      <c r="O212" s="42"/>
      <c r="P212" s="42"/>
      <c r="Q212" s="42"/>
      <c r="R212" s="51" t="s">
        <v>291</v>
      </c>
      <c r="S212" s="42"/>
      <c r="T212" s="42">
        <v>12</v>
      </c>
      <c r="U212" s="42"/>
      <c r="V212" s="42"/>
      <c r="W212" s="42"/>
      <c r="X212" s="42"/>
      <c r="Y212" s="42"/>
      <c r="Z212" s="10" t="s">
        <v>16</v>
      </c>
      <c r="AA212" s="10" t="s">
        <v>18</v>
      </c>
      <c r="AB212" s="10" t="s">
        <v>19</v>
      </c>
      <c r="AC212" s="10" t="s">
        <v>20</v>
      </c>
      <c r="AD212" s="10" t="s">
        <v>21</v>
      </c>
    </row>
    <row r="213" spans="1:30" ht="15.75" thickTop="1" x14ac:dyDescent="0.25">
      <c r="A213" s="41" t="s">
        <v>34</v>
      </c>
      <c r="B213" s="41" t="s">
        <v>290</v>
      </c>
      <c r="C213" s="41">
        <v>56</v>
      </c>
      <c r="D213" s="41" t="s">
        <v>32</v>
      </c>
      <c r="E213" s="41">
        <v>1438754.3494833999</v>
      </c>
      <c r="F213" s="41">
        <v>0</v>
      </c>
      <c r="G213" s="41"/>
      <c r="H213" s="41"/>
      <c r="I213" s="41"/>
      <c r="J213" s="43"/>
      <c r="K213" s="41"/>
      <c r="L213" s="41"/>
      <c r="M213" s="41"/>
      <c r="N213" s="41"/>
      <c r="O213" s="41"/>
      <c r="P213" s="41"/>
      <c r="Q213" s="41"/>
      <c r="R213" s="41" t="s">
        <v>16</v>
      </c>
      <c r="S213" s="41"/>
      <c r="T213" s="41">
        <v>214</v>
      </c>
      <c r="U213" s="41"/>
      <c r="V213" s="41"/>
      <c r="W213" s="41"/>
      <c r="X213" s="41"/>
      <c r="Y213" s="41"/>
      <c r="Z213" s="11">
        <v>120</v>
      </c>
      <c r="AA213" s="12" t="e">
        <v>#DIV/0!</v>
      </c>
      <c r="AB213" s="12" t="e">
        <v>#DIV/0!</v>
      </c>
      <c r="AC213" s="12" t="e">
        <v>#DIV/0!</v>
      </c>
      <c r="AD213" s="12" t="s">
        <v>564</v>
      </c>
    </row>
    <row r="214" spans="1:30" x14ac:dyDescent="0.25">
      <c r="A214" s="42" t="s">
        <v>35</v>
      </c>
      <c r="B214" s="42" t="s">
        <v>290</v>
      </c>
      <c r="C214" s="42">
        <v>56</v>
      </c>
      <c r="D214" s="42" t="s">
        <v>32</v>
      </c>
      <c r="E214" s="42">
        <v>1834176.57378164</v>
      </c>
      <c r="F214" s="42">
        <v>0</v>
      </c>
      <c r="G214" s="42"/>
      <c r="H214" s="42"/>
      <c r="I214" s="42"/>
      <c r="J214" s="44"/>
      <c r="K214" s="42"/>
      <c r="L214" s="42"/>
      <c r="M214" s="42"/>
      <c r="N214" s="42"/>
      <c r="O214" s="42"/>
      <c r="P214" s="42"/>
      <c r="Q214" s="42"/>
      <c r="R214" s="42" t="s">
        <v>17</v>
      </c>
      <c r="S214" s="42"/>
      <c r="T214" s="42">
        <v>228</v>
      </c>
      <c r="U214" s="42"/>
      <c r="V214" s="42"/>
      <c r="W214" s="42"/>
      <c r="X214" s="42"/>
      <c r="Y214" s="42"/>
      <c r="Z214" s="11">
        <v>60</v>
      </c>
      <c r="AA214" s="12" t="e">
        <v>#DIV/0!</v>
      </c>
      <c r="AB214" s="12" t="e">
        <v>#DIV/0!</v>
      </c>
      <c r="AC214" s="12" t="e">
        <v>#DIV/0!</v>
      </c>
      <c r="AD214" s="12" t="s">
        <v>564</v>
      </c>
    </row>
    <row r="215" spans="1:30" x14ac:dyDescent="0.25">
      <c r="A215" s="41" t="s">
        <v>462</v>
      </c>
      <c r="B215" s="41" t="s">
        <v>290</v>
      </c>
      <c r="C215" s="41">
        <v>56</v>
      </c>
      <c r="D215" s="41" t="s">
        <v>32</v>
      </c>
      <c r="E215" s="41">
        <v>1344612.55943071</v>
      </c>
      <c r="F215" s="41">
        <v>0</v>
      </c>
      <c r="G215" s="41" t="e">
        <v>#DIV/0!</v>
      </c>
      <c r="H215" s="41">
        <v>120</v>
      </c>
      <c r="I215" s="46" t="e">
        <v>#DIV/0!</v>
      </c>
      <c r="J215" s="43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>
        <v>1</v>
      </c>
      <c r="V215" s="41">
        <v>120</v>
      </c>
      <c r="W215" s="41" t="s">
        <v>564</v>
      </c>
      <c r="X215" s="41"/>
      <c r="Y215" s="41"/>
      <c r="Z215" s="11">
        <v>30</v>
      </c>
      <c r="AA215" s="12" t="e">
        <v>#DIV/0!</v>
      </c>
      <c r="AB215" s="12" t="e">
        <v>#DIV/0!</v>
      </c>
      <c r="AC215" s="12" t="e">
        <v>#DIV/0!</v>
      </c>
      <c r="AD215" s="12" t="s">
        <v>564</v>
      </c>
    </row>
    <row r="216" spans="1:30" x14ac:dyDescent="0.25">
      <c r="A216" s="42" t="s">
        <v>464</v>
      </c>
      <c r="B216" s="42" t="s">
        <v>290</v>
      </c>
      <c r="C216" s="42">
        <v>56</v>
      </c>
      <c r="D216" s="42" t="s">
        <v>32</v>
      </c>
      <c r="E216" s="42">
        <v>1425972.3760609601</v>
      </c>
      <c r="F216" s="42">
        <v>0</v>
      </c>
      <c r="G216" s="42" t="e">
        <v>#DIV/0!</v>
      </c>
      <c r="H216" s="42">
        <v>120</v>
      </c>
      <c r="I216" s="45" t="e">
        <v>#DIV/0!</v>
      </c>
      <c r="J216" s="44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>
        <v>2</v>
      </c>
      <c r="V216" s="42">
        <v>120</v>
      </c>
      <c r="W216" s="42" t="s">
        <v>564</v>
      </c>
      <c r="X216" s="42"/>
      <c r="Y216" s="42"/>
      <c r="Z216" s="11">
        <v>15</v>
      </c>
      <c r="AA216" s="12" t="e">
        <v>#DIV/0!</v>
      </c>
      <c r="AB216" s="12" t="e">
        <v>#DIV/0!</v>
      </c>
      <c r="AC216" s="12" t="e">
        <v>#DIV/0!</v>
      </c>
      <c r="AD216" s="12" t="s">
        <v>564</v>
      </c>
    </row>
    <row r="217" spans="1:30" ht="15.75" thickBot="1" x14ac:dyDescent="0.3">
      <c r="A217" s="41" t="s">
        <v>466</v>
      </c>
      <c r="B217" s="41" t="s">
        <v>290</v>
      </c>
      <c r="C217" s="41">
        <v>56</v>
      </c>
      <c r="D217" s="41" t="s">
        <v>32</v>
      </c>
      <c r="E217" s="41">
        <v>1294992.4958325401</v>
      </c>
      <c r="F217" s="41">
        <v>0</v>
      </c>
      <c r="G217" s="41" t="e">
        <v>#DIV/0!</v>
      </c>
      <c r="H217" s="41">
        <v>120</v>
      </c>
      <c r="I217" s="46" t="e">
        <v>#DIV/0!</v>
      </c>
      <c r="J217" s="43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>
        <v>3</v>
      </c>
      <c r="V217" s="41">
        <v>120</v>
      </c>
      <c r="W217" s="41" t="s">
        <v>564</v>
      </c>
      <c r="X217" s="41"/>
      <c r="Y217" s="41"/>
      <c r="Z217" s="13">
        <v>0</v>
      </c>
      <c r="AA217" s="14" t="e">
        <v>#DIV/0!</v>
      </c>
      <c r="AB217" s="14" t="e">
        <v>#DIV/0!</v>
      </c>
      <c r="AC217" s="14" t="e">
        <v>#DIV/0!</v>
      </c>
      <c r="AD217" s="14" t="s">
        <v>564</v>
      </c>
    </row>
    <row r="218" spans="1:30" ht="16.5" thickTop="1" thickBot="1" x14ac:dyDescent="0.3">
      <c r="A218" s="42" t="s">
        <v>480</v>
      </c>
      <c r="B218" s="42" t="s">
        <v>290</v>
      </c>
      <c r="C218" s="42">
        <v>56</v>
      </c>
      <c r="D218" s="42" t="s">
        <v>32</v>
      </c>
      <c r="E218" s="42">
        <v>1281347.19775529</v>
      </c>
      <c r="F218" s="42">
        <v>0</v>
      </c>
      <c r="G218" s="42" t="e">
        <v>#DIV/0!</v>
      </c>
      <c r="H218" s="42">
        <v>60</v>
      </c>
      <c r="I218" s="45" t="e">
        <v>#DIV/0!</v>
      </c>
      <c r="J218" s="44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>
        <v>4</v>
      </c>
      <c r="V218" s="42">
        <v>60</v>
      </c>
      <c r="W218" s="42" t="s">
        <v>564</v>
      </c>
      <c r="X218" s="42"/>
      <c r="Y218" s="42"/>
    </row>
    <row r="219" spans="1:30" x14ac:dyDescent="0.25">
      <c r="A219" s="41" t="s">
        <v>482</v>
      </c>
      <c r="B219" s="41" t="s">
        <v>290</v>
      </c>
      <c r="C219" s="41">
        <v>56</v>
      </c>
      <c r="D219" s="41" t="s">
        <v>32</v>
      </c>
      <c r="E219" s="41">
        <v>1274592.7334658999</v>
      </c>
      <c r="F219" s="41">
        <v>0</v>
      </c>
      <c r="G219" s="41" t="e">
        <v>#DIV/0!</v>
      </c>
      <c r="H219" s="41">
        <v>60</v>
      </c>
      <c r="I219" s="46" t="e">
        <v>#DIV/0!</v>
      </c>
      <c r="J219" s="43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>
        <v>5</v>
      </c>
      <c r="V219" s="41">
        <v>60</v>
      </c>
      <c r="W219" s="41" t="s">
        <v>564</v>
      </c>
      <c r="X219" s="41"/>
      <c r="Y219" s="41"/>
      <c r="Z219" s="29" t="s">
        <v>22</v>
      </c>
      <c r="AA219" s="30" t="s">
        <v>564</v>
      </c>
    </row>
    <row r="220" spans="1:30" x14ac:dyDescent="0.25">
      <c r="A220" s="42" t="s">
        <v>484</v>
      </c>
      <c r="B220" s="42" t="s">
        <v>290</v>
      </c>
      <c r="C220" s="42">
        <v>56</v>
      </c>
      <c r="D220" s="42" t="s">
        <v>32</v>
      </c>
      <c r="E220" s="42">
        <v>1171769.9123714699</v>
      </c>
      <c r="F220" s="42">
        <v>0</v>
      </c>
      <c r="G220" s="42" t="e">
        <v>#DIV/0!</v>
      </c>
      <c r="H220" s="42">
        <v>60</v>
      </c>
      <c r="I220" s="45" t="e">
        <v>#DIV/0!</v>
      </c>
      <c r="J220" s="44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>
        <v>6</v>
      </c>
      <c r="V220" s="42">
        <v>60</v>
      </c>
      <c r="W220" s="42" t="s">
        <v>564</v>
      </c>
      <c r="X220" s="42"/>
      <c r="Y220" s="42"/>
      <c r="Z220" s="31" t="s">
        <v>23</v>
      </c>
      <c r="AA220" s="32" t="s">
        <v>564</v>
      </c>
    </row>
    <row r="221" spans="1:30" ht="17.25" x14ac:dyDescent="0.25">
      <c r="A221" s="41" t="s">
        <v>474</v>
      </c>
      <c r="B221" s="41" t="s">
        <v>290</v>
      </c>
      <c r="C221" s="41">
        <v>56</v>
      </c>
      <c r="D221" s="41" t="s">
        <v>32</v>
      </c>
      <c r="E221" s="41">
        <v>1272006.0815642099</v>
      </c>
      <c r="F221" s="41">
        <v>0</v>
      </c>
      <c r="G221" s="41" t="e">
        <v>#DIV/0!</v>
      </c>
      <c r="H221" s="41">
        <v>30</v>
      </c>
      <c r="I221" s="46" t="e">
        <v>#DIV/0!</v>
      </c>
      <c r="J221" s="43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>
        <v>7</v>
      </c>
      <c r="V221" s="41">
        <v>30</v>
      </c>
      <c r="W221" s="41" t="s">
        <v>564</v>
      </c>
      <c r="X221" s="41"/>
      <c r="Y221" s="41"/>
      <c r="Z221" s="31" t="s">
        <v>24</v>
      </c>
      <c r="AA221" s="33" t="s">
        <v>564</v>
      </c>
    </row>
    <row r="222" spans="1:30" ht="18" x14ac:dyDescent="0.35">
      <c r="A222" s="42" t="s">
        <v>476</v>
      </c>
      <c r="B222" s="42" t="s">
        <v>290</v>
      </c>
      <c r="C222" s="42">
        <v>56</v>
      </c>
      <c r="D222" s="42" t="s">
        <v>32</v>
      </c>
      <c r="E222" s="42">
        <v>1175320.18048094</v>
      </c>
      <c r="F222" s="42">
        <v>0</v>
      </c>
      <c r="G222" s="42" t="e">
        <v>#DIV/0!</v>
      </c>
      <c r="H222" s="42">
        <v>30</v>
      </c>
      <c r="I222" s="45" t="e">
        <v>#DIV/0!</v>
      </c>
      <c r="J222" s="44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>
        <v>8</v>
      </c>
      <c r="V222" s="42">
        <v>30</v>
      </c>
      <c r="W222" s="42" t="s">
        <v>564</v>
      </c>
      <c r="X222" s="42"/>
      <c r="Y222" s="42"/>
      <c r="Z222" s="31" t="s">
        <v>25</v>
      </c>
      <c r="AA222" s="34" t="s">
        <v>564</v>
      </c>
    </row>
    <row r="223" spans="1:30" ht="18.75" x14ac:dyDescent="0.35">
      <c r="A223" s="41" t="s">
        <v>478</v>
      </c>
      <c r="B223" s="41" t="s">
        <v>290</v>
      </c>
      <c r="C223" s="41">
        <v>56</v>
      </c>
      <c r="D223" s="41" t="s">
        <v>32</v>
      </c>
      <c r="E223" s="41">
        <v>1166914.4616231001</v>
      </c>
      <c r="F223" s="41">
        <v>0</v>
      </c>
      <c r="G223" s="41" t="e">
        <v>#DIV/0!</v>
      </c>
      <c r="H223" s="41">
        <v>30</v>
      </c>
      <c r="I223" s="46" t="e">
        <v>#DIV/0!</v>
      </c>
      <c r="J223" s="43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>
        <v>9</v>
      </c>
      <c r="V223" s="41">
        <v>30</v>
      </c>
      <c r="W223" s="41" t="s">
        <v>564</v>
      </c>
      <c r="X223" s="41"/>
      <c r="Y223" s="41"/>
      <c r="Z223" s="31" t="s">
        <v>26</v>
      </c>
      <c r="AA223" s="32">
        <v>0</v>
      </c>
    </row>
    <row r="224" spans="1:30" ht="15.75" thickBot="1" x14ac:dyDescent="0.3">
      <c r="A224" s="42" t="s">
        <v>468</v>
      </c>
      <c r="B224" s="42" t="s">
        <v>290</v>
      </c>
      <c r="C224" s="42">
        <v>56</v>
      </c>
      <c r="D224" s="42" t="s">
        <v>32</v>
      </c>
      <c r="E224" s="42">
        <v>1229549.09553671</v>
      </c>
      <c r="F224" s="42">
        <v>0</v>
      </c>
      <c r="G224" s="42" t="e">
        <v>#DIV/0!</v>
      </c>
      <c r="H224" s="42">
        <v>15</v>
      </c>
      <c r="I224" s="45" t="e">
        <v>#DIV/0!</v>
      </c>
      <c r="J224" s="44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>
        <v>10</v>
      </c>
      <c r="V224" s="42">
        <v>15</v>
      </c>
      <c r="W224" s="42" t="s">
        <v>564</v>
      </c>
      <c r="X224" s="42"/>
      <c r="Y224" s="42"/>
      <c r="Z224" s="35" t="s">
        <v>10</v>
      </c>
      <c r="AA224" s="36" t="s">
        <v>27</v>
      </c>
    </row>
    <row r="225" spans="1:30" x14ac:dyDescent="0.25">
      <c r="A225" s="41" t="s">
        <v>470</v>
      </c>
      <c r="B225" s="41" t="s">
        <v>290</v>
      </c>
      <c r="C225" s="41">
        <v>56</v>
      </c>
      <c r="D225" s="41" t="s">
        <v>32</v>
      </c>
      <c r="E225" s="41">
        <v>1190435.4842666001</v>
      </c>
      <c r="F225" s="41">
        <v>0</v>
      </c>
      <c r="G225" s="41" t="e">
        <v>#DIV/0!</v>
      </c>
      <c r="H225" s="41">
        <v>15</v>
      </c>
      <c r="I225" s="46" t="e">
        <v>#DIV/0!</v>
      </c>
      <c r="J225" s="43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>
        <v>11</v>
      </c>
      <c r="V225" s="41">
        <v>15</v>
      </c>
      <c r="W225" s="41" t="s">
        <v>564</v>
      </c>
      <c r="X225" s="41"/>
      <c r="Y225" s="41"/>
    </row>
    <row r="226" spans="1:30" x14ac:dyDescent="0.25">
      <c r="A226" s="42" t="s">
        <v>472</v>
      </c>
      <c r="B226" s="42" t="s">
        <v>290</v>
      </c>
      <c r="C226" s="42">
        <v>56</v>
      </c>
      <c r="D226" s="42" t="s">
        <v>32</v>
      </c>
      <c r="E226" s="42">
        <v>1219799.2849168601</v>
      </c>
      <c r="F226" s="42">
        <v>0</v>
      </c>
      <c r="G226" s="42" t="e">
        <v>#DIV/0!</v>
      </c>
      <c r="H226" s="42">
        <v>15</v>
      </c>
      <c r="I226" s="45" t="e">
        <v>#DIV/0!</v>
      </c>
      <c r="J226" s="44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>
        <v>12</v>
      </c>
      <c r="V226" s="42">
        <v>15</v>
      </c>
      <c r="W226" s="42" t="s">
        <v>564</v>
      </c>
      <c r="X226" s="42"/>
      <c r="Y226" s="42"/>
    </row>
    <row r="227" spans="1:30" x14ac:dyDescent="0.25">
      <c r="A227" s="41" t="s">
        <v>456</v>
      </c>
      <c r="B227" s="41" t="s">
        <v>290</v>
      </c>
      <c r="C227" s="41">
        <v>56</v>
      </c>
      <c r="D227" s="41" t="s">
        <v>32</v>
      </c>
      <c r="E227" s="41">
        <v>1196675.0881081601</v>
      </c>
      <c r="F227" s="41">
        <v>0</v>
      </c>
      <c r="G227" s="41" t="e">
        <v>#DIV/0!</v>
      </c>
      <c r="H227" s="41">
        <v>0</v>
      </c>
      <c r="I227" s="46" t="e">
        <v>#DIV/0!</v>
      </c>
      <c r="J227" s="43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>
        <v>13</v>
      </c>
      <c r="V227" s="41">
        <v>0</v>
      </c>
      <c r="W227" s="41" t="s">
        <v>564</v>
      </c>
      <c r="X227" s="41"/>
      <c r="Y227" s="41"/>
    </row>
    <row r="228" spans="1:30" x14ac:dyDescent="0.25">
      <c r="A228" s="42" t="s">
        <v>458</v>
      </c>
      <c r="B228" s="42" t="s">
        <v>290</v>
      </c>
      <c r="C228" s="42">
        <v>56</v>
      </c>
      <c r="D228" s="42" t="s">
        <v>32</v>
      </c>
      <c r="E228" s="42">
        <v>1140689.0520921501</v>
      </c>
      <c r="F228" s="42">
        <v>0</v>
      </c>
      <c r="G228" s="42" t="e">
        <v>#DIV/0!</v>
      </c>
      <c r="H228" s="42">
        <v>0</v>
      </c>
      <c r="I228" s="45" t="e">
        <v>#DIV/0!</v>
      </c>
      <c r="J228" s="44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>
        <v>14</v>
      </c>
      <c r="V228" s="42">
        <v>0</v>
      </c>
      <c r="W228" s="42" t="s">
        <v>564</v>
      </c>
      <c r="X228" s="42"/>
      <c r="Y228" s="42"/>
    </row>
    <row r="229" spans="1:30" x14ac:dyDescent="0.25">
      <c r="A229" s="41" t="s">
        <v>460</v>
      </c>
      <c r="B229" s="41" t="s">
        <v>290</v>
      </c>
      <c r="C229" s="41">
        <v>56</v>
      </c>
      <c r="D229" s="41" t="s">
        <v>32</v>
      </c>
      <c r="E229" s="41">
        <v>1166308.5808767399</v>
      </c>
      <c r="F229" s="41">
        <v>0</v>
      </c>
      <c r="G229" s="41" t="e">
        <v>#DIV/0!</v>
      </c>
      <c r="H229" s="41">
        <v>0</v>
      </c>
      <c r="I229" s="46" t="e">
        <v>#DIV/0!</v>
      </c>
      <c r="J229" s="43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>
        <v>15</v>
      </c>
      <c r="V229" s="41">
        <v>0</v>
      </c>
      <c r="W229" s="41" t="s">
        <v>564</v>
      </c>
      <c r="X229" s="41"/>
      <c r="Y229" s="41"/>
    </row>
    <row r="230" spans="1:30" x14ac:dyDescent="0.25">
      <c r="A230" s="42" t="s">
        <v>486</v>
      </c>
      <c r="B230" s="42" t="s">
        <v>290</v>
      </c>
      <c r="C230" s="42">
        <v>56</v>
      </c>
      <c r="D230" s="42" t="s">
        <v>32</v>
      </c>
      <c r="E230" s="42">
        <v>1532657.5333513201</v>
      </c>
      <c r="F230" s="42">
        <v>0</v>
      </c>
      <c r="G230" s="42" t="e">
        <v>#DIV/0!</v>
      </c>
      <c r="H230" s="42"/>
      <c r="I230" s="42"/>
      <c r="J230" s="44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</row>
    <row r="231" spans="1:30" x14ac:dyDescent="0.25">
      <c r="A231" s="73" t="s">
        <v>488</v>
      </c>
      <c r="B231" s="73" t="s">
        <v>290</v>
      </c>
      <c r="C231" s="73">
        <v>56</v>
      </c>
      <c r="D231" s="73" t="s">
        <v>32</v>
      </c>
      <c r="E231" s="73">
        <v>1455650.7729489701</v>
      </c>
      <c r="F231" s="73">
        <v>0</v>
      </c>
      <c r="G231" s="73" t="e">
        <v>#DIV/0!</v>
      </c>
      <c r="H231" s="73"/>
      <c r="I231" s="73"/>
      <c r="J231" s="75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</row>
    <row r="232" spans="1:30" ht="15.75" thickBot="1" x14ac:dyDescent="0.3">
      <c r="A232" s="42"/>
      <c r="B232" s="42"/>
      <c r="C232" s="42"/>
      <c r="D232" s="42"/>
      <c r="E232" s="42"/>
      <c r="F232" s="42"/>
      <c r="G232" s="42"/>
      <c r="H232" s="42"/>
      <c r="I232" s="42"/>
      <c r="J232" s="44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</row>
    <row r="233" spans="1:30" ht="16.5" thickTop="1" thickBot="1" x14ac:dyDescent="0.3">
      <c r="A233" s="41" t="s">
        <v>33</v>
      </c>
      <c r="B233" s="50" t="s">
        <v>292</v>
      </c>
      <c r="C233" s="41">
        <v>56</v>
      </c>
      <c r="D233" s="41" t="s">
        <v>32</v>
      </c>
      <c r="E233" s="41">
        <v>1614810.53299363</v>
      </c>
      <c r="F233" s="41">
        <v>0</v>
      </c>
      <c r="G233" s="41"/>
      <c r="H233" s="41"/>
      <c r="I233" s="41"/>
      <c r="J233" s="43"/>
      <c r="K233" s="41"/>
      <c r="L233" s="41"/>
      <c r="M233" s="41"/>
      <c r="N233" s="41"/>
      <c r="O233" s="41"/>
      <c r="P233" s="41"/>
      <c r="Q233" s="41"/>
      <c r="R233" s="50" t="s">
        <v>293</v>
      </c>
      <c r="S233" s="41"/>
      <c r="T233" s="41">
        <v>13</v>
      </c>
      <c r="U233" s="41"/>
      <c r="V233" s="41"/>
      <c r="W233" s="41"/>
      <c r="X233" s="41"/>
      <c r="Y233" s="41"/>
      <c r="Z233" s="10" t="s">
        <v>16</v>
      </c>
      <c r="AA233" s="10" t="s">
        <v>18</v>
      </c>
      <c r="AB233" s="10" t="s">
        <v>19</v>
      </c>
      <c r="AC233" s="10" t="s">
        <v>20</v>
      </c>
      <c r="AD233" s="10" t="s">
        <v>21</v>
      </c>
    </row>
    <row r="234" spans="1:30" ht="15.75" thickTop="1" x14ac:dyDescent="0.25">
      <c r="A234" s="42" t="s">
        <v>34</v>
      </c>
      <c r="B234" s="42" t="s">
        <v>292</v>
      </c>
      <c r="C234" s="42">
        <v>56</v>
      </c>
      <c r="D234" s="42" t="s">
        <v>32</v>
      </c>
      <c r="E234" s="42">
        <v>1438754.3494833999</v>
      </c>
      <c r="F234" s="42">
        <v>0</v>
      </c>
      <c r="G234" s="42"/>
      <c r="H234" s="42"/>
      <c r="I234" s="42"/>
      <c r="J234" s="44"/>
      <c r="K234" s="42"/>
      <c r="L234" s="42"/>
      <c r="M234" s="42"/>
      <c r="N234" s="42"/>
      <c r="O234" s="42"/>
      <c r="P234" s="42"/>
      <c r="Q234" s="42"/>
      <c r="R234" s="42" t="s">
        <v>16</v>
      </c>
      <c r="S234" s="42"/>
      <c r="T234" s="42">
        <v>233</v>
      </c>
      <c r="U234" s="42"/>
      <c r="V234" s="42"/>
      <c r="W234" s="42"/>
      <c r="X234" s="42"/>
      <c r="Y234" s="42"/>
      <c r="Z234" s="11">
        <v>120</v>
      </c>
      <c r="AA234" s="12">
        <v>1.0097443837764333</v>
      </c>
      <c r="AB234" s="12">
        <v>0.95056823675136926</v>
      </c>
      <c r="AC234" s="12">
        <v>0.97806430998601501</v>
      </c>
      <c r="AD234" s="12">
        <v>0.97945897683793914</v>
      </c>
    </row>
    <row r="235" spans="1:30" x14ac:dyDescent="0.25">
      <c r="A235" s="41" t="s">
        <v>35</v>
      </c>
      <c r="B235" s="41" t="s">
        <v>292</v>
      </c>
      <c r="C235" s="41">
        <v>56</v>
      </c>
      <c r="D235" s="41" t="s">
        <v>32</v>
      </c>
      <c r="E235" s="41">
        <v>1834176.57378164</v>
      </c>
      <c r="F235" s="41">
        <v>0</v>
      </c>
      <c r="G235" s="41"/>
      <c r="H235" s="41"/>
      <c r="I235" s="41"/>
      <c r="J235" s="43"/>
      <c r="K235" s="41"/>
      <c r="L235" s="41"/>
      <c r="M235" s="41"/>
      <c r="N235" s="41"/>
      <c r="O235" s="41"/>
      <c r="P235" s="41"/>
      <c r="Q235" s="41"/>
      <c r="R235" s="41" t="s">
        <v>17</v>
      </c>
      <c r="S235" s="41"/>
      <c r="T235" s="41">
        <v>247</v>
      </c>
      <c r="U235" s="41"/>
      <c r="V235" s="41"/>
      <c r="W235" s="41"/>
      <c r="X235" s="41"/>
      <c r="Y235" s="41"/>
      <c r="Z235" s="11">
        <v>60</v>
      </c>
      <c r="AA235" s="12">
        <v>1.2028014521622468</v>
      </c>
      <c r="AB235" s="12">
        <v>1.03630836734886</v>
      </c>
      <c r="AC235" s="12">
        <v>0.97309898625588653</v>
      </c>
      <c r="AD235" s="12">
        <v>1.0707362685889978</v>
      </c>
    </row>
    <row r="236" spans="1:30" x14ac:dyDescent="0.25">
      <c r="A236" s="42" t="s">
        <v>496</v>
      </c>
      <c r="B236" s="42" t="s">
        <v>292</v>
      </c>
      <c r="C236" s="42">
        <v>56</v>
      </c>
      <c r="D236" s="42">
        <v>6259756.4314003801</v>
      </c>
      <c r="E236" s="42">
        <v>1322743.4745480299</v>
      </c>
      <c r="F236" s="42">
        <v>4.7324039406350096</v>
      </c>
      <c r="G236" s="42">
        <v>100.97443837764332</v>
      </c>
      <c r="H236" s="42">
        <v>120</v>
      </c>
      <c r="I236" s="45">
        <v>4.614867399439885</v>
      </c>
      <c r="J236" s="44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>
        <v>1</v>
      </c>
      <c r="V236" s="42">
        <v>120</v>
      </c>
      <c r="W236" s="42">
        <v>4.614867399439885</v>
      </c>
      <c r="X236" s="42"/>
      <c r="Y236" s="42"/>
      <c r="Z236" s="11">
        <v>30</v>
      </c>
      <c r="AA236" s="12">
        <v>1.0434739564608848</v>
      </c>
      <c r="AB236" s="12">
        <v>0.94923927146600873</v>
      </c>
      <c r="AC236" s="12">
        <v>0.74774714324581437</v>
      </c>
      <c r="AD236" s="12">
        <v>0.91348679039090264</v>
      </c>
    </row>
    <row r="237" spans="1:30" x14ac:dyDescent="0.25">
      <c r="A237" s="41" t="s">
        <v>498</v>
      </c>
      <c r="B237" s="41" t="s">
        <v>292</v>
      </c>
      <c r="C237" s="41">
        <v>56</v>
      </c>
      <c r="D237" s="41">
        <v>6241864.7735537002</v>
      </c>
      <c r="E237" s="41">
        <v>1329068.2186376899</v>
      </c>
      <c r="F237" s="41">
        <v>4.6964216629539699</v>
      </c>
      <c r="G237" s="41">
        <v>95.056823675136926</v>
      </c>
      <c r="H237" s="41">
        <v>120</v>
      </c>
      <c r="I237" s="46">
        <v>4.5544748567325604</v>
      </c>
      <c r="J237" s="43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>
        <v>2</v>
      </c>
      <c r="V237" s="41">
        <v>120</v>
      </c>
      <c r="W237" s="41">
        <v>4.5544748567325604</v>
      </c>
      <c r="X237" s="41"/>
      <c r="Y237" s="41"/>
      <c r="Z237" s="11">
        <v>15</v>
      </c>
      <c r="AA237" s="12">
        <v>0.9255386681900295</v>
      </c>
      <c r="AB237" s="12">
        <v>0.89196383977723059</v>
      </c>
      <c r="AC237" s="12">
        <v>0.84590854234063562</v>
      </c>
      <c r="AD237" s="12">
        <v>0.88780368343596516</v>
      </c>
    </row>
    <row r="238" spans="1:30" ht="15.75" thickBot="1" x14ac:dyDescent="0.3">
      <c r="A238" s="42" t="s">
        <v>500</v>
      </c>
      <c r="B238" s="42" t="s">
        <v>292</v>
      </c>
      <c r="C238" s="42">
        <v>56</v>
      </c>
      <c r="D238" s="42">
        <v>5940293.9196305396</v>
      </c>
      <c r="E238" s="42">
        <v>1194448.5262563</v>
      </c>
      <c r="F238" s="42">
        <v>4.9732523328140896</v>
      </c>
      <c r="G238" s="42">
        <v>97.806430998601499</v>
      </c>
      <c r="H238" s="42">
        <v>120</v>
      </c>
      <c r="I238" s="45">
        <v>4.5829903315108167</v>
      </c>
      <c r="J238" s="44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>
        <v>3</v>
      </c>
      <c r="V238" s="42">
        <v>120</v>
      </c>
      <c r="W238" s="42">
        <v>4.5829903315108167</v>
      </c>
      <c r="X238" s="42"/>
      <c r="Y238" s="42"/>
      <c r="Z238" s="13">
        <v>0</v>
      </c>
      <c r="AA238" s="14">
        <v>1</v>
      </c>
      <c r="AB238" s="14">
        <v>1</v>
      </c>
      <c r="AC238" s="14">
        <v>1</v>
      </c>
      <c r="AD238" s="14">
        <v>1</v>
      </c>
    </row>
    <row r="239" spans="1:30" ht="16.5" thickTop="1" thickBot="1" x14ac:dyDescent="0.3">
      <c r="A239" s="41" t="s">
        <v>514</v>
      </c>
      <c r="B239" s="41" t="s">
        <v>292</v>
      </c>
      <c r="C239" s="41">
        <v>56</v>
      </c>
      <c r="D239" s="41">
        <v>5868034.8885271205</v>
      </c>
      <c r="E239" s="41">
        <v>1040946.43578559</v>
      </c>
      <c r="F239" s="41">
        <v>5.6372111828199296</v>
      </c>
      <c r="G239" s="41">
        <v>120.28014521622468</v>
      </c>
      <c r="H239" s="41">
        <v>60</v>
      </c>
      <c r="I239" s="46">
        <v>4.7898235654377297</v>
      </c>
      <c r="J239" s="43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>
        <v>4</v>
      </c>
      <c r="V239" s="41">
        <v>60</v>
      </c>
      <c r="W239" s="41">
        <v>4.7898235654377297</v>
      </c>
      <c r="X239" s="41"/>
      <c r="Y239" s="41"/>
    </row>
    <row r="240" spans="1:30" x14ac:dyDescent="0.25">
      <c r="A240" s="42" t="s">
        <v>516</v>
      </c>
      <c r="B240" s="42" t="s">
        <v>292</v>
      </c>
      <c r="C240" s="42">
        <v>56</v>
      </c>
      <c r="D240" s="42">
        <v>6022922.3801081004</v>
      </c>
      <c r="E240" s="42">
        <v>1176344.36690476</v>
      </c>
      <c r="F240" s="42">
        <v>5.1200333418995196</v>
      </c>
      <c r="G240" s="42">
        <v>103.630836734886</v>
      </c>
      <c r="H240" s="42">
        <v>60</v>
      </c>
      <c r="I240" s="45">
        <v>4.6408349374169893</v>
      </c>
      <c r="J240" s="44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>
        <v>5</v>
      </c>
      <c r="V240" s="42">
        <v>60</v>
      </c>
      <c r="W240" s="42">
        <v>4.6408349374169893</v>
      </c>
      <c r="X240" s="42"/>
      <c r="Y240" s="42"/>
      <c r="Z240" s="29" t="s">
        <v>22</v>
      </c>
      <c r="AA240" s="30">
        <v>4.9749681818357151E-4</v>
      </c>
    </row>
    <row r="241" spans="1:30" x14ac:dyDescent="0.25">
      <c r="A241" s="41" t="s">
        <v>518</v>
      </c>
      <c r="B241" s="41" t="s">
        <v>292</v>
      </c>
      <c r="C241" s="41">
        <v>56</v>
      </c>
      <c r="D241" s="41">
        <v>5834750.90360732</v>
      </c>
      <c r="E241" s="41">
        <v>1179212.88609759</v>
      </c>
      <c r="F241" s="41">
        <v>4.9480047007597197</v>
      </c>
      <c r="G241" s="41">
        <v>97.309898625588659</v>
      </c>
      <c r="H241" s="41">
        <v>60</v>
      </c>
      <c r="I241" s="46">
        <v>4.5779007170656918</v>
      </c>
      <c r="J241" s="43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>
        <v>6</v>
      </c>
      <c r="V241" s="41">
        <v>60</v>
      </c>
      <c r="W241" s="41">
        <v>4.5779007170656918</v>
      </c>
      <c r="X241" s="41"/>
      <c r="Y241" s="41"/>
      <c r="Z241" s="31" t="s">
        <v>23</v>
      </c>
      <c r="AA241" s="32">
        <v>4.5474887167206983</v>
      </c>
    </row>
    <row r="242" spans="1:30" ht="17.25" x14ac:dyDescent="0.25">
      <c r="A242" s="42" t="s">
        <v>508</v>
      </c>
      <c r="B242" s="42" t="s">
        <v>292</v>
      </c>
      <c r="C242" s="42">
        <v>56</v>
      </c>
      <c r="D242" s="42">
        <v>5949449.9283755403</v>
      </c>
      <c r="E242" s="42">
        <v>1216535.6452373699</v>
      </c>
      <c r="F242" s="42">
        <v>4.8904854959795898</v>
      </c>
      <c r="G242" s="42">
        <v>104.34739564608849</v>
      </c>
      <c r="H242" s="42">
        <v>30</v>
      </c>
      <c r="I242" s="45">
        <v>4.6477256753400606</v>
      </c>
      <c r="J242" s="44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>
        <v>7</v>
      </c>
      <c r="V242" s="42">
        <v>30</v>
      </c>
      <c r="W242" s="42">
        <v>4.6477256753400606</v>
      </c>
      <c r="X242" s="42"/>
      <c r="Y242" s="42"/>
      <c r="Z242" s="31" t="s">
        <v>24</v>
      </c>
      <c r="AA242" s="33">
        <v>4.2653355500230992E-2</v>
      </c>
    </row>
    <row r="243" spans="1:30" ht="18" x14ac:dyDescent="0.35">
      <c r="A243" s="41" t="s">
        <v>510</v>
      </c>
      <c r="B243" s="41" t="s">
        <v>292</v>
      </c>
      <c r="C243" s="41">
        <v>56</v>
      </c>
      <c r="D243" s="41">
        <v>5946343.2579835402</v>
      </c>
      <c r="E243" s="41">
        <v>1267916.03389411</v>
      </c>
      <c r="F243" s="41">
        <v>4.6898557152248399</v>
      </c>
      <c r="G243" s="41">
        <v>94.923927146600874</v>
      </c>
      <c r="H243" s="41">
        <v>30</v>
      </c>
      <c r="I243" s="46">
        <v>4.553075803937598</v>
      </c>
      <c r="J243" s="43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>
        <v>8</v>
      </c>
      <c r="V243" s="41">
        <v>30</v>
      </c>
      <c r="W243" s="41">
        <v>4.553075803937598</v>
      </c>
      <c r="X243" s="41"/>
      <c r="Y243" s="41"/>
      <c r="Z243" s="31" t="s">
        <v>25</v>
      </c>
      <c r="AA243" s="34" t="s">
        <v>564</v>
      </c>
    </row>
    <row r="244" spans="1:30" ht="18.75" x14ac:dyDescent="0.35">
      <c r="A244" s="42" t="s">
        <v>512</v>
      </c>
      <c r="B244" s="42" t="s">
        <v>292</v>
      </c>
      <c r="C244" s="42">
        <v>56</v>
      </c>
      <c r="D244" s="42">
        <v>5013219.7680776799</v>
      </c>
      <c r="E244" s="42">
        <v>1318526.60575729</v>
      </c>
      <c r="F244" s="42">
        <v>3.8021377393430198</v>
      </c>
      <c r="G244" s="42">
        <v>74.774714324581439</v>
      </c>
      <c r="H244" s="42">
        <v>30</v>
      </c>
      <c r="I244" s="45">
        <v>4.3144797840417324</v>
      </c>
      <c r="J244" s="44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>
        <v>9</v>
      </c>
      <c r="V244" s="42">
        <v>30</v>
      </c>
      <c r="W244" s="42">
        <v>4.3144797840417324</v>
      </c>
      <c r="X244" s="42"/>
      <c r="Y244" s="42"/>
      <c r="Z244" s="31" t="s">
        <v>26</v>
      </c>
      <c r="AA244" s="32">
        <v>0</v>
      </c>
    </row>
    <row r="245" spans="1:30" ht="15.75" thickBot="1" x14ac:dyDescent="0.3">
      <c r="A245" s="41" t="s">
        <v>502</v>
      </c>
      <c r="B245" s="41" t="s">
        <v>292</v>
      </c>
      <c r="C245" s="41">
        <v>56</v>
      </c>
      <c r="D245" s="41">
        <v>5643060.03489717</v>
      </c>
      <c r="E245" s="41">
        <v>1300917.45750618</v>
      </c>
      <c r="F245" s="41">
        <v>4.3377540998755899</v>
      </c>
      <c r="G245" s="41">
        <v>92.553866819002948</v>
      </c>
      <c r="H245" s="41">
        <v>15</v>
      </c>
      <c r="I245" s="46">
        <v>4.5277908190111402</v>
      </c>
      <c r="J245" s="43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>
        <v>10</v>
      </c>
      <c r="V245" s="41">
        <v>15</v>
      </c>
      <c r="W245" s="41">
        <v>4.5277908190111402</v>
      </c>
      <c r="X245" s="41"/>
      <c r="Y245" s="41"/>
      <c r="Z245" s="35" t="s">
        <v>10</v>
      </c>
      <c r="AA245" s="36" t="s">
        <v>27</v>
      </c>
    </row>
    <row r="246" spans="1:30" x14ac:dyDescent="0.25">
      <c r="A246" s="42" t="s">
        <v>504</v>
      </c>
      <c r="B246" s="42" t="s">
        <v>292</v>
      </c>
      <c r="C246" s="42">
        <v>56</v>
      </c>
      <c r="D246" s="42">
        <v>5531267.2536984095</v>
      </c>
      <c r="E246" s="42">
        <v>1255144.1605877599</v>
      </c>
      <c r="F246" s="42">
        <v>4.4068780522455802</v>
      </c>
      <c r="G246" s="42">
        <v>89.196383977723059</v>
      </c>
      <c r="H246" s="42">
        <v>15</v>
      </c>
      <c r="I246" s="45">
        <v>4.4908405003979288</v>
      </c>
      <c r="J246" s="44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>
        <v>11</v>
      </c>
      <c r="V246" s="42">
        <v>15</v>
      </c>
      <c r="W246" s="42">
        <v>4.4908405003979288</v>
      </c>
      <c r="X246" s="42"/>
      <c r="Y246" s="42"/>
    </row>
    <row r="247" spans="1:30" x14ac:dyDescent="0.25">
      <c r="A247" s="41" t="s">
        <v>506</v>
      </c>
      <c r="B247" s="41" t="s">
        <v>292</v>
      </c>
      <c r="C247" s="41">
        <v>56</v>
      </c>
      <c r="D247" s="41">
        <v>5218446.9431470698</v>
      </c>
      <c r="E247" s="41">
        <v>1213234.5743147801</v>
      </c>
      <c r="F247" s="41">
        <v>4.3012679111081003</v>
      </c>
      <c r="G247" s="41">
        <v>84.590854234063556</v>
      </c>
      <c r="H247" s="41">
        <v>15</v>
      </c>
      <c r="I247" s="46">
        <v>4.4378261547879685</v>
      </c>
      <c r="J247" s="43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>
        <v>12</v>
      </c>
      <c r="V247" s="41">
        <v>15</v>
      </c>
      <c r="W247" s="41">
        <v>4.4378261547879685</v>
      </c>
      <c r="X247" s="41"/>
      <c r="Y247" s="41"/>
    </row>
    <row r="248" spans="1:30" x14ac:dyDescent="0.25">
      <c r="A248" s="42" t="s">
        <v>490</v>
      </c>
      <c r="B248" s="42" t="s">
        <v>292</v>
      </c>
      <c r="C248" s="42">
        <v>56</v>
      </c>
      <c r="D248" s="42">
        <v>5590634.1878980501</v>
      </c>
      <c r="E248" s="42">
        <v>1192863.4038414501</v>
      </c>
      <c r="F248" s="42">
        <v>4.68673460003399</v>
      </c>
      <c r="G248" s="42">
        <v>100</v>
      </c>
      <c r="H248" s="42">
        <v>0</v>
      </c>
      <c r="I248" s="45">
        <v>4.6051701859880918</v>
      </c>
      <c r="J248" s="44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>
        <v>13</v>
      </c>
      <c r="V248" s="42">
        <v>0</v>
      </c>
      <c r="W248" s="42">
        <v>4.6051701859880918</v>
      </c>
      <c r="X248" s="42"/>
      <c r="Y248" s="42"/>
    </row>
    <row r="249" spans="1:30" x14ac:dyDescent="0.25">
      <c r="A249" s="41" t="s">
        <v>492</v>
      </c>
      <c r="B249" s="41" t="s">
        <v>292</v>
      </c>
      <c r="C249" s="41">
        <v>56</v>
      </c>
      <c r="D249" s="41">
        <v>5740213.6128088702</v>
      </c>
      <c r="E249" s="41">
        <v>1161834.50381921</v>
      </c>
      <c r="F249" s="41">
        <v>4.9406465326511499</v>
      </c>
      <c r="G249" s="41">
        <v>100</v>
      </c>
      <c r="H249" s="41">
        <v>0</v>
      </c>
      <c r="I249" s="46">
        <v>4.6051701859880918</v>
      </c>
      <c r="J249" s="43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>
        <v>14</v>
      </c>
      <c r="V249" s="41">
        <v>0</v>
      </c>
      <c r="W249" s="41">
        <v>4.6051701859880918</v>
      </c>
      <c r="X249" s="41"/>
      <c r="Y249" s="41"/>
    </row>
    <row r="250" spans="1:30" x14ac:dyDescent="0.25">
      <c r="A250" s="42" t="s">
        <v>494</v>
      </c>
      <c r="B250" s="42" t="s">
        <v>292</v>
      </c>
      <c r="C250" s="42">
        <v>56</v>
      </c>
      <c r="D250" s="42">
        <v>5550356.5669162497</v>
      </c>
      <c r="E250" s="42">
        <v>1091560.47240529</v>
      </c>
      <c r="F250" s="42">
        <v>5.0847907259648402</v>
      </c>
      <c r="G250" s="42">
        <v>100</v>
      </c>
      <c r="H250" s="42">
        <v>0</v>
      </c>
      <c r="I250" s="45">
        <v>4.6051701859880918</v>
      </c>
      <c r="J250" s="44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>
        <v>15</v>
      </c>
      <c r="V250" s="42">
        <v>0</v>
      </c>
      <c r="W250" s="42">
        <v>4.6051701859880918</v>
      </c>
      <c r="X250" s="42"/>
      <c r="Y250" s="42"/>
    </row>
    <row r="251" spans="1:30" x14ac:dyDescent="0.25">
      <c r="A251" s="41" t="s">
        <v>520</v>
      </c>
      <c r="B251" s="41" t="s">
        <v>292</v>
      </c>
      <c r="C251" s="41">
        <v>56</v>
      </c>
      <c r="D251" s="41">
        <v>5003217.3970803302</v>
      </c>
      <c r="E251" s="41">
        <v>1663483.58399362</v>
      </c>
      <c r="F251" s="41">
        <v>3.0076746444763902</v>
      </c>
      <c r="G251" s="41">
        <v>61.330332598882123</v>
      </c>
      <c r="H251" s="41"/>
      <c r="I251" s="41"/>
      <c r="J251" s="43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</row>
    <row r="252" spans="1:30" x14ac:dyDescent="0.25">
      <c r="A252" s="48" t="s">
        <v>522</v>
      </c>
      <c r="B252" s="48" t="s">
        <v>292</v>
      </c>
      <c r="C252" s="48">
        <v>56</v>
      </c>
      <c r="D252" s="48" t="s">
        <v>32</v>
      </c>
      <c r="E252" s="48">
        <v>1520082.85701087</v>
      </c>
      <c r="F252" s="48">
        <v>0</v>
      </c>
      <c r="G252" s="48"/>
      <c r="H252" s="48"/>
      <c r="I252" s="48"/>
      <c r="J252" s="49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</row>
    <row r="253" spans="1:30" ht="15.75" thickBot="1" x14ac:dyDescent="0.3">
      <c r="A253" s="41"/>
      <c r="B253" s="41"/>
      <c r="C253" s="41"/>
      <c r="D253" s="41"/>
      <c r="E253" s="41"/>
      <c r="F253" s="41"/>
      <c r="G253" s="41"/>
      <c r="H253" s="41"/>
      <c r="I253" s="41"/>
      <c r="J253" s="43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</row>
    <row r="254" spans="1:30" ht="16.5" thickTop="1" thickBot="1" x14ac:dyDescent="0.3">
      <c r="A254" s="42" t="s">
        <v>116</v>
      </c>
      <c r="B254" s="51" t="s">
        <v>294</v>
      </c>
      <c r="C254" s="42">
        <v>55</v>
      </c>
      <c r="D254" s="42" t="s">
        <v>32</v>
      </c>
      <c r="E254" s="42">
        <v>535785.55124895996</v>
      </c>
      <c r="F254" s="42">
        <v>0</v>
      </c>
      <c r="G254" s="42"/>
      <c r="H254" s="42"/>
      <c r="I254" s="42"/>
      <c r="J254" s="44"/>
      <c r="K254" s="42"/>
      <c r="L254" s="42"/>
      <c r="M254" s="42"/>
      <c r="N254" s="42"/>
      <c r="O254" s="42"/>
      <c r="P254" s="42"/>
      <c r="Q254" s="42"/>
      <c r="R254" s="51" t="s">
        <v>295</v>
      </c>
      <c r="S254" s="42"/>
      <c r="T254" s="42">
        <v>14</v>
      </c>
      <c r="U254" s="42"/>
      <c r="V254" s="42"/>
      <c r="W254" s="42"/>
      <c r="X254" s="42"/>
      <c r="Y254" s="42"/>
      <c r="Z254" s="10" t="s">
        <v>16</v>
      </c>
      <c r="AA254" s="10" t="s">
        <v>18</v>
      </c>
      <c r="AB254" s="10" t="s">
        <v>19</v>
      </c>
      <c r="AC254" s="10" t="s">
        <v>20</v>
      </c>
      <c r="AD254" s="10" t="s">
        <v>21</v>
      </c>
    </row>
    <row r="255" spans="1:30" ht="15.75" thickTop="1" x14ac:dyDescent="0.25">
      <c r="A255" s="41" t="s">
        <v>117</v>
      </c>
      <c r="B255" s="41" t="s">
        <v>294</v>
      </c>
      <c r="C255" s="41">
        <v>55</v>
      </c>
      <c r="D255" s="41" t="s">
        <v>32</v>
      </c>
      <c r="E255" s="41">
        <v>1314081.40024331</v>
      </c>
      <c r="F255" s="41">
        <v>0</v>
      </c>
      <c r="G255" s="41"/>
      <c r="H255" s="41"/>
      <c r="I255" s="41"/>
      <c r="J255" s="43"/>
      <c r="K255" s="41"/>
      <c r="L255" s="41"/>
      <c r="M255" s="41"/>
      <c r="N255" s="41"/>
      <c r="O255" s="41"/>
      <c r="P255" s="41"/>
      <c r="Q255" s="41"/>
      <c r="R255" s="41" t="s">
        <v>16</v>
      </c>
      <c r="S255" s="41"/>
      <c r="T255" s="41">
        <v>252</v>
      </c>
      <c r="U255" s="41"/>
      <c r="V255" s="41"/>
      <c r="W255" s="41"/>
      <c r="X255" s="41"/>
      <c r="Y255" s="41"/>
      <c r="Z255" s="11">
        <v>120</v>
      </c>
      <c r="AA255" s="12">
        <v>0.79455488773251526</v>
      </c>
      <c r="AB255" s="12">
        <v>0.56163663630955496</v>
      </c>
      <c r="AC255" s="12">
        <v>0.82073231137848279</v>
      </c>
      <c r="AD255" s="12">
        <v>0.72564127847351756</v>
      </c>
    </row>
    <row r="256" spans="1:30" x14ac:dyDescent="0.25">
      <c r="A256" s="42" t="s">
        <v>35</v>
      </c>
      <c r="B256" s="42" t="s">
        <v>294</v>
      </c>
      <c r="C256" s="42">
        <v>55</v>
      </c>
      <c r="D256" s="42" t="s">
        <v>32</v>
      </c>
      <c r="E256" s="42">
        <v>1532416.1873884399</v>
      </c>
      <c r="F256" s="42">
        <v>0</v>
      </c>
      <c r="G256" s="42"/>
      <c r="H256" s="42"/>
      <c r="I256" s="42"/>
      <c r="J256" s="44"/>
      <c r="K256" s="42"/>
      <c r="L256" s="42"/>
      <c r="M256" s="42"/>
      <c r="N256" s="42"/>
      <c r="O256" s="42"/>
      <c r="P256" s="42"/>
      <c r="Q256" s="42"/>
      <c r="R256" s="42" t="s">
        <v>17</v>
      </c>
      <c r="S256" s="42"/>
      <c r="T256" s="42">
        <v>266</v>
      </c>
      <c r="U256" s="42"/>
      <c r="V256" s="42"/>
      <c r="W256" s="42"/>
      <c r="X256" s="42"/>
      <c r="Y256" s="42"/>
      <c r="Z256" s="11">
        <v>60</v>
      </c>
      <c r="AA256" s="12">
        <v>0.76270814299767542</v>
      </c>
      <c r="AB256" s="12">
        <v>0.86713969477945596</v>
      </c>
      <c r="AC256" s="12">
        <v>0.78440984637159905</v>
      </c>
      <c r="AD256" s="12">
        <v>0.80475256138291018</v>
      </c>
    </row>
    <row r="257" spans="1:30" x14ac:dyDescent="0.25">
      <c r="A257" s="41" t="s">
        <v>360</v>
      </c>
      <c r="B257" s="41" t="s">
        <v>294</v>
      </c>
      <c r="C257" s="41">
        <v>55</v>
      </c>
      <c r="D257" s="41">
        <v>131176101.768051</v>
      </c>
      <c r="E257" s="41">
        <v>1413408.40188076</v>
      </c>
      <c r="F257" s="41">
        <v>92.808350080203397</v>
      </c>
      <c r="G257" s="41">
        <v>79.455488773251531</v>
      </c>
      <c r="H257" s="41">
        <v>120</v>
      </c>
      <c r="I257" s="46">
        <v>4.3751969752189153</v>
      </c>
      <c r="J257" s="43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>
        <v>1</v>
      </c>
      <c r="V257" s="41">
        <v>120</v>
      </c>
      <c r="W257" s="41">
        <v>4.3751969752189153</v>
      </c>
      <c r="X257" s="41"/>
      <c r="Y257" s="41"/>
      <c r="Z257" s="11">
        <v>30</v>
      </c>
      <c r="AA257" s="12">
        <v>0.73981610459864267</v>
      </c>
      <c r="AB257" s="12">
        <v>0.763571055028191</v>
      </c>
      <c r="AC257" s="12">
        <v>0.83074605260743017</v>
      </c>
      <c r="AD257" s="12">
        <v>0.77804440407808784</v>
      </c>
    </row>
    <row r="258" spans="1:30" x14ac:dyDescent="0.25">
      <c r="A258" s="42" t="s">
        <v>362</v>
      </c>
      <c r="B258" s="42" t="s">
        <v>294</v>
      </c>
      <c r="C258" s="42">
        <v>55</v>
      </c>
      <c r="D258" s="42">
        <v>123572060.190358</v>
      </c>
      <c r="E258" s="42">
        <v>1897512.60625345</v>
      </c>
      <c r="F258" s="42">
        <v>65.123182730440604</v>
      </c>
      <c r="G258" s="42">
        <v>56.163663630955497</v>
      </c>
      <c r="H258" s="42">
        <v>120</v>
      </c>
      <c r="I258" s="45">
        <v>4.028269993183744</v>
      </c>
      <c r="J258" s="44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>
        <v>2</v>
      </c>
      <c r="V258" s="42">
        <v>120</v>
      </c>
      <c r="W258" s="42">
        <v>4.028269993183744</v>
      </c>
      <c r="X258" s="42"/>
      <c r="Y258" s="42"/>
      <c r="Z258" s="11">
        <v>15</v>
      </c>
      <c r="AA258" s="12">
        <v>0.7301946528878277</v>
      </c>
      <c r="AB258" s="12">
        <v>0.81838246733341735</v>
      </c>
      <c r="AC258" s="12">
        <v>1.1557914381411216</v>
      </c>
      <c r="AD258" s="12">
        <v>0.90145618612078893</v>
      </c>
    </row>
    <row r="259" spans="1:30" ht="15.75" thickBot="1" x14ac:dyDescent="0.3">
      <c r="A259" s="41" t="s">
        <v>364</v>
      </c>
      <c r="B259" s="41" t="s">
        <v>294</v>
      </c>
      <c r="C259" s="41">
        <v>55</v>
      </c>
      <c r="D259" s="41">
        <v>133401654.042037</v>
      </c>
      <c r="E259" s="41">
        <v>1450066.7155883501</v>
      </c>
      <c r="F259" s="41">
        <v>91.996907871863598</v>
      </c>
      <c r="G259" s="41">
        <v>82.073231137848282</v>
      </c>
      <c r="H259" s="41">
        <v>120</v>
      </c>
      <c r="I259" s="46">
        <v>4.4076119113777503</v>
      </c>
      <c r="J259" s="43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>
        <v>3</v>
      </c>
      <c r="V259" s="41">
        <v>120</v>
      </c>
      <c r="W259" s="41">
        <v>4.4076119113777503</v>
      </c>
      <c r="X259" s="41"/>
      <c r="Y259" s="41"/>
      <c r="Z259" s="13">
        <v>0</v>
      </c>
      <c r="AA259" s="14">
        <v>1</v>
      </c>
      <c r="AB259" s="14">
        <v>1</v>
      </c>
      <c r="AC259" s="14">
        <v>1</v>
      </c>
      <c r="AD259" s="14">
        <v>1</v>
      </c>
    </row>
    <row r="260" spans="1:30" ht="16.5" thickTop="1" thickBot="1" x14ac:dyDescent="0.3">
      <c r="A260" s="42" t="s">
        <v>378</v>
      </c>
      <c r="B260" s="42" t="s">
        <v>294</v>
      </c>
      <c r="C260" s="42">
        <v>55</v>
      </c>
      <c r="D260" s="42">
        <v>120937287.06335901</v>
      </c>
      <c r="E260" s="42">
        <v>1357496.4123797701</v>
      </c>
      <c r="F260" s="42">
        <v>89.088476374938494</v>
      </c>
      <c r="G260" s="42">
        <v>76.270814299767537</v>
      </c>
      <c r="H260" s="42">
        <v>60</v>
      </c>
      <c r="I260" s="45">
        <v>4.3342903526599628</v>
      </c>
      <c r="J260" s="44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>
        <v>4</v>
      </c>
      <c r="V260" s="42">
        <v>60</v>
      </c>
      <c r="W260" s="42">
        <v>4.3342903526599628</v>
      </c>
      <c r="X260" s="42"/>
      <c r="Y260" s="42"/>
    </row>
    <row r="261" spans="1:30" x14ac:dyDescent="0.25">
      <c r="A261" s="41" t="s">
        <v>380</v>
      </c>
      <c r="B261" s="41" t="s">
        <v>294</v>
      </c>
      <c r="C261" s="41">
        <v>55</v>
      </c>
      <c r="D261" s="41">
        <v>122877500.00096101</v>
      </c>
      <c r="E261" s="41">
        <v>1222089.7788828399</v>
      </c>
      <c r="F261" s="41">
        <v>100.54703191551801</v>
      </c>
      <c r="G261" s="41">
        <v>86.713969477945597</v>
      </c>
      <c r="H261" s="41">
        <v>60</v>
      </c>
      <c r="I261" s="46">
        <v>4.4626149951204663</v>
      </c>
      <c r="J261" s="43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>
        <v>5</v>
      </c>
      <c r="V261" s="41">
        <v>60</v>
      </c>
      <c r="W261" s="41">
        <v>4.4626149951204663</v>
      </c>
      <c r="X261" s="41"/>
      <c r="Y261" s="41"/>
      <c r="Z261" s="29" t="s">
        <v>22</v>
      </c>
      <c r="AA261" s="37">
        <v>-2.3231747959692301E-3</v>
      </c>
    </row>
    <row r="262" spans="1:30" x14ac:dyDescent="0.25">
      <c r="A262" s="42" t="s">
        <v>382</v>
      </c>
      <c r="B262" s="42" t="s">
        <v>294</v>
      </c>
      <c r="C262" s="42">
        <v>55</v>
      </c>
      <c r="D262" s="42">
        <v>117525044.85506301</v>
      </c>
      <c r="E262" s="42">
        <v>1336643.8057364</v>
      </c>
      <c r="F262" s="42">
        <v>87.925477491226005</v>
      </c>
      <c r="G262" s="42">
        <v>78.4409846371599</v>
      </c>
      <c r="H262" s="42">
        <v>60</v>
      </c>
      <c r="I262" s="45">
        <v>4.3623465539923476</v>
      </c>
      <c r="J262" s="44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>
        <v>6</v>
      </c>
      <c r="V262" s="42">
        <v>60</v>
      </c>
      <c r="W262" s="42">
        <v>4.3623465539923476</v>
      </c>
      <c r="X262" s="42"/>
      <c r="Y262" s="42"/>
      <c r="Z262" s="31" t="s">
        <v>23</v>
      </c>
      <c r="AA262" s="32">
        <v>4.5238924874324873</v>
      </c>
    </row>
    <row r="263" spans="1:30" ht="17.25" x14ac:dyDescent="0.25">
      <c r="A263" s="41" t="s">
        <v>372</v>
      </c>
      <c r="B263" s="41" t="s">
        <v>294</v>
      </c>
      <c r="C263" s="41">
        <v>55</v>
      </c>
      <c r="D263" s="41">
        <v>120161172.595412</v>
      </c>
      <c r="E263" s="41">
        <v>1390519.96359826</v>
      </c>
      <c r="F263" s="41">
        <v>86.414561272798807</v>
      </c>
      <c r="G263" s="41">
        <v>73.981610459864271</v>
      </c>
      <c r="H263" s="41">
        <v>30</v>
      </c>
      <c r="I263" s="46">
        <v>4.3038165550219825</v>
      </c>
      <c r="J263" s="43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>
        <v>7</v>
      </c>
      <c r="V263" s="41">
        <v>30</v>
      </c>
      <c r="W263" s="41">
        <v>4.3038165550219825</v>
      </c>
      <c r="X263" s="41"/>
      <c r="Y263" s="41"/>
      <c r="Z263" s="31" t="s">
        <v>24</v>
      </c>
      <c r="AA263" s="33">
        <v>0.34909996899975976</v>
      </c>
    </row>
    <row r="264" spans="1:30" ht="18" x14ac:dyDescent="0.35">
      <c r="A264" s="42" t="s">
        <v>374</v>
      </c>
      <c r="B264" s="42" t="s">
        <v>294</v>
      </c>
      <c r="C264" s="42">
        <v>55</v>
      </c>
      <c r="D264" s="42">
        <v>121437921.20379899</v>
      </c>
      <c r="E264" s="42">
        <v>1371591.16642167</v>
      </c>
      <c r="F264" s="42">
        <v>88.537987249230696</v>
      </c>
      <c r="G264" s="42">
        <v>76.357105502819095</v>
      </c>
      <c r="H264" s="42">
        <v>30</v>
      </c>
      <c r="I264" s="45">
        <v>4.3354210922043039</v>
      </c>
      <c r="J264" s="44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>
        <v>8</v>
      </c>
      <c r="V264" s="42">
        <v>30</v>
      </c>
      <c r="W264" s="42">
        <v>4.3354210922043039</v>
      </c>
      <c r="X264" s="42"/>
      <c r="Y264" s="42"/>
      <c r="Z264" s="31" t="s">
        <v>25</v>
      </c>
      <c r="AA264" s="38">
        <v>298.36204394201161</v>
      </c>
    </row>
    <row r="265" spans="1:30" ht="18.75" x14ac:dyDescent="0.35">
      <c r="A265" s="41" t="s">
        <v>376</v>
      </c>
      <c r="B265" s="41" t="s">
        <v>294</v>
      </c>
      <c r="C265" s="41">
        <v>55</v>
      </c>
      <c r="D265" s="41">
        <v>119481353.438712</v>
      </c>
      <c r="E265" s="41">
        <v>1283098.9458842401</v>
      </c>
      <c r="F265" s="41">
        <v>93.119360608913595</v>
      </c>
      <c r="G265" s="41">
        <v>83.074605260743013</v>
      </c>
      <c r="H265" s="41">
        <v>30</v>
      </c>
      <c r="I265" s="46">
        <v>4.4197390626283219</v>
      </c>
      <c r="J265" s="43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>
        <v>9</v>
      </c>
      <c r="V265" s="41">
        <v>30</v>
      </c>
      <c r="W265" s="41">
        <v>4.4197390626283219</v>
      </c>
      <c r="X265" s="41"/>
      <c r="Y265" s="41"/>
      <c r="Z265" s="31" t="s">
        <v>26</v>
      </c>
      <c r="AA265" s="38">
        <v>4.6463495919384599</v>
      </c>
    </row>
    <row r="266" spans="1:30" ht="15.75" thickBot="1" x14ac:dyDescent="0.3">
      <c r="A266" s="42" t="s">
        <v>366</v>
      </c>
      <c r="B266" s="42" t="s">
        <v>294</v>
      </c>
      <c r="C266" s="42">
        <v>55</v>
      </c>
      <c r="D266" s="42">
        <v>116491433.456637</v>
      </c>
      <c r="E266" s="42">
        <v>1365815.98946309</v>
      </c>
      <c r="F266" s="42">
        <v>85.290723168668094</v>
      </c>
      <c r="G266" s="42">
        <v>73.019465288782769</v>
      </c>
      <c r="H266" s="42">
        <v>15</v>
      </c>
      <c r="I266" s="45">
        <v>4.2907260533957317</v>
      </c>
      <c r="J266" s="44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>
        <v>10</v>
      </c>
      <c r="V266" s="42">
        <v>15</v>
      </c>
      <c r="W266" s="42">
        <v>4.2907260533957317</v>
      </c>
      <c r="X266" s="42"/>
      <c r="Y266" s="42"/>
      <c r="Z266" s="35" t="s">
        <v>10</v>
      </c>
      <c r="AA266" s="36" t="s">
        <v>27</v>
      </c>
    </row>
    <row r="267" spans="1:30" x14ac:dyDescent="0.25">
      <c r="A267" s="41" t="s">
        <v>368</v>
      </c>
      <c r="B267" s="41" t="s">
        <v>294</v>
      </c>
      <c r="C267" s="41">
        <v>55</v>
      </c>
      <c r="D267" s="41">
        <v>116888878.95135599</v>
      </c>
      <c r="E267" s="41">
        <v>1231790.0424059101</v>
      </c>
      <c r="F267" s="41">
        <v>94.893508574765093</v>
      </c>
      <c r="G267" s="41">
        <v>81.838246733341734</v>
      </c>
      <c r="H267" s="41">
        <v>15</v>
      </c>
      <c r="I267" s="46">
        <v>4.4047446983120082</v>
      </c>
      <c r="J267" s="43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>
        <v>11</v>
      </c>
      <c r="V267" s="41">
        <v>15</v>
      </c>
      <c r="W267" s="41">
        <v>4.4047446983120082</v>
      </c>
      <c r="X267" s="41"/>
      <c r="Y267" s="41"/>
    </row>
    <row r="268" spans="1:30" x14ac:dyDescent="0.25">
      <c r="A268" s="42" t="s">
        <v>370</v>
      </c>
      <c r="B268" s="42" t="s">
        <v>294</v>
      </c>
      <c r="C268" s="42">
        <v>55</v>
      </c>
      <c r="D268" s="42">
        <v>119790506.847537</v>
      </c>
      <c r="E268" s="42">
        <v>924636.92015377502</v>
      </c>
      <c r="F268" s="42">
        <v>129.55410306092301</v>
      </c>
      <c r="G268" s="42">
        <v>115.57914381411216</v>
      </c>
      <c r="H268" s="42">
        <v>15</v>
      </c>
      <c r="I268" s="45">
        <v>4.7499555231282624</v>
      </c>
      <c r="J268" s="44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>
        <v>12</v>
      </c>
      <c r="V268" s="42">
        <v>15</v>
      </c>
      <c r="W268" s="42">
        <v>4.7499555231282624</v>
      </c>
      <c r="X268" s="42"/>
      <c r="Y268" s="42"/>
    </row>
    <row r="269" spans="1:30" x14ac:dyDescent="0.25">
      <c r="A269" s="41" t="s">
        <v>354</v>
      </c>
      <c r="B269" s="41" t="s">
        <v>294</v>
      </c>
      <c r="C269" s="41">
        <v>55</v>
      </c>
      <c r="D269" s="41">
        <v>122825369.47848</v>
      </c>
      <c r="E269" s="41">
        <v>1051537.90119468</v>
      </c>
      <c r="F269" s="41">
        <v>116.805461162108</v>
      </c>
      <c r="G269" s="41">
        <v>100</v>
      </c>
      <c r="H269" s="41">
        <v>0</v>
      </c>
      <c r="I269" s="46">
        <v>4.6051701859880918</v>
      </c>
      <c r="J269" s="43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>
        <v>13</v>
      </c>
      <c r="V269" s="41">
        <v>0</v>
      </c>
      <c r="W269" s="41">
        <v>4.6051701859880918</v>
      </c>
      <c r="X269" s="41"/>
      <c r="Y269" s="41"/>
    </row>
    <row r="270" spans="1:30" x14ac:dyDescent="0.25">
      <c r="A270" s="42" t="s">
        <v>356</v>
      </c>
      <c r="B270" s="42" t="s">
        <v>294</v>
      </c>
      <c r="C270" s="42">
        <v>55</v>
      </c>
      <c r="D270" s="42">
        <v>120576460.073424</v>
      </c>
      <c r="E270" s="42">
        <v>1039877.88394894</v>
      </c>
      <c r="F270" s="42">
        <v>115.95251897803</v>
      </c>
      <c r="G270" s="42">
        <v>100</v>
      </c>
      <c r="H270" s="42">
        <v>0</v>
      </c>
      <c r="I270" s="45">
        <v>4.6051701859880918</v>
      </c>
      <c r="J270" s="44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>
        <v>14</v>
      </c>
      <c r="V270" s="42">
        <v>0</v>
      </c>
      <c r="W270" s="42">
        <v>4.6051701859880918</v>
      </c>
      <c r="X270" s="42"/>
      <c r="Y270" s="42"/>
    </row>
    <row r="271" spans="1:30" x14ac:dyDescent="0.25">
      <c r="A271" s="41" t="s">
        <v>358</v>
      </c>
      <c r="B271" s="41" t="s">
        <v>294</v>
      </c>
      <c r="C271" s="41">
        <v>55</v>
      </c>
      <c r="D271" s="41">
        <v>119829016.270061</v>
      </c>
      <c r="E271" s="41">
        <v>1069030.9899384701</v>
      </c>
      <c r="F271" s="41">
        <v>112.09124655680699</v>
      </c>
      <c r="G271" s="41">
        <v>100</v>
      </c>
      <c r="H271" s="41">
        <v>0</v>
      </c>
      <c r="I271" s="46">
        <v>4.6051701859880918</v>
      </c>
      <c r="J271" s="43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>
        <v>15</v>
      </c>
      <c r="V271" s="41">
        <v>0</v>
      </c>
      <c r="W271" s="41">
        <v>4.6051701859880918</v>
      </c>
      <c r="X271" s="41"/>
      <c r="Y271" s="41"/>
    </row>
    <row r="272" spans="1:30" x14ac:dyDescent="0.25">
      <c r="A272" s="42" t="s">
        <v>384</v>
      </c>
      <c r="B272" s="42" t="s">
        <v>294</v>
      </c>
      <c r="C272" s="42">
        <v>55</v>
      </c>
      <c r="D272" s="42">
        <v>109273231.14079601</v>
      </c>
      <c r="E272" s="42">
        <v>1531883.6991617901</v>
      </c>
      <c r="F272" s="42">
        <v>71.332589543571203</v>
      </c>
      <c r="G272" s="42">
        <v>62.055458462366161</v>
      </c>
      <c r="H272" s="42"/>
      <c r="I272" s="42"/>
      <c r="J272" s="44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</row>
    <row r="273" spans="1:30" x14ac:dyDescent="0.25">
      <c r="A273" s="73" t="s">
        <v>386</v>
      </c>
      <c r="B273" s="73" t="s">
        <v>294</v>
      </c>
      <c r="C273" s="73">
        <v>55</v>
      </c>
      <c r="D273" s="73">
        <v>107228500.40693</v>
      </c>
      <c r="E273" s="73">
        <v>1524146.5166569401</v>
      </c>
      <c r="F273" s="73">
        <v>70.353144684622706</v>
      </c>
      <c r="G273" s="73">
        <v>61.203394908392262</v>
      </c>
      <c r="H273" s="73"/>
      <c r="I273" s="73"/>
      <c r="J273" s="75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</row>
    <row r="274" spans="1:30" ht="15.75" thickBot="1" x14ac:dyDescent="0.3">
      <c r="A274" s="42"/>
      <c r="B274" s="42"/>
      <c r="C274" s="42"/>
      <c r="D274" s="42"/>
      <c r="E274" s="42"/>
      <c r="F274" s="42"/>
      <c r="G274" s="42"/>
      <c r="H274" s="42"/>
      <c r="I274" s="42"/>
      <c r="J274" s="44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</row>
    <row r="275" spans="1:30" ht="16.5" thickTop="1" thickBot="1" x14ac:dyDescent="0.3">
      <c r="A275" s="41" t="s">
        <v>33</v>
      </c>
      <c r="B275" s="41" t="s">
        <v>296</v>
      </c>
      <c r="C275" s="41">
        <v>49</v>
      </c>
      <c r="D275" s="41" t="s">
        <v>32</v>
      </c>
      <c r="E275" s="41">
        <v>1614810.53299363</v>
      </c>
      <c r="F275" s="41">
        <v>0</v>
      </c>
      <c r="G275" s="41"/>
      <c r="H275" s="41"/>
      <c r="I275" s="41"/>
      <c r="J275" s="43"/>
      <c r="K275" s="41"/>
      <c r="L275" s="41"/>
      <c r="M275" s="41"/>
      <c r="N275" s="41"/>
      <c r="O275" s="41"/>
      <c r="P275" s="41"/>
      <c r="Q275" s="41"/>
      <c r="R275" s="50" t="s">
        <v>297</v>
      </c>
      <c r="S275" s="41"/>
      <c r="T275" s="41">
        <v>15</v>
      </c>
      <c r="U275" s="41"/>
      <c r="V275" s="41"/>
      <c r="W275" s="41"/>
      <c r="X275" s="41"/>
      <c r="Y275" s="41"/>
      <c r="Z275" s="10" t="s">
        <v>16</v>
      </c>
      <c r="AA275" s="10" t="s">
        <v>18</v>
      </c>
      <c r="AB275" s="10" t="s">
        <v>19</v>
      </c>
      <c r="AC275" s="10" t="s">
        <v>20</v>
      </c>
      <c r="AD275" s="10" t="s">
        <v>21</v>
      </c>
    </row>
    <row r="276" spans="1:30" ht="15.75" thickTop="1" x14ac:dyDescent="0.25">
      <c r="A276" s="42" t="s">
        <v>34</v>
      </c>
      <c r="B276" s="42" t="s">
        <v>296</v>
      </c>
      <c r="C276" s="42">
        <v>49</v>
      </c>
      <c r="D276" s="42" t="s">
        <v>32</v>
      </c>
      <c r="E276" s="42">
        <v>1438754.3494833999</v>
      </c>
      <c r="F276" s="42">
        <v>0</v>
      </c>
      <c r="G276" s="42"/>
      <c r="H276" s="42"/>
      <c r="I276" s="42"/>
      <c r="J276" s="44"/>
      <c r="K276" s="42"/>
      <c r="L276" s="42"/>
      <c r="M276" s="42"/>
      <c r="N276" s="42"/>
      <c r="O276" s="42"/>
      <c r="P276" s="42"/>
      <c r="Q276" s="42"/>
      <c r="R276" s="42" t="s">
        <v>16</v>
      </c>
      <c r="S276" s="42"/>
      <c r="T276" s="42">
        <v>271</v>
      </c>
      <c r="U276" s="42"/>
      <c r="V276" s="42"/>
      <c r="W276" s="42"/>
      <c r="X276" s="42"/>
      <c r="Y276" s="42"/>
      <c r="Z276" s="11">
        <v>120</v>
      </c>
      <c r="AA276" s="12" t="e">
        <v>#DIV/0!</v>
      </c>
      <c r="AB276" s="12" t="e">
        <v>#DIV/0!</v>
      </c>
      <c r="AC276" s="12" t="e">
        <v>#DIV/0!</v>
      </c>
      <c r="AD276" s="12" t="s">
        <v>564</v>
      </c>
    </row>
    <row r="277" spans="1:30" x14ac:dyDescent="0.25">
      <c r="A277" s="41" t="s">
        <v>35</v>
      </c>
      <c r="B277" s="41" t="s">
        <v>296</v>
      </c>
      <c r="C277" s="41">
        <v>49</v>
      </c>
      <c r="D277" s="41" t="s">
        <v>32</v>
      </c>
      <c r="E277" s="41">
        <v>1834176.57378164</v>
      </c>
      <c r="F277" s="41">
        <v>0</v>
      </c>
      <c r="G277" s="41"/>
      <c r="H277" s="41"/>
      <c r="I277" s="41"/>
      <c r="J277" s="43"/>
      <c r="K277" s="41"/>
      <c r="L277" s="41"/>
      <c r="M277" s="41"/>
      <c r="N277" s="41"/>
      <c r="O277" s="41"/>
      <c r="P277" s="41"/>
      <c r="Q277" s="41"/>
      <c r="R277" s="41" t="s">
        <v>17</v>
      </c>
      <c r="S277" s="41"/>
      <c r="T277" s="41">
        <v>285</v>
      </c>
      <c r="U277" s="41"/>
      <c r="V277" s="41"/>
      <c r="W277" s="41"/>
      <c r="X277" s="41"/>
      <c r="Y277" s="41"/>
      <c r="Z277" s="11">
        <v>60</v>
      </c>
      <c r="AA277" s="12" t="e">
        <v>#DIV/0!</v>
      </c>
      <c r="AB277" s="12" t="e">
        <v>#DIV/0!</v>
      </c>
      <c r="AC277" s="12" t="e">
        <v>#DIV/0!</v>
      </c>
      <c r="AD277" s="12" t="s">
        <v>564</v>
      </c>
    </row>
    <row r="278" spans="1:30" x14ac:dyDescent="0.25">
      <c r="A278" s="42" t="s">
        <v>394</v>
      </c>
      <c r="B278" s="42" t="s">
        <v>296</v>
      </c>
      <c r="C278" s="42">
        <v>49</v>
      </c>
      <c r="D278" s="42" t="s">
        <v>32</v>
      </c>
      <c r="E278" s="42">
        <v>1180987.0956613801</v>
      </c>
      <c r="F278" s="42">
        <v>0</v>
      </c>
      <c r="G278" s="42" t="e">
        <v>#DIV/0!</v>
      </c>
      <c r="H278" s="42">
        <v>120</v>
      </c>
      <c r="I278" s="45" t="e">
        <v>#DIV/0!</v>
      </c>
      <c r="J278" s="44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>
        <v>1</v>
      </c>
      <c r="V278" s="42">
        <v>120</v>
      </c>
      <c r="W278" s="42" t="s">
        <v>564</v>
      </c>
      <c r="X278" s="42"/>
      <c r="Y278" s="42"/>
      <c r="Z278" s="11">
        <v>30</v>
      </c>
      <c r="AA278" s="12" t="e">
        <v>#DIV/0!</v>
      </c>
      <c r="AB278" s="12" t="e">
        <v>#DIV/0!</v>
      </c>
      <c r="AC278" s="12" t="e">
        <v>#DIV/0!</v>
      </c>
      <c r="AD278" s="12" t="s">
        <v>564</v>
      </c>
    </row>
    <row r="279" spans="1:30" x14ac:dyDescent="0.25">
      <c r="A279" s="41" t="s">
        <v>396</v>
      </c>
      <c r="B279" s="41" t="s">
        <v>296</v>
      </c>
      <c r="C279" s="41">
        <v>49</v>
      </c>
      <c r="D279" s="41" t="s">
        <v>32</v>
      </c>
      <c r="E279" s="41">
        <v>1463590.68983476</v>
      </c>
      <c r="F279" s="41">
        <v>0</v>
      </c>
      <c r="G279" s="41" t="e">
        <v>#DIV/0!</v>
      </c>
      <c r="H279" s="41">
        <v>120</v>
      </c>
      <c r="I279" s="46" t="e">
        <v>#DIV/0!</v>
      </c>
      <c r="J279" s="43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>
        <v>2</v>
      </c>
      <c r="V279" s="41">
        <v>120</v>
      </c>
      <c r="W279" s="41" t="s">
        <v>564</v>
      </c>
      <c r="X279" s="41"/>
      <c r="Y279" s="41"/>
      <c r="Z279" s="11">
        <v>15</v>
      </c>
      <c r="AA279" s="12" t="e">
        <v>#DIV/0!</v>
      </c>
      <c r="AB279" s="12" t="e">
        <v>#DIV/0!</v>
      </c>
      <c r="AC279" s="12" t="e">
        <v>#DIV/0!</v>
      </c>
      <c r="AD279" s="12" t="s">
        <v>564</v>
      </c>
    </row>
    <row r="280" spans="1:30" ht="15.75" thickBot="1" x14ac:dyDescent="0.3">
      <c r="A280" s="42" t="s">
        <v>398</v>
      </c>
      <c r="B280" s="42" t="s">
        <v>296</v>
      </c>
      <c r="C280" s="42">
        <v>49</v>
      </c>
      <c r="D280" s="42" t="s">
        <v>32</v>
      </c>
      <c r="E280" s="42">
        <v>1265847.69342048</v>
      </c>
      <c r="F280" s="42">
        <v>0</v>
      </c>
      <c r="G280" s="42" t="e">
        <v>#DIV/0!</v>
      </c>
      <c r="H280" s="42">
        <v>120</v>
      </c>
      <c r="I280" s="45" t="e">
        <v>#DIV/0!</v>
      </c>
      <c r="J280" s="44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>
        <v>3</v>
      </c>
      <c r="V280" s="42">
        <v>120</v>
      </c>
      <c r="W280" s="42" t="s">
        <v>564</v>
      </c>
      <c r="X280" s="42"/>
      <c r="Y280" s="42"/>
      <c r="Z280" s="13">
        <v>0</v>
      </c>
      <c r="AA280" s="14" t="e">
        <v>#DIV/0!</v>
      </c>
      <c r="AB280" s="14" t="e">
        <v>#DIV/0!</v>
      </c>
      <c r="AC280" s="14" t="e">
        <v>#DIV/0!</v>
      </c>
      <c r="AD280" s="14" t="s">
        <v>564</v>
      </c>
    </row>
    <row r="281" spans="1:30" ht="16.5" thickTop="1" thickBot="1" x14ac:dyDescent="0.3">
      <c r="A281" s="41" t="s">
        <v>412</v>
      </c>
      <c r="B281" s="41" t="s">
        <v>296</v>
      </c>
      <c r="C281" s="41">
        <v>49</v>
      </c>
      <c r="D281" s="41" t="s">
        <v>32</v>
      </c>
      <c r="E281" s="41">
        <v>1041052.2600152</v>
      </c>
      <c r="F281" s="41">
        <v>0</v>
      </c>
      <c r="G281" s="41" t="e">
        <v>#DIV/0!</v>
      </c>
      <c r="H281" s="41">
        <v>60</v>
      </c>
      <c r="I281" s="46" t="e">
        <v>#DIV/0!</v>
      </c>
      <c r="J281" s="43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>
        <v>4</v>
      </c>
      <c r="V281" s="41">
        <v>60</v>
      </c>
      <c r="W281" s="41" t="s">
        <v>564</v>
      </c>
      <c r="X281" s="41"/>
      <c r="Y281" s="41"/>
    </row>
    <row r="282" spans="1:30" x14ac:dyDescent="0.25">
      <c r="A282" s="42" t="s">
        <v>414</v>
      </c>
      <c r="B282" s="42" t="s">
        <v>296</v>
      </c>
      <c r="C282" s="42">
        <v>49</v>
      </c>
      <c r="D282" s="42" t="s">
        <v>32</v>
      </c>
      <c r="E282" s="42">
        <v>1134082.3951854301</v>
      </c>
      <c r="F282" s="42">
        <v>0</v>
      </c>
      <c r="G282" s="42" t="e">
        <v>#DIV/0!</v>
      </c>
      <c r="H282" s="42">
        <v>60</v>
      </c>
      <c r="I282" s="45" t="e">
        <v>#DIV/0!</v>
      </c>
      <c r="J282" s="44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>
        <v>5</v>
      </c>
      <c r="V282" s="42">
        <v>60</v>
      </c>
      <c r="W282" s="42" t="s">
        <v>564</v>
      </c>
      <c r="X282" s="42"/>
      <c r="Y282" s="42"/>
      <c r="Z282" s="29" t="s">
        <v>22</v>
      </c>
      <c r="AA282" s="37" t="s">
        <v>564</v>
      </c>
    </row>
    <row r="283" spans="1:30" x14ac:dyDescent="0.25">
      <c r="A283" s="41" t="s">
        <v>416</v>
      </c>
      <c r="B283" s="41" t="s">
        <v>296</v>
      </c>
      <c r="C283" s="41">
        <v>49</v>
      </c>
      <c r="D283" s="41" t="s">
        <v>32</v>
      </c>
      <c r="E283" s="41">
        <v>1199788.45541044</v>
      </c>
      <c r="F283" s="41">
        <v>0</v>
      </c>
      <c r="G283" s="41" t="e">
        <v>#DIV/0!</v>
      </c>
      <c r="H283" s="41">
        <v>60</v>
      </c>
      <c r="I283" s="46" t="e">
        <v>#DIV/0!</v>
      </c>
      <c r="J283" s="43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>
        <v>6</v>
      </c>
      <c r="V283" s="41">
        <v>60</v>
      </c>
      <c r="W283" s="41" t="s">
        <v>564</v>
      </c>
      <c r="X283" s="41"/>
      <c r="Y283" s="41"/>
      <c r="Z283" s="31" t="s">
        <v>23</v>
      </c>
      <c r="AA283" s="32" t="s">
        <v>564</v>
      </c>
    </row>
    <row r="284" spans="1:30" ht="17.25" x14ac:dyDescent="0.25">
      <c r="A284" s="42" t="s">
        <v>406</v>
      </c>
      <c r="B284" s="42" t="s">
        <v>296</v>
      </c>
      <c r="C284" s="42">
        <v>49</v>
      </c>
      <c r="D284" s="42" t="s">
        <v>32</v>
      </c>
      <c r="E284" s="42">
        <v>1387636.6214372399</v>
      </c>
      <c r="F284" s="42">
        <v>0</v>
      </c>
      <c r="G284" s="42" t="e">
        <v>#DIV/0!</v>
      </c>
      <c r="H284" s="42">
        <v>30</v>
      </c>
      <c r="I284" s="45" t="e">
        <v>#DIV/0!</v>
      </c>
      <c r="J284" s="44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>
        <v>7</v>
      </c>
      <c r="V284" s="42">
        <v>30</v>
      </c>
      <c r="W284" s="42" t="s">
        <v>564</v>
      </c>
      <c r="X284" s="42"/>
      <c r="Y284" s="42"/>
      <c r="Z284" s="31" t="s">
        <v>24</v>
      </c>
      <c r="AA284" s="33" t="s">
        <v>564</v>
      </c>
    </row>
    <row r="285" spans="1:30" ht="18" x14ac:dyDescent="0.35">
      <c r="A285" s="41" t="s">
        <v>408</v>
      </c>
      <c r="B285" s="41" t="s">
        <v>296</v>
      </c>
      <c r="C285" s="41">
        <v>49</v>
      </c>
      <c r="D285" s="41" t="s">
        <v>32</v>
      </c>
      <c r="E285" s="41">
        <v>1202873.6266063801</v>
      </c>
      <c r="F285" s="41">
        <v>0</v>
      </c>
      <c r="G285" s="41" t="e">
        <v>#DIV/0!</v>
      </c>
      <c r="H285" s="41">
        <v>30</v>
      </c>
      <c r="I285" s="46" t="e">
        <v>#DIV/0!</v>
      </c>
      <c r="J285" s="43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>
        <v>8</v>
      </c>
      <c r="V285" s="41">
        <v>30</v>
      </c>
      <c r="W285" s="41" t="s">
        <v>564</v>
      </c>
      <c r="X285" s="41"/>
      <c r="Y285" s="41"/>
      <c r="Z285" s="31" t="s">
        <v>25</v>
      </c>
      <c r="AA285" s="38" t="s">
        <v>564</v>
      </c>
    </row>
    <row r="286" spans="1:30" ht="18.75" x14ac:dyDescent="0.35">
      <c r="A286" s="42" t="s">
        <v>410</v>
      </c>
      <c r="B286" s="42" t="s">
        <v>296</v>
      </c>
      <c r="C286" s="42">
        <v>49</v>
      </c>
      <c r="D286" s="42" t="s">
        <v>32</v>
      </c>
      <c r="E286" s="42">
        <v>1175698.1836105799</v>
      </c>
      <c r="F286" s="42">
        <v>0</v>
      </c>
      <c r="G286" s="42" t="e">
        <v>#DIV/0!</v>
      </c>
      <c r="H286" s="42">
        <v>30</v>
      </c>
      <c r="I286" s="45" t="e">
        <v>#DIV/0!</v>
      </c>
      <c r="J286" s="44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>
        <v>9</v>
      </c>
      <c r="V286" s="42">
        <v>30</v>
      </c>
      <c r="W286" s="42" t="s">
        <v>564</v>
      </c>
      <c r="X286" s="42"/>
      <c r="Y286" s="42"/>
      <c r="Z286" s="31" t="s">
        <v>26</v>
      </c>
      <c r="AA286" s="38">
        <v>0</v>
      </c>
    </row>
    <row r="287" spans="1:30" ht="15.75" thickBot="1" x14ac:dyDescent="0.3">
      <c r="A287" s="41" t="s">
        <v>400</v>
      </c>
      <c r="B287" s="41" t="s">
        <v>296</v>
      </c>
      <c r="C287" s="41">
        <v>49</v>
      </c>
      <c r="D287" s="41" t="s">
        <v>32</v>
      </c>
      <c r="E287" s="41">
        <v>1202148.6353567401</v>
      </c>
      <c r="F287" s="41">
        <v>0</v>
      </c>
      <c r="G287" s="41" t="e">
        <v>#DIV/0!</v>
      </c>
      <c r="H287" s="41">
        <v>15</v>
      </c>
      <c r="I287" s="46" t="e">
        <v>#DIV/0!</v>
      </c>
      <c r="J287" s="43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>
        <v>10</v>
      </c>
      <c r="V287" s="41">
        <v>15</v>
      </c>
      <c r="W287" s="41" t="s">
        <v>564</v>
      </c>
      <c r="X287" s="41"/>
      <c r="Y287" s="41"/>
      <c r="Z287" s="35" t="s">
        <v>10</v>
      </c>
      <c r="AA287" s="36" t="s">
        <v>27</v>
      </c>
    </row>
    <row r="288" spans="1:30" x14ac:dyDescent="0.25">
      <c r="A288" s="42" t="s">
        <v>402</v>
      </c>
      <c r="B288" s="42" t="s">
        <v>296</v>
      </c>
      <c r="C288" s="42">
        <v>49</v>
      </c>
      <c r="D288" s="42" t="s">
        <v>32</v>
      </c>
      <c r="E288" s="42">
        <v>1272554.3439456001</v>
      </c>
      <c r="F288" s="42">
        <v>0</v>
      </c>
      <c r="G288" s="42" t="e">
        <v>#DIV/0!</v>
      </c>
      <c r="H288" s="42">
        <v>15</v>
      </c>
      <c r="I288" s="45" t="e">
        <v>#DIV/0!</v>
      </c>
      <c r="J288" s="44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>
        <v>11</v>
      </c>
      <c r="V288" s="42">
        <v>15</v>
      </c>
      <c r="W288" s="42" t="s">
        <v>564</v>
      </c>
      <c r="X288" s="42"/>
      <c r="Y288" s="42"/>
    </row>
    <row r="289" spans="1:25" x14ac:dyDescent="0.25">
      <c r="A289" s="41" t="s">
        <v>404</v>
      </c>
      <c r="B289" s="41" t="s">
        <v>296</v>
      </c>
      <c r="C289" s="41">
        <v>49</v>
      </c>
      <c r="D289" s="41" t="s">
        <v>32</v>
      </c>
      <c r="E289" s="41">
        <v>1042724.38244186</v>
      </c>
      <c r="F289" s="41">
        <v>0</v>
      </c>
      <c r="G289" s="41" t="e">
        <v>#DIV/0!</v>
      </c>
      <c r="H289" s="41">
        <v>15</v>
      </c>
      <c r="I289" s="46" t="e">
        <v>#DIV/0!</v>
      </c>
      <c r="J289" s="43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>
        <v>12</v>
      </c>
      <c r="V289" s="41">
        <v>15</v>
      </c>
      <c r="W289" s="41" t="s">
        <v>564</v>
      </c>
      <c r="X289" s="41"/>
      <c r="Y289" s="41"/>
    </row>
    <row r="290" spans="1:25" x14ac:dyDescent="0.25">
      <c r="A290" s="42" t="s">
        <v>388</v>
      </c>
      <c r="B290" s="42" t="s">
        <v>296</v>
      </c>
      <c r="C290" s="42">
        <v>49</v>
      </c>
      <c r="D290" s="42" t="s">
        <v>32</v>
      </c>
      <c r="E290" s="42">
        <v>1167113.41836217</v>
      </c>
      <c r="F290" s="42">
        <v>0</v>
      </c>
      <c r="G290" s="42" t="e">
        <v>#DIV/0!</v>
      </c>
      <c r="H290" s="42">
        <v>0</v>
      </c>
      <c r="I290" s="45" t="e">
        <v>#DIV/0!</v>
      </c>
      <c r="J290" s="44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>
        <v>13</v>
      </c>
      <c r="V290" s="42">
        <v>0</v>
      </c>
      <c r="W290" s="42" t="s">
        <v>564</v>
      </c>
      <c r="X290" s="42"/>
      <c r="Y290" s="42"/>
    </row>
    <row r="291" spans="1:25" x14ac:dyDescent="0.25">
      <c r="A291" s="41" t="s">
        <v>390</v>
      </c>
      <c r="B291" s="41" t="s">
        <v>296</v>
      </c>
      <c r="C291" s="41">
        <v>49</v>
      </c>
      <c r="D291" s="41" t="s">
        <v>32</v>
      </c>
      <c r="E291" s="41">
        <v>1155689.5557212799</v>
      </c>
      <c r="F291" s="41">
        <v>0</v>
      </c>
      <c r="G291" s="41" t="e">
        <v>#DIV/0!</v>
      </c>
      <c r="H291" s="41">
        <v>0</v>
      </c>
      <c r="I291" s="46" t="e">
        <v>#DIV/0!</v>
      </c>
      <c r="J291" s="43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>
        <v>14</v>
      </c>
      <c r="V291" s="41">
        <v>0</v>
      </c>
      <c r="W291" s="41" t="s">
        <v>564</v>
      </c>
      <c r="X291" s="41"/>
      <c r="Y291" s="41"/>
    </row>
    <row r="292" spans="1:25" x14ac:dyDescent="0.25">
      <c r="A292" s="42" t="s">
        <v>392</v>
      </c>
      <c r="B292" s="42" t="s">
        <v>296</v>
      </c>
      <c r="C292" s="42">
        <v>49</v>
      </c>
      <c r="D292" s="42" t="s">
        <v>32</v>
      </c>
      <c r="E292" s="42">
        <v>1116738.4038396899</v>
      </c>
      <c r="F292" s="42">
        <v>0</v>
      </c>
      <c r="G292" s="42" t="e">
        <v>#DIV/0!</v>
      </c>
      <c r="H292" s="42">
        <v>0</v>
      </c>
      <c r="I292" s="45" t="e">
        <v>#DIV/0!</v>
      </c>
      <c r="J292" s="44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>
        <v>15</v>
      </c>
      <c r="V292" s="42">
        <v>0</v>
      </c>
      <c r="W292" s="42" t="s">
        <v>564</v>
      </c>
      <c r="X292" s="42"/>
      <c r="Y292" s="42"/>
    </row>
    <row r="293" spans="1:25" x14ac:dyDescent="0.25">
      <c r="A293" s="41" t="s">
        <v>418</v>
      </c>
      <c r="B293" s="41" t="s">
        <v>296</v>
      </c>
      <c r="C293" s="41">
        <v>49</v>
      </c>
      <c r="D293" s="41" t="s">
        <v>32</v>
      </c>
      <c r="E293" s="41">
        <v>1465854.37553369</v>
      </c>
      <c r="F293" s="41">
        <v>0</v>
      </c>
      <c r="G293" s="41" t="e">
        <v>#DIV/0!</v>
      </c>
      <c r="H293" s="41"/>
      <c r="I293" s="46"/>
      <c r="J293" s="43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</row>
    <row r="294" spans="1:25" x14ac:dyDescent="0.25">
      <c r="A294" s="42" t="s">
        <v>420</v>
      </c>
      <c r="B294" s="42" t="s">
        <v>296</v>
      </c>
      <c r="C294" s="42">
        <v>49</v>
      </c>
      <c r="D294" s="42" t="s">
        <v>32</v>
      </c>
      <c r="E294" s="42">
        <v>1396271.90529683</v>
      </c>
      <c r="F294" s="42">
        <v>0</v>
      </c>
      <c r="G294" s="42" t="e">
        <v>#DIV/0!</v>
      </c>
      <c r="H294" s="42"/>
      <c r="I294" s="45"/>
      <c r="J294" s="44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</row>
  </sheetData>
  <sortState ref="A2:L271">
    <sortCondition ref="H2:H271"/>
    <sortCondition ref="L2:L271"/>
    <sortCondition ref="B2:B271"/>
    <sortCondition ref="G2:G271"/>
    <sortCondition descending="1" ref="J2:J271"/>
    <sortCondition ref="K2:K271"/>
  </sortState>
  <conditionalFormatting sqref="I5">
    <cfRule type="expression" dxfId="528" priority="529">
      <formula>ISTEXT($I$5)</formula>
    </cfRule>
  </conditionalFormatting>
  <conditionalFormatting sqref="I6">
    <cfRule type="expression" dxfId="527" priority="528">
      <formula>ISTEXT($I$6)</formula>
    </cfRule>
  </conditionalFormatting>
  <conditionalFormatting sqref="I7">
    <cfRule type="expression" dxfId="526" priority="527">
      <formula>ISTEXT($I$7)</formula>
    </cfRule>
  </conditionalFormatting>
  <conditionalFormatting sqref="I8">
    <cfRule type="expression" dxfId="525" priority="526">
      <formula>ISTEXT($I$8)</formula>
    </cfRule>
  </conditionalFormatting>
  <conditionalFormatting sqref="I9">
    <cfRule type="expression" dxfId="524" priority="525">
      <formula>ISTEXT($I$9)</formula>
    </cfRule>
  </conditionalFormatting>
  <conditionalFormatting sqref="I10">
    <cfRule type="expression" dxfId="523" priority="524">
      <formula>ISTEXT($I$10)</formula>
    </cfRule>
  </conditionalFormatting>
  <conditionalFormatting sqref="I11">
    <cfRule type="expression" dxfId="522" priority="523">
      <formula>ISTEXT($I$11)</formula>
    </cfRule>
  </conditionalFormatting>
  <conditionalFormatting sqref="I12">
    <cfRule type="expression" dxfId="521" priority="522">
      <formula>ISTEXT($I$12)</formula>
    </cfRule>
  </conditionalFormatting>
  <conditionalFormatting sqref="I13">
    <cfRule type="expression" dxfId="520" priority="521">
      <formula>ISTEXT($I$13)</formula>
    </cfRule>
  </conditionalFormatting>
  <conditionalFormatting sqref="I14">
    <cfRule type="expression" dxfId="519" priority="520">
      <formula>ISTEXT($I$14)</formula>
    </cfRule>
  </conditionalFormatting>
  <conditionalFormatting sqref="I15">
    <cfRule type="expression" dxfId="518" priority="519">
      <formula>ISTEXT($I$15)</formula>
    </cfRule>
  </conditionalFormatting>
  <conditionalFormatting sqref="I16">
    <cfRule type="expression" dxfId="517" priority="518">
      <formula>ISTEXT($I$16)</formula>
    </cfRule>
  </conditionalFormatting>
  <conditionalFormatting sqref="I17">
    <cfRule type="expression" dxfId="516" priority="517">
      <formula>ISTEXT($I$17)</formula>
    </cfRule>
  </conditionalFormatting>
  <conditionalFormatting sqref="I18">
    <cfRule type="expression" dxfId="515" priority="516">
      <formula>ISTEXT($I$18)</formula>
    </cfRule>
  </conditionalFormatting>
  <conditionalFormatting sqref="I19">
    <cfRule type="expression" dxfId="514" priority="515">
      <formula>ISTEXT($I$19)</formula>
    </cfRule>
  </conditionalFormatting>
  <conditionalFormatting sqref="I26">
    <cfRule type="expression" dxfId="513" priority="514">
      <formula>ISTEXT($I$26)</formula>
    </cfRule>
  </conditionalFormatting>
  <conditionalFormatting sqref="I27">
    <cfRule type="expression" dxfId="512" priority="513">
      <formula>ISTEXT($I$27)</formula>
    </cfRule>
  </conditionalFormatting>
  <conditionalFormatting sqref="I28">
    <cfRule type="expression" dxfId="511" priority="512">
      <formula>ISTEXT($I$28)</formula>
    </cfRule>
  </conditionalFormatting>
  <conditionalFormatting sqref="I29">
    <cfRule type="expression" dxfId="510" priority="511">
      <formula>ISTEXT($I$29)</formula>
    </cfRule>
  </conditionalFormatting>
  <conditionalFormatting sqref="I30">
    <cfRule type="expression" dxfId="509" priority="510">
      <formula>ISTEXT($I$30)</formula>
    </cfRule>
  </conditionalFormatting>
  <conditionalFormatting sqref="I31">
    <cfRule type="expression" dxfId="508" priority="509">
      <formula>ISTEXT($I$31)</formula>
    </cfRule>
  </conditionalFormatting>
  <conditionalFormatting sqref="I32">
    <cfRule type="expression" dxfId="507" priority="508">
      <formula>ISTEXT($I$32)</formula>
    </cfRule>
  </conditionalFormatting>
  <conditionalFormatting sqref="I33">
    <cfRule type="expression" dxfId="506" priority="507">
      <formula>ISTEXT($I$33)</formula>
    </cfRule>
  </conditionalFormatting>
  <conditionalFormatting sqref="I34">
    <cfRule type="expression" dxfId="505" priority="506">
      <formula>ISTEXT($I$34)</formula>
    </cfRule>
  </conditionalFormatting>
  <conditionalFormatting sqref="I35">
    <cfRule type="expression" dxfId="504" priority="505">
      <formula>ISTEXT($I$35)</formula>
    </cfRule>
  </conditionalFormatting>
  <conditionalFormatting sqref="I36">
    <cfRule type="expression" dxfId="503" priority="504">
      <formula>ISTEXT($I$36)</formula>
    </cfRule>
  </conditionalFormatting>
  <conditionalFormatting sqref="I37">
    <cfRule type="expression" dxfId="502" priority="503">
      <formula>ISTEXT($I$37)</formula>
    </cfRule>
  </conditionalFormatting>
  <conditionalFormatting sqref="I38">
    <cfRule type="expression" dxfId="501" priority="502">
      <formula>ISTEXT($I$38)</formula>
    </cfRule>
  </conditionalFormatting>
  <conditionalFormatting sqref="I39">
    <cfRule type="expression" dxfId="500" priority="501">
      <formula>ISTEXT($I$39)</formula>
    </cfRule>
  </conditionalFormatting>
  <conditionalFormatting sqref="I40">
    <cfRule type="expression" dxfId="499" priority="500">
      <formula>ISTEXT($I$40)</formula>
    </cfRule>
  </conditionalFormatting>
  <conditionalFormatting sqref="I47">
    <cfRule type="expression" dxfId="498" priority="499">
      <formula>ISTEXT($I$47)</formula>
    </cfRule>
  </conditionalFormatting>
  <conditionalFormatting sqref="I48">
    <cfRule type="expression" dxfId="497" priority="498">
      <formula>ISTEXT($I$48)</formula>
    </cfRule>
  </conditionalFormatting>
  <conditionalFormatting sqref="I49">
    <cfRule type="expression" dxfId="496" priority="497">
      <formula>ISTEXT($I$49)</formula>
    </cfRule>
  </conditionalFormatting>
  <conditionalFormatting sqref="I50">
    <cfRule type="expression" dxfId="495" priority="496">
      <formula>ISTEXT($I$50)</formula>
    </cfRule>
  </conditionalFormatting>
  <conditionalFormatting sqref="I51">
    <cfRule type="expression" dxfId="494" priority="495">
      <formula>ISTEXT($I$51)</formula>
    </cfRule>
  </conditionalFormatting>
  <conditionalFormatting sqref="I52">
    <cfRule type="expression" dxfId="493" priority="494">
      <formula>ISTEXT($I$52)</formula>
    </cfRule>
  </conditionalFormatting>
  <conditionalFormatting sqref="I53">
    <cfRule type="expression" dxfId="492" priority="493">
      <formula>ISTEXT($I$53)</formula>
    </cfRule>
  </conditionalFormatting>
  <conditionalFormatting sqref="I54">
    <cfRule type="expression" dxfId="491" priority="492">
      <formula>ISTEXT($I$54)</formula>
    </cfRule>
  </conditionalFormatting>
  <conditionalFormatting sqref="I55">
    <cfRule type="expression" dxfId="490" priority="491">
      <formula>ISTEXT($I$55)</formula>
    </cfRule>
  </conditionalFormatting>
  <conditionalFormatting sqref="I56">
    <cfRule type="expression" dxfId="489" priority="490">
      <formula>ISTEXT($I$56)</formula>
    </cfRule>
  </conditionalFormatting>
  <conditionalFormatting sqref="I57">
    <cfRule type="expression" dxfId="488" priority="489">
      <formula>ISTEXT($I$57)</formula>
    </cfRule>
  </conditionalFormatting>
  <conditionalFormatting sqref="I58">
    <cfRule type="expression" dxfId="487" priority="488">
      <formula>ISTEXT($I$58)</formula>
    </cfRule>
  </conditionalFormatting>
  <conditionalFormatting sqref="I59">
    <cfRule type="expression" dxfId="486" priority="487">
      <formula>ISTEXT($I$59)</formula>
    </cfRule>
  </conditionalFormatting>
  <conditionalFormatting sqref="I60">
    <cfRule type="expression" dxfId="485" priority="486">
      <formula>ISTEXT($I$60)</formula>
    </cfRule>
  </conditionalFormatting>
  <conditionalFormatting sqref="I61:I63">
    <cfRule type="expression" dxfId="484" priority="485">
      <formula>ISTEXT($I$61)</formula>
    </cfRule>
  </conditionalFormatting>
  <conditionalFormatting sqref="I68">
    <cfRule type="expression" dxfId="483" priority="469">
      <formula>ISTEXT($I$68)</formula>
    </cfRule>
  </conditionalFormatting>
  <conditionalFormatting sqref="I69">
    <cfRule type="expression" dxfId="482" priority="468">
      <formula>ISTEXT($I$69)</formula>
    </cfRule>
  </conditionalFormatting>
  <conditionalFormatting sqref="I70">
    <cfRule type="expression" dxfId="481" priority="467">
      <formula>ISTEXT($I$70)</formula>
    </cfRule>
  </conditionalFormatting>
  <conditionalFormatting sqref="I71">
    <cfRule type="expression" dxfId="480" priority="466">
      <formula>ISTEXT($I$71)</formula>
    </cfRule>
  </conditionalFormatting>
  <conditionalFormatting sqref="I72">
    <cfRule type="expression" dxfId="479" priority="465">
      <formula>ISTEXT($I$72)</formula>
    </cfRule>
  </conditionalFormatting>
  <conditionalFormatting sqref="I73">
    <cfRule type="expression" dxfId="478" priority="464">
      <formula>ISTEXT($I$73)</formula>
    </cfRule>
  </conditionalFormatting>
  <conditionalFormatting sqref="I74">
    <cfRule type="expression" dxfId="477" priority="463">
      <formula>ISTEXT($I$74)</formula>
    </cfRule>
  </conditionalFormatting>
  <conditionalFormatting sqref="I75">
    <cfRule type="expression" dxfId="476" priority="462">
      <formula>ISTEXT($I$75)</formula>
    </cfRule>
  </conditionalFormatting>
  <conditionalFormatting sqref="I76">
    <cfRule type="expression" dxfId="475" priority="461">
      <formula>ISTEXT($I$76)</formula>
    </cfRule>
  </conditionalFormatting>
  <conditionalFormatting sqref="I77">
    <cfRule type="expression" dxfId="474" priority="460">
      <formula>ISTEXT($I$77)</formula>
    </cfRule>
  </conditionalFormatting>
  <conditionalFormatting sqref="I78">
    <cfRule type="expression" dxfId="473" priority="459">
      <formula>ISTEXT($I$78)</formula>
    </cfRule>
  </conditionalFormatting>
  <conditionalFormatting sqref="I79">
    <cfRule type="expression" dxfId="472" priority="458">
      <formula>ISTEXT($I$79)</formula>
    </cfRule>
  </conditionalFormatting>
  <conditionalFormatting sqref="I80">
    <cfRule type="expression" dxfId="471" priority="457">
      <formula>ISTEXT($I$80)</formula>
    </cfRule>
  </conditionalFormatting>
  <conditionalFormatting sqref="I81">
    <cfRule type="expression" dxfId="470" priority="456">
      <formula>ISTEXT($I$81)</formula>
    </cfRule>
  </conditionalFormatting>
  <conditionalFormatting sqref="I82">
    <cfRule type="expression" dxfId="469" priority="455">
      <formula>ISTEXT($I$82)</formula>
    </cfRule>
  </conditionalFormatting>
  <conditionalFormatting sqref="I89">
    <cfRule type="expression" dxfId="468" priority="454">
      <formula>ISTEXT($I$89)</formula>
    </cfRule>
  </conditionalFormatting>
  <conditionalFormatting sqref="I90">
    <cfRule type="expression" dxfId="467" priority="453">
      <formula>ISTEXT($I$90)</formula>
    </cfRule>
  </conditionalFormatting>
  <conditionalFormatting sqref="I91">
    <cfRule type="expression" dxfId="466" priority="452">
      <formula>ISTEXT($I$91)</formula>
    </cfRule>
  </conditionalFormatting>
  <conditionalFormatting sqref="I92">
    <cfRule type="expression" dxfId="465" priority="451">
      <formula>ISTEXT($I$92)</formula>
    </cfRule>
  </conditionalFormatting>
  <conditionalFormatting sqref="I93">
    <cfRule type="expression" dxfId="464" priority="450">
      <formula>ISTEXT($I$93)</formula>
    </cfRule>
  </conditionalFormatting>
  <conditionalFormatting sqref="I94">
    <cfRule type="expression" dxfId="463" priority="449">
      <formula>ISTEXT($I$94)</formula>
    </cfRule>
  </conditionalFormatting>
  <conditionalFormatting sqref="I95">
    <cfRule type="expression" dxfId="462" priority="448">
      <formula>ISTEXT($I$95)</formula>
    </cfRule>
  </conditionalFormatting>
  <conditionalFormatting sqref="I96">
    <cfRule type="expression" dxfId="461" priority="447">
      <formula>ISTEXT($I$96)</formula>
    </cfRule>
  </conditionalFormatting>
  <conditionalFormatting sqref="I97">
    <cfRule type="expression" dxfId="460" priority="446">
      <formula>ISTEXT($I$97)</formula>
    </cfRule>
  </conditionalFormatting>
  <conditionalFormatting sqref="I98">
    <cfRule type="expression" dxfId="459" priority="445">
      <formula>ISTEXT($I$98)</formula>
    </cfRule>
  </conditionalFormatting>
  <conditionalFormatting sqref="I99">
    <cfRule type="expression" dxfId="458" priority="444">
      <formula>ISTEXT($I$99)</formula>
    </cfRule>
  </conditionalFormatting>
  <conditionalFormatting sqref="I100">
    <cfRule type="expression" dxfId="457" priority="443">
      <formula>ISTEXT($I$100)</formula>
    </cfRule>
  </conditionalFormatting>
  <conditionalFormatting sqref="I101">
    <cfRule type="expression" dxfId="456" priority="442">
      <formula>ISTEXT($I$101)</formula>
    </cfRule>
  </conditionalFormatting>
  <conditionalFormatting sqref="I102">
    <cfRule type="expression" dxfId="455" priority="441">
      <formula>ISTEXT($I$102)</formula>
    </cfRule>
  </conditionalFormatting>
  <conditionalFormatting sqref="I103">
    <cfRule type="expression" dxfId="454" priority="440">
      <formula>ISTEXT($I$103)</formula>
    </cfRule>
  </conditionalFormatting>
  <conditionalFormatting sqref="I110">
    <cfRule type="expression" dxfId="453" priority="439">
      <formula>ISTEXT($I$110)</formula>
    </cfRule>
  </conditionalFormatting>
  <conditionalFormatting sqref="I111">
    <cfRule type="expression" dxfId="452" priority="438">
      <formula>ISTEXT($I$111)</formula>
    </cfRule>
  </conditionalFormatting>
  <conditionalFormatting sqref="I112">
    <cfRule type="expression" dxfId="451" priority="437">
      <formula>ISTEXT($I$112)</formula>
    </cfRule>
  </conditionalFormatting>
  <conditionalFormatting sqref="I113">
    <cfRule type="expression" dxfId="450" priority="436">
      <formula>ISTEXT($I$113)</formula>
    </cfRule>
  </conditionalFormatting>
  <conditionalFormatting sqref="I114">
    <cfRule type="expression" dxfId="449" priority="435">
      <formula>ISTEXT($I$114)</formula>
    </cfRule>
  </conditionalFormatting>
  <conditionalFormatting sqref="I115">
    <cfRule type="expression" dxfId="448" priority="434">
      <formula>ISTEXT($I$115)</formula>
    </cfRule>
  </conditionalFormatting>
  <conditionalFormatting sqref="I116">
    <cfRule type="expression" dxfId="447" priority="433">
      <formula>ISTEXT($I$116)</formula>
    </cfRule>
  </conditionalFormatting>
  <conditionalFormatting sqref="I117">
    <cfRule type="expression" dxfId="446" priority="432">
      <formula>ISTEXT($I$117)</formula>
    </cfRule>
  </conditionalFormatting>
  <conditionalFormatting sqref="I118">
    <cfRule type="expression" dxfId="445" priority="431">
      <formula>ISTEXT($I$118)</formula>
    </cfRule>
  </conditionalFormatting>
  <conditionalFormatting sqref="I119">
    <cfRule type="expression" dxfId="444" priority="430">
      <formula>ISTEXT($I$119)</formula>
    </cfRule>
  </conditionalFormatting>
  <conditionalFormatting sqref="I120">
    <cfRule type="expression" dxfId="443" priority="429">
      <formula>ISTEXT($I$120)</formula>
    </cfRule>
  </conditionalFormatting>
  <conditionalFormatting sqref="I121">
    <cfRule type="expression" dxfId="442" priority="428">
      <formula>ISTEXT($I$121)</formula>
    </cfRule>
  </conditionalFormatting>
  <conditionalFormatting sqref="I122">
    <cfRule type="expression" dxfId="441" priority="427">
      <formula>ISTEXT($I$122)</formula>
    </cfRule>
  </conditionalFormatting>
  <conditionalFormatting sqref="I123">
    <cfRule type="expression" dxfId="440" priority="426">
      <formula>ISTEXT($I$123)</formula>
    </cfRule>
  </conditionalFormatting>
  <conditionalFormatting sqref="I124:I126">
    <cfRule type="expression" dxfId="439" priority="425">
      <formula>ISTEXT($I$124)</formula>
    </cfRule>
  </conditionalFormatting>
  <conditionalFormatting sqref="I131">
    <cfRule type="expression" dxfId="438" priority="424">
      <formula>ISTEXT($I$131)</formula>
    </cfRule>
  </conditionalFormatting>
  <conditionalFormatting sqref="I132">
    <cfRule type="expression" dxfId="437" priority="423">
      <formula>ISTEXT($I$132)</formula>
    </cfRule>
  </conditionalFormatting>
  <conditionalFormatting sqref="I133">
    <cfRule type="expression" dxfId="436" priority="422">
      <formula>ISTEXT($I$133)</formula>
    </cfRule>
  </conditionalFormatting>
  <conditionalFormatting sqref="I134">
    <cfRule type="expression" dxfId="435" priority="421">
      <formula>ISTEXT($I$134)</formula>
    </cfRule>
  </conditionalFormatting>
  <conditionalFormatting sqref="I135">
    <cfRule type="expression" dxfId="434" priority="420">
      <formula>ISTEXT($I$135)</formula>
    </cfRule>
  </conditionalFormatting>
  <conditionalFormatting sqref="I136">
    <cfRule type="expression" dxfId="433" priority="419">
      <formula>ISTEXT($I$136)</formula>
    </cfRule>
  </conditionalFormatting>
  <conditionalFormatting sqref="I137">
    <cfRule type="expression" dxfId="432" priority="418">
      <formula>ISTEXT($I$137)</formula>
    </cfRule>
  </conditionalFormatting>
  <conditionalFormatting sqref="I138">
    <cfRule type="expression" dxfId="431" priority="417">
      <formula>ISTEXT($I$138)</formula>
    </cfRule>
  </conditionalFormatting>
  <conditionalFormatting sqref="I139">
    <cfRule type="expression" dxfId="430" priority="416">
      <formula>ISTEXT($I$139)</formula>
    </cfRule>
  </conditionalFormatting>
  <conditionalFormatting sqref="I140">
    <cfRule type="expression" dxfId="429" priority="415">
      <formula>ISTEXT($I$140)</formula>
    </cfRule>
  </conditionalFormatting>
  <conditionalFormatting sqref="I141">
    <cfRule type="expression" dxfId="428" priority="414">
      <formula>ISTEXT($I$141)</formula>
    </cfRule>
  </conditionalFormatting>
  <conditionalFormatting sqref="I142">
    <cfRule type="expression" dxfId="427" priority="413">
      <formula>ISTEXT($I$142)</formula>
    </cfRule>
  </conditionalFormatting>
  <conditionalFormatting sqref="I143">
    <cfRule type="expression" dxfId="426" priority="412">
      <formula>ISTEXT($I$143)</formula>
    </cfRule>
  </conditionalFormatting>
  <conditionalFormatting sqref="I144">
    <cfRule type="expression" dxfId="425" priority="411">
      <formula>ISTEXT($I$144)</formula>
    </cfRule>
  </conditionalFormatting>
  <conditionalFormatting sqref="I145:I147">
    <cfRule type="expression" dxfId="424" priority="410">
      <formula>ISTEXT($I$145)</formula>
    </cfRule>
  </conditionalFormatting>
  <conditionalFormatting sqref="I152">
    <cfRule type="expression" dxfId="423" priority="409">
      <formula>ISTEXT($I$152)</formula>
    </cfRule>
  </conditionalFormatting>
  <conditionalFormatting sqref="I153">
    <cfRule type="expression" dxfId="422" priority="408">
      <formula>ISTEXT($I$153)</formula>
    </cfRule>
  </conditionalFormatting>
  <conditionalFormatting sqref="I154">
    <cfRule type="expression" dxfId="421" priority="407">
      <formula>ISTEXT($I$154)</formula>
    </cfRule>
  </conditionalFormatting>
  <conditionalFormatting sqref="I155">
    <cfRule type="expression" dxfId="420" priority="406">
      <formula>ISTEXT($I$155)</formula>
    </cfRule>
  </conditionalFormatting>
  <conditionalFormatting sqref="I156">
    <cfRule type="expression" dxfId="419" priority="405">
      <formula>ISTEXT($I$156)</formula>
    </cfRule>
  </conditionalFormatting>
  <conditionalFormatting sqref="I157">
    <cfRule type="expression" dxfId="418" priority="404">
      <formula>ISTEXT($I$157)</formula>
    </cfRule>
  </conditionalFormatting>
  <conditionalFormatting sqref="I158">
    <cfRule type="expression" dxfId="417" priority="403">
      <formula>ISTEXT($I$158)</formula>
    </cfRule>
  </conditionalFormatting>
  <conditionalFormatting sqref="I159">
    <cfRule type="expression" dxfId="416" priority="402">
      <formula>ISTEXT($I$159)</formula>
    </cfRule>
  </conditionalFormatting>
  <conditionalFormatting sqref="I160">
    <cfRule type="expression" dxfId="415" priority="401">
      <formula>ISTEXT($I$160)</formula>
    </cfRule>
  </conditionalFormatting>
  <conditionalFormatting sqref="I161">
    <cfRule type="expression" dxfId="414" priority="400">
      <formula>ISTEXT($I$161)</formula>
    </cfRule>
  </conditionalFormatting>
  <conditionalFormatting sqref="I162">
    <cfRule type="expression" dxfId="413" priority="399">
      <formula>ISTEXT($I$162)</formula>
    </cfRule>
  </conditionalFormatting>
  <conditionalFormatting sqref="I163">
    <cfRule type="expression" dxfId="412" priority="398">
      <formula>ISTEXT($I$163)</formula>
    </cfRule>
  </conditionalFormatting>
  <conditionalFormatting sqref="I164">
    <cfRule type="expression" dxfId="411" priority="397">
      <formula>ISTEXT($I$164)</formula>
    </cfRule>
  </conditionalFormatting>
  <conditionalFormatting sqref="I165">
    <cfRule type="expression" dxfId="410" priority="396">
      <formula>ISTEXT($I$165)</formula>
    </cfRule>
  </conditionalFormatting>
  <conditionalFormatting sqref="I166">
    <cfRule type="expression" dxfId="409" priority="395">
      <formula>ISTEXT($I$166)</formula>
    </cfRule>
  </conditionalFormatting>
  <conditionalFormatting sqref="I173">
    <cfRule type="expression" dxfId="408" priority="394">
      <formula>ISTEXT($I$173)</formula>
    </cfRule>
  </conditionalFormatting>
  <conditionalFormatting sqref="I174">
    <cfRule type="expression" dxfId="407" priority="393">
      <formula>ISTEXT($I$174)</formula>
    </cfRule>
  </conditionalFormatting>
  <conditionalFormatting sqref="I175">
    <cfRule type="expression" dxfId="406" priority="392">
      <formula>ISTEXT($I$175)</formula>
    </cfRule>
  </conditionalFormatting>
  <conditionalFormatting sqref="I176">
    <cfRule type="expression" dxfId="405" priority="391">
      <formula>ISTEXT($I$176)</formula>
    </cfRule>
  </conditionalFormatting>
  <conditionalFormatting sqref="I177">
    <cfRule type="expression" dxfId="404" priority="390">
      <formula>ISTEXT($I$177)</formula>
    </cfRule>
  </conditionalFormatting>
  <conditionalFormatting sqref="I178">
    <cfRule type="expression" dxfId="403" priority="389">
      <formula>ISTEXT($I$178)</formula>
    </cfRule>
  </conditionalFormatting>
  <conditionalFormatting sqref="I179">
    <cfRule type="expression" dxfId="402" priority="388">
      <formula>ISTEXT($I$179)</formula>
    </cfRule>
  </conditionalFormatting>
  <conditionalFormatting sqref="I180">
    <cfRule type="expression" dxfId="401" priority="387">
      <formula>ISTEXT($I$180)</formula>
    </cfRule>
  </conditionalFormatting>
  <conditionalFormatting sqref="I181">
    <cfRule type="expression" dxfId="400" priority="386">
      <formula>ISTEXT($I$181)</formula>
    </cfRule>
  </conditionalFormatting>
  <conditionalFormatting sqref="I182">
    <cfRule type="expression" dxfId="399" priority="385">
      <formula>ISTEXT($I$182)</formula>
    </cfRule>
  </conditionalFormatting>
  <conditionalFormatting sqref="I183">
    <cfRule type="expression" dxfId="398" priority="384">
      <formula>ISTEXT($I$183)</formula>
    </cfRule>
  </conditionalFormatting>
  <conditionalFormatting sqref="I184">
    <cfRule type="expression" dxfId="397" priority="383">
      <formula>ISTEXT($I$184)</formula>
    </cfRule>
  </conditionalFormatting>
  <conditionalFormatting sqref="I185">
    <cfRule type="expression" dxfId="396" priority="382">
      <formula>ISTEXT($I$185)</formula>
    </cfRule>
  </conditionalFormatting>
  <conditionalFormatting sqref="I186">
    <cfRule type="expression" dxfId="395" priority="381">
      <formula>ISTEXT($I$186)</formula>
    </cfRule>
  </conditionalFormatting>
  <conditionalFormatting sqref="I187">
    <cfRule type="expression" dxfId="394" priority="380">
      <formula>ISTEXT($I$187)</formula>
    </cfRule>
  </conditionalFormatting>
  <conditionalFormatting sqref="I194">
    <cfRule type="expression" dxfId="393" priority="379">
      <formula>ISTEXT($I$194)</formula>
    </cfRule>
  </conditionalFormatting>
  <conditionalFormatting sqref="I195">
    <cfRule type="expression" dxfId="392" priority="378">
      <formula>ISTEXT($I$195)</formula>
    </cfRule>
  </conditionalFormatting>
  <conditionalFormatting sqref="I196">
    <cfRule type="expression" dxfId="391" priority="377">
      <formula>ISTEXT($I$196)</formula>
    </cfRule>
  </conditionalFormatting>
  <conditionalFormatting sqref="I197">
    <cfRule type="expression" dxfId="390" priority="376">
      <formula>ISTEXT($I$197)</formula>
    </cfRule>
  </conditionalFormatting>
  <conditionalFormatting sqref="I198">
    <cfRule type="expression" dxfId="389" priority="375">
      <formula>ISTEXT($I$198)</formula>
    </cfRule>
  </conditionalFormatting>
  <conditionalFormatting sqref="I199">
    <cfRule type="expression" dxfId="388" priority="374">
      <formula>ISTEXT($I$199)</formula>
    </cfRule>
  </conditionalFormatting>
  <conditionalFormatting sqref="I200">
    <cfRule type="expression" dxfId="387" priority="373">
      <formula>ISTEXT($I$200)</formula>
    </cfRule>
  </conditionalFormatting>
  <conditionalFormatting sqref="I201">
    <cfRule type="expression" dxfId="386" priority="372">
      <formula>ISTEXT($I$201)</formula>
    </cfRule>
  </conditionalFormatting>
  <conditionalFormatting sqref="I202">
    <cfRule type="expression" dxfId="385" priority="371">
      <formula>ISTEXT($I$202)</formula>
    </cfRule>
  </conditionalFormatting>
  <conditionalFormatting sqref="I203">
    <cfRule type="expression" dxfId="384" priority="370">
      <formula>ISTEXT($I$203)</formula>
    </cfRule>
  </conditionalFormatting>
  <conditionalFormatting sqref="I204">
    <cfRule type="expression" dxfId="383" priority="369">
      <formula>ISTEXT($I$204)</formula>
    </cfRule>
  </conditionalFormatting>
  <conditionalFormatting sqref="I205">
    <cfRule type="expression" dxfId="382" priority="368">
      <formula>ISTEXT($I$205)</formula>
    </cfRule>
  </conditionalFormatting>
  <conditionalFormatting sqref="I206">
    <cfRule type="expression" dxfId="381" priority="367">
      <formula>ISTEXT($I$206)</formula>
    </cfRule>
  </conditionalFormatting>
  <conditionalFormatting sqref="I207">
    <cfRule type="expression" dxfId="380" priority="366">
      <formula>ISTEXT($I$207)</formula>
    </cfRule>
  </conditionalFormatting>
  <conditionalFormatting sqref="I208">
    <cfRule type="expression" dxfId="379" priority="365">
      <formula>ISTEXT($I$208)</formula>
    </cfRule>
  </conditionalFormatting>
  <conditionalFormatting sqref="I215">
    <cfRule type="expression" dxfId="378" priority="364">
      <formula>ISTEXT($I$215)</formula>
    </cfRule>
  </conditionalFormatting>
  <conditionalFormatting sqref="I216">
    <cfRule type="expression" dxfId="377" priority="363">
      <formula>ISTEXT($I$216)</formula>
    </cfRule>
  </conditionalFormatting>
  <conditionalFormatting sqref="I217">
    <cfRule type="expression" dxfId="376" priority="362">
      <formula>ISTEXT($I$217)</formula>
    </cfRule>
  </conditionalFormatting>
  <conditionalFormatting sqref="I218">
    <cfRule type="expression" dxfId="375" priority="361">
      <formula>ISTEXT($I$218)</formula>
    </cfRule>
  </conditionalFormatting>
  <conditionalFormatting sqref="I219">
    <cfRule type="expression" dxfId="374" priority="360">
      <formula>ISTEXT($I$219)</formula>
    </cfRule>
  </conditionalFormatting>
  <conditionalFormatting sqref="I220">
    <cfRule type="expression" dxfId="373" priority="359">
      <formula>ISTEXT($I$220)</formula>
    </cfRule>
  </conditionalFormatting>
  <conditionalFormatting sqref="I221">
    <cfRule type="expression" dxfId="372" priority="358">
      <formula>ISTEXT($I$221)</formula>
    </cfRule>
  </conditionalFormatting>
  <conditionalFormatting sqref="I222">
    <cfRule type="expression" dxfId="371" priority="357">
      <formula>ISTEXT($I$222)</formula>
    </cfRule>
  </conditionalFormatting>
  <conditionalFormatting sqref="I223">
    <cfRule type="expression" dxfId="370" priority="356">
      <formula>ISTEXT($I$223)</formula>
    </cfRule>
  </conditionalFormatting>
  <conditionalFormatting sqref="I224">
    <cfRule type="expression" dxfId="369" priority="355">
      <formula>ISTEXT($I$224)</formula>
    </cfRule>
  </conditionalFormatting>
  <conditionalFormatting sqref="I225">
    <cfRule type="expression" dxfId="368" priority="354">
      <formula>ISTEXT($I$225)</formula>
    </cfRule>
  </conditionalFormatting>
  <conditionalFormatting sqref="I226">
    <cfRule type="expression" dxfId="367" priority="353">
      <formula>ISTEXT($I$226)</formula>
    </cfRule>
  </conditionalFormatting>
  <conditionalFormatting sqref="I227">
    <cfRule type="expression" dxfId="366" priority="352">
      <formula>ISTEXT($I$227)</formula>
    </cfRule>
  </conditionalFormatting>
  <conditionalFormatting sqref="I228">
    <cfRule type="expression" dxfId="365" priority="351">
      <formula>ISTEXT($I$228)</formula>
    </cfRule>
  </conditionalFormatting>
  <conditionalFormatting sqref="I229">
    <cfRule type="expression" dxfId="364" priority="350">
      <formula>ISTEXT($I$229)</formula>
    </cfRule>
  </conditionalFormatting>
  <conditionalFormatting sqref="I236">
    <cfRule type="expression" dxfId="363" priority="349">
      <formula>ISTEXT($I$236)</formula>
    </cfRule>
  </conditionalFormatting>
  <conditionalFormatting sqref="I237">
    <cfRule type="expression" dxfId="362" priority="348">
      <formula>ISTEXT($I$237)</formula>
    </cfRule>
  </conditionalFormatting>
  <conditionalFormatting sqref="I238">
    <cfRule type="expression" dxfId="361" priority="347">
      <formula>ISTEXT($I$238)</formula>
    </cfRule>
  </conditionalFormatting>
  <conditionalFormatting sqref="I239">
    <cfRule type="expression" dxfId="360" priority="346">
      <formula>ISTEXT($I$239)</formula>
    </cfRule>
  </conditionalFormatting>
  <conditionalFormatting sqref="I240">
    <cfRule type="expression" dxfId="359" priority="345">
      <formula>ISTEXT($I$240)</formula>
    </cfRule>
  </conditionalFormatting>
  <conditionalFormatting sqref="I241">
    <cfRule type="expression" dxfId="358" priority="344">
      <formula>ISTEXT($I$241)</formula>
    </cfRule>
  </conditionalFormatting>
  <conditionalFormatting sqref="I242">
    <cfRule type="expression" dxfId="357" priority="343">
      <formula>ISTEXT($I$242)</formula>
    </cfRule>
  </conditionalFormatting>
  <conditionalFormatting sqref="I243">
    <cfRule type="expression" dxfId="356" priority="342">
      <formula>ISTEXT($I$243)</formula>
    </cfRule>
  </conditionalFormatting>
  <conditionalFormatting sqref="I244">
    <cfRule type="expression" dxfId="355" priority="341">
      <formula>ISTEXT($I$244)</formula>
    </cfRule>
  </conditionalFormatting>
  <conditionalFormatting sqref="I245">
    <cfRule type="expression" dxfId="354" priority="340">
      <formula>ISTEXT($I$245)</formula>
    </cfRule>
  </conditionalFormatting>
  <conditionalFormatting sqref="I246">
    <cfRule type="expression" dxfId="353" priority="339">
      <formula>ISTEXT($I$246)</formula>
    </cfRule>
  </conditionalFormatting>
  <conditionalFormatting sqref="I247">
    <cfRule type="expression" dxfId="352" priority="338">
      <formula>ISTEXT($I$247)</formula>
    </cfRule>
  </conditionalFormatting>
  <conditionalFormatting sqref="I248">
    <cfRule type="expression" dxfId="351" priority="337">
      <formula>ISTEXT($I$248)</formula>
    </cfRule>
  </conditionalFormatting>
  <conditionalFormatting sqref="I249">
    <cfRule type="expression" dxfId="350" priority="336">
      <formula>ISTEXT($I$249)</formula>
    </cfRule>
  </conditionalFormatting>
  <conditionalFormatting sqref="I250">
    <cfRule type="expression" dxfId="349" priority="335">
      <formula>ISTEXT($I$250)</formula>
    </cfRule>
  </conditionalFormatting>
  <conditionalFormatting sqref="I257">
    <cfRule type="expression" dxfId="348" priority="334">
      <formula>ISTEXT($I$257)</formula>
    </cfRule>
  </conditionalFormatting>
  <conditionalFormatting sqref="I258">
    <cfRule type="expression" dxfId="347" priority="333">
      <formula>ISTEXT($I$258)</formula>
    </cfRule>
  </conditionalFormatting>
  <conditionalFormatting sqref="I259">
    <cfRule type="expression" dxfId="346" priority="332">
      <formula>ISTEXT($I$259)</formula>
    </cfRule>
  </conditionalFormatting>
  <conditionalFormatting sqref="I260">
    <cfRule type="expression" dxfId="345" priority="331">
      <formula>ISTEXT($I$260)</formula>
    </cfRule>
  </conditionalFormatting>
  <conditionalFormatting sqref="I261">
    <cfRule type="expression" dxfId="344" priority="330">
      <formula>ISTEXT($I$261)</formula>
    </cfRule>
  </conditionalFormatting>
  <conditionalFormatting sqref="I262">
    <cfRule type="expression" dxfId="343" priority="329">
      <formula>ISTEXT($I$262)</formula>
    </cfRule>
  </conditionalFormatting>
  <conditionalFormatting sqref="I263">
    <cfRule type="expression" dxfId="342" priority="328">
      <formula>ISTEXT($I$263)</formula>
    </cfRule>
  </conditionalFormatting>
  <conditionalFormatting sqref="I264">
    <cfRule type="expression" dxfId="341" priority="327">
      <formula>ISTEXT($I$264)</formula>
    </cfRule>
  </conditionalFormatting>
  <conditionalFormatting sqref="I265">
    <cfRule type="expression" dxfId="340" priority="326">
      <formula>ISTEXT($I$265)</formula>
    </cfRule>
  </conditionalFormatting>
  <conditionalFormatting sqref="I266">
    <cfRule type="expression" dxfId="339" priority="325">
      <formula>ISTEXT($I$266)</formula>
    </cfRule>
  </conditionalFormatting>
  <conditionalFormatting sqref="I267">
    <cfRule type="expression" dxfId="338" priority="324">
      <formula>ISTEXT($I$267)</formula>
    </cfRule>
  </conditionalFormatting>
  <conditionalFormatting sqref="I268">
    <cfRule type="expression" dxfId="337" priority="323">
      <formula>ISTEXT($I$268)</formula>
    </cfRule>
  </conditionalFormatting>
  <conditionalFormatting sqref="I269">
    <cfRule type="expression" dxfId="336" priority="322">
      <formula>ISTEXT($I$269)</formula>
    </cfRule>
  </conditionalFormatting>
  <conditionalFormatting sqref="I270">
    <cfRule type="expression" dxfId="335" priority="321">
      <formula>ISTEXT($I$270)</formula>
    </cfRule>
  </conditionalFormatting>
  <conditionalFormatting sqref="I271">
    <cfRule type="expression" dxfId="334" priority="320">
      <formula>ISTEXT($I$271)</formula>
    </cfRule>
  </conditionalFormatting>
  <conditionalFormatting sqref="I278">
    <cfRule type="expression" dxfId="333" priority="319">
      <formula>ISTEXT($I$278)</formula>
    </cfRule>
  </conditionalFormatting>
  <conditionalFormatting sqref="I279">
    <cfRule type="expression" dxfId="332" priority="318">
      <formula>ISTEXT($I$279)</formula>
    </cfRule>
  </conditionalFormatting>
  <conditionalFormatting sqref="I280">
    <cfRule type="expression" dxfId="331" priority="317">
      <formula>ISTEXT($I$280)</formula>
    </cfRule>
  </conditionalFormatting>
  <conditionalFormatting sqref="I281">
    <cfRule type="expression" dxfId="330" priority="316">
      <formula>ISTEXT($I$281)</formula>
    </cfRule>
  </conditionalFormatting>
  <conditionalFormatting sqref="I282">
    <cfRule type="expression" dxfId="329" priority="315">
      <formula>ISTEXT($I$282)</formula>
    </cfRule>
  </conditionalFormatting>
  <conditionalFormatting sqref="I283">
    <cfRule type="expression" dxfId="328" priority="314">
      <formula>ISTEXT($I$283)</formula>
    </cfRule>
  </conditionalFormatting>
  <conditionalFormatting sqref="I284">
    <cfRule type="expression" dxfId="327" priority="313">
      <formula>ISTEXT($I$284)</formula>
    </cfRule>
  </conditionalFormatting>
  <conditionalFormatting sqref="I285">
    <cfRule type="expression" dxfId="326" priority="312">
      <formula>ISTEXT($I$285)</formula>
    </cfRule>
  </conditionalFormatting>
  <conditionalFormatting sqref="I286">
    <cfRule type="expression" dxfId="325" priority="311">
      <formula>ISTEXT($I$286)</formula>
    </cfRule>
  </conditionalFormatting>
  <conditionalFormatting sqref="I287">
    <cfRule type="expression" dxfId="324" priority="310">
      <formula>ISTEXT($I$287)</formula>
    </cfRule>
  </conditionalFormatting>
  <conditionalFormatting sqref="I288">
    <cfRule type="expression" dxfId="323" priority="309">
      <formula>ISTEXT($I$288)</formula>
    </cfRule>
  </conditionalFormatting>
  <conditionalFormatting sqref="I289">
    <cfRule type="expression" dxfId="322" priority="308">
      <formula>ISTEXT($I$289)</formula>
    </cfRule>
  </conditionalFormatting>
  <conditionalFormatting sqref="I290">
    <cfRule type="expression" dxfId="321" priority="307">
      <formula>ISTEXT($I$290)</formula>
    </cfRule>
  </conditionalFormatting>
  <conditionalFormatting sqref="I291">
    <cfRule type="expression" dxfId="320" priority="306">
      <formula>ISTEXT($I$291)</formula>
    </cfRule>
  </conditionalFormatting>
  <conditionalFormatting sqref="I292">
    <cfRule type="expression" dxfId="319" priority="305">
      <formula>ISTEXT($I$292)</formula>
    </cfRule>
  </conditionalFormatting>
  <conditionalFormatting sqref="AA3">
    <cfRule type="expression" dxfId="318" priority="304">
      <formula>ISTEXT($AA$3)</formula>
    </cfRule>
  </conditionalFormatting>
  <conditionalFormatting sqref="AB3">
    <cfRule type="expression" dxfId="317" priority="303">
      <formula>ISTEXT($AB$3)</formula>
    </cfRule>
  </conditionalFormatting>
  <conditionalFormatting sqref="AC3">
    <cfRule type="expression" dxfId="316" priority="302">
      <formula>ISTEXT($AC$3)</formula>
    </cfRule>
  </conditionalFormatting>
  <conditionalFormatting sqref="AD3">
    <cfRule type="expression" dxfId="315" priority="301">
      <formula>ISTEXT($AD$3)</formula>
    </cfRule>
  </conditionalFormatting>
  <conditionalFormatting sqref="AA4">
    <cfRule type="expression" dxfId="314" priority="300">
      <formula>ISTEXT($AA$4)</formula>
    </cfRule>
  </conditionalFormatting>
  <conditionalFormatting sqref="AB4">
    <cfRule type="expression" dxfId="313" priority="299">
      <formula>ISTEXT($AB$4)</formula>
    </cfRule>
  </conditionalFormatting>
  <conditionalFormatting sqref="AC4">
    <cfRule type="expression" dxfId="312" priority="298">
      <formula>ISTEXT($AC$4)</formula>
    </cfRule>
  </conditionalFormatting>
  <conditionalFormatting sqref="AD4">
    <cfRule type="expression" dxfId="311" priority="297">
      <formula>ISTEXT($AD$4)</formula>
    </cfRule>
  </conditionalFormatting>
  <conditionalFormatting sqref="AA5">
    <cfRule type="expression" dxfId="310" priority="296">
      <formula>ISTEXT($AA$5)</formula>
    </cfRule>
  </conditionalFormatting>
  <conditionalFormatting sqref="AB5">
    <cfRule type="expression" dxfId="309" priority="295">
      <formula>ISTEXT($AB$5)</formula>
    </cfRule>
  </conditionalFormatting>
  <conditionalFormatting sqref="AC5">
    <cfRule type="expression" dxfId="308" priority="294">
      <formula>ISTEXT($AC$5)</formula>
    </cfRule>
  </conditionalFormatting>
  <conditionalFormatting sqref="AD5">
    <cfRule type="expression" dxfId="307" priority="293">
      <formula>ISTEXT($AD$5)</formula>
    </cfRule>
  </conditionalFormatting>
  <conditionalFormatting sqref="AA6">
    <cfRule type="expression" dxfId="306" priority="292">
      <formula>ISTEXT($AA$6)</formula>
    </cfRule>
  </conditionalFormatting>
  <conditionalFormatting sqref="AB6">
    <cfRule type="expression" dxfId="305" priority="291">
      <formula>ISTEXT($AB$6)</formula>
    </cfRule>
  </conditionalFormatting>
  <conditionalFormatting sqref="AC6">
    <cfRule type="expression" dxfId="304" priority="290">
      <formula>ISTEXT($AC$6)</formula>
    </cfRule>
  </conditionalFormatting>
  <conditionalFormatting sqref="AD6">
    <cfRule type="expression" dxfId="303" priority="289">
      <formula>ISTEXT($AD$6)</formula>
    </cfRule>
  </conditionalFormatting>
  <conditionalFormatting sqref="AA7">
    <cfRule type="expression" dxfId="302" priority="288">
      <formula>ISTEXT($AA$7)</formula>
    </cfRule>
  </conditionalFormatting>
  <conditionalFormatting sqref="AB7">
    <cfRule type="expression" dxfId="301" priority="287">
      <formula>ISTEXT($AB$7)</formula>
    </cfRule>
  </conditionalFormatting>
  <conditionalFormatting sqref="AC7">
    <cfRule type="expression" dxfId="300" priority="286">
      <formula>ISTEXT($AC$7)</formula>
    </cfRule>
  </conditionalFormatting>
  <conditionalFormatting sqref="AD7">
    <cfRule type="expression" dxfId="299" priority="285">
      <formula>ISTEXT($AD$7)</formula>
    </cfRule>
  </conditionalFormatting>
  <conditionalFormatting sqref="AA24">
    <cfRule type="expression" dxfId="298" priority="284">
      <formula>ISTEXT($AA$24)</formula>
    </cfRule>
  </conditionalFormatting>
  <conditionalFormatting sqref="AB24">
    <cfRule type="expression" dxfId="297" priority="283">
      <formula>ISTEXT($AB$24)</formula>
    </cfRule>
  </conditionalFormatting>
  <conditionalFormatting sqref="AC24">
    <cfRule type="expression" dxfId="296" priority="282">
      <formula>ISTEXT($AC$24)</formula>
    </cfRule>
  </conditionalFormatting>
  <conditionalFormatting sqref="AD24">
    <cfRule type="expression" dxfId="295" priority="281">
      <formula>ISTEXT($AD$24)</formula>
    </cfRule>
  </conditionalFormatting>
  <conditionalFormatting sqref="AA25">
    <cfRule type="expression" dxfId="294" priority="280">
      <formula>ISTEXT($AA$25)</formula>
    </cfRule>
  </conditionalFormatting>
  <conditionalFormatting sqref="AB25">
    <cfRule type="expression" dxfId="293" priority="279">
      <formula>ISTEXT($AB$25)</formula>
    </cfRule>
  </conditionalFormatting>
  <conditionalFormatting sqref="AC25">
    <cfRule type="expression" dxfId="292" priority="278">
      <formula>ISTEXT($AC$25)</formula>
    </cfRule>
  </conditionalFormatting>
  <conditionalFormatting sqref="AD25">
    <cfRule type="expression" dxfId="291" priority="277">
      <formula>ISTEXT($AD$25)</formula>
    </cfRule>
  </conditionalFormatting>
  <conditionalFormatting sqref="AA26">
    <cfRule type="expression" dxfId="290" priority="276">
      <formula>ISTEXT($AA$26)</formula>
    </cfRule>
  </conditionalFormatting>
  <conditionalFormatting sqref="AB26">
    <cfRule type="expression" dxfId="289" priority="275">
      <formula>ISTEXT($AB$26)</formula>
    </cfRule>
  </conditionalFormatting>
  <conditionalFormatting sqref="AC26">
    <cfRule type="expression" dxfId="288" priority="274">
      <formula>ISTEXT($AC$26)</formula>
    </cfRule>
  </conditionalFormatting>
  <conditionalFormatting sqref="AD26">
    <cfRule type="expression" dxfId="287" priority="273">
      <formula>ISTEXT($AD$26)</formula>
    </cfRule>
  </conditionalFormatting>
  <conditionalFormatting sqref="AA27">
    <cfRule type="expression" dxfId="286" priority="272">
      <formula>ISTEXT($AA$27)</formula>
    </cfRule>
  </conditionalFormatting>
  <conditionalFormatting sqref="AB27">
    <cfRule type="expression" dxfId="285" priority="271">
      <formula>ISTEXT($AB$27)</formula>
    </cfRule>
  </conditionalFormatting>
  <conditionalFormatting sqref="AC27">
    <cfRule type="expression" dxfId="284" priority="270">
      <formula>ISTEXT($AC$27)</formula>
    </cfRule>
  </conditionalFormatting>
  <conditionalFormatting sqref="AD27">
    <cfRule type="expression" dxfId="283" priority="269">
      <formula>ISTEXT($AD$27)</formula>
    </cfRule>
  </conditionalFormatting>
  <conditionalFormatting sqref="AA28">
    <cfRule type="expression" dxfId="282" priority="268">
      <formula>ISTEXT($AA$28)</formula>
    </cfRule>
  </conditionalFormatting>
  <conditionalFormatting sqref="AB28">
    <cfRule type="expression" dxfId="281" priority="267">
      <formula>ISTEXT($AB$28)</formula>
    </cfRule>
  </conditionalFormatting>
  <conditionalFormatting sqref="AC28">
    <cfRule type="expression" dxfId="280" priority="266">
      <formula>ISTEXT($AC$28)</formula>
    </cfRule>
  </conditionalFormatting>
  <conditionalFormatting sqref="AD28">
    <cfRule type="expression" dxfId="279" priority="265">
      <formula>ISTEXT($AD$28)</formula>
    </cfRule>
  </conditionalFormatting>
  <conditionalFormatting sqref="AA45">
    <cfRule type="expression" dxfId="278" priority="264">
      <formula>ISTEXT($AA$45)</formula>
    </cfRule>
  </conditionalFormatting>
  <conditionalFormatting sqref="AB45">
    <cfRule type="expression" dxfId="277" priority="263">
      <formula>ISTEXT($AB$45)</formula>
    </cfRule>
  </conditionalFormatting>
  <conditionalFormatting sqref="AC45">
    <cfRule type="expression" dxfId="276" priority="262">
      <formula>ISTEXT($AC$45)</formula>
    </cfRule>
  </conditionalFormatting>
  <conditionalFormatting sqref="AD45">
    <cfRule type="expression" dxfId="275" priority="261">
      <formula>ISTEXT($AD$45)</formula>
    </cfRule>
  </conditionalFormatting>
  <conditionalFormatting sqref="AA46">
    <cfRule type="expression" dxfId="274" priority="260">
      <formula>ISTEXT($AA$46)</formula>
    </cfRule>
  </conditionalFormatting>
  <conditionalFormatting sqref="AB46">
    <cfRule type="expression" dxfId="273" priority="259">
      <formula>ISTEXT($AB$46)</formula>
    </cfRule>
  </conditionalFormatting>
  <conditionalFormatting sqref="AC46">
    <cfRule type="expression" dxfId="272" priority="258">
      <formula>ISTEXT($AC$46)</formula>
    </cfRule>
  </conditionalFormatting>
  <conditionalFormatting sqref="AD46">
    <cfRule type="expression" dxfId="271" priority="257">
      <formula>ISTEXT($AD$46)</formula>
    </cfRule>
  </conditionalFormatting>
  <conditionalFormatting sqref="AA47">
    <cfRule type="expression" dxfId="270" priority="256">
      <formula>ISTEXT($AA$47)</formula>
    </cfRule>
  </conditionalFormatting>
  <conditionalFormatting sqref="AB47">
    <cfRule type="expression" dxfId="269" priority="255">
      <formula>ISTEXT($AB$47)</formula>
    </cfRule>
  </conditionalFormatting>
  <conditionalFormatting sqref="AC47">
    <cfRule type="expression" dxfId="268" priority="254">
      <formula>ISTEXT($AC$47)</formula>
    </cfRule>
  </conditionalFormatting>
  <conditionalFormatting sqref="AD47">
    <cfRule type="expression" dxfId="267" priority="253">
      <formula>ISTEXT($AD$47)</formula>
    </cfRule>
  </conditionalFormatting>
  <conditionalFormatting sqref="AA48">
    <cfRule type="expression" dxfId="266" priority="252">
      <formula>ISTEXT($AA$48)</formula>
    </cfRule>
  </conditionalFormatting>
  <conditionalFormatting sqref="AB48">
    <cfRule type="expression" dxfId="265" priority="251">
      <formula>ISTEXT($AB$48)</formula>
    </cfRule>
  </conditionalFormatting>
  <conditionalFormatting sqref="AC48">
    <cfRule type="expression" dxfId="264" priority="250">
      <formula>ISTEXT($AC$48)</formula>
    </cfRule>
  </conditionalFormatting>
  <conditionalFormatting sqref="AD48">
    <cfRule type="expression" dxfId="263" priority="249">
      <formula>ISTEXT($AD$48)</formula>
    </cfRule>
  </conditionalFormatting>
  <conditionalFormatting sqref="AA49">
    <cfRule type="expression" dxfId="262" priority="248">
      <formula>ISTEXT($AA$49)</formula>
    </cfRule>
  </conditionalFormatting>
  <conditionalFormatting sqref="AB49">
    <cfRule type="expression" dxfId="261" priority="247">
      <formula>ISTEXT($AB$49)</formula>
    </cfRule>
  </conditionalFormatting>
  <conditionalFormatting sqref="AC49">
    <cfRule type="expression" dxfId="260" priority="246">
      <formula>ISTEXT($AC$49)</formula>
    </cfRule>
  </conditionalFormatting>
  <conditionalFormatting sqref="AD49">
    <cfRule type="expression" dxfId="259" priority="245">
      <formula>ISTEXT($AD$49)</formula>
    </cfRule>
  </conditionalFormatting>
  <conditionalFormatting sqref="AA66">
    <cfRule type="expression" dxfId="258" priority="224">
      <formula>ISTEXT($AA$66)</formula>
    </cfRule>
  </conditionalFormatting>
  <conditionalFormatting sqref="AB66">
    <cfRule type="expression" dxfId="257" priority="223">
      <formula>ISTEXT($AB$66)</formula>
    </cfRule>
  </conditionalFormatting>
  <conditionalFormatting sqref="AC66">
    <cfRule type="expression" dxfId="256" priority="222">
      <formula>ISTEXT($AC$66)</formula>
    </cfRule>
  </conditionalFormatting>
  <conditionalFormatting sqref="AD66">
    <cfRule type="expression" dxfId="255" priority="221">
      <formula>ISTEXT($AD$66)</formula>
    </cfRule>
  </conditionalFormatting>
  <conditionalFormatting sqref="AA67">
    <cfRule type="expression" dxfId="254" priority="220">
      <formula>ISTEXT($AA$67)</formula>
    </cfRule>
  </conditionalFormatting>
  <conditionalFormatting sqref="AB67">
    <cfRule type="expression" dxfId="253" priority="219">
      <formula>ISTEXT($AB$67)</formula>
    </cfRule>
  </conditionalFormatting>
  <conditionalFormatting sqref="AC67">
    <cfRule type="expression" dxfId="252" priority="218">
      <formula>ISTEXT($AC$67)</formula>
    </cfRule>
  </conditionalFormatting>
  <conditionalFormatting sqref="AD67">
    <cfRule type="expression" dxfId="251" priority="217">
      <formula>ISTEXT($AD$67)</formula>
    </cfRule>
  </conditionalFormatting>
  <conditionalFormatting sqref="AA68">
    <cfRule type="expression" dxfId="250" priority="216">
      <formula>ISTEXT($AA$68)</formula>
    </cfRule>
  </conditionalFormatting>
  <conditionalFormatting sqref="AB68">
    <cfRule type="expression" dxfId="249" priority="215">
      <formula>ISTEXT($AB$68)</formula>
    </cfRule>
  </conditionalFormatting>
  <conditionalFormatting sqref="AC68">
    <cfRule type="expression" dxfId="248" priority="214">
      <formula>ISTEXT($AC$68)</formula>
    </cfRule>
  </conditionalFormatting>
  <conditionalFormatting sqref="AD68">
    <cfRule type="expression" dxfId="247" priority="213">
      <formula>ISTEXT($AD$68)</formula>
    </cfRule>
  </conditionalFormatting>
  <conditionalFormatting sqref="AA69">
    <cfRule type="expression" dxfId="246" priority="212">
      <formula>ISTEXT($AA$69)</formula>
    </cfRule>
  </conditionalFormatting>
  <conditionalFormatting sqref="AB69">
    <cfRule type="expression" dxfId="245" priority="211">
      <formula>ISTEXT($AB$69)</formula>
    </cfRule>
  </conditionalFormatting>
  <conditionalFormatting sqref="AC69">
    <cfRule type="expression" dxfId="244" priority="210">
      <formula>ISTEXT($AC$69)</formula>
    </cfRule>
  </conditionalFormatting>
  <conditionalFormatting sqref="AD69">
    <cfRule type="expression" dxfId="243" priority="209">
      <formula>ISTEXT($AD$69)</formula>
    </cfRule>
  </conditionalFormatting>
  <conditionalFormatting sqref="AA70">
    <cfRule type="expression" dxfId="242" priority="208">
      <formula>ISTEXT($AA$70)</formula>
    </cfRule>
  </conditionalFormatting>
  <conditionalFormatting sqref="AB70">
    <cfRule type="expression" dxfId="241" priority="207">
      <formula>ISTEXT($AB$70)</formula>
    </cfRule>
  </conditionalFormatting>
  <conditionalFormatting sqref="AC70">
    <cfRule type="expression" dxfId="240" priority="206">
      <formula>ISTEXT($AC$70)</formula>
    </cfRule>
  </conditionalFormatting>
  <conditionalFormatting sqref="AD70">
    <cfRule type="expression" dxfId="239" priority="205">
      <formula>ISTEXT($AD$70)</formula>
    </cfRule>
  </conditionalFormatting>
  <conditionalFormatting sqref="AA87">
    <cfRule type="expression" dxfId="238" priority="204">
      <formula>ISTEXT($AA$87)</formula>
    </cfRule>
  </conditionalFormatting>
  <conditionalFormatting sqref="AB87">
    <cfRule type="expression" dxfId="237" priority="203">
      <formula>ISTEXT($AB$87)</formula>
    </cfRule>
  </conditionalFormatting>
  <conditionalFormatting sqref="AC87">
    <cfRule type="expression" dxfId="236" priority="202">
      <formula>ISTEXT($AC$87)</formula>
    </cfRule>
  </conditionalFormatting>
  <conditionalFormatting sqref="AD87">
    <cfRule type="expression" dxfId="235" priority="201">
      <formula>ISTEXT($AD$87)</formula>
    </cfRule>
  </conditionalFormatting>
  <conditionalFormatting sqref="AA88">
    <cfRule type="expression" dxfId="234" priority="200">
      <formula>ISTEXT($AA$88)</formula>
    </cfRule>
  </conditionalFormatting>
  <conditionalFormatting sqref="AB88">
    <cfRule type="expression" dxfId="233" priority="199">
      <formula>ISTEXT($AB$88)</formula>
    </cfRule>
  </conditionalFormatting>
  <conditionalFormatting sqref="AC88">
    <cfRule type="expression" dxfId="232" priority="198">
      <formula>ISTEXT($AC$88)</formula>
    </cfRule>
  </conditionalFormatting>
  <conditionalFormatting sqref="AD88">
    <cfRule type="expression" dxfId="231" priority="197">
      <formula>ISTEXT($AD$88)</formula>
    </cfRule>
  </conditionalFormatting>
  <conditionalFormatting sqref="AA89">
    <cfRule type="expression" dxfId="230" priority="196">
      <formula>ISTEXT($AA$89)</formula>
    </cfRule>
  </conditionalFormatting>
  <conditionalFormatting sqref="AB89">
    <cfRule type="expression" dxfId="229" priority="195">
      <formula>ISTEXT($AB$89)</formula>
    </cfRule>
  </conditionalFormatting>
  <conditionalFormatting sqref="AC89">
    <cfRule type="expression" dxfId="228" priority="194">
      <formula>ISTEXT($AC$89)</formula>
    </cfRule>
  </conditionalFormatting>
  <conditionalFormatting sqref="AD89">
    <cfRule type="expression" dxfId="227" priority="193">
      <formula>ISTEXT($AD$89)</formula>
    </cfRule>
  </conditionalFormatting>
  <conditionalFormatting sqref="AA90">
    <cfRule type="expression" dxfId="226" priority="192">
      <formula>ISTEXT($AA$90)</formula>
    </cfRule>
  </conditionalFormatting>
  <conditionalFormatting sqref="AB90">
    <cfRule type="expression" dxfId="225" priority="191">
      <formula>ISTEXT($AB$90)</formula>
    </cfRule>
  </conditionalFormatting>
  <conditionalFormatting sqref="AC90">
    <cfRule type="expression" dxfId="224" priority="190">
      <formula>ISTEXT($AC$90)</formula>
    </cfRule>
  </conditionalFormatting>
  <conditionalFormatting sqref="AD90">
    <cfRule type="expression" dxfId="223" priority="189">
      <formula>ISTEXT($AD$90)</formula>
    </cfRule>
  </conditionalFormatting>
  <conditionalFormatting sqref="AA91">
    <cfRule type="expression" dxfId="222" priority="188">
      <formula>ISTEXT($AA$91)</formula>
    </cfRule>
  </conditionalFormatting>
  <conditionalFormatting sqref="AB91">
    <cfRule type="expression" dxfId="221" priority="187">
      <formula>ISTEXT($AB$91)</formula>
    </cfRule>
  </conditionalFormatting>
  <conditionalFormatting sqref="AC91">
    <cfRule type="expression" dxfId="220" priority="186">
      <formula>ISTEXT($AC$91)</formula>
    </cfRule>
  </conditionalFormatting>
  <conditionalFormatting sqref="AD91">
    <cfRule type="expression" dxfId="219" priority="185">
      <formula>ISTEXT($AD$91)</formula>
    </cfRule>
  </conditionalFormatting>
  <conditionalFormatting sqref="AA108">
    <cfRule type="expression" dxfId="218" priority="184">
      <formula>ISTEXT($AA$108)</formula>
    </cfRule>
  </conditionalFormatting>
  <conditionalFormatting sqref="AB108">
    <cfRule type="expression" dxfId="217" priority="183">
      <formula>ISTEXT($AB$108)</formula>
    </cfRule>
  </conditionalFormatting>
  <conditionalFormatting sqref="AC108">
    <cfRule type="expression" dxfId="216" priority="182">
      <formula>ISTEXT($AC$108)</formula>
    </cfRule>
  </conditionalFormatting>
  <conditionalFormatting sqref="AD108">
    <cfRule type="expression" dxfId="215" priority="181">
      <formula>ISTEXT($AD$108)</formula>
    </cfRule>
  </conditionalFormatting>
  <conditionalFormatting sqref="AA109">
    <cfRule type="expression" dxfId="214" priority="180">
      <formula>ISTEXT($AA$109)</formula>
    </cfRule>
  </conditionalFormatting>
  <conditionalFormatting sqref="AB109">
    <cfRule type="expression" dxfId="213" priority="179">
      <formula>ISTEXT($AB$109)</formula>
    </cfRule>
  </conditionalFormatting>
  <conditionalFormatting sqref="AC109">
    <cfRule type="expression" dxfId="212" priority="178">
      <formula>ISTEXT($AC$109)</formula>
    </cfRule>
  </conditionalFormatting>
  <conditionalFormatting sqref="AD109">
    <cfRule type="expression" dxfId="211" priority="177">
      <formula>ISTEXT($AD$109)</formula>
    </cfRule>
  </conditionalFormatting>
  <conditionalFormatting sqref="AA110">
    <cfRule type="expression" dxfId="210" priority="176">
      <formula>ISTEXT($AA$110)</formula>
    </cfRule>
  </conditionalFormatting>
  <conditionalFormatting sqref="AB110">
    <cfRule type="expression" dxfId="209" priority="175">
      <formula>ISTEXT($AB$110)</formula>
    </cfRule>
  </conditionalFormatting>
  <conditionalFormatting sqref="AC110">
    <cfRule type="expression" dxfId="208" priority="174">
      <formula>ISTEXT($AC$110)</formula>
    </cfRule>
  </conditionalFormatting>
  <conditionalFormatting sqref="AD110">
    <cfRule type="expression" dxfId="207" priority="173">
      <formula>ISTEXT($AD$110)</formula>
    </cfRule>
  </conditionalFormatting>
  <conditionalFormatting sqref="AA111">
    <cfRule type="expression" dxfId="206" priority="172">
      <formula>ISTEXT($AA$111)</formula>
    </cfRule>
  </conditionalFormatting>
  <conditionalFormatting sqref="AB111">
    <cfRule type="expression" dxfId="205" priority="171">
      <formula>ISTEXT($AB$111)</formula>
    </cfRule>
  </conditionalFormatting>
  <conditionalFormatting sqref="AC111">
    <cfRule type="expression" dxfId="204" priority="170">
      <formula>ISTEXT($AC$111)</formula>
    </cfRule>
  </conditionalFormatting>
  <conditionalFormatting sqref="AD111">
    <cfRule type="expression" dxfId="203" priority="169">
      <formula>ISTEXT($AD$111)</formula>
    </cfRule>
  </conditionalFormatting>
  <conditionalFormatting sqref="AA112">
    <cfRule type="expression" dxfId="202" priority="168">
      <formula>ISTEXT($AA$112)</formula>
    </cfRule>
  </conditionalFormatting>
  <conditionalFormatting sqref="AB112">
    <cfRule type="expression" dxfId="201" priority="167">
      <formula>ISTEXT($AB$112)</formula>
    </cfRule>
  </conditionalFormatting>
  <conditionalFormatting sqref="AC112">
    <cfRule type="expression" dxfId="200" priority="166">
      <formula>ISTEXT($AC$112)</formula>
    </cfRule>
  </conditionalFormatting>
  <conditionalFormatting sqref="AD112">
    <cfRule type="expression" dxfId="199" priority="165">
      <formula>ISTEXT($AD$112)</formula>
    </cfRule>
  </conditionalFormatting>
  <conditionalFormatting sqref="AA129">
    <cfRule type="expression" dxfId="198" priority="164">
      <formula>ISTEXT($AA$129)</formula>
    </cfRule>
  </conditionalFormatting>
  <conditionalFormatting sqref="AB129">
    <cfRule type="expression" dxfId="197" priority="163">
      <formula>ISTEXT($AB$129)</formula>
    </cfRule>
  </conditionalFormatting>
  <conditionalFormatting sqref="AC129">
    <cfRule type="expression" dxfId="196" priority="162">
      <formula>ISTEXT($AC$129)</formula>
    </cfRule>
  </conditionalFormatting>
  <conditionalFormatting sqref="AD129">
    <cfRule type="expression" dxfId="195" priority="161">
      <formula>ISTEXT($AD$129)</formula>
    </cfRule>
  </conditionalFormatting>
  <conditionalFormatting sqref="AA130">
    <cfRule type="expression" dxfId="194" priority="160">
      <formula>ISTEXT($AA$130)</formula>
    </cfRule>
  </conditionalFormatting>
  <conditionalFormatting sqref="AB130">
    <cfRule type="expression" dxfId="193" priority="159">
      <formula>ISTEXT($AB$130)</formula>
    </cfRule>
  </conditionalFormatting>
  <conditionalFormatting sqref="AC130">
    <cfRule type="expression" dxfId="192" priority="158">
      <formula>ISTEXT($AC$130)</formula>
    </cfRule>
  </conditionalFormatting>
  <conditionalFormatting sqref="AD130">
    <cfRule type="expression" dxfId="191" priority="157">
      <formula>ISTEXT($AD$130)</formula>
    </cfRule>
  </conditionalFormatting>
  <conditionalFormatting sqref="AA131">
    <cfRule type="expression" dxfId="190" priority="156">
      <formula>ISTEXT($AA$131)</formula>
    </cfRule>
  </conditionalFormatting>
  <conditionalFormatting sqref="AB131">
    <cfRule type="expression" dxfId="189" priority="155">
      <formula>ISTEXT($AB$131)</formula>
    </cfRule>
  </conditionalFormatting>
  <conditionalFormatting sqref="AC131">
    <cfRule type="expression" dxfId="188" priority="154">
      <formula>ISTEXT($AC$131)</formula>
    </cfRule>
  </conditionalFormatting>
  <conditionalFormatting sqref="AD131">
    <cfRule type="expression" dxfId="187" priority="153">
      <formula>ISTEXT($AD$131)</formula>
    </cfRule>
  </conditionalFormatting>
  <conditionalFormatting sqref="AA132">
    <cfRule type="expression" dxfId="186" priority="152">
      <formula>ISTEXT($AA$132)</formula>
    </cfRule>
  </conditionalFormatting>
  <conditionalFormatting sqref="AB132">
    <cfRule type="expression" dxfId="185" priority="151">
      <formula>ISTEXT($AB$132)</formula>
    </cfRule>
  </conditionalFormatting>
  <conditionalFormatting sqref="AC132">
    <cfRule type="expression" dxfId="184" priority="150">
      <formula>ISTEXT($AC$132)</formula>
    </cfRule>
  </conditionalFormatting>
  <conditionalFormatting sqref="AD132">
    <cfRule type="expression" dxfId="183" priority="149">
      <formula>ISTEXT($AD$132)</formula>
    </cfRule>
  </conditionalFormatting>
  <conditionalFormatting sqref="AA133">
    <cfRule type="expression" dxfId="182" priority="148">
      <formula>ISTEXT($AA$133)</formula>
    </cfRule>
  </conditionalFormatting>
  <conditionalFormatting sqref="AB133">
    <cfRule type="expression" dxfId="181" priority="147">
      <formula>ISTEXT($AB$133)</formula>
    </cfRule>
  </conditionalFormatting>
  <conditionalFormatting sqref="AC133">
    <cfRule type="expression" dxfId="180" priority="146">
      <formula>ISTEXT($AC$133)</formula>
    </cfRule>
  </conditionalFormatting>
  <conditionalFormatting sqref="AD133">
    <cfRule type="expression" dxfId="179" priority="145">
      <formula>ISTEXT($AD$133)</formula>
    </cfRule>
  </conditionalFormatting>
  <conditionalFormatting sqref="AA150">
    <cfRule type="expression" dxfId="178" priority="144">
      <formula>ISTEXT($AA$150)</formula>
    </cfRule>
  </conditionalFormatting>
  <conditionalFormatting sqref="AB150">
    <cfRule type="expression" dxfId="177" priority="143">
      <formula>ISTEXT($AB$150)</formula>
    </cfRule>
  </conditionalFormatting>
  <conditionalFormatting sqref="AC150">
    <cfRule type="expression" dxfId="176" priority="142">
      <formula>ISTEXT($AC$150)</formula>
    </cfRule>
  </conditionalFormatting>
  <conditionalFormatting sqref="AD150">
    <cfRule type="expression" dxfId="175" priority="141">
      <formula>ISTEXT($AD$150)</formula>
    </cfRule>
  </conditionalFormatting>
  <conditionalFormatting sqref="AA151">
    <cfRule type="expression" dxfId="174" priority="140">
      <formula>ISTEXT($AA$151)</formula>
    </cfRule>
  </conditionalFormatting>
  <conditionalFormatting sqref="AB151">
    <cfRule type="expression" dxfId="173" priority="139">
      <formula>ISTEXT($AB$151)</formula>
    </cfRule>
  </conditionalFormatting>
  <conditionalFormatting sqref="AC151">
    <cfRule type="expression" dxfId="172" priority="138">
      <formula>ISTEXT($AC$151)</formula>
    </cfRule>
  </conditionalFormatting>
  <conditionalFormatting sqref="AD151">
    <cfRule type="expression" dxfId="171" priority="137">
      <formula>ISTEXT($AD$151)</formula>
    </cfRule>
  </conditionalFormatting>
  <conditionalFormatting sqref="AA152">
    <cfRule type="expression" dxfId="170" priority="136">
      <formula>ISTEXT($AA$152)</formula>
    </cfRule>
  </conditionalFormatting>
  <conditionalFormatting sqref="AB152">
    <cfRule type="expression" dxfId="169" priority="135">
      <formula>ISTEXT($AB$152)</formula>
    </cfRule>
  </conditionalFormatting>
  <conditionalFormatting sqref="AC152">
    <cfRule type="expression" dxfId="168" priority="134">
      <formula>ISTEXT($AC$152)</formula>
    </cfRule>
  </conditionalFormatting>
  <conditionalFormatting sqref="AD152">
    <cfRule type="expression" dxfId="167" priority="133">
      <formula>ISTEXT($AD$152)</formula>
    </cfRule>
  </conditionalFormatting>
  <conditionalFormatting sqref="AA153">
    <cfRule type="expression" dxfId="166" priority="132">
      <formula>ISTEXT($AA$153)</formula>
    </cfRule>
  </conditionalFormatting>
  <conditionalFormatting sqref="AB153">
    <cfRule type="expression" dxfId="165" priority="131">
      <formula>ISTEXT($AB$153)</formula>
    </cfRule>
  </conditionalFormatting>
  <conditionalFormatting sqref="AC153">
    <cfRule type="expression" dxfId="164" priority="130">
      <formula>ISTEXT($AC$153)</formula>
    </cfRule>
  </conditionalFormatting>
  <conditionalFormatting sqref="AD153">
    <cfRule type="expression" dxfId="163" priority="129">
      <formula>ISTEXT($AD$153)</formula>
    </cfRule>
  </conditionalFormatting>
  <conditionalFormatting sqref="AA154">
    <cfRule type="expression" dxfId="162" priority="128">
      <formula>ISTEXT($AA$154)</formula>
    </cfRule>
  </conditionalFormatting>
  <conditionalFormatting sqref="AB154">
    <cfRule type="expression" dxfId="161" priority="127">
      <formula>ISTEXT($AB$154)</formula>
    </cfRule>
  </conditionalFormatting>
  <conditionalFormatting sqref="AC154">
    <cfRule type="expression" dxfId="160" priority="126">
      <formula>ISTEXT($AC$154)</formula>
    </cfRule>
  </conditionalFormatting>
  <conditionalFormatting sqref="AD154">
    <cfRule type="expression" dxfId="159" priority="125">
      <formula>ISTEXT($AD$154)</formula>
    </cfRule>
  </conditionalFormatting>
  <conditionalFormatting sqref="AA171">
    <cfRule type="expression" dxfId="158" priority="124">
      <formula>ISTEXT($AA$171)</formula>
    </cfRule>
  </conditionalFormatting>
  <conditionalFormatting sqref="AB171">
    <cfRule type="expression" dxfId="157" priority="123">
      <formula>ISTEXT($AB$171)</formula>
    </cfRule>
  </conditionalFormatting>
  <conditionalFormatting sqref="AC171">
    <cfRule type="expression" dxfId="156" priority="122">
      <formula>ISTEXT($AC$171)</formula>
    </cfRule>
  </conditionalFormatting>
  <conditionalFormatting sqref="AD171">
    <cfRule type="expression" dxfId="155" priority="121">
      <formula>ISTEXT($AD$171)</formula>
    </cfRule>
  </conditionalFormatting>
  <conditionalFormatting sqref="AA172">
    <cfRule type="expression" dxfId="154" priority="120">
      <formula>ISTEXT($AA$172)</formula>
    </cfRule>
  </conditionalFormatting>
  <conditionalFormatting sqref="AB172">
    <cfRule type="expression" dxfId="153" priority="119">
      <formula>ISTEXT($AB$172)</formula>
    </cfRule>
  </conditionalFormatting>
  <conditionalFormatting sqref="AC172">
    <cfRule type="expression" dxfId="152" priority="118">
      <formula>ISTEXT($AC$172)</formula>
    </cfRule>
  </conditionalFormatting>
  <conditionalFormatting sqref="AD172">
    <cfRule type="expression" dxfId="151" priority="117">
      <formula>ISTEXT($AD$172)</formula>
    </cfRule>
  </conditionalFormatting>
  <conditionalFormatting sqref="AA173">
    <cfRule type="expression" dxfId="150" priority="116">
      <formula>ISTEXT($AA$173)</formula>
    </cfRule>
  </conditionalFormatting>
  <conditionalFormatting sqref="AB173">
    <cfRule type="expression" dxfId="149" priority="115">
      <formula>ISTEXT($AB$173)</formula>
    </cfRule>
  </conditionalFormatting>
  <conditionalFormatting sqref="AC173">
    <cfRule type="expression" dxfId="148" priority="114">
      <formula>ISTEXT($AC$173)</formula>
    </cfRule>
  </conditionalFormatting>
  <conditionalFormatting sqref="AD173">
    <cfRule type="expression" dxfId="147" priority="113">
      <formula>ISTEXT($AD$173)</formula>
    </cfRule>
  </conditionalFormatting>
  <conditionalFormatting sqref="AA174">
    <cfRule type="expression" dxfId="146" priority="112">
      <formula>ISTEXT($AA$174)</formula>
    </cfRule>
  </conditionalFormatting>
  <conditionalFormatting sqref="AB174">
    <cfRule type="expression" dxfId="145" priority="111">
      <formula>ISTEXT($AB$174)</formula>
    </cfRule>
  </conditionalFormatting>
  <conditionalFormatting sqref="AC174">
    <cfRule type="expression" dxfId="144" priority="110">
      <formula>ISTEXT($AC$174)</formula>
    </cfRule>
  </conditionalFormatting>
  <conditionalFormatting sqref="AD174">
    <cfRule type="expression" dxfId="143" priority="109">
      <formula>ISTEXT($AD$174)</formula>
    </cfRule>
  </conditionalFormatting>
  <conditionalFormatting sqref="AA175">
    <cfRule type="expression" dxfId="142" priority="108">
      <formula>ISTEXT($AA$175)</formula>
    </cfRule>
  </conditionalFormatting>
  <conditionalFormatting sqref="AB175">
    <cfRule type="expression" dxfId="141" priority="107">
      <formula>ISTEXT($AB$175)</formula>
    </cfRule>
  </conditionalFormatting>
  <conditionalFormatting sqref="AC175">
    <cfRule type="expression" dxfId="140" priority="106">
      <formula>ISTEXT($AC$175)</formula>
    </cfRule>
  </conditionalFormatting>
  <conditionalFormatting sqref="AD175">
    <cfRule type="expression" dxfId="139" priority="105">
      <formula>ISTEXT($AD$175)</formula>
    </cfRule>
  </conditionalFormatting>
  <conditionalFormatting sqref="AA192">
    <cfRule type="expression" dxfId="138" priority="104">
      <formula>ISTEXT($AA$192)</formula>
    </cfRule>
  </conditionalFormatting>
  <conditionalFormatting sqref="AB192">
    <cfRule type="expression" dxfId="137" priority="103">
      <formula>ISTEXT($AB$192)</formula>
    </cfRule>
  </conditionalFormatting>
  <conditionalFormatting sqref="AC192">
    <cfRule type="expression" dxfId="136" priority="102">
      <formula>ISTEXT($AC$192)</formula>
    </cfRule>
  </conditionalFormatting>
  <conditionalFormatting sqref="AD192">
    <cfRule type="expression" dxfId="135" priority="101">
      <formula>ISTEXT($AD$192)</formula>
    </cfRule>
  </conditionalFormatting>
  <conditionalFormatting sqref="AA193">
    <cfRule type="expression" dxfId="134" priority="100">
      <formula>ISTEXT($AA$193)</formula>
    </cfRule>
  </conditionalFormatting>
  <conditionalFormatting sqref="AB193">
    <cfRule type="expression" dxfId="133" priority="99">
      <formula>ISTEXT($AB$193)</formula>
    </cfRule>
  </conditionalFormatting>
  <conditionalFormatting sqref="AC193">
    <cfRule type="expression" dxfId="132" priority="98">
      <formula>ISTEXT($AC$193)</formula>
    </cfRule>
  </conditionalFormatting>
  <conditionalFormatting sqref="AD193">
    <cfRule type="expression" dxfId="131" priority="97">
      <formula>ISTEXT($AD$193)</formula>
    </cfRule>
  </conditionalFormatting>
  <conditionalFormatting sqref="AA194">
    <cfRule type="expression" dxfId="130" priority="96">
      <formula>ISTEXT($AA$194)</formula>
    </cfRule>
  </conditionalFormatting>
  <conditionalFormatting sqref="AB194">
    <cfRule type="expression" dxfId="129" priority="95">
      <formula>ISTEXT($AB$194)</formula>
    </cfRule>
  </conditionalFormatting>
  <conditionalFormatting sqref="AC194">
    <cfRule type="expression" dxfId="128" priority="94">
      <formula>ISTEXT($AC$194)</formula>
    </cfRule>
  </conditionalFormatting>
  <conditionalFormatting sqref="AD194">
    <cfRule type="expression" dxfId="127" priority="93">
      <formula>ISTEXT($AD$194)</formula>
    </cfRule>
  </conditionalFormatting>
  <conditionalFormatting sqref="AA195">
    <cfRule type="expression" dxfId="126" priority="92">
      <formula>ISTEXT($AA$195)</formula>
    </cfRule>
  </conditionalFormatting>
  <conditionalFormatting sqref="AB195">
    <cfRule type="expression" dxfId="125" priority="91">
      <formula>ISTEXT($AB$195)</formula>
    </cfRule>
  </conditionalFormatting>
  <conditionalFormatting sqref="AC195">
    <cfRule type="expression" dxfId="124" priority="90">
      <formula>ISTEXT($AC$195)</formula>
    </cfRule>
  </conditionalFormatting>
  <conditionalFormatting sqref="AD195">
    <cfRule type="expression" dxfId="123" priority="89">
      <formula>ISTEXT($AD$195)</formula>
    </cfRule>
  </conditionalFormatting>
  <conditionalFormatting sqref="AA196">
    <cfRule type="expression" dxfId="122" priority="88">
      <formula>ISTEXT($AA$196)</formula>
    </cfRule>
  </conditionalFormatting>
  <conditionalFormatting sqref="AB196">
    <cfRule type="expression" dxfId="121" priority="87">
      <formula>ISTEXT($AB$196)</formula>
    </cfRule>
  </conditionalFormatting>
  <conditionalFormatting sqref="AC196">
    <cfRule type="expression" dxfId="120" priority="86">
      <formula>ISTEXT($AC$196)</formula>
    </cfRule>
  </conditionalFormatting>
  <conditionalFormatting sqref="AD196">
    <cfRule type="expression" dxfId="119" priority="85">
      <formula>ISTEXT($AD$196)</formula>
    </cfRule>
  </conditionalFormatting>
  <conditionalFormatting sqref="AA213">
    <cfRule type="expression" dxfId="118" priority="84">
      <formula>ISTEXT($AA$213)</formula>
    </cfRule>
  </conditionalFormatting>
  <conditionalFormatting sqref="AB213">
    <cfRule type="expression" dxfId="117" priority="83">
      <formula>ISTEXT($AB$213)</formula>
    </cfRule>
  </conditionalFormatting>
  <conditionalFormatting sqref="AC213">
    <cfRule type="expression" dxfId="116" priority="82">
      <formula>ISTEXT($AC$213)</formula>
    </cfRule>
  </conditionalFormatting>
  <conditionalFormatting sqref="AD213">
    <cfRule type="expression" dxfId="115" priority="81">
      <formula>ISTEXT($AD$213)</formula>
    </cfRule>
  </conditionalFormatting>
  <conditionalFormatting sqref="AA214">
    <cfRule type="expression" dxfId="114" priority="80">
      <formula>ISTEXT($AA$214)</formula>
    </cfRule>
  </conditionalFormatting>
  <conditionalFormatting sqref="AB214">
    <cfRule type="expression" dxfId="113" priority="79">
      <formula>ISTEXT($AB$214)</formula>
    </cfRule>
  </conditionalFormatting>
  <conditionalFormatting sqref="AC214">
    <cfRule type="expression" dxfId="112" priority="78">
      <formula>ISTEXT($AC$214)</formula>
    </cfRule>
  </conditionalFormatting>
  <conditionalFormatting sqref="AD214">
    <cfRule type="expression" dxfId="111" priority="77">
      <formula>ISTEXT($AD$214)</formula>
    </cfRule>
  </conditionalFormatting>
  <conditionalFormatting sqref="AA215">
    <cfRule type="expression" dxfId="110" priority="76">
      <formula>ISTEXT($AA$215)</formula>
    </cfRule>
  </conditionalFormatting>
  <conditionalFormatting sqref="AB215">
    <cfRule type="expression" dxfId="109" priority="75">
      <formula>ISTEXT($AB$215)</formula>
    </cfRule>
  </conditionalFormatting>
  <conditionalFormatting sqref="AC215">
    <cfRule type="expression" dxfId="108" priority="74">
      <formula>ISTEXT($AC$215)</formula>
    </cfRule>
  </conditionalFormatting>
  <conditionalFormatting sqref="AD215">
    <cfRule type="expression" dxfId="107" priority="73">
      <formula>ISTEXT($AD$215)</formula>
    </cfRule>
  </conditionalFormatting>
  <conditionalFormatting sqref="AA216">
    <cfRule type="expression" dxfId="106" priority="72">
      <formula>ISTEXT($AA$216)</formula>
    </cfRule>
  </conditionalFormatting>
  <conditionalFormatting sqref="AB216">
    <cfRule type="expression" dxfId="105" priority="71">
      <formula>ISTEXT($AB$216)</formula>
    </cfRule>
  </conditionalFormatting>
  <conditionalFormatting sqref="AC216">
    <cfRule type="expression" dxfId="104" priority="70">
      <formula>ISTEXT($AC$216)</formula>
    </cfRule>
  </conditionalFormatting>
  <conditionalFormatting sqref="AD216">
    <cfRule type="expression" dxfId="103" priority="69">
      <formula>ISTEXT($AD$216)</formula>
    </cfRule>
  </conditionalFormatting>
  <conditionalFormatting sqref="AA217">
    <cfRule type="expression" dxfId="102" priority="68">
      <formula>ISTEXT($AA$217)</formula>
    </cfRule>
  </conditionalFormatting>
  <conditionalFormatting sqref="AB217">
    <cfRule type="expression" dxfId="101" priority="67">
      <formula>ISTEXT($AB$217)</formula>
    </cfRule>
  </conditionalFormatting>
  <conditionalFormatting sqref="AC217">
    <cfRule type="expression" dxfId="100" priority="66">
      <formula>ISTEXT($AC$217)</formula>
    </cfRule>
  </conditionalFormatting>
  <conditionalFormatting sqref="AD217">
    <cfRule type="expression" dxfId="99" priority="65">
      <formula>ISTEXT($AD$217)</formula>
    </cfRule>
  </conditionalFormatting>
  <conditionalFormatting sqref="AA234">
    <cfRule type="expression" dxfId="98" priority="64">
      <formula>ISTEXT($AA$234)</formula>
    </cfRule>
  </conditionalFormatting>
  <conditionalFormatting sqref="AB234">
    <cfRule type="expression" dxfId="97" priority="63">
      <formula>ISTEXT($AB$234)</formula>
    </cfRule>
  </conditionalFormatting>
  <conditionalFormatting sqref="AC234">
    <cfRule type="expression" dxfId="96" priority="62">
      <formula>ISTEXT($AC$234)</formula>
    </cfRule>
  </conditionalFormatting>
  <conditionalFormatting sqref="AD234">
    <cfRule type="expression" dxfId="95" priority="61">
      <formula>ISTEXT($AD$234)</formula>
    </cfRule>
  </conditionalFormatting>
  <conditionalFormatting sqref="AA235">
    <cfRule type="expression" dxfId="94" priority="60">
      <formula>ISTEXT($AA$235)</formula>
    </cfRule>
  </conditionalFormatting>
  <conditionalFormatting sqref="AB235">
    <cfRule type="expression" dxfId="93" priority="59">
      <formula>ISTEXT($AB$235)</formula>
    </cfRule>
  </conditionalFormatting>
  <conditionalFormatting sqref="AC235">
    <cfRule type="expression" dxfId="92" priority="58">
      <formula>ISTEXT($AC$235)</formula>
    </cfRule>
  </conditionalFormatting>
  <conditionalFormatting sqref="AD235">
    <cfRule type="expression" dxfId="91" priority="57">
      <formula>ISTEXT($AD$235)</formula>
    </cfRule>
  </conditionalFormatting>
  <conditionalFormatting sqref="AA236">
    <cfRule type="expression" dxfId="90" priority="56">
      <formula>ISTEXT($AA$236)</formula>
    </cfRule>
  </conditionalFormatting>
  <conditionalFormatting sqref="AB236">
    <cfRule type="expression" dxfId="89" priority="55">
      <formula>ISTEXT($AB$236)</formula>
    </cfRule>
  </conditionalFormatting>
  <conditionalFormatting sqref="AC236">
    <cfRule type="expression" dxfId="88" priority="54">
      <formula>ISTEXT($AC$236)</formula>
    </cfRule>
  </conditionalFormatting>
  <conditionalFormatting sqref="AD236">
    <cfRule type="expression" dxfId="87" priority="53">
      <formula>ISTEXT($AD$236)</formula>
    </cfRule>
  </conditionalFormatting>
  <conditionalFormatting sqref="AA237">
    <cfRule type="expression" dxfId="86" priority="52">
      <formula>ISTEXT($AA$237)</formula>
    </cfRule>
  </conditionalFormatting>
  <conditionalFormatting sqref="AB237">
    <cfRule type="expression" dxfId="85" priority="51">
      <formula>ISTEXT($AB$237)</formula>
    </cfRule>
  </conditionalFormatting>
  <conditionalFormatting sqref="AC237">
    <cfRule type="expression" dxfId="84" priority="50">
      <formula>ISTEXT($AC$237)</formula>
    </cfRule>
  </conditionalFormatting>
  <conditionalFormatting sqref="AD237">
    <cfRule type="expression" dxfId="83" priority="49">
      <formula>ISTEXT($AD$237)</formula>
    </cfRule>
  </conditionalFormatting>
  <conditionalFormatting sqref="AA238">
    <cfRule type="expression" dxfId="82" priority="48">
      <formula>ISTEXT($AA$238)</formula>
    </cfRule>
  </conditionalFormatting>
  <conditionalFormatting sqref="AB238">
    <cfRule type="expression" dxfId="81" priority="47">
      <formula>ISTEXT($AB$238)</formula>
    </cfRule>
  </conditionalFormatting>
  <conditionalFormatting sqref="AC238">
    <cfRule type="expression" dxfId="80" priority="46">
      <formula>ISTEXT($AC$238)</formula>
    </cfRule>
  </conditionalFormatting>
  <conditionalFormatting sqref="AD238">
    <cfRule type="expression" dxfId="79" priority="45">
      <formula>ISTEXT($AD$238)</formula>
    </cfRule>
  </conditionalFormatting>
  <conditionalFormatting sqref="AA255">
    <cfRule type="expression" dxfId="78" priority="44">
      <formula>ISTEXT($AA$255)</formula>
    </cfRule>
  </conditionalFormatting>
  <conditionalFormatting sqref="AB255">
    <cfRule type="expression" dxfId="77" priority="43">
      <formula>ISTEXT($AB$255)</formula>
    </cfRule>
  </conditionalFormatting>
  <conditionalFormatting sqref="AC255">
    <cfRule type="expression" dxfId="76" priority="42">
      <formula>ISTEXT($AC$255)</formula>
    </cfRule>
  </conditionalFormatting>
  <conditionalFormatting sqref="AD255">
    <cfRule type="expression" dxfId="75" priority="41">
      <formula>ISTEXT($AD$255)</formula>
    </cfRule>
  </conditionalFormatting>
  <conditionalFormatting sqref="AA256">
    <cfRule type="expression" dxfId="74" priority="40">
      <formula>ISTEXT($AA$256)</formula>
    </cfRule>
  </conditionalFormatting>
  <conditionalFormatting sqref="AB256">
    <cfRule type="expression" dxfId="73" priority="39">
      <formula>ISTEXT($AB$256)</formula>
    </cfRule>
  </conditionalFormatting>
  <conditionalFormatting sqref="AC256">
    <cfRule type="expression" dxfId="72" priority="38">
      <formula>ISTEXT($AC$256)</formula>
    </cfRule>
  </conditionalFormatting>
  <conditionalFormatting sqref="AD256">
    <cfRule type="expression" dxfId="71" priority="37">
      <formula>ISTEXT($AD$256)</formula>
    </cfRule>
  </conditionalFormatting>
  <conditionalFormatting sqref="AA257">
    <cfRule type="expression" dxfId="70" priority="36">
      <formula>ISTEXT($AA$257)</formula>
    </cfRule>
  </conditionalFormatting>
  <conditionalFormatting sqref="AB257">
    <cfRule type="expression" dxfId="69" priority="35">
      <formula>ISTEXT($AB$257)</formula>
    </cfRule>
  </conditionalFormatting>
  <conditionalFormatting sqref="AC257">
    <cfRule type="expression" dxfId="68" priority="34">
      <formula>ISTEXT($AC$257)</formula>
    </cfRule>
  </conditionalFormatting>
  <conditionalFormatting sqref="AD257">
    <cfRule type="expression" dxfId="67" priority="33">
      <formula>ISTEXT($AD$257)</formula>
    </cfRule>
  </conditionalFormatting>
  <conditionalFormatting sqref="AA258">
    <cfRule type="expression" dxfId="66" priority="32">
      <formula>ISTEXT($AA$258)</formula>
    </cfRule>
  </conditionalFormatting>
  <conditionalFormatting sqref="AB258">
    <cfRule type="expression" dxfId="65" priority="31">
      <formula>ISTEXT($AB$258)</formula>
    </cfRule>
  </conditionalFormatting>
  <conditionalFormatting sqref="AC258">
    <cfRule type="expression" dxfId="64" priority="30">
      <formula>ISTEXT($AC$258)</formula>
    </cfRule>
  </conditionalFormatting>
  <conditionalFormatting sqref="AD258">
    <cfRule type="expression" dxfId="63" priority="29">
      <formula>ISTEXT($AD$258)</formula>
    </cfRule>
  </conditionalFormatting>
  <conditionalFormatting sqref="AA259">
    <cfRule type="expression" dxfId="62" priority="28">
      <formula>ISTEXT($AA$259)</formula>
    </cfRule>
  </conditionalFormatting>
  <conditionalFormatting sqref="AB259">
    <cfRule type="expression" dxfId="61" priority="27">
      <formula>ISTEXT($AB$259)</formula>
    </cfRule>
  </conditionalFormatting>
  <conditionalFormatting sqref="AC259">
    <cfRule type="expression" dxfId="60" priority="26">
      <formula>ISTEXT($AC$259)</formula>
    </cfRule>
  </conditionalFormatting>
  <conditionalFormatting sqref="AD259">
    <cfRule type="expression" dxfId="59" priority="25">
      <formula>ISTEXT($AD$259)</formula>
    </cfRule>
  </conditionalFormatting>
  <conditionalFormatting sqref="AA276">
    <cfRule type="expression" dxfId="58" priority="24">
      <formula>ISTEXT($AA$276)</formula>
    </cfRule>
  </conditionalFormatting>
  <conditionalFormatting sqref="AB276">
    <cfRule type="expression" dxfId="57" priority="23">
      <formula>ISTEXT($AB$276)</formula>
    </cfRule>
  </conditionalFormatting>
  <conditionalFormatting sqref="AC276">
    <cfRule type="expression" dxfId="56" priority="22">
      <formula>ISTEXT($AC$276)</formula>
    </cfRule>
  </conditionalFormatting>
  <conditionalFormatting sqref="AD276">
    <cfRule type="expression" dxfId="55" priority="21">
      <formula>ISTEXT($AD$276)</formula>
    </cfRule>
  </conditionalFormatting>
  <conditionalFormatting sqref="AA277">
    <cfRule type="expression" dxfId="54" priority="20">
      <formula>ISTEXT($AA$277)</formula>
    </cfRule>
  </conditionalFormatting>
  <conditionalFormatting sqref="AB277">
    <cfRule type="expression" dxfId="53" priority="19">
      <formula>ISTEXT($AB$277)</formula>
    </cfRule>
  </conditionalFormatting>
  <conditionalFormatting sqref="AC277">
    <cfRule type="expression" dxfId="52" priority="18">
      <formula>ISTEXT($AC$277)</formula>
    </cfRule>
  </conditionalFormatting>
  <conditionalFormatting sqref="AD277">
    <cfRule type="expression" dxfId="51" priority="17">
      <formula>ISTEXT($AD$277)</formula>
    </cfRule>
  </conditionalFormatting>
  <conditionalFormatting sqref="AA278">
    <cfRule type="expression" dxfId="50" priority="16">
      <formula>ISTEXT($AA$278)</formula>
    </cfRule>
  </conditionalFormatting>
  <conditionalFormatting sqref="AB278">
    <cfRule type="expression" dxfId="49" priority="15">
      <formula>ISTEXT($AB$278)</formula>
    </cfRule>
  </conditionalFormatting>
  <conditionalFormatting sqref="AC278">
    <cfRule type="expression" dxfId="48" priority="14">
      <formula>ISTEXT($AC$278)</formula>
    </cfRule>
  </conditionalFormatting>
  <conditionalFormatting sqref="AD278">
    <cfRule type="expression" dxfId="47" priority="13">
      <formula>ISTEXT($AD$278)</formula>
    </cfRule>
  </conditionalFormatting>
  <conditionalFormatting sqref="AA279">
    <cfRule type="expression" dxfId="46" priority="12">
      <formula>ISTEXT($AA$279)</formula>
    </cfRule>
  </conditionalFormatting>
  <conditionalFormatting sqref="AB279">
    <cfRule type="expression" dxfId="45" priority="11">
      <formula>ISTEXT($AB$279)</formula>
    </cfRule>
  </conditionalFormatting>
  <conditionalFormatting sqref="AC279">
    <cfRule type="expression" dxfId="44" priority="10">
      <formula>ISTEXT($AC$279)</formula>
    </cfRule>
  </conditionalFormatting>
  <conditionalFormatting sqref="AD279">
    <cfRule type="expression" dxfId="43" priority="9">
      <formula>ISTEXT($AD$279)</formula>
    </cfRule>
  </conditionalFormatting>
  <conditionalFormatting sqref="AA280">
    <cfRule type="expression" dxfId="42" priority="8">
      <formula>ISTEXT($AA$280)</formula>
    </cfRule>
  </conditionalFormatting>
  <conditionalFormatting sqref="AB280">
    <cfRule type="expression" dxfId="41" priority="7">
      <formula>ISTEXT($AB$280)</formula>
    </cfRule>
  </conditionalFormatting>
  <conditionalFormatting sqref="AC280">
    <cfRule type="expression" dxfId="40" priority="6">
      <formula>ISTEXT($AC$280)</formula>
    </cfRule>
  </conditionalFormatting>
  <conditionalFormatting sqref="AD280">
    <cfRule type="expression" dxfId="39" priority="5">
      <formula>ISTEXT($AD$280)</formula>
    </cfRule>
  </conditionalFormatting>
  <conditionalFormatting sqref="I84">
    <cfRule type="expression" dxfId="38" priority="3">
      <formula>ISTEXT($I$82)</formula>
    </cfRule>
  </conditionalFormatting>
  <conditionalFormatting sqref="I83">
    <cfRule type="expression" dxfId="37" priority="4">
      <formula>ISTEXT($I$81)</formula>
    </cfRule>
  </conditionalFormatting>
  <conditionalFormatting sqref="I294">
    <cfRule type="expression" dxfId="36" priority="1">
      <formula>ISTEXT($I$292)</formula>
    </cfRule>
  </conditionalFormatting>
  <conditionalFormatting sqref="I293">
    <cfRule type="expression" dxfId="35" priority="2">
      <formula>ISTEXT($I$291)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workbookViewId="0">
      <pane ySplit="1" topLeftCell="A2" activePane="bottomLeft" state="frozenSplit"/>
      <selection pane="bottomLeft" activeCell="H30" sqref="H30"/>
    </sheetView>
  </sheetViews>
  <sheetFormatPr defaultRowHeight="15" x14ac:dyDescent="0.25"/>
  <cols>
    <col min="1" max="1" width="69.42578125" style="81" bestFit="1" customWidth="1"/>
    <col min="2" max="2" width="21.7109375" style="81" bestFit="1" customWidth="1"/>
    <col min="3" max="3" width="16.5703125" style="81" bestFit="1" customWidth="1"/>
    <col min="4" max="4" width="10" style="81" bestFit="1" customWidth="1"/>
    <col min="5" max="5" width="11" style="81" bestFit="1" customWidth="1"/>
    <col min="6" max="6" width="8.7109375" style="81" customWidth="1"/>
    <col min="7" max="7" width="12.42578125" style="81" bestFit="1" customWidth="1"/>
    <col min="8" max="8" width="11.5703125" style="81" bestFit="1" customWidth="1"/>
    <col min="9" max="9" width="14.7109375" style="81" bestFit="1" customWidth="1"/>
    <col min="10" max="10" width="8.7109375" style="84" customWidth="1"/>
    <col min="11" max="11" width="8.7109375" style="81" hidden="1" customWidth="1"/>
    <col min="12" max="17" width="8.7109375" style="81" customWidth="1"/>
    <col min="18" max="18" width="28.28515625" style="81" bestFit="1" customWidth="1"/>
    <col min="19" max="19" width="8.7109375" style="81" customWidth="1"/>
    <col min="20" max="21" width="8.7109375" style="81" hidden="1" customWidth="1"/>
    <col min="22" max="25" width="8.7109375" style="81" customWidth="1"/>
    <col min="26" max="26" width="20.5703125" style="84" bestFit="1" customWidth="1"/>
    <col min="27" max="29" width="21" style="84" bestFit="1" customWidth="1"/>
    <col min="30" max="30" width="9.140625" style="81" bestFit="1" customWidth="1"/>
    <col min="31" max="44" width="8.7109375" style="81" customWidth="1"/>
    <col min="45" max="16384" width="9.140625" style="81"/>
  </cols>
  <sheetData>
    <row r="1" spans="1:30" ht="15.75" thickBot="1" x14ac:dyDescent="0.3">
      <c r="A1" s="78" t="s">
        <v>0</v>
      </c>
      <c r="B1" s="78" t="s">
        <v>1</v>
      </c>
      <c r="C1" s="78" t="s">
        <v>2</v>
      </c>
      <c r="D1" s="78" t="s">
        <v>3</v>
      </c>
      <c r="E1" s="78" t="s">
        <v>4</v>
      </c>
      <c r="F1" s="78" t="s">
        <v>5</v>
      </c>
      <c r="G1" s="79" t="s">
        <v>11</v>
      </c>
      <c r="H1" s="79" t="s">
        <v>12</v>
      </c>
      <c r="I1" s="79" t="s">
        <v>13</v>
      </c>
      <c r="J1" s="80"/>
      <c r="K1" s="79"/>
      <c r="R1" s="82" t="s">
        <v>15</v>
      </c>
      <c r="Z1" s="83" t="s">
        <v>14</v>
      </c>
    </row>
    <row r="2" spans="1:30" ht="16.5" thickTop="1" thickBot="1" x14ac:dyDescent="0.3">
      <c r="A2" s="85" t="s">
        <v>298</v>
      </c>
      <c r="B2" s="85" t="s">
        <v>29</v>
      </c>
      <c r="C2" s="85" t="s">
        <v>30</v>
      </c>
      <c r="D2" s="85">
        <v>1.29</v>
      </c>
      <c r="E2" s="85">
        <v>137526.891</v>
      </c>
      <c r="F2" s="85">
        <v>9.38E-6</v>
      </c>
      <c r="G2" s="85"/>
      <c r="H2" s="85"/>
      <c r="I2" s="85"/>
      <c r="J2" s="86"/>
      <c r="K2" s="85"/>
      <c r="L2" s="85"/>
      <c r="M2" s="85"/>
      <c r="N2" s="85"/>
      <c r="O2" s="85"/>
      <c r="P2" s="85"/>
      <c r="Q2" s="85"/>
      <c r="R2" s="87" t="s">
        <v>315</v>
      </c>
      <c r="S2" s="85"/>
      <c r="T2" s="85">
        <v>1</v>
      </c>
      <c r="U2" s="85"/>
      <c r="V2" s="85"/>
      <c r="W2" s="85"/>
      <c r="X2" s="85"/>
      <c r="Y2" s="85"/>
      <c r="Z2" s="88" t="s">
        <v>16</v>
      </c>
      <c r="AA2" s="88" t="s">
        <v>18</v>
      </c>
      <c r="AB2" s="88" t="s">
        <v>19</v>
      </c>
      <c r="AC2" s="88" t="s">
        <v>20</v>
      </c>
      <c r="AD2" s="88" t="s">
        <v>21</v>
      </c>
    </row>
    <row r="3" spans="1:30" ht="15.75" thickTop="1" x14ac:dyDescent="0.25">
      <c r="A3" s="89" t="s">
        <v>299</v>
      </c>
      <c r="B3" s="89" t="s">
        <v>29</v>
      </c>
      <c r="C3" s="89" t="s">
        <v>30</v>
      </c>
      <c r="D3" s="89">
        <v>4.4999999999999998E-2</v>
      </c>
      <c r="E3" s="89">
        <v>97055.351999999999</v>
      </c>
      <c r="F3" s="89">
        <v>4.637E-7</v>
      </c>
      <c r="G3" s="89"/>
      <c r="H3" s="89"/>
      <c r="I3" s="89"/>
      <c r="J3" s="90"/>
      <c r="K3" s="89"/>
      <c r="L3" s="89"/>
      <c r="M3" s="89"/>
      <c r="N3" s="89"/>
      <c r="O3" s="89"/>
      <c r="P3" s="89"/>
      <c r="Q3" s="89"/>
      <c r="R3" s="89" t="s">
        <v>16</v>
      </c>
      <c r="S3" s="89"/>
      <c r="T3" s="89">
        <v>4</v>
      </c>
      <c r="U3" s="89"/>
      <c r="V3" s="89"/>
      <c r="W3" s="89"/>
      <c r="X3" s="89"/>
      <c r="Y3" s="89"/>
      <c r="Z3" s="91">
        <f>$H$4</f>
        <v>120</v>
      </c>
      <c r="AA3" s="92">
        <f>IF(ISTEXT($I$4),TEXT($G$4/100,"0.00%"),$G$4 / 100)</f>
        <v>9.9715998458085771E-3</v>
      </c>
      <c r="AB3" s="92">
        <f>IF(ISTEXT($I$5),TEXT($G$5/100,"0.00%"),$G$5 / 100)</f>
        <v>1.4688649722823801E-2</v>
      </c>
      <c r="AC3" s="93">
        <f>IF(ISTEXT($I$6),TEXT($G$6/100,"0.00%"),$G$6 / 100)</f>
        <v>1.5727999997319161E-2</v>
      </c>
      <c r="AD3" s="92">
        <f>IFERROR(AVERAGE($AA$3:$AC$3),"")</f>
        <v>1.3462749855317179E-2</v>
      </c>
    </row>
    <row r="4" spans="1:30" x14ac:dyDescent="0.25">
      <c r="A4" s="85" t="s">
        <v>300</v>
      </c>
      <c r="B4" s="85" t="s">
        <v>29</v>
      </c>
      <c r="C4" s="85" t="s">
        <v>30</v>
      </c>
      <c r="D4" s="85">
        <v>4475.83</v>
      </c>
      <c r="E4" s="85">
        <v>122594</v>
      </c>
      <c r="F4" s="85">
        <v>3.6509372399999997E-2</v>
      </c>
      <c r="G4" s="85">
        <f>($F$4 -  AVERAGE($F$2,$F$3) ) / ($F$16 -  AVERAGE($F$2,$F$3) ) * 100</f>
        <v>0.99715998458085775</v>
      </c>
      <c r="H4" s="85">
        <v>120</v>
      </c>
      <c r="I4" s="94">
        <f>LN($G$4)</f>
        <v>-2.844055914792633E-3</v>
      </c>
      <c r="J4" s="86"/>
      <c r="K4" s="85"/>
      <c r="L4" s="85"/>
      <c r="M4" s="85"/>
      <c r="N4" s="85"/>
      <c r="O4" s="85"/>
      <c r="P4" s="85"/>
      <c r="Q4" s="85"/>
      <c r="R4" s="85" t="s">
        <v>17</v>
      </c>
      <c r="S4" s="85"/>
      <c r="T4" s="85">
        <v>18</v>
      </c>
      <c r="U4" s="85">
        <f>IF(ISTEXT($I$4),"",1)</f>
        <v>1</v>
      </c>
      <c r="V4" s="85">
        <f t="shared" ref="V4:V18" si="0">IFERROR(INDEX($H$4:$H$18,SMALL($U$4:$U$18,ROW(W1)),1),"")</f>
        <v>120</v>
      </c>
      <c r="W4" s="85"/>
      <c r="X4" s="85"/>
      <c r="Y4" s="85"/>
      <c r="Z4" s="91">
        <f>$H$7</f>
        <v>60</v>
      </c>
      <c r="AA4" s="93">
        <f>IF(ISTEXT($I$7),TEXT($G$7/100,"0.00%"),$G$7 / 100)</f>
        <v>7.1374710165749561E-2</v>
      </c>
      <c r="AB4" s="93">
        <f>IF(ISTEXT($I$8),TEXT($G$8/100,"0.00%"),$G$8 / 100)</f>
        <v>8.786383925610193E-2</v>
      </c>
      <c r="AC4" s="93">
        <f>IF(ISTEXT($I$9),TEXT($G$9/100,"0.00%"),$G$9 / 100)</f>
        <v>7.054594693317856E-2</v>
      </c>
      <c r="AD4" s="93">
        <f>IFERROR(AVERAGE($AA$4:$AC$4),"")</f>
        <v>7.6594832118343351E-2</v>
      </c>
    </row>
    <row r="5" spans="1:30" x14ac:dyDescent="0.25">
      <c r="A5" s="89" t="s">
        <v>301</v>
      </c>
      <c r="B5" s="89" t="s">
        <v>29</v>
      </c>
      <c r="C5" s="89" t="s">
        <v>30</v>
      </c>
      <c r="D5" s="89">
        <v>4535.5940000000001</v>
      </c>
      <c r="E5" s="89">
        <v>113096.383</v>
      </c>
      <c r="F5" s="89">
        <v>4.01037936E-2</v>
      </c>
      <c r="G5" s="89">
        <f>($F$5 -  AVERAGE($F$2,$F$3) ) / ($F$17 -  AVERAGE($F$2,$F$3) ) * 100</f>
        <v>1.4688649722823801</v>
      </c>
      <c r="H5" s="89">
        <v>120</v>
      </c>
      <c r="I5" s="95">
        <f>LN($G$5)</f>
        <v>0.38448997484746039</v>
      </c>
      <c r="J5" s="90"/>
      <c r="K5" s="89"/>
      <c r="L5" s="89"/>
      <c r="M5" s="89"/>
      <c r="N5" s="89"/>
      <c r="O5" s="89"/>
      <c r="P5" s="89"/>
      <c r="Q5" s="89"/>
      <c r="R5" s="89"/>
      <c r="S5" s="89"/>
      <c r="T5" s="89"/>
      <c r="U5" s="89">
        <f>IF(ISTEXT($I$5),"",2)</f>
        <v>2</v>
      </c>
      <c r="V5" s="89">
        <f t="shared" si="0"/>
        <v>120</v>
      </c>
      <c r="W5" s="89"/>
      <c r="X5" s="89"/>
      <c r="Y5" s="89"/>
      <c r="Z5" s="91">
        <f>$H$10</f>
        <v>30</v>
      </c>
      <c r="AA5" s="96">
        <f>IF(ISTEXT($I$10),TEXT($G$10/100,"0.00%"),$G$10 / 100)</f>
        <v>-1.3444584964748346E-6</v>
      </c>
      <c r="AB5" s="96">
        <f>IF(ISTEXT($I$11),TEXT($G$11/100,"0.00%"),$G$11 / 100)</f>
        <v>-1.8029268027542527E-6</v>
      </c>
      <c r="AC5" s="96">
        <f>IF(ISTEXT($I$12),TEXT($G$12/100,"0.00%"),$G$12 / 100)</f>
        <v>-1.433334130909655E-6</v>
      </c>
      <c r="AD5" s="96">
        <f>IFERROR(AVERAGE($AA$5:$AC$5),"")</f>
        <v>-1.5269064767129143E-6</v>
      </c>
    </row>
    <row r="6" spans="1:30" x14ac:dyDescent="0.25">
      <c r="A6" s="85" t="s">
        <v>302</v>
      </c>
      <c r="B6" s="85" t="s">
        <v>29</v>
      </c>
      <c r="C6" s="85" t="s">
        <v>30</v>
      </c>
      <c r="D6" s="85">
        <v>6349.4189999999999</v>
      </c>
      <c r="E6" s="85">
        <v>117554.69500000001</v>
      </c>
      <c r="F6" s="85">
        <v>5.4012466299999999E-2</v>
      </c>
      <c r="G6" s="85">
        <f>($F$6 -  AVERAGE($F$2,$F$3) ) / ($F$18 -  AVERAGE($F$2,$F$3) ) * 100</f>
        <v>1.572799999731916</v>
      </c>
      <c r="H6" s="85">
        <v>120</v>
      </c>
      <c r="I6" s="94">
        <f>LN($G$6)</f>
        <v>0.45285747024031486</v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>
        <f>IF(ISTEXT($I$6),"",3)</f>
        <v>3</v>
      </c>
      <c r="V6" s="85">
        <f t="shared" si="0"/>
        <v>120</v>
      </c>
      <c r="W6" s="85"/>
      <c r="X6" s="85"/>
      <c r="Y6" s="85"/>
      <c r="Z6" s="91">
        <f>$H$13</f>
        <v>15</v>
      </c>
      <c r="AA6" s="96">
        <f>IF(ISTEXT($I$13),TEXT($G$13/100,"0.00%"),$G$13 / 100)</f>
        <v>0.44113990067946041</v>
      </c>
      <c r="AB6" s="96">
        <f>IF(ISTEXT($I$14),TEXT($G$14/100,"0.00%"),$G$14 / 100)</f>
        <v>0.56365585190631451</v>
      </c>
      <c r="AC6" s="96">
        <f>IF(ISTEXT($I$15),TEXT($G$15/100,"0.00%"),$G$15 / 100)</f>
        <v>0.47896145083855357</v>
      </c>
      <c r="AD6" s="96">
        <f>IFERROR(AVERAGE($AA$6:$AC$6),"")</f>
        <v>0.49458573447477616</v>
      </c>
    </row>
    <row r="7" spans="1:30" ht="15.75" thickBot="1" x14ac:dyDescent="0.3">
      <c r="A7" s="89" t="s">
        <v>303</v>
      </c>
      <c r="B7" s="89" t="s">
        <v>29</v>
      </c>
      <c r="C7" s="89" t="s">
        <v>30</v>
      </c>
      <c r="D7" s="89">
        <v>23371.403999999999</v>
      </c>
      <c r="E7" s="89">
        <v>89444.016000000003</v>
      </c>
      <c r="F7" s="89">
        <v>0.26129645159999998</v>
      </c>
      <c r="G7" s="89">
        <f>($F$7 -  AVERAGE($F$2,$F$3) ) / ($F$16 -  AVERAGE($F$2,$F$3) ) * 100</f>
        <v>7.1374710165749562</v>
      </c>
      <c r="H7" s="89">
        <v>60</v>
      </c>
      <c r="I7" s="95">
        <f>LN($G$7)</f>
        <v>1.9653585142488339</v>
      </c>
      <c r="J7" s="90"/>
      <c r="K7" s="89"/>
      <c r="L7" s="89"/>
      <c r="M7" s="89"/>
      <c r="N7" s="89"/>
      <c r="O7" s="89"/>
      <c r="P7" s="89"/>
      <c r="Q7" s="89"/>
      <c r="R7" s="89"/>
      <c r="S7" s="89"/>
      <c r="T7" s="89"/>
      <c r="U7" s="89">
        <f>IF(ISTEXT($I$7),"",4)</f>
        <v>4</v>
      </c>
      <c r="V7" s="89">
        <f t="shared" si="0"/>
        <v>60</v>
      </c>
      <c r="W7" s="89">
        <f t="shared" ref="W7:W18" si="1">IFERROR(INDEX($I$4:$I$18,SMALL($U$4:$U$18,ROW(I4)),1),"")</f>
        <v>1.9653585142488339</v>
      </c>
      <c r="X7" s="89"/>
      <c r="Y7" s="89"/>
      <c r="Z7" s="97">
        <f>$H$16</f>
        <v>0</v>
      </c>
      <c r="AA7" s="98">
        <f>IF(ISTEXT($I$16),TEXT($G$16/100,"0.00%"),$G$16 / 100)</f>
        <v>1</v>
      </c>
      <c r="AB7" s="98">
        <f>IF(ISTEXT($I$17),TEXT($G$17/100,"0.00%"),$G$17 / 100)</f>
        <v>1</v>
      </c>
      <c r="AC7" s="98">
        <f>IF(ISTEXT($I$18),TEXT($G$18/100,"0.00%"),$G$18 / 100)</f>
        <v>1</v>
      </c>
      <c r="AD7" s="98">
        <f>IFERROR(AVERAGE($AA$7:$AC$7),"")</f>
        <v>1</v>
      </c>
    </row>
    <row r="8" spans="1:30" ht="16.5" thickTop="1" thickBot="1" x14ac:dyDescent="0.3">
      <c r="A8" s="85" t="s">
        <v>304</v>
      </c>
      <c r="B8" s="85" t="s">
        <v>29</v>
      </c>
      <c r="C8" s="85" t="s">
        <v>30</v>
      </c>
      <c r="D8" s="85">
        <v>19016.25</v>
      </c>
      <c r="E8" s="85">
        <v>79278.516000000003</v>
      </c>
      <c r="F8" s="85">
        <v>0.23986637190000001</v>
      </c>
      <c r="G8" s="85">
        <f>($F$8 -  AVERAGE($F$2,$F$3) ) / ($F$17 -  AVERAGE($F$2,$F$3) ) * 100</f>
        <v>8.7863839256101937</v>
      </c>
      <c r="H8" s="85">
        <v>60</v>
      </c>
      <c r="I8" s="94">
        <f>LN($G$8)</f>
        <v>2.1732032420277689</v>
      </c>
      <c r="J8" s="86"/>
      <c r="K8" s="85"/>
      <c r="L8" s="85"/>
      <c r="M8" s="85"/>
      <c r="N8" s="85"/>
      <c r="O8" s="85"/>
      <c r="P8" s="85"/>
      <c r="Q8" s="85"/>
      <c r="R8" s="85"/>
      <c r="S8" s="85"/>
      <c r="T8" s="85"/>
      <c r="U8" s="85">
        <f>IF(ISTEXT($I$8),"",5)</f>
        <v>5</v>
      </c>
      <c r="V8" s="85">
        <f t="shared" si="0"/>
        <v>60</v>
      </c>
      <c r="W8" s="85">
        <f t="shared" si="1"/>
        <v>2.1732032420277689</v>
      </c>
      <c r="X8" s="85"/>
      <c r="Y8" s="85"/>
    </row>
    <row r="9" spans="1:30" x14ac:dyDescent="0.25">
      <c r="A9" s="89" t="s">
        <v>305</v>
      </c>
      <c r="B9" s="89" t="s">
        <v>29</v>
      </c>
      <c r="C9" s="89" t="s">
        <v>30</v>
      </c>
      <c r="D9" s="89">
        <v>17288.853999999999</v>
      </c>
      <c r="E9" s="89">
        <v>71368.141000000003</v>
      </c>
      <c r="F9" s="89">
        <v>0.24224890490000001</v>
      </c>
      <c r="G9" s="89">
        <f>($F$9 -  AVERAGE($F$2,$F$3) ) / ($F$18 -  AVERAGE($F$2,$F$3) ) * 100</f>
        <v>7.0545946933178563</v>
      </c>
      <c r="H9" s="89">
        <v>60</v>
      </c>
      <c r="I9" s="95">
        <f>LN($G$9)</f>
        <v>1.9536791340893365</v>
      </c>
      <c r="J9" s="90"/>
      <c r="K9" s="89"/>
      <c r="L9" s="89"/>
      <c r="M9" s="89"/>
      <c r="N9" s="89"/>
      <c r="O9" s="89"/>
      <c r="P9" s="89"/>
      <c r="Q9" s="89"/>
      <c r="R9" s="89"/>
      <c r="S9" s="89"/>
      <c r="T9" s="89"/>
      <c r="U9" s="89">
        <f>IF(ISTEXT($I$9),"",6)</f>
        <v>6</v>
      </c>
      <c r="V9" s="89">
        <f t="shared" si="0"/>
        <v>60</v>
      </c>
      <c r="W9" s="89">
        <f t="shared" si="1"/>
        <v>1.9536791340893365</v>
      </c>
      <c r="X9" s="89"/>
      <c r="Y9" s="89"/>
      <c r="Z9" s="99" t="s">
        <v>22</v>
      </c>
      <c r="AA9" s="100">
        <f>IFERROR(SLOPE($W$4:$W$18,$V$4:$V$18),"")</f>
        <v>-4.2570263332039109E-2</v>
      </c>
    </row>
    <row r="10" spans="1:30" x14ac:dyDescent="0.25">
      <c r="A10" s="85" t="s">
        <v>306</v>
      </c>
      <c r="B10" s="85" t="s">
        <v>29</v>
      </c>
      <c r="C10" s="85" t="s">
        <v>30</v>
      </c>
      <c r="D10" s="85"/>
      <c r="E10" s="85">
        <v>198.26400000000001</v>
      </c>
      <c r="F10" s="85">
        <v>0</v>
      </c>
      <c r="G10" s="85">
        <f>($F$10 -  AVERAGE($F$2,$F$3) ) / ($F$16 -  AVERAGE($F$2,$F$3) ) * 100</f>
        <v>-1.3444584964748346E-4</v>
      </c>
      <c r="H10" s="85">
        <v>30</v>
      </c>
      <c r="I10" s="94" t="e">
        <f>LN($G$10)</f>
        <v>#NUM!</v>
      </c>
      <c r="J10" s="86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>
        <f>IF(ISTEXT($I$10),"",7)</f>
        <v>7</v>
      </c>
      <c r="V10" s="85">
        <f t="shared" si="0"/>
        <v>30</v>
      </c>
      <c r="W10" s="85"/>
      <c r="X10" s="85"/>
      <c r="Y10" s="85"/>
      <c r="Z10" s="101" t="s">
        <v>23</v>
      </c>
      <c r="AA10" s="102">
        <f>IFERROR(INTERCEPT($W$4:$W$18,$V$4:$V$18),"")</f>
        <v>4.5748590520724441</v>
      </c>
    </row>
    <row r="11" spans="1:30" ht="17.25" x14ac:dyDescent="0.25">
      <c r="A11" s="89" t="s">
        <v>307</v>
      </c>
      <c r="B11" s="89" t="s">
        <v>29</v>
      </c>
      <c r="C11" s="89" t="s">
        <v>30</v>
      </c>
      <c r="D11" s="89"/>
      <c r="E11" s="89"/>
      <c r="F11" s="89">
        <v>0</v>
      </c>
      <c r="G11" s="89">
        <f>($F$11 -  AVERAGE($F$2,$F$3) ) / ($F$17 -  AVERAGE($F$2,$F$3) ) * 100</f>
        <v>-1.8029268027542527E-4</v>
      </c>
      <c r="H11" s="89">
        <v>30</v>
      </c>
      <c r="I11" s="95" t="e">
        <f>LN($G$11)</f>
        <v>#NUM!</v>
      </c>
      <c r="J11" s="90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>
        <f>IF(ISTEXT($I$11),"",8)</f>
        <v>8</v>
      </c>
      <c r="V11" s="89">
        <f t="shared" si="0"/>
        <v>30</v>
      </c>
      <c r="W11" s="89"/>
      <c r="X11" s="89"/>
      <c r="Y11" s="89"/>
      <c r="Z11" s="101" t="s">
        <v>24</v>
      </c>
      <c r="AA11" s="103">
        <f>IFERROR(CORREL($W$4:$W$18,$V$4:$V$18)^2,"")</f>
        <v>0.99347904431656164</v>
      </c>
    </row>
    <row r="12" spans="1:30" ht="18" x14ac:dyDescent="0.35">
      <c r="A12" s="85" t="s">
        <v>308</v>
      </c>
      <c r="B12" s="85" t="s">
        <v>29</v>
      </c>
      <c r="C12" s="85" t="s">
        <v>30</v>
      </c>
      <c r="D12" s="85">
        <v>0.24199999999999999</v>
      </c>
      <c r="E12" s="85">
        <v>82.772999999999996</v>
      </c>
      <c r="F12" s="85">
        <v>0</v>
      </c>
      <c r="G12" s="85">
        <f>($F$12 -  AVERAGE($F$2,$F$3) ) / ($F$18 -  AVERAGE($F$2,$F$3) ) * 100</f>
        <v>-1.4333341309096551E-4</v>
      </c>
      <c r="H12" s="85">
        <v>30</v>
      </c>
      <c r="I12" s="94" t="e">
        <f>LN($G$12)</f>
        <v>#NUM!</v>
      </c>
      <c r="J12" s="86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>
        <f>IF(ISTEXT($I$12),"",9)</f>
        <v>9</v>
      </c>
      <c r="V12" s="85">
        <f t="shared" si="0"/>
        <v>30</v>
      </c>
      <c r="W12" s="85"/>
      <c r="X12" s="85"/>
      <c r="Y12" s="85"/>
      <c r="Z12" s="101" t="s">
        <v>25</v>
      </c>
      <c r="AA12" s="104">
        <f>IF(AA9&gt;0,"",IFERROR(LN(2) /ABS(AA9),0))</f>
        <v>16.282426424134211</v>
      </c>
    </row>
    <row r="13" spans="1:30" ht="18.75" x14ac:dyDescent="0.35">
      <c r="A13" s="89" t="s">
        <v>309</v>
      </c>
      <c r="B13" s="89" t="s">
        <v>29</v>
      </c>
      <c r="C13" s="89" t="s">
        <v>30</v>
      </c>
      <c r="D13" s="89">
        <v>139973.32800000001</v>
      </c>
      <c r="E13" s="89">
        <v>86673.562999999995</v>
      </c>
      <c r="F13" s="89">
        <v>1.6149483550999999</v>
      </c>
      <c r="G13" s="89">
        <f>($F$13 -  AVERAGE($F$2,$F$3) ) / ($F$16 -  AVERAGE($F$2,$F$3) ) * 100</f>
        <v>44.113990067946041</v>
      </c>
      <c r="H13" s="89">
        <v>15</v>
      </c>
      <c r="I13" s="95">
        <f>LN($G$13)</f>
        <v>3.7867769672452023</v>
      </c>
      <c r="J13" s="90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>
        <f>IF(ISTEXT($I$13),"",10)</f>
        <v>10</v>
      </c>
      <c r="V13" s="89">
        <f t="shared" si="0"/>
        <v>15</v>
      </c>
      <c r="W13" s="89">
        <f t="shared" si="1"/>
        <v>3.7867769672452023</v>
      </c>
      <c r="X13" s="89"/>
      <c r="Y13" s="89"/>
      <c r="Z13" s="101" t="s">
        <v>26</v>
      </c>
      <c r="AA13" s="104">
        <f>IF(AA9&gt;0,0,IFERROR(ABS(AA9 * 1000 / 0.5),0))</f>
        <v>85.140526664078223</v>
      </c>
    </row>
    <row r="14" spans="1:30" ht="15.75" thickBot="1" x14ac:dyDescent="0.3">
      <c r="A14" s="85" t="s">
        <v>310</v>
      </c>
      <c r="B14" s="85" t="s">
        <v>29</v>
      </c>
      <c r="C14" s="85" t="s">
        <v>30</v>
      </c>
      <c r="D14" s="85">
        <v>129288.914</v>
      </c>
      <c r="E14" s="85">
        <v>84022.5</v>
      </c>
      <c r="F14" s="85">
        <v>1.5387415752</v>
      </c>
      <c r="G14" s="85">
        <f>($F$14 -  AVERAGE($F$2,$F$3) ) / ($F$17 -  AVERAGE($F$2,$F$3) ) * 100</f>
        <v>56.36558519063145</v>
      </c>
      <c r="H14" s="85">
        <v>15</v>
      </c>
      <c r="I14" s="94">
        <f>LN($G$14)</f>
        <v>4.0318587806058481</v>
      </c>
      <c r="J14" s="86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>
        <f>IF(ISTEXT($I$14),"",11)</f>
        <v>11</v>
      </c>
      <c r="V14" s="85">
        <f t="shared" si="0"/>
        <v>15</v>
      </c>
      <c r="W14" s="85">
        <f t="shared" si="1"/>
        <v>4.0318587806058481</v>
      </c>
      <c r="X14" s="85"/>
      <c r="Y14" s="85"/>
      <c r="Z14" s="105" t="s">
        <v>10</v>
      </c>
      <c r="AA14" s="106" t="s">
        <v>27</v>
      </c>
    </row>
    <row r="15" spans="1:30" x14ac:dyDescent="0.25">
      <c r="A15" s="89" t="s">
        <v>311</v>
      </c>
      <c r="B15" s="89" t="s">
        <v>29</v>
      </c>
      <c r="C15" s="89" t="s">
        <v>30</v>
      </c>
      <c r="D15" s="89">
        <v>158469.68799999999</v>
      </c>
      <c r="E15" s="89">
        <v>96352.593999999997</v>
      </c>
      <c r="F15" s="89">
        <v>1.6446852276999999</v>
      </c>
      <c r="G15" s="89">
        <f>($F$15 -  AVERAGE($F$2,$F$3) ) / ($F$18 -  AVERAGE($F$2,$F$3) ) * 100</f>
        <v>47.896145083855359</v>
      </c>
      <c r="H15" s="89">
        <v>15</v>
      </c>
      <c r="I15" s="95">
        <f>LN($G$15)</f>
        <v>3.8690350227619272</v>
      </c>
      <c r="J15" s="90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>
        <f>IF(ISTEXT($I$15),"",12)</f>
        <v>12</v>
      </c>
      <c r="V15" s="89">
        <f t="shared" si="0"/>
        <v>15</v>
      </c>
      <c r="W15" s="89">
        <f t="shared" si="1"/>
        <v>3.8690350227619272</v>
      </c>
      <c r="X15" s="89"/>
      <c r="Y15" s="89"/>
    </row>
    <row r="16" spans="1:30" x14ac:dyDescent="0.25">
      <c r="A16" s="85" t="s">
        <v>312</v>
      </c>
      <c r="B16" s="85" t="s">
        <v>29</v>
      </c>
      <c r="C16" s="85" t="s">
        <v>30</v>
      </c>
      <c r="D16" s="85">
        <v>278113.21899999998</v>
      </c>
      <c r="E16" s="85">
        <v>75969.641000000003</v>
      </c>
      <c r="F16" s="85">
        <v>3.6608468243000001</v>
      </c>
      <c r="G16" s="85">
        <f>($F$16 -  AVERAGE($F$2,$F$3) ) / ($F$16 -  AVERAGE($F$2,$F$3) ) * 100</f>
        <v>100</v>
      </c>
      <c r="H16" s="85">
        <v>0</v>
      </c>
      <c r="I16" s="94">
        <f>LN($G$16)</f>
        <v>4.6051701859880918</v>
      </c>
      <c r="J16" s="86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>
        <f>IF(ISTEXT($I$16),"",13)</f>
        <v>13</v>
      </c>
      <c r="V16" s="85">
        <f t="shared" si="0"/>
        <v>0</v>
      </c>
      <c r="W16" s="85">
        <f t="shared" si="1"/>
        <v>4.6051701859880918</v>
      </c>
      <c r="X16" s="85"/>
      <c r="Y16" s="85"/>
    </row>
    <row r="17" spans="1:25" x14ac:dyDescent="0.25">
      <c r="A17" s="89" t="s">
        <v>313</v>
      </c>
      <c r="B17" s="89" t="s">
        <v>29</v>
      </c>
      <c r="C17" s="89" t="s">
        <v>30</v>
      </c>
      <c r="D17" s="89">
        <v>231500.06299999999</v>
      </c>
      <c r="E17" s="89">
        <v>84800.82</v>
      </c>
      <c r="F17" s="89">
        <v>2.7299271751999998</v>
      </c>
      <c r="G17" s="89">
        <f>($F$17 -  AVERAGE($F$2,$F$3) ) / ($F$17 -  AVERAGE($F$2,$F$3) ) * 100</f>
        <v>100</v>
      </c>
      <c r="H17" s="89">
        <v>0</v>
      </c>
      <c r="I17" s="95">
        <f>LN($G$17)</f>
        <v>4.6051701859880918</v>
      </c>
      <c r="J17" s="90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>
        <f>IF(ISTEXT($I$17),"",14)</f>
        <v>14</v>
      </c>
      <c r="V17" s="89">
        <f t="shared" si="0"/>
        <v>0</v>
      </c>
      <c r="W17" s="89">
        <f t="shared" si="1"/>
        <v>4.6051701859880918</v>
      </c>
      <c r="X17" s="89"/>
      <c r="Y17" s="89"/>
    </row>
    <row r="18" spans="1:25" x14ac:dyDescent="0.25">
      <c r="A18" s="85" t="s">
        <v>314</v>
      </c>
      <c r="B18" s="85" t="s">
        <v>29</v>
      </c>
      <c r="C18" s="85" t="s">
        <v>30</v>
      </c>
      <c r="D18" s="85">
        <v>249841.45300000001</v>
      </c>
      <c r="E18" s="85">
        <v>72758.366999999998</v>
      </c>
      <c r="F18" s="85">
        <v>3.4338518482999998</v>
      </c>
      <c r="G18" s="85">
        <f>($F$18 -  AVERAGE($F$2,$F$3) ) / ($F$18 -  AVERAGE($F$2,$F$3) ) * 100</f>
        <v>100</v>
      </c>
      <c r="H18" s="85">
        <v>0</v>
      </c>
      <c r="I18" s="94">
        <f>LN($G$18)</f>
        <v>4.6051701859880918</v>
      </c>
      <c r="J18" s="86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>
        <f>IF(ISTEXT($I$18),"",15)</f>
        <v>15</v>
      </c>
      <c r="V18" s="85">
        <f t="shared" si="0"/>
        <v>0</v>
      </c>
      <c r="W18" s="85">
        <f t="shared" si="1"/>
        <v>4.6051701859880918</v>
      </c>
      <c r="X18" s="85"/>
      <c r="Y18" s="85"/>
    </row>
    <row r="19" spans="1:25" x14ac:dyDescent="0.25">
      <c r="A19" s="89"/>
      <c r="B19" s="89"/>
      <c r="C19" s="89"/>
      <c r="D19" s="89"/>
      <c r="E19" s="89"/>
      <c r="F19" s="89"/>
      <c r="G19" s="89"/>
      <c r="H19" s="89"/>
      <c r="I19" s="95"/>
      <c r="J19" s="90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</row>
    <row r="20" spans="1:25" x14ac:dyDescent="0.25">
      <c r="A20" s="85"/>
      <c r="B20" s="85"/>
      <c r="C20" s="85"/>
      <c r="D20" s="85"/>
      <c r="E20" s="85"/>
      <c r="F20" s="85"/>
      <c r="G20" s="85"/>
      <c r="H20" s="85"/>
      <c r="I20" s="94"/>
      <c r="J20" s="86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</row>
    <row r="21" spans="1:25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90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</row>
  </sheetData>
  <conditionalFormatting sqref="I4">
    <cfRule type="expression" dxfId="34" priority="35">
      <formula>ISTEXT($I$4)</formula>
    </cfRule>
  </conditionalFormatting>
  <conditionalFormatting sqref="I5">
    <cfRule type="expression" dxfId="33" priority="34">
      <formula>ISTEXT($I$5)</formula>
    </cfRule>
  </conditionalFormatting>
  <conditionalFormatting sqref="I6">
    <cfRule type="expression" dxfId="32" priority="33">
      <formula>ISTEXT($I$6)</formula>
    </cfRule>
  </conditionalFormatting>
  <conditionalFormatting sqref="I7">
    <cfRule type="expression" dxfId="31" priority="32">
      <formula>ISTEXT($I$7)</formula>
    </cfRule>
  </conditionalFormatting>
  <conditionalFormatting sqref="I8">
    <cfRule type="expression" dxfId="30" priority="31">
      <formula>ISTEXT($I$8)</formula>
    </cfRule>
  </conditionalFormatting>
  <conditionalFormatting sqref="I9">
    <cfRule type="expression" dxfId="29" priority="30">
      <formula>ISTEXT($I$9)</formula>
    </cfRule>
  </conditionalFormatting>
  <conditionalFormatting sqref="I10">
    <cfRule type="expression" dxfId="28" priority="29">
      <formula>ISTEXT($I$10)</formula>
    </cfRule>
  </conditionalFormatting>
  <conditionalFormatting sqref="I11">
    <cfRule type="expression" dxfId="27" priority="28">
      <formula>ISTEXT($I$11)</formula>
    </cfRule>
  </conditionalFormatting>
  <conditionalFormatting sqref="I12">
    <cfRule type="expression" dxfId="26" priority="27">
      <formula>ISTEXT($I$12)</formula>
    </cfRule>
  </conditionalFormatting>
  <conditionalFormatting sqref="I13">
    <cfRule type="expression" dxfId="25" priority="26">
      <formula>ISTEXT($I$13)</formula>
    </cfRule>
  </conditionalFormatting>
  <conditionalFormatting sqref="I14">
    <cfRule type="expression" dxfId="24" priority="25">
      <formula>ISTEXT($I$14)</formula>
    </cfRule>
  </conditionalFormatting>
  <conditionalFormatting sqref="I15">
    <cfRule type="expression" dxfId="23" priority="24">
      <formula>ISTEXT($I$15)</formula>
    </cfRule>
  </conditionalFormatting>
  <conditionalFormatting sqref="I16">
    <cfRule type="expression" dxfId="22" priority="23">
      <formula>ISTEXT($I$16)</formula>
    </cfRule>
  </conditionalFormatting>
  <conditionalFormatting sqref="I17">
    <cfRule type="expression" dxfId="21" priority="22">
      <formula>ISTEXT($I$17)</formula>
    </cfRule>
  </conditionalFormatting>
  <conditionalFormatting sqref="I18:I20">
    <cfRule type="expression" dxfId="20" priority="21">
      <formula>ISTEXT($I$18)</formula>
    </cfRule>
  </conditionalFormatting>
  <conditionalFormatting sqref="AA3">
    <cfRule type="expression" dxfId="19" priority="20">
      <formula>ISTEXT($AA$3)</formula>
    </cfRule>
  </conditionalFormatting>
  <conditionalFormatting sqref="AB3">
    <cfRule type="expression" dxfId="18" priority="19">
      <formula>ISTEXT($AB$3)</formula>
    </cfRule>
  </conditionalFormatting>
  <conditionalFormatting sqref="AC3">
    <cfRule type="expression" dxfId="17" priority="18">
      <formula>ISTEXT($AC$3)</formula>
    </cfRule>
  </conditionalFormatting>
  <conditionalFormatting sqref="AD3">
    <cfRule type="expression" dxfId="16" priority="17">
      <formula>ISTEXT($AD$3)</formula>
    </cfRule>
  </conditionalFormatting>
  <conditionalFormatting sqref="AA4">
    <cfRule type="expression" dxfId="15" priority="16">
      <formula>ISTEXT($AA$4)</formula>
    </cfRule>
  </conditionalFormatting>
  <conditionalFormatting sqref="AB4">
    <cfRule type="expression" dxfId="14" priority="15">
      <formula>ISTEXT($AB$4)</formula>
    </cfRule>
  </conditionalFormatting>
  <conditionalFormatting sqref="AC4">
    <cfRule type="expression" dxfId="13" priority="14">
      <formula>ISTEXT($AC$4)</formula>
    </cfRule>
  </conditionalFormatting>
  <conditionalFormatting sqref="AD4">
    <cfRule type="expression" dxfId="12" priority="13">
      <formula>ISTEXT($AD$4)</formula>
    </cfRule>
  </conditionalFormatting>
  <conditionalFormatting sqref="AA5">
    <cfRule type="expression" dxfId="11" priority="12">
      <formula>ISTEXT($AA$5)</formula>
    </cfRule>
  </conditionalFormatting>
  <conditionalFormatting sqref="AB5">
    <cfRule type="expression" dxfId="10" priority="11">
      <formula>ISTEXT($AB$5)</formula>
    </cfRule>
  </conditionalFormatting>
  <conditionalFormatting sqref="AC5">
    <cfRule type="expression" dxfId="9" priority="10">
      <formula>ISTEXT($AC$5)</formula>
    </cfRule>
  </conditionalFormatting>
  <conditionalFormatting sqref="AD5">
    <cfRule type="expression" dxfId="8" priority="9">
      <formula>ISTEXT($AD$5)</formula>
    </cfRule>
  </conditionalFormatting>
  <conditionalFormatting sqref="AA6">
    <cfRule type="expression" dxfId="7" priority="8">
      <formula>ISTEXT($AA$6)</formula>
    </cfRule>
  </conditionalFormatting>
  <conditionalFormatting sqref="AB6">
    <cfRule type="expression" dxfId="6" priority="7">
      <formula>ISTEXT($AB$6)</formula>
    </cfRule>
  </conditionalFormatting>
  <conditionalFormatting sqref="AC6">
    <cfRule type="expression" dxfId="5" priority="6">
      <formula>ISTEXT($AC$6)</formula>
    </cfRule>
  </conditionalFormatting>
  <conditionalFormatting sqref="AD6">
    <cfRule type="expression" dxfId="4" priority="5">
      <formula>ISTEXT($AD$6)</formula>
    </cfRule>
  </conditionalFormatting>
  <conditionalFormatting sqref="AA7">
    <cfRule type="expression" dxfId="3" priority="4">
      <formula>ISTEXT($AA$7)</formula>
    </cfRule>
  </conditionalFormatting>
  <conditionalFormatting sqref="AB7">
    <cfRule type="expression" dxfId="2" priority="3">
      <formula>ISTEXT($AB$7)</formula>
    </cfRule>
  </conditionalFormatting>
  <conditionalFormatting sqref="AC7">
    <cfRule type="expression" dxfId="1" priority="2">
      <formula>ISTEXT($AC$7)</formula>
    </cfRule>
  </conditionalFormatting>
  <conditionalFormatting sqref="AD7">
    <cfRule type="expression" dxfId="0" priority="1">
      <formula>ISTEXT($AD$7)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1"/>
  <sheetViews>
    <sheetView showGridLines="0" workbookViewId="0">
      <selection activeCell="J62" sqref="J62"/>
    </sheetView>
  </sheetViews>
  <sheetFormatPr defaultRowHeight="11.25" x14ac:dyDescent="0.2"/>
  <cols>
    <col min="1" max="1" width="31.5703125" style="53" bestFit="1" customWidth="1"/>
    <col min="2" max="2" width="28" style="53" bestFit="1" customWidth="1"/>
    <col min="3" max="4" width="13.5703125" style="58" customWidth="1"/>
    <col min="5" max="5" width="13.5703125" style="54" customWidth="1"/>
    <col min="6" max="6" width="8.42578125" style="56" customWidth="1"/>
    <col min="7" max="7" width="8.42578125" style="55" customWidth="1"/>
    <col min="8" max="246" width="9.140625" style="57"/>
    <col min="247" max="247" width="12.140625" style="57" customWidth="1"/>
    <col min="248" max="248" width="13.7109375" style="57" customWidth="1"/>
    <col min="249" max="249" width="15.28515625" style="57" customWidth="1"/>
    <col min="250" max="250" width="14.85546875" style="57" customWidth="1"/>
    <col min="251" max="253" width="13.5703125" style="57" customWidth="1"/>
    <col min="254" max="255" width="14.42578125" style="57" customWidth="1"/>
    <col min="256" max="256" width="12.140625" style="57" customWidth="1"/>
    <col min="257" max="257" width="9.42578125" style="57" customWidth="1"/>
    <col min="258" max="258" width="14.42578125" style="57" customWidth="1"/>
    <col min="259" max="259" width="9.42578125" style="57" customWidth="1"/>
    <col min="260" max="260" width="7.85546875" style="57" customWidth="1"/>
    <col min="261" max="261" width="8.42578125" style="57" customWidth="1"/>
    <col min="262" max="262" width="14.85546875" style="57" customWidth="1"/>
    <col min="263" max="263" width="8.42578125" style="57" customWidth="1"/>
    <col min="264" max="502" width="9.140625" style="57"/>
    <col min="503" max="503" width="12.140625" style="57" customWidth="1"/>
    <col min="504" max="504" width="13.7109375" style="57" customWidth="1"/>
    <col min="505" max="505" width="15.28515625" style="57" customWidth="1"/>
    <col min="506" max="506" width="14.85546875" style="57" customWidth="1"/>
    <col min="507" max="509" width="13.5703125" style="57" customWidth="1"/>
    <col min="510" max="511" width="14.42578125" style="57" customWidth="1"/>
    <col min="512" max="512" width="12.140625" style="57" customWidth="1"/>
    <col min="513" max="513" width="9.42578125" style="57" customWidth="1"/>
    <col min="514" max="514" width="14.42578125" style="57" customWidth="1"/>
    <col min="515" max="515" width="9.42578125" style="57" customWidth="1"/>
    <col min="516" max="516" width="7.85546875" style="57" customWidth="1"/>
    <col min="517" max="517" width="8.42578125" style="57" customWidth="1"/>
    <col min="518" max="518" width="14.85546875" style="57" customWidth="1"/>
    <col min="519" max="519" width="8.42578125" style="57" customWidth="1"/>
    <col min="520" max="758" width="9.140625" style="57"/>
    <col min="759" max="759" width="12.140625" style="57" customWidth="1"/>
    <col min="760" max="760" width="13.7109375" style="57" customWidth="1"/>
    <col min="761" max="761" width="15.28515625" style="57" customWidth="1"/>
    <col min="762" max="762" width="14.85546875" style="57" customWidth="1"/>
    <col min="763" max="765" width="13.5703125" style="57" customWidth="1"/>
    <col min="766" max="767" width="14.42578125" style="57" customWidth="1"/>
    <col min="768" max="768" width="12.140625" style="57" customWidth="1"/>
    <col min="769" max="769" width="9.42578125" style="57" customWidth="1"/>
    <col min="770" max="770" width="14.42578125" style="57" customWidth="1"/>
    <col min="771" max="771" width="9.42578125" style="57" customWidth="1"/>
    <col min="772" max="772" width="7.85546875" style="57" customWidth="1"/>
    <col min="773" max="773" width="8.42578125" style="57" customWidth="1"/>
    <col min="774" max="774" width="14.85546875" style="57" customWidth="1"/>
    <col min="775" max="775" width="8.42578125" style="57" customWidth="1"/>
    <col min="776" max="1014" width="9.140625" style="57"/>
    <col min="1015" max="1015" width="12.140625" style="57" customWidth="1"/>
    <col min="1016" max="1016" width="13.7109375" style="57" customWidth="1"/>
    <col min="1017" max="1017" width="15.28515625" style="57" customWidth="1"/>
    <col min="1018" max="1018" width="14.85546875" style="57" customWidth="1"/>
    <col min="1019" max="1021" width="13.5703125" style="57" customWidth="1"/>
    <col min="1022" max="1023" width="14.42578125" style="57" customWidth="1"/>
    <col min="1024" max="1024" width="12.140625" style="57" customWidth="1"/>
    <col min="1025" max="1025" width="9.42578125" style="57" customWidth="1"/>
    <col min="1026" max="1026" width="14.42578125" style="57" customWidth="1"/>
    <col min="1027" max="1027" width="9.42578125" style="57" customWidth="1"/>
    <col min="1028" max="1028" width="7.85546875" style="57" customWidth="1"/>
    <col min="1029" max="1029" width="8.42578125" style="57" customWidth="1"/>
    <col min="1030" max="1030" width="14.85546875" style="57" customWidth="1"/>
    <col min="1031" max="1031" width="8.42578125" style="57" customWidth="1"/>
    <col min="1032" max="1270" width="9.140625" style="57"/>
    <col min="1271" max="1271" width="12.140625" style="57" customWidth="1"/>
    <col min="1272" max="1272" width="13.7109375" style="57" customWidth="1"/>
    <col min="1273" max="1273" width="15.28515625" style="57" customWidth="1"/>
    <col min="1274" max="1274" width="14.85546875" style="57" customWidth="1"/>
    <col min="1275" max="1277" width="13.5703125" style="57" customWidth="1"/>
    <col min="1278" max="1279" width="14.42578125" style="57" customWidth="1"/>
    <col min="1280" max="1280" width="12.140625" style="57" customWidth="1"/>
    <col min="1281" max="1281" width="9.42578125" style="57" customWidth="1"/>
    <col min="1282" max="1282" width="14.42578125" style="57" customWidth="1"/>
    <col min="1283" max="1283" width="9.42578125" style="57" customWidth="1"/>
    <col min="1284" max="1284" width="7.85546875" style="57" customWidth="1"/>
    <col min="1285" max="1285" width="8.42578125" style="57" customWidth="1"/>
    <col min="1286" max="1286" width="14.85546875" style="57" customWidth="1"/>
    <col min="1287" max="1287" width="8.42578125" style="57" customWidth="1"/>
    <col min="1288" max="1526" width="9.140625" style="57"/>
    <col min="1527" max="1527" width="12.140625" style="57" customWidth="1"/>
    <col min="1528" max="1528" width="13.7109375" style="57" customWidth="1"/>
    <col min="1529" max="1529" width="15.28515625" style="57" customWidth="1"/>
    <col min="1530" max="1530" width="14.85546875" style="57" customWidth="1"/>
    <col min="1531" max="1533" width="13.5703125" style="57" customWidth="1"/>
    <col min="1534" max="1535" width="14.42578125" style="57" customWidth="1"/>
    <col min="1536" max="1536" width="12.140625" style="57" customWidth="1"/>
    <col min="1537" max="1537" width="9.42578125" style="57" customWidth="1"/>
    <col min="1538" max="1538" width="14.42578125" style="57" customWidth="1"/>
    <col min="1539" max="1539" width="9.42578125" style="57" customWidth="1"/>
    <col min="1540" max="1540" width="7.85546875" style="57" customWidth="1"/>
    <col min="1541" max="1541" width="8.42578125" style="57" customWidth="1"/>
    <col min="1542" max="1542" width="14.85546875" style="57" customWidth="1"/>
    <col min="1543" max="1543" width="8.42578125" style="57" customWidth="1"/>
    <col min="1544" max="1782" width="9.140625" style="57"/>
    <col min="1783" max="1783" width="12.140625" style="57" customWidth="1"/>
    <col min="1784" max="1784" width="13.7109375" style="57" customWidth="1"/>
    <col min="1785" max="1785" width="15.28515625" style="57" customWidth="1"/>
    <col min="1786" max="1786" width="14.85546875" style="57" customWidth="1"/>
    <col min="1787" max="1789" width="13.5703125" style="57" customWidth="1"/>
    <col min="1790" max="1791" width="14.42578125" style="57" customWidth="1"/>
    <col min="1792" max="1792" width="12.140625" style="57" customWidth="1"/>
    <col min="1793" max="1793" width="9.42578125" style="57" customWidth="1"/>
    <col min="1794" max="1794" width="14.42578125" style="57" customWidth="1"/>
    <col min="1795" max="1795" width="9.42578125" style="57" customWidth="1"/>
    <col min="1796" max="1796" width="7.85546875" style="57" customWidth="1"/>
    <col min="1797" max="1797" width="8.42578125" style="57" customWidth="1"/>
    <col min="1798" max="1798" width="14.85546875" style="57" customWidth="1"/>
    <col min="1799" max="1799" width="8.42578125" style="57" customWidth="1"/>
    <col min="1800" max="2038" width="9.140625" style="57"/>
    <col min="2039" max="2039" width="12.140625" style="57" customWidth="1"/>
    <col min="2040" max="2040" width="13.7109375" style="57" customWidth="1"/>
    <col min="2041" max="2041" width="15.28515625" style="57" customWidth="1"/>
    <col min="2042" max="2042" width="14.85546875" style="57" customWidth="1"/>
    <col min="2043" max="2045" width="13.5703125" style="57" customWidth="1"/>
    <col min="2046" max="2047" width="14.42578125" style="57" customWidth="1"/>
    <col min="2048" max="2048" width="12.140625" style="57" customWidth="1"/>
    <col min="2049" max="2049" width="9.42578125" style="57" customWidth="1"/>
    <col min="2050" max="2050" width="14.42578125" style="57" customWidth="1"/>
    <col min="2051" max="2051" width="9.42578125" style="57" customWidth="1"/>
    <col min="2052" max="2052" width="7.85546875" style="57" customWidth="1"/>
    <col min="2053" max="2053" width="8.42578125" style="57" customWidth="1"/>
    <col min="2054" max="2054" width="14.85546875" style="57" customWidth="1"/>
    <col min="2055" max="2055" width="8.42578125" style="57" customWidth="1"/>
    <col min="2056" max="2294" width="9.140625" style="57"/>
    <col min="2295" max="2295" width="12.140625" style="57" customWidth="1"/>
    <col min="2296" max="2296" width="13.7109375" style="57" customWidth="1"/>
    <col min="2297" max="2297" width="15.28515625" style="57" customWidth="1"/>
    <col min="2298" max="2298" width="14.85546875" style="57" customWidth="1"/>
    <col min="2299" max="2301" width="13.5703125" style="57" customWidth="1"/>
    <col min="2302" max="2303" width="14.42578125" style="57" customWidth="1"/>
    <col min="2304" max="2304" width="12.140625" style="57" customWidth="1"/>
    <col min="2305" max="2305" width="9.42578125" style="57" customWidth="1"/>
    <col min="2306" max="2306" width="14.42578125" style="57" customWidth="1"/>
    <col min="2307" max="2307" width="9.42578125" style="57" customWidth="1"/>
    <col min="2308" max="2308" width="7.85546875" style="57" customWidth="1"/>
    <col min="2309" max="2309" width="8.42578125" style="57" customWidth="1"/>
    <col min="2310" max="2310" width="14.85546875" style="57" customWidth="1"/>
    <col min="2311" max="2311" width="8.42578125" style="57" customWidth="1"/>
    <col min="2312" max="2550" width="9.140625" style="57"/>
    <col min="2551" max="2551" width="12.140625" style="57" customWidth="1"/>
    <col min="2552" max="2552" width="13.7109375" style="57" customWidth="1"/>
    <col min="2553" max="2553" width="15.28515625" style="57" customWidth="1"/>
    <col min="2554" max="2554" width="14.85546875" style="57" customWidth="1"/>
    <col min="2555" max="2557" width="13.5703125" style="57" customWidth="1"/>
    <col min="2558" max="2559" width="14.42578125" style="57" customWidth="1"/>
    <col min="2560" max="2560" width="12.140625" style="57" customWidth="1"/>
    <col min="2561" max="2561" width="9.42578125" style="57" customWidth="1"/>
    <col min="2562" max="2562" width="14.42578125" style="57" customWidth="1"/>
    <col min="2563" max="2563" width="9.42578125" style="57" customWidth="1"/>
    <col min="2564" max="2564" width="7.85546875" style="57" customWidth="1"/>
    <col min="2565" max="2565" width="8.42578125" style="57" customWidth="1"/>
    <col min="2566" max="2566" width="14.85546875" style="57" customWidth="1"/>
    <col min="2567" max="2567" width="8.42578125" style="57" customWidth="1"/>
    <col min="2568" max="2806" width="9.140625" style="57"/>
    <col min="2807" max="2807" width="12.140625" style="57" customWidth="1"/>
    <col min="2808" max="2808" width="13.7109375" style="57" customWidth="1"/>
    <col min="2809" max="2809" width="15.28515625" style="57" customWidth="1"/>
    <col min="2810" max="2810" width="14.85546875" style="57" customWidth="1"/>
    <col min="2811" max="2813" width="13.5703125" style="57" customWidth="1"/>
    <col min="2814" max="2815" width="14.42578125" style="57" customWidth="1"/>
    <col min="2816" max="2816" width="12.140625" style="57" customWidth="1"/>
    <col min="2817" max="2817" width="9.42578125" style="57" customWidth="1"/>
    <col min="2818" max="2818" width="14.42578125" style="57" customWidth="1"/>
    <col min="2819" max="2819" width="9.42578125" style="57" customWidth="1"/>
    <col min="2820" max="2820" width="7.85546875" style="57" customWidth="1"/>
    <col min="2821" max="2821" width="8.42578125" style="57" customWidth="1"/>
    <col min="2822" max="2822" width="14.85546875" style="57" customWidth="1"/>
    <col min="2823" max="2823" width="8.42578125" style="57" customWidth="1"/>
    <col min="2824" max="3062" width="9.140625" style="57"/>
    <col min="3063" max="3063" width="12.140625" style="57" customWidth="1"/>
    <col min="3064" max="3064" width="13.7109375" style="57" customWidth="1"/>
    <col min="3065" max="3065" width="15.28515625" style="57" customWidth="1"/>
    <col min="3066" max="3066" width="14.85546875" style="57" customWidth="1"/>
    <col min="3067" max="3069" width="13.5703125" style="57" customWidth="1"/>
    <col min="3070" max="3071" width="14.42578125" style="57" customWidth="1"/>
    <col min="3072" max="3072" width="12.140625" style="57" customWidth="1"/>
    <col min="3073" max="3073" width="9.42578125" style="57" customWidth="1"/>
    <col min="3074" max="3074" width="14.42578125" style="57" customWidth="1"/>
    <col min="3075" max="3075" width="9.42578125" style="57" customWidth="1"/>
    <col min="3076" max="3076" width="7.85546875" style="57" customWidth="1"/>
    <col min="3077" max="3077" width="8.42578125" style="57" customWidth="1"/>
    <col min="3078" max="3078" width="14.85546875" style="57" customWidth="1"/>
    <col min="3079" max="3079" width="8.42578125" style="57" customWidth="1"/>
    <col min="3080" max="3318" width="9.140625" style="57"/>
    <col min="3319" max="3319" width="12.140625" style="57" customWidth="1"/>
    <col min="3320" max="3320" width="13.7109375" style="57" customWidth="1"/>
    <col min="3321" max="3321" width="15.28515625" style="57" customWidth="1"/>
    <col min="3322" max="3322" width="14.85546875" style="57" customWidth="1"/>
    <col min="3323" max="3325" width="13.5703125" style="57" customWidth="1"/>
    <col min="3326" max="3327" width="14.42578125" style="57" customWidth="1"/>
    <col min="3328" max="3328" width="12.140625" style="57" customWidth="1"/>
    <col min="3329" max="3329" width="9.42578125" style="57" customWidth="1"/>
    <col min="3330" max="3330" width="14.42578125" style="57" customWidth="1"/>
    <col min="3331" max="3331" width="9.42578125" style="57" customWidth="1"/>
    <col min="3332" max="3332" width="7.85546875" style="57" customWidth="1"/>
    <col min="3333" max="3333" width="8.42578125" style="57" customWidth="1"/>
    <col min="3334" max="3334" width="14.85546875" style="57" customWidth="1"/>
    <col min="3335" max="3335" width="8.42578125" style="57" customWidth="1"/>
    <col min="3336" max="3574" width="9.140625" style="57"/>
    <col min="3575" max="3575" width="12.140625" style="57" customWidth="1"/>
    <col min="3576" max="3576" width="13.7109375" style="57" customWidth="1"/>
    <col min="3577" max="3577" width="15.28515625" style="57" customWidth="1"/>
    <col min="3578" max="3578" width="14.85546875" style="57" customWidth="1"/>
    <col min="3579" max="3581" width="13.5703125" style="57" customWidth="1"/>
    <col min="3582" max="3583" width="14.42578125" style="57" customWidth="1"/>
    <col min="3584" max="3584" width="12.140625" style="57" customWidth="1"/>
    <col min="3585" max="3585" width="9.42578125" style="57" customWidth="1"/>
    <col min="3586" max="3586" width="14.42578125" style="57" customWidth="1"/>
    <col min="3587" max="3587" width="9.42578125" style="57" customWidth="1"/>
    <col min="3588" max="3588" width="7.85546875" style="57" customWidth="1"/>
    <col min="3589" max="3589" width="8.42578125" style="57" customWidth="1"/>
    <col min="3590" max="3590" width="14.85546875" style="57" customWidth="1"/>
    <col min="3591" max="3591" width="8.42578125" style="57" customWidth="1"/>
    <col min="3592" max="3830" width="9.140625" style="57"/>
    <col min="3831" max="3831" width="12.140625" style="57" customWidth="1"/>
    <col min="3832" max="3832" width="13.7109375" style="57" customWidth="1"/>
    <col min="3833" max="3833" width="15.28515625" style="57" customWidth="1"/>
    <col min="3834" max="3834" width="14.85546875" style="57" customWidth="1"/>
    <col min="3835" max="3837" width="13.5703125" style="57" customWidth="1"/>
    <col min="3838" max="3839" width="14.42578125" style="57" customWidth="1"/>
    <col min="3840" max="3840" width="12.140625" style="57" customWidth="1"/>
    <col min="3841" max="3841" width="9.42578125" style="57" customWidth="1"/>
    <col min="3842" max="3842" width="14.42578125" style="57" customWidth="1"/>
    <col min="3843" max="3843" width="9.42578125" style="57" customWidth="1"/>
    <col min="3844" max="3844" width="7.85546875" style="57" customWidth="1"/>
    <col min="3845" max="3845" width="8.42578125" style="57" customWidth="1"/>
    <col min="3846" max="3846" width="14.85546875" style="57" customWidth="1"/>
    <col min="3847" max="3847" width="8.42578125" style="57" customWidth="1"/>
    <col min="3848" max="4086" width="9.140625" style="57"/>
    <col min="4087" max="4087" width="12.140625" style="57" customWidth="1"/>
    <col min="4088" max="4088" width="13.7109375" style="57" customWidth="1"/>
    <col min="4089" max="4089" width="15.28515625" style="57" customWidth="1"/>
    <col min="4090" max="4090" width="14.85546875" style="57" customWidth="1"/>
    <col min="4091" max="4093" width="13.5703125" style="57" customWidth="1"/>
    <col min="4094" max="4095" width="14.42578125" style="57" customWidth="1"/>
    <col min="4096" max="4096" width="12.140625" style="57" customWidth="1"/>
    <col min="4097" max="4097" width="9.42578125" style="57" customWidth="1"/>
    <col min="4098" max="4098" width="14.42578125" style="57" customWidth="1"/>
    <col min="4099" max="4099" width="9.42578125" style="57" customWidth="1"/>
    <col min="4100" max="4100" width="7.85546875" style="57" customWidth="1"/>
    <col min="4101" max="4101" width="8.42578125" style="57" customWidth="1"/>
    <col min="4102" max="4102" width="14.85546875" style="57" customWidth="1"/>
    <col min="4103" max="4103" width="8.42578125" style="57" customWidth="1"/>
    <col min="4104" max="4342" width="9.140625" style="57"/>
    <col min="4343" max="4343" width="12.140625" style="57" customWidth="1"/>
    <col min="4344" max="4344" width="13.7109375" style="57" customWidth="1"/>
    <col min="4345" max="4345" width="15.28515625" style="57" customWidth="1"/>
    <col min="4346" max="4346" width="14.85546875" style="57" customWidth="1"/>
    <col min="4347" max="4349" width="13.5703125" style="57" customWidth="1"/>
    <col min="4350" max="4351" width="14.42578125" style="57" customWidth="1"/>
    <col min="4352" max="4352" width="12.140625" style="57" customWidth="1"/>
    <col min="4353" max="4353" width="9.42578125" style="57" customWidth="1"/>
    <col min="4354" max="4354" width="14.42578125" style="57" customWidth="1"/>
    <col min="4355" max="4355" width="9.42578125" style="57" customWidth="1"/>
    <col min="4356" max="4356" width="7.85546875" style="57" customWidth="1"/>
    <col min="4357" max="4357" width="8.42578125" style="57" customWidth="1"/>
    <col min="4358" max="4358" width="14.85546875" style="57" customWidth="1"/>
    <col min="4359" max="4359" width="8.42578125" style="57" customWidth="1"/>
    <col min="4360" max="4598" width="9.140625" style="57"/>
    <col min="4599" max="4599" width="12.140625" style="57" customWidth="1"/>
    <col min="4600" max="4600" width="13.7109375" style="57" customWidth="1"/>
    <col min="4601" max="4601" width="15.28515625" style="57" customWidth="1"/>
    <col min="4602" max="4602" width="14.85546875" style="57" customWidth="1"/>
    <col min="4603" max="4605" width="13.5703125" style="57" customWidth="1"/>
    <col min="4606" max="4607" width="14.42578125" style="57" customWidth="1"/>
    <col min="4608" max="4608" width="12.140625" style="57" customWidth="1"/>
    <col min="4609" max="4609" width="9.42578125" style="57" customWidth="1"/>
    <col min="4610" max="4610" width="14.42578125" style="57" customWidth="1"/>
    <col min="4611" max="4611" width="9.42578125" style="57" customWidth="1"/>
    <col min="4612" max="4612" width="7.85546875" style="57" customWidth="1"/>
    <col min="4613" max="4613" width="8.42578125" style="57" customWidth="1"/>
    <col min="4614" max="4614" width="14.85546875" style="57" customWidth="1"/>
    <col min="4615" max="4615" width="8.42578125" style="57" customWidth="1"/>
    <col min="4616" max="4854" width="9.140625" style="57"/>
    <col min="4855" max="4855" width="12.140625" style="57" customWidth="1"/>
    <col min="4856" max="4856" width="13.7109375" style="57" customWidth="1"/>
    <col min="4857" max="4857" width="15.28515625" style="57" customWidth="1"/>
    <col min="4858" max="4858" width="14.85546875" style="57" customWidth="1"/>
    <col min="4859" max="4861" width="13.5703125" style="57" customWidth="1"/>
    <col min="4862" max="4863" width="14.42578125" style="57" customWidth="1"/>
    <col min="4864" max="4864" width="12.140625" style="57" customWidth="1"/>
    <col min="4865" max="4865" width="9.42578125" style="57" customWidth="1"/>
    <col min="4866" max="4866" width="14.42578125" style="57" customWidth="1"/>
    <col min="4867" max="4867" width="9.42578125" style="57" customWidth="1"/>
    <col min="4868" max="4868" width="7.85546875" style="57" customWidth="1"/>
    <col min="4869" max="4869" width="8.42578125" style="57" customWidth="1"/>
    <col min="4870" max="4870" width="14.85546875" style="57" customWidth="1"/>
    <col min="4871" max="4871" width="8.42578125" style="57" customWidth="1"/>
    <col min="4872" max="5110" width="9.140625" style="57"/>
    <col min="5111" max="5111" width="12.140625" style="57" customWidth="1"/>
    <col min="5112" max="5112" width="13.7109375" style="57" customWidth="1"/>
    <col min="5113" max="5113" width="15.28515625" style="57" customWidth="1"/>
    <col min="5114" max="5114" width="14.85546875" style="57" customWidth="1"/>
    <col min="5115" max="5117" width="13.5703125" style="57" customWidth="1"/>
    <col min="5118" max="5119" width="14.42578125" style="57" customWidth="1"/>
    <col min="5120" max="5120" width="12.140625" style="57" customWidth="1"/>
    <col min="5121" max="5121" width="9.42578125" style="57" customWidth="1"/>
    <col min="5122" max="5122" width="14.42578125" style="57" customWidth="1"/>
    <col min="5123" max="5123" width="9.42578125" style="57" customWidth="1"/>
    <col min="5124" max="5124" width="7.85546875" style="57" customWidth="1"/>
    <col min="5125" max="5125" width="8.42578125" style="57" customWidth="1"/>
    <col min="5126" max="5126" width="14.85546875" style="57" customWidth="1"/>
    <col min="5127" max="5127" width="8.42578125" style="57" customWidth="1"/>
    <col min="5128" max="5366" width="9.140625" style="57"/>
    <col min="5367" max="5367" width="12.140625" style="57" customWidth="1"/>
    <col min="5368" max="5368" width="13.7109375" style="57" customWidth="1"/>
    <col min="5369" max="5369" width="15.28515625" style="57" customWidth="1"/>
    <col min="5370" max="5370" width="14.85546875" style="57" customWidth="1"/>
    <col min="5371" max="5373" width="13.5703125" style="57" customWidth="1"/>
    <col min="5374" max="5375" width="14.42578125" style="57" customWidth="1"/>
    <col min="5376" max="5376" width="12.140625" style="57" customWidth="1"/>
    <col min="5377" max="5377" width="9.42578125" style="57" customWidth="1"/>
    <col min="5378" max="5378" width="14.42578125" style="57" customWidth="1"/>
    <col min="5379" max="5379" width="9.42578125" style="57" customWidth="1"/>
    <col min="5380" max="5380" width="7.85546875" style="57" customWidth="1"/>
    <col min="5381" max="5381" width="8.42578125" style="57" customWidth="1"/>
    <col min="5382" max="5382" width="14.85546875" style="57" customWidth="1"/>
    <col min="5383" max="5383" width="8.42578125" style="57" customWidth="1"/>
    <col min="5384" max="5622" width="9.140625" style="57"/>
    <col min="5623" max="5623" width="12.140625" style="57" customWidth="1"/>
    <col min="5624" max="5624" width="13.7109375" style="57" customWidth="1"/>
    <col min="5625" max="5625" width="15.28515625" style="57" customWidth="1"/>
    <col min="5626" max="5626" width="14.85546875" style="57" customWidth="1"/>
    <col min="5627" max="5629" width="13.5703125" style="57" customWidth="1"/>
    <col min="5630" max="5631" width="14.42578125" style="57" customWidth="1"/>
    <col min="5632" max="5632" width="12.140625" style="57" customWidth="1"/>
    <col min="5633" max="5633" width="9.42578125" style="57" customWidth="1"/>
    <col min="5634" max="5634" width="14.42578125" style="57" customWidth="1"/>
    <col min="5635" max="5635" width="9.42578125" style="57" customWidth="1"/>
    <col min="5636" max="5636" width="7.85546875" style="57" customWidth="1"/>
    <col min="5637" max="5637" width="8.42578125" style="57" customWidth="1"/>
    <col min="5638" max="5638" width="14.85546875" style="57" customWidth="1"/>
    <col min="5639" max="5639" width="8.42578125" style="57" customWidth="1"/>
    <col min="5640" max="5878" width="9.140625" style="57"/>
    <col min="5879" max="5879" width="12.140625" style="57" customWidth="1"/>
    <col min="5880" max="5880" width="13.7109375" style="57" customWidth="1"/>
    <col min="5881" max="5881" width="15.28515625" style="57" customWidth="1"/>
    <col min="5882" max="5882" width="14.85546875" style="57" customWidth="1"/>
    <col min="5883" max="5885" width="13.5703125" style="57" customWidth="1"/>
    <col min="5886" max="5887" width="14.42578125" style="57" customWidth="1"/>
    <col min="5888" max="5888" width="12.140625" style="57" customWidth="1"/>
    <col min="5889" max="5889" width="9.42578125" style="57" customWidth="1"/>
    <col min="5890" max="5890" width="14.42578125" style="57" customWidth="1"/>
    <col min="5891" max="5891" width="9.42578125" style="57" customWidth="1"/>
    <col min="5892" max="5892" width="7.85546875" style="57" customWidth="1"/>
    <col min="5893" max="5893" width="8.42578125" style="57" customWidth="1"/>
    <col min="5894" max="5894" width="14.85546875" style="57" customWidth="1"/>
    <col min="5895" max="5895" width="8.42578125" style="57" customWidth="1"/>
    <col min="5896" max="6134" width="9.140625" style="57"/>
    <col min="6135" max="6135" width="12.140625" style="57" customWidth="1"/>
    <col min="6136" max="6136" width="13.7109375" style="57" customWidth="1"/>
    <col min="6137" max="6137" width="15.28515625" style="57" customWidth="1"/>
    <col min="6138" max="6138" width="14.85546875" style="57" customWidth="1"/>
    <col min="6139" max="6141" width="13.5703125" style="57" customWidth="1"/>
    <col min="6142" max="6143" width="14.42578125" style="57" customWidth="1"/>
    <col min="6144" max="6144" width="12.140625" style="57" customWidth="1"/>
    <col min="6145" max="6145" width="9.42578125" style="57" customWidth="1"/>
    <col min="6146" max="6146" width="14.42578125" style="57" customWidth="1"/>
    <col min="6147" max="6147" width="9.42578125" style="57" customWidth="1"/>
    <col min="6148" max="6148" width="7.85546875" style="57" customWidth="1"/>
    <col min="6149" max="6149" width="8.42578125" style="57" customWidth="1"/>
    <col min="6150" max="6150" width="14.85546875" style="57" customWidth="1"/>
    <col min="6151" max="6151" width="8.42578125" style="57" customWidth="1"/>
    <col min="6152" max="6390" width="9.140625" style="57"/>
    <col min="6391" max="6391" width="12.140625" style="57" customWidth="1"/>
    <col min="6392" max="6392" width="13.7109375" style="57" customWidth="1"/>
    <col min="6393" max="6393" width="15.28515625" style="57" customWidth="1"/>
    <col min="6394" max="6394" width="14.85546875" style="57" customWidth="1"/>
    <col min="6395" max="6397" width="13.5703125" style="57" customWidth="1"/>
    <col min="6398" max="6399" width="14.42578125" style="57" customWidth="1"/>
    <col min="6400" max="6400" width="12.140625" style="57" customWidth="1"/>
    <col min="6401" max="6401" width="9.42578125" style="57" customWidth="1"/>
    <col min="6402" max="6402" width="14.42578125" style="57" customWidth="1"/>
    <col min="6403" max="6403" width="9.42578125" style="57" customWidth="1"/>
    <col min="6404" max="6404" width="7.85546875" style="57" customWidth="1"/>
    <col min="6405" max="6405" width="8.42578125" style="57" customWidth="1"/>
    <col min="6406" max="6406" width="14.85546875" style="57" customWidth="1"/>
    <col min="6407" max="6407" width="8.42578125" style="57" customWidth="1"/>
    <col min="6408" max="6646" width="9.140625" style="57"/>
    <col min="6647" max="6647" width="12.140625" style="57" customWidth="1"/>
    <col min="6648" max="6648" width="13.7109375" style="57" customWidth="1"/>
    <col min="6649" max="6649" width="15.28515625" style="57" customWidth="1"/>
    <col min="6650" max="6650" width="14.85546875" style="57" customWidth="1"/>
    <col min="6651" max="6653" width="13.5703125" style="57" customWidth="1"/>
    <col min="6654" max="6655" width="14.42578125" style="57" customWidth="1"/>
    <col min="6656" max="6656" width="12.140625" style="57" customWidth="1"/>
    <col min="6657" max="6657" width="9.42578125" style="57" customWidth="1"/>
    <col min="6658" max="6658" width="14.42578125" style="57" customWidth="1"/>
    <col min="6659" max="6659" width="9.42578125" style="57" customWidth="1"/>
    <col min="6660" max="6660" width="7.85546875" style="57" customWidth="1"/>
    <col min="6661" max="6661" width="8.42578125" style="57" customWidth="1"/>
    <col min="6662" max="6662" width="14.85546875" style="57" customWidth="1"/>
    <col min="6663" max="6663" width="8.42578125" style="57" customWidth="1"/>
    <col min="6664" max="6902" width="9.140625" style="57"/>
    <col min="6903" max="6903" width="12.140625" style="57" customWidth="1"/>
    <col min="6904" max="6904" width="13.7109375" style="57" customWidth="1"/>
    <col min="6905" max="6905" width="15.28515625" style="57" customWidth="1"/>
    <col min="6906" max="6906" width="14.85546875" style="57" customWidth="1"/>
    <col min="6907" max="6909" width="13.5703125" style="57" customWidth="1"/>
    <col min="6910" max="6911" width="14.42578125" style="57" customWidth="1"/>
    <col min="6912" max="6912" width="12.140625" style="57" customWidth="1"/>
    <col min="6913" max="6913" width="9.42578125" style="57" customWidth="1"/>
    <col min="6914" max="6914" width="14.42578125" style="57" customWidth="1"/>
    <col min="6915" max="6915" width="9.42578125" style="57" customWidth="1"/>
    <col min="6916" max="6916" width="7.85546875" style="57" customWidth="1"/>
    <col min="6917" max="6917" width="8.42578125" style="57" customWidth="1"/>
    <col min="6918" max="6918" width="14.85546875" style="57" customWidth="1"/>
    <col min="6919" max="6919" width="8.42578125" style="57" customWidth="1"/>
    <col min="6920" max="7158" width="9.140625" style="57"/>
    <col min="7159" max="7159" width="12.140625" style="57" customWidth="1"/>
    <col min="7160" max="7160" width="13.7109375" style="57" customWidth="1"/>
    <col min="7161" max="7161" width="15.28515625" style="57" customWidth="1"/>
    <col min="7162" max="7162" width="14.85546875" style="57" customWidth="1"/>
    <col min="7163" max="7165" width="13.5703125" style="57" customWidth="1"/>
    <col min="7166" max="7167" width="14.42578125" style="57" customWidth="1"/>
    <col min="7168" max="7168" width="12.140625" style="57" customWidth="1"/>
    <col min="7169" max="7169" width="9.42578125" style="57" customWidth="1"/>
    <col min="7170" max="7170" width="14.42578125" style="57" customWidth="1"/>
    <col min="7171" max="7171" width="9.42578125" style="57" customWidth="1"/>
    <col min="7172" max="7172" width="7.85546875" style="57" customWidth="1"/>
    <col min="7173" max="7173" width="8.42578125" style="57" customWidth="1"/>
    <col min="7174" max="7174" width="14.85546875" style="57" customWidth="1"/>
    <col min="7175" max="7175" width="8.42578125" style="57" customWidth="1"/>
    <col min="7176" max="7414" width="9.140625" style="57"/>
    <col min="7415" max="7415" width="12.140625" style="57" customWidth="1"/>
    <col min="7416" max="7416" width="13.7109375" style="57" customWidth="1"/>
    <col min="7417" max="7417" width="15.28515625" style="57" customWidth="1"/>
    <col min="7418" max="7418" width="14.85546875" style="57" customWidth="1"/>
    <col min="7419" max="7421" width="13.5703125" style="57" customWidth="1"/>
    <col min="7422" max="7423" width="14.42578125" style="57" customWidth="1"/>
    <col min="7424" max="7424" width="12.140625" style="57" customWidth="1"/>
    <col min="7425" max="7425" width="9.42578125" style="57" customWidth="1"/>
    <col min="7426" max="7426" width="14.42578125" style="57" customWidth="1"/>
    <col min="7427" max="7427" width="9.42578125" style="57" customWidth="1"/>
    <col min="7428" max="7428" width="7.85546875" style="57" customWidth="1"/>
    <col min="7429" max="7429" width="8.42578125" style="57" customWidth="1"/>
    <col min="7430" max="7430" width="14.85546875" style="57" customWidth="1"/>
    <col min="7431" max="7431" width="8.42578125" style="57" customWidth="1"/>
    <col min="7432" max="7670" width="9.140625" style="57"/>
    <col min="7671" max="7671" width="12.140625" style="57" customWidth="1"/>
    <col min="7672" max="7672" width="13.7109375" style="57" customWidth="1"/>
    <col min="7673" max="7673" width="15.28515625" style="57" customWidth="1"/>
    <col min="7674" max="7674" width="14.85546875" style="57" customWidth="1"/>
    <col min="7675" max="7677" width="13.5703125" style="57" customWidth="1"/>
    <col min="7678" max="7679" width="14.42578125" style="57" customWidth="1"/>
    <col min="7680" max="7680" width="12.140625" style="57" customWidth="1"/>
    <col min="7681" max="7681" width="9.42578125" style="57" customWidth="1"/>
    <col min="7682" max="7682" width="14.42578125" style="57" customWidth="1"/>
    <col min="7683" max="7683" width="9.42578125" style="57" customWidth="1"/>
    <col min="7684" max="7684" width="7.85546875" style="57" customWidth="1"/>
    <col min="7685" max="7685" width="8.42578125" style="57" customWidth="1"/>
    <col min="7686" max="7686" width="14.85546875" style="57" customWidth="1"/>
    <col min="7687" max="7687" width="8.42578125" style="57" customWidth="1"/>
    <col min="7688" max="7926" width="9.140625" style="57"/>
    <col min="7927" max="7927" width="12.140625" style="57" customWidth="1"/>
    <col min="7928" max="7928" width="13.7109375" style="57" customWidth="1"/>
    <col min="7929" max="7929" width="15.28515625" style="57" customWidth="1"/>
    <col min="7930" max="7930" width="14.85546875" style="57" customWidth="1"/>
    <col min="7931" max="7933" width="13.5703125" style="57" customWidth="1"/>
    <col min="7934" max="7935" width="14.42578125" style="57" customWidth="1"/>
    <col min="7936" max="7936" width="12.140625" style="57" customWidth="1"/>
    <col min="7937" max="7937" width="9.42578125" style="57" customWidth="1"/>
    <col min="7938" max="7938" width="14.42578125" style="57" customWidth="1"/>
    <col min="7939" max="7939" width="9.42578125" style="57" customWidth="1"/>
    <col min="7940" max="7940" width="7.85546875" style="57" customWidth="1"/>
    <col min="7941" max="7941" width="8.42578125" style="57" customWidth="1"/>
    <col min="7942" max="7942" width="14.85546875" style="57" customWidth="1"/>
    <col min="7943" max="7943" width="8.42578125" style="57" customWidth="1"/>
    <col min="7944" max="8182" width="9.140625" style="57"/>
    <col min="8183" max="8183" width="12.140625" style="57" customWidth="1"/>
    <col min="8184" max="8184" width="13.7109375" style="57" customWidth="1"/>
    <col min="8185" max="8185" width="15.28515625" style="57" customWidth="1"/>
    <col min="8186" max="8186" width="14.85546875" style="57" customWidth="1"/>
    <col min="8187" max="8189" width="13.5703125" style="57" customWidth="1"/>
    <col min="8190" max="8191" width="14.42578125" style="57" customWidth="1"/>
    <col min="8192" max="8192" width="12.140625" style="57" customWidth="1"/>
    <col min="8193" max="8193" width="9.42578125" style="57" customWidth="1"/>
    <col min="8194" max="8194" width="14.42578125" style="57" customWidth="1"/>
    <col min="8195" max="8195" width="9.42578125" style="57" customWidth="1"/>
    <col min="8196" max="8196" width="7.85546875" style="57" customWidth="1"/>
    <col min="8197" max="8197" width="8.42578125" style="57" customWidth="1"/>
    <col min="8198" max="8198" width="14.85546875" style="57" customWidth="1"/>
    <col min="8199" max="8199" width="8.42578125" style="57" customWidth="1"/>
    <col min="8200" max="8438" width="9.140625" style="57"/>
    <col min="8439" max="8439" width="12.140625" style="57" customWidth="1"/>
    <col min="8440" max="8440" width="13.7109375" style="57" customWidth="1"/>
    <col min="8441" max="8441" width="15.28515625" style="57" customWidth="1"/>
    <col min="8442" max="8442" width="14.85546875" style="57" customWidth="1"/>
    <col min="8443" max="8445" width="13.5703125" style="57" customWidth="1"/>
    <col min="8446" max="8447" width="14.42578125" style="57" customWidth="1"/>
    <col min="8448" max="8448" width="12.140625" style="57" customWidth="1"/>
    <col min="8449" max="8449" width="9.42578125" style="57" customWidth="1"/>
    <col min="8450" max="8450" width="14.42578125" style="57" customWidth="1"/>
    <col min="8451" max="8451" width="9.42578125" style="57" customWidth="1"/>
    <col min="8452" max="8452" width="7.85546875" style="57" customWidth="1"/>
    <col min="8453" max="8453" width="8.42578125" style="57" customWidth="1"/>
    <col min="8454" max="8454" width="14.85546875" style="57" customWidth="1"/>
    <col min="8455" max="8455" width="8.42578125" style="57" customWidth="1"/>
    <col min="8456" max="8694" width="9.140625" style="57"/>
    <col min="8695" max="8695" width="12.140625" style="57" customWidth="1"/>
    <col min="8696" max="8696" width="13.7109375" style="57" customWidth="1"/>
    <col min="8697" max="8697" width="15.28515625" style="57" customWidth="1"/>
    <col min="8698" max="8698" width="14.85546875" style="57" customWidth="1"/>
    <col min="8699" max="8701" width="13.5703125" style="57" customWidth="1"/>
    <col min="8702" max="8703" width="14.42578125" style="57" customWidth="1"/>
    <col min="8704" max="8704" width="12.140625" style="57" customWidth="1"/>
    <col min="8705" max="8705" width="9.42578125" style="57" customWidth="1"/>
    <col min="8706" max="8706" width="14.42578125" style="57" customWidth="1"/>
    <col min="8707" max="8707" width="9.42578125" style="57" customWidth="1"/>
    <col min="8708" max="8708" width="7.85546875" style="57" customWidth="1"/>
    <col min="8709" max="8709" width="8.42578125" style="57" customWidth="1"/>
    <col min="8710" max="8710" width="14.85546875" style="57" customWidth="1"/>
    <col min="8711" max="8711" width="8.42578125" style="57" customWidth="1"/>
    <col min="8712" max="8950" width="9.140625" style="57"/>
    <col min="8951" max="8951" width="12.140625" style="57" customWidth="1"/>
    <col min="8952" max="8952" width="13.7109375" style="57" customWidth="1"/>
    <col min="8953" max="8953" width="15.28515625" style="57" customWidth="1"/>
    <col min="8954" max="8954" width="14.85546875" style="57" customWidth="1"/>
    <col min="8955" max="8957" width="13.5703125" style="57" customWidth="1"/>
    <col min="8958" max="8959" width="14.42578125" style="57" customWidth="1"/>
    <col min="8960" max="8960" width="12.140625" style="57" customWidth="1"/>
    <col min="8961" max="8961" width="9.42578125" style="57" customWidth="1"/>
    <col min="8962" max="8962" width="14.42578125" style="57" customWidth="1"/>
    <col min="8963" max="8963" width="9.42578125" style="57" customWidth="1"/>
    <col min="8964" max="8964" width="7.85546875" style="57" customWidth="1"/>
    <col min="8965" max="8965" width="8.42578125" style="57" customWidth="1"/>
    <col min="8966" max="8966" width="14.85546875" style="57" customWidth="1"/>
    <col min="8967" max="8967" width="8.42578125" style="57" customWidth="1"/>
    <col min="8968" max="9206" width="9.140625" style="57"/>
    <col min="9207" max="9207" width="12.140625" style="57" customWidth="1"/>
    <col min="9208" max="9208" width="13.7109375" style="57" customWidth="1"/>
    <col min="9209" max="9209" width="15.28515625" style="57" customWidth="1"/>
    <col min="9210" max="9210" width="14.85546875" style="57" customWidth="1"/>
    <col min="9211" max="9213" width="13.5703125" style="57" customWidth="1"/>
    <col min="9214" max="9215" width="14.42578125" style="57" customWidth="1"/>
    <col min="9216" max="9216" width="12.140625" style="57" customWidth="1"/>
    <col min="9217" max="9217" width="9.42578125" style="57" customWidth="1"/>
    <col min="9218" max="9218" width="14.42578125" style="57" customWidth="1"/>
    <col min="9219" max="9219" width="9.42578125" style="57" customWidth="1"/>
    <col min="9220" max="9220" width="7.85546875" style="57" customWidth="1"/>
    <col min="9221" max="9221" width="8.42578125" style="57" customWidth="1"/>
    <col min="9222" max="9222" width="14.85546875" style="57" customWidth="1"/>
    <col min="9223" max="9223" width="8.42578125" style="57" customWidth="1"/>
    <col min="9224" max="9462" width="9.140625" style="57"/>
    <col min="9463" max="9463" width="12.140625" style="57" customWidth="1"/>
    <col min="9464" max="9464" width="13.7109375" style="57" customWidth="1"/>
    <col min="9465" max="9465" width="15.28515625" style="57" customWidth="1"/>
    <col min="9466" max="9466" width="14.85546875" style="57" customWidth="1"/>
    <col min="9467" max="9469" width="13.5703125" style="57" customWidth="1"/>
    <col min="9470" max="9471" width="14.42578125" style="57" customWidth="1"/>
    <col min="9472" max="9472" width="12.140625" style="57" customWidth="1"/>
    <col min="9473" max="9473" width="9.42578125" style="57" customWidth="1"/>
    <col min="9474" max="9474" width="14.42578125" style="57" customWidth="1"/>
    <col min="9475" max="9475" width="9.42578125" style="57" customWidth="1"/>
    <col min="9476" max="9476" width="7.85546875" style="57" customWidth="1"/>
    <col min="9477" max="9477" width="8.42578125" style="57" customWidth="1"/>
    <col min="9478" max="9478" width="14.85546875" style="57" customWidth="1"/>
    <col min="9479" max="9479" width="8.42578125" style="57" customWidth="1"/>
    <col min="9480" max="9718" width="9.140625" style="57"/>
    <col min="9719" max="9719" width="12.140625" style="57" customWidth="1"/>
    <col min="9720" max="9720" width="13.7109375" style="57" customWidth="1"/>
    <col min="9721" max="9721" width="15.28515625" style="57" customWidth="1"/>
    <col min="9722" max="9722" width="14.85546875" style="57" customWidth="1"/>
    <col min="9723" max="9725" width="13.5703125" style="57" customWidth="1"/>
    <col min="9726" max="9727" width="14.42578125" style="57" customWidth="1"/>
    <col min="9728" max="9728" width="12.140625" style="57" customWidth="1"/>
    <col min="9729" max="9729" width="9.42578125" style="57" customWidth="1"/>
    <col min="9730" max="9730" width="14.42578125" style="57" customWidth="1"/>
    <col min="9731" max="9731" width="9.42578125" style="57" customWidth="1"/>
    <col min="9732" max="9732" width="7.85546875" style="57" customWidth="1"/>
    <col min="9733" max="9733" width="8.42578125" style="57" customWidth="1"/>
    <col min="9734" max="9734" width="14.85546875" style="57" customWidth="1"/>
    <col min="9735" max="9735" width="8.42578125" style="57" customWidth="1"/>
    <col min="9736" max="9974" width="9.140625" style="57"/>
    <col min="9975" max="9975" width="12.140625" style="57" customWidth="1"/>
    <col min="9976" max="9976" width="13.7109375" style="57" customWidth="1"/>
    <col min="9977" max="9977" width="15.28515625" style="57" customWidth="1"/>
    <col min="9978" max="9978" width="14.85546875" style="57" customWidth="1"/>
    <col min="9979" max="9981" width="13.5703125" style="57" customWidth="1"/>
    <col min="9982" max="9983" width="14.42578125" style="57" customWidth="1"/>
    <col min="9984" max="9984" width="12.140625" style="57" customWidth="1"/>
    <col min="9985" max="9985" width="9.42578125" style="57" customWidth="1"/>
    <col min="9986" max="9986" width="14.42578125" style="57" customWidth="1"/>
    <col min="9987" max="9987" width="9.42578125" style="57" customWidth="1"/>
    <col min="9988" max="9988" width="7.85546875" style="57" customWidth="1"/>
    <col min="9989" max="9989" width="8.42578125" style="57" customWidth="1"/>
    <col min="9990" max="9990" width="14.85546875" style="57" customWidth="1"/>
    <col min="9991" max="9991" width="8.42578125" style="57" customWidth="1"/>
    <col min="9992" max="10230" width="9.140625" style="57"/>
    <col min="10231" max="10231" width="12.140625" style="57" customWidth="1"/>
    <col min="10232" max="10232" width="13.7109375" style="57" customWidth="1"/>
    <col min="10233" max="10233" width="15.28515625" style="57" customWidth="1"/>
    <col min="10234" max="10234" width="14.85546875" style="57" customWidth="1"/>
    <col min="10235" max="10237" width="13.5703125" style="57" customWidth="1"/>
    <col min="10238" max="10239" width="14.42578125" style="57" customWidth="1"/>
    <col min="10240" max="10240" width="12.140625" style="57" customWidth="1"/>
    <col min="10241" max="10241" width="9.42578125" style="57" customWidth="1"/>
    <col min="10242" max="10242" width="14.42578125" style="57" customWidth="1"/>
    <col min="10243" max="10243" width="9.42578125" style="57" customWidth="1"/>
    <col min="10244" max="10244" width="7.85546875" style="57" customWidth="1"/>
    <col min="10245" max="10245" width="8.42578125" style="57" customWidth="1"/>
    <col min="10246" max="10246" width="14.85546875" style="57" customWidth="1"/>
    <col min="10247" max="10247" width="8.42578125" style="57" customWidth="1"/>
    <col min="10248" max="10486" width="9.140625" style="57"/>
    <col min="10487" max="10487" width="12.140625" style="57" customWidth="1"/>
    <col min="10488" max="10488" width="13.7109375" style="57" customWidth="1"/>
    <col min="10489" max="10489" width="15.28515625" style="57" customWidth="1"/>
    <col min="10490" max="10490" width="14.85546875" style="57" customWidth="1"/>
    <col min="10491" max="10493" width="13.5703125" style="57" customWidth="1"/>
    <col min="10494" max="10495" width="14.42578125" style="57" customWidth="1"/>
    <col min="10496" max="10496" width="12.140625" style="57" customWidth="1"/>
    <col min="10497" max="10497" width="9.42578125" style="57" customWidth="1"/>
    <col min="10498" max="10498" width="14.42578125" style="57" customWidth="1"/>
    <col min="10499" max="10499" width="9.42578125" style="57" customWidth="1"/>
    <col min="10500" max="10500" width="7.85546875" style="57" customWidth="1"/>
    <col min="10501" max="10501" width="8.42578125" style="57" customWidth="1"/>
    <col min="10502" max="10502" width="14.85546875" style="57" customWidth="1"/>
    <col min="10503" max="10503" width="8.42578125" style="57" customWidth="1"/>
    <col min="10504" max="10742" width="9.140625" style="57"/>
    <col min="10743" max="10743" width="12.140625" style="57" customWidth="1"/>
    <col min="10744" max="10744" width="13.7109375" style="57" customWidth="1"/>
    <col min="10745" max="10745" width="15.28515625" style="57" customWidth="1"/>
    <col min="10746" max="10746" width="14.85546875" style="57" customWidth="1"/>
    <col min="10747" max="10749" width="13.5703125" style="57" customWidth="1"/>
    <col min="10750" max="10751" width="14.42578125" style="57" customWidth="1"/>
    <col min="10752" max="10752" width="12.140625" style="57" customWidth="1"/>
    <col min="10753" max="10753" width="9.42578125" style="57" customWidth="1"/>
    <col min="10754" max="10754" width="14.42578125" style="57" customWidth="1"/>
    <col min="10755" max="10755" width="9.42578125" style="57" customWidth="1"/>
    <col min="10756" max="10756" width="7.85546875" style="57" customWidth="1"/>
    <col min="10757" max="10757" width="8.42578125" style="57" customWidth="1"/>
    <col min="10758" max="10758" width="14.85546875" style="57" customWidth="1"/>
    <col min="10759" max="10759" width="8.42578125" style="57" customWidth="1"/>
    <col min="10760" max="10998" width="9.140625" style="57"/>
    <col min="10999" max="10999" width="12.140625" style="57" customWidth="1"/>
    <col min="11000" max="11000" width="13.7109375" style="57" customWidth="1"/>
    <col min="11001" max="11001" width="15.28515625" style="57" customWidth="1"/>
    <col min="11002" max="11002" width="14.85546875" style="57" customWidth="1"/>
    <col min="11003" max="11005" width="13.5703125" style="57" customWidth="1"/>
    <col min="11006" max="11007" width="14.42578125" style="57" customWidth="1"/>
    <col min="11008" max="11008" width="12.140625" style="57" customWidth="1"/>
    <col min="11009" max="11009" width="9.42578125" style="57" customWidth="1"/>
    <col min="11010" max="11010" width="14.42578125" style="57" customWidth="1"/>
    <col min="11011" max="11011" width="9.42578125" style="57" customWidth="1"/>
    <col min="11012" max="11012" width="7.85546875" style="57" customWidth="1"/>
    <col min="11013" max="11013" width="8.42578125" style="57" customWidth="1"/>
    <col min="11014" max="11014" width="14.85546875" style="57" customWidth="1"/>
    <col min="11015" max="11015" width="8.42578125" style="57" customWidth="1"/>
    <col min="11016" max="11254" width="9.140625" style="57"/>
    <col min="11255" max="11255" width="12.140625" style="57" customWidth="1"/>
    <col min="11256" max="11256" width="13.7109375" style="57" customWidth="1"/>
    <col min="11257" max="11257" width="15.28515625" style="57" customWidth="1"/>
    <col min="11258" max="11258" width="14.85546875" style="57" customWidth="1"/>
    <col min="11259" max="11261" width="13.5703125" style="57" customWidth="1"/>
    <col min="11262" max="11263" width="14.42578125" style="57" customWidth="1"/>
    <col min="11264" max="11264" width="12.140625" style="57" customWidth="1"/>
    <col min="11265" max="11265" width="9.42578125" style="57" customWidth="1"/>
    <col min="11266" max="11266" width="14.42578125" style="57" customWidth="1"/>
    <col min="11267" max="11267" width="9.42578125" style="57" customWidth="1"/>
    <col min="11268" max="11268" width="7.85546875" style="57" customWidth="1"/>
    <col min="11269" max="11269" width="8.42578125" style="57" customWidth="1"/>
    <col min="11270" max="11270" width="14.85546875" style="57" customWidth="1"/>
    <col min="11271" max="11271" width="8.42578125" style="57" customWidth="1"/>
    <col min="11272" max="11510" width="9.140625" style="57"/>
    <col min="11511" max="11511" width="12.140625" style="57" customWidth="1"/>
    <col min="11512" max="11512" width="13.7109375" style="57" customWidth="1"/>
    <col min="11513" max="11513" width="15.28515625" style="57" customWidth="1"/>
    <col min="11514" max="11514" width="14.85546875" style="57" customWidth="1"/>
    <col min="11515" max="11517" width="13.5703125" style="57" customWidth="1"/>
    <col min="11518" max="11519" width="14.42578125" style="57" customWidth="1"/>
    <col min="11520" max="11520" width="12.140625" style="57" customWidth="1"/>
    <col min="11521" max="11521" width="9.42578125" style="57" customWidth="1"/>
    <col min="11522" max="11522" width="14.42578125" style="57" customWidth="1"/>
    <col min="11523" max="11523" width="9.42578125" style="57" customWidth="1"/>
    <col min="11524" max="11524" width="7.85546875" style="57" customWidth="1"/>
    <col min="11525" max="11525" width="8.42578125" style="57" customWidth="1"/>
    <col min="11526" max="11526" width="14.85546875" style="57" customWidth="1"/>
    <col min="11527" max="11527" width="8.42578125" style="57" customWidth="1"/>
    <col min="11528" max="11766" width="9.140625" style="57"/>
    <col min="11767" max="11767" width="12.140625" style="57" customWidth="1"/>
    <col min="11768" max="11768" width="13.7109375" style="57" customWidth="1"/>
    <col min="11769" max="11769" width="15.28515625" style="57" customWidth="1"/>
    <col min="11770" max="11770" width="14.85546875" style="57" customWidth="1"/>
    <col min="11771" max="11773" width="13.5703125" style="57" customWidth="1"/>
    <col min="11774" max="11775" width="14.42578125" style="57" customWidth="1"/>
    <col min="11776" max="11776" width="12.140625" style="57" customWidth="1"/>
    <col min="11777" max="11777" width="9.42578125" style="57" customWidth="1"/>
    <col min="11778" max="11778" width="14.42578125" style="57" customWidth="1"/>
    <col min="11779" max="11779" width="9.42578125" style="57" customWidth="1"/>
    <col min="11780" max="11780" width="7.85546875" style="57" customWidth="1"/>
    <col min="11781" max="11781" width="8.42578125" style="57" customWidth="1"/>
    <col min="11782" max="11782" width="14.85546875" style="57" customWidth="1"/>
    <col min="11783" max="11783" width="8.42578125" style="57" customWidth="1"/>
    <col min="11784" max="12022" width="9.140625" style="57"/>
    <col min="12023" max="12023" width="12.140625" style="57" customWidth="1"/>
    <col min="12024" max="12024" width="13.7109375" style="57" customWidth="1"/>
    <col min="12025" max="12025" width="15.28515625" style="57" customWidth="1"/>
    <col min="12026" max="12026" width="14.85546875" style="57" customWidth="1"/>
    <col min="12027" max="12029" width="13.5703125" style="57" customWidth="1"/>
    <col min="12030" max="12031" width="14.42578125" style="57" customWidth="1"/>
    <col min="12032" max="12032" width="12.140625" style="57" customWidth="1"/>
    <col min="12033" max="12033" width="9.42578125" style="57" customWidth="1"/>
    <col min="12034" max="12034" width="14.42578125" style="57" customWidth="1"/>
    <col min="12035" max="12035" width="9.42578125" style="57" customWidth="1"/>
    <col min="12036" max="12036" width="7.85546875" style="57" customWidth="1"/>
    <col min="12037" max="12037" width="8.42578125" style="57" customWidth="1"/>
    <col min="12038" max="12038" width="14.85546875" style="57" customWidth="1"/>
    <col min="12039" max="12039" width="8.42578125" style="57" customWidth="1"/>
    <col min="12040" max="12278" width="9.140625" style="57"/>
    <col min="12279" max="12279" width="12.140625" style="57" customWidth="1"/>
    <col min="12280" max="12280" width="13.7109375" style="57" customWidth="1"/>
    <col min="12281" max="12281" width="15.28515625" style="57" customWidth="1"/>
    <col min="12282" max="12282" width="14.85546875" style="57" customWidth="1"/>
    <col min="12283" max="12285" width="13.5703125" style="57" customWidth="1"/>
    <col min="12286" max="12287" width="14.42578125" style="57" customWidth="1"/>
    <col min="12288" max="12288" width="12.140625" style="57" customWidth="1"/>
    <col min="12289" max="12289" width="9.42578125" style="57" customWidth="1"/>
    <col min="12290" max="12290" width="14.42578125" style="57" customWidth="1"/>
    <col min="12291" max="12291" width="9.42578125" style="57" customWidth="1"/>
    <col min="12292" max="12292" width="7.85546875" style="57" customWidth="1"/>
    <col min="12293" max="12293" width="8.42578125" style="57" customWidth="1"/>
    <col min="12294" max="12294" width="14.85546875" style="57" customWidth="1"/>
    <col min="12295" max="12295" width="8.42578125" style="57" customWidth="1"/>
    <col min="12296" max="12534" width="9.140625" style="57"/>
    <col min="12535" max="12535" width="12.140625" style="57" customWidth="1"/>
    <col min="12536" max="12536" width="13.7109375" style="57" customWidth="1"/>
    <col min="12537" max="12537" width="15.28515625" style="57" customWidth="1"/>
    <col min="12538" max="12538" width="14.85546875" style="57" customWidth="1"/>
    <col min="12539" max="12541" width="13.5703125" style="57" customWidth="1"/>
    <col min="12542" max="12543" width="14.42578125" style="57" customWidth="1"/>
    <col min="12544" max="12544" width="12.140625" style="57" customWidth="1"/>
    <col min="12545" max="12545" width="9.42578125" style="57" customWidth="1"/>
    <col min="12546" max="12546" width="14.42578125" style="57" customWidth="1"/>
    <col min="12547" max="12547" width="9.42578125" style="57" customWidth="1"/>
    <col min="12548" max="12548" width="7.85546875" style="57" customWidth="1"/>
    <col min="12549" max="12549" width="8.42578125" style="57" customWidth="1"/>
    <col min="12550" max="12550" width="14.85546875" style="57" customWidth="1"/>
    <col min="12551" max="12551" width="8.42578125" style="57" customWidth="1"/>
    <col min="12552" max="12790" width="9.140625" style="57"/>
    <col min="12791" max="12791" width="12.140625" style="57" customWidth="1"/>
    <col min="12792" max="12792" width="13.7109375" style="57" customWidth="1"/>
    <col min="12793" max="12793" width="15.28515625" style="57" customWidth="1"/>
    <col min="12794" max="12794" width="14.85546875" style="57" customWidth="1"/>
    <col min="12795" max="12797" width="13.5703125" style="57" customWidth="1"/>
    <col min="12798" max="12799" width="14.42578125" style="57" customWidth="1"/>
    <col min="12800" max="12800" width="12.140625" style="57" customWidth="1"/>
    <col min="12801" max="12801" width="9.42578125" style="57" customWidth="1"/>
    <col min="12802" max="12802" width="14.42578125" style="57" customWidth="1"/>
    <col min="12803" max="12803" width="9.42578125" style="57" customWidth="1"/>
    <col min="12804" max="12804" width="7.85546875" style="57" customWidth="1"/>
    <col min="12805" max="12805" width="8.42578125" style="57" customWidth="1"/>
    <col min="12806" max="12806" width="14.85546875" style="57" customWidth="1"/>
    <col min="12807" max="12807" width="8.42578125" style="57" customWidth="1"/>
    <col min="12808" max="13046" width="9.140625" style="57"/>
    <col min="13047" max="13047" width="12.140625" style="57" customWidth="1"/>
    <col min="13048" max="13048" width="13.7109375" style="57" customWidth="1"/>
    <col min="13049" max="13049" width="15.28515625" style="57" customWidth="1"/>
    <col min="13050" max="13050" width="14.85546875" style="57" customWidth="1"/>
    <col min="13051" max="13053" width="13.5703125" style="57" customWidth="1"/>
    <col min="13054" max="13055" width="14.42578125" style="57" customWidth="1"/>
    <col min="13056" max="13056" width="12.140625" style="57" customWidth="1"/>
    <col min="13057" max="13057" width="9.42578125" style="57" customWidth="1"/>
    <col min="13058" max="13058" width="14.42578125" style="57" customWidth="1"/>
    <col min="13059" max="13059" width="9.42578125" style="57" customWidth="1"/>
    <col min="13060" max="13060" width="7.85546875" style="57" customWidth="1"/>
    <col min="13061" max="13061" width="8.42578125" style="57" customWidth="1"/>
    <col min="13062" max="13062" width="14.85546875" style="57" customWidth="1"/>
    <col min="13063" max="13063" width="8.42578125" style="57" customWidth="1"/>
    <col min="13064" max="13302" width="9.140625" style="57"/>
    <col min="13303" max="13303" width="12.140625" style="57" customWidth="1"/>
    <col min="13304" max="13304" width="13.7109375" style="57" customWidth="1"/>
    <col min="13305" max="13305" width="15.28515625" style="57" customWidth="1"/>
    <col min="13306" max="13306" width="14.85546875" style="57" customWidth="1"/>
    <col min="13307" max="13309" width="13.5703125" style="57" customWidth="1"/>
    <col min="13310" max="13311" width="14.42578125" style="57" customWidth="1"/>
    <col min="13312" max="13312" width="12.140625" style="57" customWidth="1"/>
    <col min="13313" max="13313" width="9.42578125" style="57" customWidth="1"/>
    <col min="13314" max="13314" width="14.42578125" style="57" customWidth="1"/>
    <col min="13315" max="13315" width="9.42578125" style="57" customWidth="1"/>
    <col min="13316" max="13316" width="7.85546875" style="57" customWidth="1"/>
    <col min="13317" max="13317" width="8.42578125" style="57" customWidth="1"/>
    <col min="13318" max="13318" width="14.85546875" style="57" customWidth="1"/>
    <col min="13319" max="13319" width="8.42578125" style="57" customWidth="1"/>
    <col min="13320" max="13558" width="9.140625" style="57"/>
    <col min="13559" max="13559" width="12.140625" style="57" customWidth="1"/>
    <col min="13560" max="13560" width="13.7109375" style="57" customWidth="1"/>
    <col min="13561" max="13561" width="15.28515625" style="57" customWidth="1"/>
    <col min="13562" max="13562" width="14.85546875" style="57" customWidth="1"/>
    <col min="13563" max="13565" width="13.5703125" style="57" customWidth="1"/>
    <col min="13566" max="13567" width="14.42578125" style="57" customWidth="1"/>
    <col min="13568" max="13568" width="12.140625" style="57" customWidth="1"/>
    <col min="13569" max="13569" width="9.42578125" style="57" customWidth="1"/>
    <col min="13570" max="13570" width="14.42578125" style="57" customWidth="1"/>
    <col min="13571" max="13571" width="9.42578125" style="57" customWidth="1"/>
    <col min="13572" max="13572" width="7.85546875" style="57" customWidth="1"/>
    <col min="13573" max="13573" width="8.42578125" style="57" customWidth="1"/>
    <col min="13574" max="13574" width="14.85546875" style="57" customWidth="1"/>
    <col min="13575" max="13575" width="8.42578125" style="57" customWidth="1"/>
    <col min="13576" max="13814" width="9.140625" style="57"/>
    <col min="13815" max="13815" width="12.140625" style="57" customWidth="1"/>
    <col min="13816" max="13816" width="13.7109375" style="57" customWidth="1"/>
    <col min="13817" max="13817" width="15.28515625" style="57" customWidth="1"/>
    <col min="13818" max="13818" width="14.85546875" style="57" customWidth="1"/>
    <col min="13819" max="13821" width="13.5703125" style="57" customWidth="1"/>
    <col min="13822" max="13823" width="14.42578125" style="57" customWidth="1"/>
    <col min="13824" max="13824" width="12.140625" style="57" customWidth="1"/>
    <col min="13825" max="13825" width="9.42578125" style="57" customWidth="1"/>
    <col min="13826" max="13826" width="14.42578125" style="57" customWidth="1"/>
    <col min="13827" max="13827" width="9.42578125" style="57" customWidth="1"/>
    <col min="13828" max="13828" width="7.85546875" style="57" customWidth="1"/>
    <col min="13829" max="13829" width="8.42578125" style="57" customWidth="1"/>
    <col min="13830" max="13830" width="14.85546875" style="57" customWidth="1"/>
    <col min="13831" max="13831" width="8.42578125" style="57" customWidth="1"/>
    <col min="13832" max="14070" width="9.140625" style="57"/>
    <col min="14071" max="14071" width="12.140625" style="57" customWidth="1"/>
    <col min="14072" max="14072" width="13.7109375" style="57" customWidth="1"/>
    <col min="14073" max="14073" width="15.28515625" style="57" customWidth="1"/>
    <col min="14074" max="14074" width="14.85546875" style="57" customWidth="1"/>
    <col min="14075" max="14077" width="13.5703125" style="57" customWidth="1"/>
    <col min="14078" max="14079" width="14.42578125" style="57" customWidth="1"/>
    <col min="14080" max="14080" width="12.140625" style="57" customWidth="1"/>
    <col min="14081" max="14081" width="9.42578125" style="57" customWidth="1"/>
    <col min="14082" max="14082" width="14.42578125" style="57" customWidth="1"/>
    <col min="14083" max="14083" width="9.42578125" style="57" customWidth="1"/>
    <col min="14084" max="14084" width="7.85546875" style="57" customWidth="1"/>
    <col min="14085" max="14085" width="8.42578125" style="57" customWidth="1"/>
    <col min="14086" max="14086" width="14.85546875" style="57" customWidth="1"/>
    <col min="14087" max="14087" width="8.42578125" style="57" customWidth="1"/>
    <col min="14088" max="14326" width="9.140625" style="57"/>
    <col min="14327" max="14327" width="12.140625" style="57" customWidth="1"/>
    <col min="14328" max="14328" width="13.7109375" style="57" customWidth="1"/>
    <col min="14329" max="14329" width="15.28515625" style="57" customWidth="1"/>
    <col min="14330" max="14330" width="14.85546875" style="57" customWidth="1"/>
    <col min="14331" max="14333" width="13.5703125" style="57" customWidth="1"/>
    <col min="14334" max="14335" width="14.42578125" style="57" customWidth="1"/>
    <col min="14336" max="14336" width="12.140625" style="57" customWidth="1"/>
    <col min="14337" max="14337" width="9.42578125" style="57" customWidth="1"/>
    <col min="14338" max="14338" width="14.42578125" style="57" customWidth="1"/>
    <col min="14339" max="14339" width="9.42578125" style="57" customWidth="1"/>
    <col min="14340" max="14340" width="7.85546875" style="57" customWidth="1"/>
    <col min="14341" max="14341" width="8.42578125" style="57" customWidth="1"/>
    <col min="14342" max="14342" width="14.85546875" style="57" customWidth="1"/>
    <col min="14343" max="14343" width="8.42578125" style="57" customWidth="1"/>
    <col min="14344" max="14582" width="9.140625" style="57"/>
    <col min="14583" max="14583" width="12.140625" style="57" customWidth="1"/>
    <col min="14584" max="14584" width="13.7109375" style="57" customWidth="1"/>
    <col min="14585" max="14585" width="15.28515625" style="57" customWidth="1"/>
    <col min="14586" max="14586" width="14.85546875" style="57" customWidth="1"/>
    <col min="14587" max="14589" width="13.5703125" style="57" customWidth="1"/>
    <col min="14590" max="14591" width="14.42578125" style="57" customWidth="1"/>
    <col min="14592" max="14592" width="12.140625" style="57" customWidth="1"/>
    <col min="14593" max="14593" width="9.42578125" style="57" customWidth="1"/>
    <col min="14594" max="14594" width="14.42578125" style="57" customWidth="1"/>
    <col min="14595" max="14595" width="9.42578125" style="57" customWidth="1"/>
    <col min="14596" max="14596" width="7.85546875" style="57" customWidth="1"/>
    <col min="14597" max="14597" width="8.42578125" style="57" customWidth="1"/>
    <col min="14598" max="14598" width="14.85546875" style="57" customWidth="1"/>
    <col min="14599" max="14599" width="8.42578125" style="57" customWidth="1"/>
    <col min="14600" max="14838" width="9.140625" style="57"/>
    <col min="14839" max="14839" width="12.140625" style="57" customWidth="1"/>
    <col min="14840" max="14840" width="13.7109375" style="57" customWidth="1"/>
    <col min="14841" max="14841" width="15.28515625" style="57" customWidth="1"/>
    <col min="14842" max="14842" width="14.85546875" style="57" customWidth="1"/>
    <col min="14843" max="14845" width="13.5703125" style="57" customWidth="1"/>
    <col min="14846" max="14847" width="14.42578125" style="57" customWidth="1"/>
    <col min="14848" max="14848" width="12.140625" style="57" customWidth="1"/>
    <col min="14849" max="14849" width="9.42578125" style="57" customWidth="1"/>
    <col min="14850" max="14850" width="14.42578125" style="57" customWidth="1"/>
    <col min="14851" max="14851" width="9.42578125" style="57" customWidth="1"/>
    <col min="14852" max="14852" width="7.85546875" style="57" customWidth="1"/>
    <col min="14853" max="14853" width="8.42578125" style="57" customWidth="1"/>
    <col min="14854" max="14854" width="14.85546875" style="57" customWidth="1"/>
    <col min="14855" max="14855" width="8.42578125" style="57" customWidth="1"/>
    <col min="14856" max="15094" width="9.140625" style="57"/>
    <col min="15095" max="15095" width="12.140625" style="57" customWidth="1"/>
    <col min="15096" max="15096" width="13.7109375" style="57" customWidth="1"/>
    <col min="15097" max="15097" width="15.28515625" style="57" customWidth="1"/>
    <col min="15098" max="15098" width="14.85546875" style="57" customWidth="1"/>
    <col min="15099" max="15101" width="13.5703125" style="57" customWidth="1"/>
    <col min="15102" max="15103" width="14.42578125" style="57" customWidth="1"/>
    <col min="15104" max="15104" width="12.140625" style="57" customWidth="1"/>
    <col min="15105" max="15105" width="9.42578125" style="57" customWidth="1"/>
    <col min="15106" max="15106" width="14.42578125" style="57" customWidth="1"/>
    <col min="15107" max="15107" width="9.42578125" style="57" customWidth="1"/>
    <col min="15108" max="15108" width="7.85546875" style="57" customWidth="1"/>
    <col min="15109" max="15109" width="8.42578125" style="57" customWidth="1"/>
    <col min="15110" max="15110" width="14.85546875" style="57" customWidth="1"/>
    <col min="15111" max="15111" width="8.42578125" style="57" customWidth="1"/>
    <col min="15112" max="15350" width="9.140625" style="57"/>
    <col min="15351" max="15351" width="12.140625" style="57" customWidth="1"/>
    <col min="15352" max="15352" width="13.7109375" style="57" customWidth="1"/>
    <col min="15353" max="15353" width="15.28515625" style="57" customWidth="1"/>
    <col min="15354" max="15354" width="14.85546875" style="57" customWidth="1"/>
    <col min="15355" max="15357" width="13.5703125" style="57" customWidth="1"/>
    <col min="15358" max="15359" width="14.42578125" style="57" customWidth="1"/>
    <col min="15360" max="15360" width="12.140625" style="57" customWidth="1"/>
    <col min="15361" max="15361" width="9.42578125" style="57" customWidth="1"/>
    <col min="15362" max="15362" width="14.42578125" style="57" customWidth="1"/>
    <col min="15363" max="15363" width="9.42578125" style="57" customWidth="1"/>
    <col min="15364" max="15364" width="7.85546875" style="57" customWidth="1"/>
    <col min="15365" max="15365" width="8.42578125" style="57" customWidth="1"/>
    <col min="15366" max="15366" width="14.85546875" style="57" customWidth="1"/>
    <col min="15367" max="15367" width="8.42578125" style="57" customWidth="1"/>
    <col min="15368" max="15606" width="9.140625" style="57"/>
    <col min="15607" max="15607" width="12.140625" style="57" customWidth="1"/>
    <col min="15608" max="15608" width="13.7109375" style="57" customWidth="1"/>
    <col min="15609" max="15609" width="15.28515625" style="57" customWidth="1"/>
    <col min="15610" max="15610" width="14.85546875" style="57" customWidth="1"/>
    <col min="15611" max="15613" width="13.5703125" style="57" customWidth="1"/>
    <col min="15614" max="15615" width="14.42578125" style="57" customWidth="1"/>
    <col min="15616" max="15616" width="12.140625" style="57" customWidth="1"/>
    <col min="15617" max="15617" width="9.42578125" style="57" customWidth="1"/>
    <col min="15618" max="15618" width="14.42578125" style="57" customWidth="1"/>
    <col min="15619" max="15619" width="9.42578125" style="57" customWidth="1"/>
    <col min="15620" max="15620" width="7.85546875" style="57" customWidth="1"/>
    <col min="15621" max="15621" width="8.42578125" style="57" customWidth="1"/>
    <col min="15622" max="15622" width="14.85546875" style="57" customWidth="1"/>
    <col min="15623" max="15623" width="8.42578125" style="57" customWidth="1"/>
    <col min="15624" max="15862" width="9.140625" style="57"/>
    <col min="15863" max="15863" width="12.140625" style="57" customWidth="1"/>
    <col min="15864" max="15864" width="13.7109375" style="57" customWidth="1"/>
    <col min="15865" max="15865" width="15.28515625" style="57" customWidth="1"/>
    <col min="15866" max="15866" width="14.85546875" style="57" customWidth="1"/>
    <col min="15867" max="15869" width="13.5703125" style="57" customWidth="1"/>
    <col min="15870" max="15871" width="14.42578125" style="57" customWidth="1"/>
    <col min="15872" max="15872" width="12.140625" style="57" customWidth="1"/>
    <col min="15873" max="15873" width="9.42578125" style="57" customWidth="1"/>
    <col min="15874" max="15874" width="14.42578125" style="57" customWidth="1"/>
    <col min="15875" max="15875" width="9.42578125" style="57" customWidth="1"/>
    <col min="15876" max="15876" width="7.85546875" style="57" customWidth="1"/>
    <col min="15877" max="15877" width="8.42578125" style="57" customWidth="1"/>
    <col min="15878" max="15878" width="14.85546875" style="57" customWidth="1"/>
    <col min="15879" max="15879" width="8.42578125" style="57" customWidth="1"/>
    <col min="15880" max="16118" width="9.140625" style="57"/>
    <col min="16119" max="16119" width="12.140625" style="57" customWidth="1"/>
    <col min="16120" max="16120" width="13.7109375" style="57" customWidth="1"/>
    <col min="16121" max="16121" width="15.28515625" style="57" customWidth="1"/>
    <col min="16122" max="16122" width="14.85546875" style="57" customWidth="1"/>
    <col min="16123" max="16125" width="13.5703125" style="57" customWidth="1"/>
    <col min="16126" max="16127" width="14.42578125" style="57" customWidth="1"/>
    <col min="16128" max="16128" width="12.140625" style="57" customWidth="1"/>
    <col min="16129" max="16129" width="9.42578125" style="57" customWidth="1"/>
    <col min="16130" max="16130" width="14.42578125" style="57" customWidth="1"/>
    <col min="16131" max="16131" width="9.42578125" style="57" customWidth="1"/>
    <col min="16132" max="16132" width="7.85546875" style="57" customWidth="1"/>
    <col min="16133" max="16133" width="8.42578125" style="57" customWidth="1"/>
    <col min="16134" max="16134" width="14.85546875" style="57" customWidth="1"/>
    <col min="16135" max="16135" width="8.42578125" style="57" customWidth="1"/>
    <col min="16136" max="16384" width="9.140625" style="57"/>
  </cols>
  <sheetData>
    <row r="1" spans="1:7" s="63" customFormat="1" x14ac:dyDescent="0.2">
      <c r="A1" s="52" t="s">
        <v>75</v>
      </c>
      <c r="B1" s="52" t="s">
        <v>76</v>
      </c>
      <c r="C1" s="60" t="s">
        <v>3</v>
      </c>
      <c r="D1" s="60" t="s">
        <v>4</v>
      </c>
      <c r="E1" s="59" t="s">
        <v>28</v>
      </c>
      <c r="F1" s="62" t="s">
        <v>77</v>
      </c>
      <c r="G1" s="61"/>
    </row>
    <row r="2" spans="1:7" x14ac:dyDescent="0.2">
      <c r="A2" s="53" t="s">
        <v>78</v>
      </c>
      <c r="B2" s="53" t="s">
        <v>33</v>
      </c>
      <c r="C2" s="58" t="s">
        <v>32</v>
      </c>
      <c r="D2" s="58">
        <v>1614810.53299363</v>
      </c>
      <c r="E2" s="54" t="s">
        <v>32</v>
      </c>
      <c r="F2" s="56" t="s">
        <v>32</v>
      </c>
    </row>
    <row r="3" spans="1:7" x14ac:dyDescent="0.2">
      <c r="A3" s="53" t="s">
        <v>79</v>
      </c>
      <c r="B3" s="53" t="s">
        <v>34</v>
      </c>
      <c r="C3" s="58" t="s">
        <v>32</v>
      </c>
      <c r="D3" s="58">
        <v>1438754.3494833999</v>
      </c>
      <c r="E3" s="54" t="s">
        <v>32</v>
      </c>
      <c r="F3" s="56" t="s">
        <v>32</v>
      </c>
    </row>
    <row r="4" spans="1:7" x14ac:dyDescent="0.2">
      <c r="A4" s="53" t="s">
        <v>80</v>
      </c>
      <c r="B4" s="53" t="s">
        <v>35</v>
      </c>
      <c r="C4" s="58" t="s">
        <v>32</v>
      </c>
      <c r="D4" s="58">
        <v>1834176.57378164</v>
      </c>
      <c r="E4" s="54" t="s">
        <v>32</v>
      </c>
      <c r="F4" s="56" t="s">
        <v>32</v>
      </c>
    </row>
    <row r="5" spans="1:7" s="69" customFormat="1" x14ac:dyDescent="0.2">
      <c r="A5" s="64" t="s">
        <v>98</v>
      </c>
      <c r="B5" s="64" t="s">
        <v>36</v>
      </c>
      <c r="C5" s="65">
        <v>69348.166490753603</v>
      </c>
      <c r="D5" s="65">
        <v>1796105.1805519799</v>
      </c>
      <c r="E5" s="66">
        <v>3.8610303695823002E-2</v>
      </c>
      <c r="F5" s="68">
        <v>6.7589083333333297</v>
      </c>
      <c r="G5" s="67"/>
    </row>
    <row r="6" spans="1:7" s="69" customFormat="1" x14ac:dyDescent="0.2">
      <c r="A6" s="64" t="s">
        <v>99</v>
      </c>
      <c r="B6" s="64" t="s">
        <v>37</v>
      </c>
      <c r="C6" s="65">
        <v>71444.677286931197</v>
      </c>
      <c r="D6" s="65">
        <v>1463852.80561762</v>
      </c>
      <c r="E6" s="66">
        <v>4.8805916150010002E-2</v>
      </c>
      <c r="F6" s="68">
        <v>6.7587933333333297</v>
      </c>
      <c r="G6" s="67"/>
    </row>
    <row r="7" spans="1:7" s="69" customFormat="1" x14ac:dyDescent="0.2">
      <c r="A7" s="64" t="s">
        <v>100</v>
      </c>
      <c r="B7" s="64" t="s">
        <v>38</v>
      </c>
      <c r="C7" s="65">
        <v>64862.1012583599</v>
      </c>
      <c r="D7" s="65">
        <v>1487558.6118602799</v>
      </c>
      <c r="E7" s="66">
        <v>4.3603055866985999E-2</v>
      </c>
      <c r="F7" s="68">
        <v>6.7588999999999997</v>
      </c>
      <c r="G7" s="67"/>
    </row>
    <row r="8" spans="1:7" s="69" customFormat="1" x14ac:dyDescent="0.2">
      <c r="A8" s="64" t="s">
        <v>101</v>
      </c>
      <c r="B8" s="64" t="s">
        <v>39</v>
      </c>
      <c r="C8" s="65">
        <v>51950.172782528098</v>
      </c>
      <c r="D8" s="65">
        <v>1674921.8864398301</v>
      </c>
      <c r="E8" s="66">
        <v>3.1016474978993E-2</v>
      </c>
      <c r="F8" s="68">
        <v>6.75887833333333</v>
      </c>
      <c r="G8" s="67"/>
    </row>
    <row r="9" spans="1:7" s="69" customFormat="1" x14ac:dyDescent="0.2">
      <c r="A9" s="64" t="s">
        <v>102</v>
      </c>
      <c r="B9" s="64" t="s">
        <v>40</v>
      </c>
      <c r="C9" s="65">
        <v>63626.565122152802</v>
      </c>
      <c r="D9" s="65">
        <v>1579527.7677353299</v>
      </c>
      <c r="E9" s="66">
        <v>4.0282017462332002E-2</v>
      </c>
      <c r="F9" s="68">
        <v>6.7588600000000003</v>
      </c>
      <c r="G9" s="67"/>
    </row>
    <row r="10" spans="1:7" s="69" customFormat="1" x14ac:dyDescent="0.2">
      <c r="A10" s="64" t="s">
        <v>103</v>
      </c>
      <c r="B10" s="64" t="s">
        <v>41</v>
      </c>
      <c r="C10" s="65">
        <v>58384.763952268499</v>
      </c>
      <c r="D10" s="65">
        <v>1692554.8486385001</v>
      </c>
      <c r="E10" s="66">
        <v>3.4495049894090003E-2</v>
      </c>
      <c r="F10" s="68">
        <v>6.7533833333333302</v>
      </c>
      <c r="G10" s="67"/>
    </row>
    <row r="11" spans="1:7" s="69" customFormat="1" x14ac:dyDescent="0.2">
      <c r="A11" s="64" t="s">
        <v>104</v>
      </c>
      <c r="B11" s="64" t="s">
        <v>42</v>
      </c>
      <c r="C11" s="65">
        <v>50007.019841766603</v>
      </c>
      <c r="D11" s="65">
        <v>1638285.40785609</v>
      </c>
      <c r="E11" s="66">
        <v>3.0523997590388E-2</v>
      </c>
      <c r="F11" s="68">
        <v>6.7588966666666597</v>
      </c>
      <c r="G11" s="67"/>
    </row>
    <row r="12" spans="1:7" s="69" customFormat="1" x14ac:dyDescent="0.2">
      <c r="A12" s="64" t="s">
        <v>105</v>
      </c>
      <c r="B12" s="64" t="s">
        <v>43</v>
      </c>
      <c r="C12" s="65">
        <v>57934.824252272199</v>
      </c>
      <c r="D12" s="65">
        <v>1677068.59466241</v>
      </c>
      <c r="E12" s="66">
        <v>3.4545291967580001E-2</v>
      </c>
      <c r="F12" s="68">
        <v>6.7534166666666602</v>
      </c>
      <c r="G12" s="67"/>
    </row>
    <row r="13" spans="1:7" s="69" customFormat="1" x14ac:dyDescent="0.2">
      <c r="A13" s="64" t="s">
        <v>106</v>
      </c>
      <c r="B13" s="64" t="s">
        <v>44</v>
      </c>
      <c r="C13" s="65">
        <v>58060.572951678798</v>
      </c>
      <c r="D13" s="65">
        <v>1596093.58663356</v>
      </c>
      <c r="E13" s="66">
        <v>3.6376672043484999E-2</v>
      </c>
      <c r="F13" s="68">
        <v>6.7533566666666598</v>
      </c>
      <c r="G13" s="67"/>
    </row>
    <row r="14" spans="1:7" s="69" customFormat="1" x14ac:dyDescent="0.2">
      <c r="A14" s="64" t="s">
        <v>107</v>
      </c>
      <c r="B14" s="64" t="s">
        <v>45</v>
      </c>
      <c r="C14" s="65">
        <v>61066.895661970397</v>
      </c>
      <c r="D14" s="65">
        <v>1733730.0779275901</v>
      </c>
      <c r="E14" s="66">
        <v>3.5222839148621003E-2</v>
      </c>
      <c r="F14" s="68">
        <v>6.7533666666666603</v>
      </c>
      <c r="G14" s="67"/>
    </row>
    <row r="15" spans="1:7" s="69" customFormat="1" x14ac:dyDescent="0.2">
      <c r="A15" s="64" t="s">
        <v>108</v>
      </c>
      <c r="B15" s="64" t="s">
        <v>46</v>
      </c>
      <c r="C15" s="65">
        <v>58175.269930512797</v>
      </c>
      <c r="D15" s="65">
        <v>1676962.71705405</v>
      </c>
      <c r="E15" s="66">
        <v>3.4690854685612997E-2</v>
      </c>
      <c r="F15" s="68">
        <v>6.7533149999999997</v>
      </c>
      <c r="G15" s="67"/>
    </row>
    <row r="16" spans="1:7" s="69" customFormat="1" x14ac:dyDescent="0.2">
      <c r="A16" s="64" t="s">
        <v>109</v>
      </c>
      <c r="B16" s="64" t="s">
        <v>47</v>
      </c>
      <c r="C16" s="65">
        <v>59873.2990662468</v>
      </c>
      <c r="D16" s="65">
        <v>1711195.9636208899</v>
      </c>
      <c r="E16" s="66">
        <v>3.4989153983015997E-2</v>
      </c>
      <c r="F16" s="68">
        <v>6.7535150000000002</v>
      </c>
      <c r="G16" s="67"/>
    </row>
    <row r="17" spans="1:7" s="69" customFormat="1" x14ac:dyDescent="0.2">
      <c r="A17" s="64" t="s">
        <v>110</v>
      </c>
      <c r="B17" s="64" t="s">
        <v>48</v>
      </c>
      <c r="C17" s="65">
        <v>60606.566084946302</v>
      </c>
      <c r="D17" s="65">
        <v>1724519.53830482</v>
      </c>
      <c r="E17" s="66">
        <v>3.5144029823241003E-2</v>
      </c>
      <c r="F17" s="68">
        <v>6.7587183333333298</v>
      </c>
      <c r="G17" s="67"/>
    </row>
    <row r="18" spans="1:7" s="69" customFormat="1" x14ac:dyDescent="0.2">
      <c r="A18" s="64" t="s">
        <v>111</v>
      </c>
      <c r="B18" s="64" t="s">
        <v>49</v>
      </c>
      <c r="C18" s="65">
        <v>64849.752456891998</v>
      </c>
      <c r="D18" s="65">
        <v>1728837.17988999</v>
      </c>
      <c r="E18" s="66">
        <v>3.7510618820113001E-2</v>
      </c>
      <c r="F18" s="68">
        <v>6.75878333333333</v>
      </c>
      <c r="G18" s="67"/>
    </row>
    <row r="19" spans="1:7" s="69" customFormat="1" x14ac:dyDescent="0.2">
      <c r="A19" s="64" t="s">
        <v>112</v>
      </c>
      <c r="B19" s="64" t="s">
        <v>50</v>
      </c>
      <c r="C19" s="65">
        <v>63961.937914694303</v>
      </c>
      <c r="D19" s="65">
        <v>1652750.06739815</v>
      </c>
      <c r="E19" s="66">
        <v>3.8700308761981002E-2</v>
      </c>
      <c r="F19" s="68">
        <v>6.7534349999999996</v>
      </c>
      <c r="G19" s="67"/>
    </row>
    <row r="20" spans="1:7" s="69" customFormat="1" x14ac:dyDescent="0.2">
      <c r="A20" s="64" t="s">
        <v>113</v>
      </c>
      <c r="B20" s="64" t="s">
        <v>51</v>
      </c>
      <c r="C20" s="65">
        <v>66483.046152428506</v>
      </c>
      <c r="D20" s="65">
        <v>2009803.66327705</v>
      </c>
      <c r="E20" s="66">
        <v>3.3079373556333003E-2</v>
      </c>
      <c r="F20" s="68">
        <v>6.7533166666666604</v>
      </c>
      <c r="G20" s="67"/>
    </row>
    <row r="21" spans="1:7" s="69" customFormat="1" x14ac:dyDescent="0.2">
      <c r="A21" s="64" t="s">
        <v>114</v>
      </c>
      <c r="B21" s="64" t="s">
        <v>52</v>
      </c>
      <c r="C21" s="65">
        <v>66433.899352257606</v>
      </c>
      <c r="D21" s="65">
        <v>2102727.3798966301</v>
      </c>
      <c r="E21" s="66">
        <v>3.1594157182431998E-2</v>
      </c>
      <c r="F21" s="68">
        <v>6.7534616666666603</v>
      </c>
      <c r="G21" s="67"/>
    </row>
    <row r="23" spans="1:7" x14ac:dyDescent="0.2">
      <c r="A23" s="53" t="s">
        <v>78</v>
      </c>
      <c r="B23" s="53" t="s">
        <v>33</v>
      </c>
      <c r="C23" s="58">
        <v>63006.637593644802</v>
      </c>
      <c r="D23" s="58">
        <v>1614810.53299363</v>
      </c>
      <c r="E23" s="54">
        <v>3.9017975363859002E-2</v>
      </c>
      <c r="F23" s="56">
        <v>6.4611633333333298</v>
      </c>
    </row>
    <row r="24" spans="1:7" x14ac:dyDescent="0.2">
      <c r="A24" s="53" t="s">
        <v>79</v>
      </c>
      <c r="B24" s="53" t="s">
        <v>34</v>
      </c>
      <c r="C24" s="58">
        <v>45333.222140236903</v>
      </c>
      <c r="D24" s="58">
        <v>1438754.3494833999</v>
      </c>
      <c r="E24" s="54">
        <v>3.150866036062E-2</v>
      </c>
      <c r="F24" s="56">
        <v>6.4487683333333301</v>
      </c>
    </row>
    <row r="25" spans="1:7" x14ac:dyDescent="0.2">
      <c r="A25" s="53" t="s">
        <v>80</v>
      </c>
      <c r="B25" s="53" t="s">
        <v>35</v>
      </c>
      <c r="C25" s="58">
        <v>5917.2234289363796</v>
      </c>
      <c r="D25" s="58">
        <v>1834176.57378164</v>
      </c>
      <c r="E25" s="54">
        <v>3.226092576647E-3</v>
      </c>
      <c r="F25" s="56">
        <v>6.4447233333333296</v>
      </c>
    </row>
    <row r="26" spans="1:7" s="69" customFormat="1" x14ac:dyDescent="0.2">
      <c r="A26" s="64" t="s">
        <v>81</v>
      </c>
      <c r="B26" s="64" t="s">
        <v>55</v>
      </c>
      <c r="C26" s="65">
        <v>16599506.0848995</v>
      </c>
      <c r="D26" s="65">
        <v>374583.378584144</v>
      </c>
      <c r="E26" s="66">
        <v>44.314582637495903</v>
      </c>
      <c r="F26" s="68">
        <v>6.44610666666666</v>
      </c>
      <c r="G26" s="67"/>
    </row>
    <row r="27" spans="1:7" s="69" customFormat="1" x14ac:dyDescent="0.2">
      <c r="A27" s="64" t="s">
        <v>82</v>
      </c>
      <c r="B27" s="64" t="s">
        <v>56</v>
      </c>
      <c r="C27" s="65">
        <v>9660984.93563856</v>
      </c>
      <c r="D27" s="65">
        <v>2682959.1619118499</v>
      </c>
      <c r="E27" s="66">
        <v>3.6008691719161998</v>
      </c>
      <c r="F27" s="68">
        <v>6.4516916666666599</v>
      </c>
      <c r="G27" s="67"/>
    </row>
    <row r="28" spans="1:7" s="69" customFormat="1" x14ac:dyDescent="0.2">
      <c r="A28" s="64" t="s">
        <v>83</v>
      </c>
      <c r="B28" s="64" t="s">
        <v>57</v>
      </c>
      <c r="C28" s="65">
        <v>8344808.3364100503</v>
      </c>
      <c r="D28" s="65">
        <v>1782014.59401069</v>
      </c>
      <c r="E28" s="66">
        <v>4.6827946103565701</v>
      </c>
      <c r="F28" s="68">
        <v>6.4515316666666598</v>
      </c>
      <c r="G28" s="67"/>
    </row>
    <row r="29" spans="1:7" s="69" customFormat="1" x14ac:dyDescent="0.2">
      <c r="A29" s="64" t="s">
        <v>84</v>
      </c>
      <c r="B29" s="64" t="s">
        <v>58</v>
      </c>
      <c r="C29" s="65">
        <v>11298047.8286332</v>
      </c>
      <c r="D29" s="65">
        <v>2354251.3448272301</v>
      </c>
      <c r="E29" s="66">
        <v>4.7989981415779202</v>
      </c>
      <c r="F29" s="68">
        <v>6.4515733333333296</v>
      </c>
      <c r="G29" s="67"/>
    </row>
    <row r="30" spans="1:7" s="69" customFormat="1" x14ac:dyDescent="0.2">
      <c r="A30" s="64" t="s">
        <v>85</v>
      </c>
      <c r="B30" s="64" t="s">
        <v>59</v>
      </c>
      <c r="C30" s="65">
        <v>12498607.964587901</v>
      </c>
      <c r="D30" s="65">
        <v>2477947.7973917602</v>
      </c>
      <c r="E30" s="66">
        <v>5.0439351376746799</v>
      </c>
      <c r="F30" s="68">
        <v>6.4516483333333303</v>
      </c>
      <c r="G30" s="67"/>
    </row>
    <row r="31" spans="1:7" s="69" customFormat="1" x14ac:dyDescent="0.2">
      <c r="A31" s="64" t="s">
        <v>86</v>
      </c>
      <c r="B31" s="64" t="s">
        <v>60</v>
      </c>
      <c r="C31" s="65">
        <v>22096269.790262699</v>
      </c>
      <c r="D31" s="65">
        <v>189347.227694006</v>
      </c>
      <c r="E31" s="66">
        <v>116.697086402401</v>
      </c>
      <c r="F31" s="68">
        <v>6.4299516666666596</v>
      </c>
      <c r="G31" s="67"/>
    </row>
    <row r="32" spans="1:7" s="69" customFormat="1" x14ac:dyDescent="0.2">
      <c r="A32" s="64" t="s">
        <v>87</v>
      </c>
      <c r="B32" s="64" t="s">
        <v>61</v>
      </c>
      <c r="C32" s="65">
        <v>12062430.256374501</v>
      </c>
      <c r="D32" s="65">
        <v>2824524.2640352198</v>
      </c>
      <c r="E32" s="66">
        <v>4.2706059954824598</v>
      </c>
      <c r="F32" s="68">
        <v>6.4460833333333296</v>
      </c>
      <c r="G32" s="67"/>
    </row>
    <row r="33" spans="1:7" s="69" customFormat="1" x14ac:dyDescent="0.2">
      <c r="A33" s="64" t="s">
        <v>88</v>
      </c>
      <c r="B33" s="64" t="s">
        <v>62</v>
      </c>
      <c r="C33" s="65">
        <v>10557295.435926</v>
      </c>
      <c r="D33" s="65">
        <v>2516608.90613396</v>
      </c>
      <c r="E33" s="66">
        <v>4.1950481102541399</v>
      </c>
      <c r="F33" s="68">
        <v>6.4461016666666602</v>
      </c>
      <c r="G33" s="67"/>
    </row>
    <row r="34" spans="1:7" s="69" customFormat="1" x14ac:dyDescent="0.2">
      <c r="A34" s="64" t="s">
        <v>89</v>
      </c>
      <c r="B34" s="64" t="s">
        <v>63</v>
      </c>
      <c r="C34" s="65">
        <v>11876667.920525599</v>
      </c>
      <c r="D34" s="65">
        <v>2107873.12308652</v>
      </c>
      <c r="E34" s="66">
        <v>5.6344320682521696</v>
      </c>
      <c r="F34" s="68">
        <v>6.45167</v>
      </c>
      <c r="G34" s="67"/>
    </row>
    <row r="35" spans="1:7" s="69" customFormat="1" x14ac:dyDescent="0.2">
      <c r="A35" s="64" t="s">
        <v>90</v>
      </c>
      <c r="B35" s="64" t="s">
        <v>64</v>
      </c>
      <c r="C35" s="65">
        <v>9270626.4259908907</v>
      </c>
      <c r="D35" s="65">
        <v>2151889.3030594699</v>
      </c>
      <c r="E35" s="66">
        <v>4.3081335144936403</v>
      </c>
      <c r="F35" s="68">
        <v>6.4461349999999999</v>
      </c>
      <c r="G35" s="67"/>
    </row>
    <row r="36" spans="1:7" s="69" customFormat="1" x14ac:dyDescent="0.2">
      <c r="A36" s="64" t="s">
        <v>91</v>
      </c>
      <c r="B36" s="64" t="s">
        <v>65</v>
      </c>
      <c r="C36" s="65">
        <v>8495599.2180646099</v>
      </c>
      <c r="D36" s="65">
        <v>1994536.21673951</v>
      </c>
      <c r="E36" s="66">
        <v>4.2594359263891697</v>
      </c>
      <c r="F36" s="68">
        <v>6.4460699999999997</v>
      </c>
      <c r="G36" s="67"/>
    </row>
    <row r="37" spans="1:7" s="69" customFormat="1" x14ac:dyDescent="0.2">
      <c r="A37" s="64" t="s">
        <v>92</v>
      </c>
      <c r="B37" s="64" t="s">
        <v>66</v>
      </c>
      <c r="C37" s="65">
        <v>20262092.854552899</v>
      </c>
      <c r="D37" s="65">
        <v>2757661.2583282902</v>
      </c>
      <c r="E37" s="66">
        <v>7.3475640974250496</v>
      </c>
      <c r="F37" s="68">
        <v>6.4460933333333301</v>
      </c>
      <c r="G37" s="67"/>
    </row>
    <row r="38" spans="1:7" s="69" customFormat="1" x14ac:dyDescent="0.2">
      <c r="A38" s="64" t="s">
        <v>93</v>
      </c>
      <c r="B38" s="64" t="s">
        <v>67</v>
      </c>
      <c r="C38" s="65">
        <v>6811701.2659499096</v>
      </c>
      <c r="D38" s="65">
        <v>1781938.07852178</v>
      </c>
      <c r="E38" s="66">
        <v>3.8226363463766302</v>
      </c>
      <c r="F38" s="68">
        <v>6.4298433333333298</v>
      </c>
      <c r="G38" s="67"/>
    </row>
    <row r="39" spans="1:7" s="69" customFormat="1" x14ac:dyDescent="0.2">
      <c r="A39" s="64" t="s">
        <v>94</v>
      </c>
      <c r="B39" s="64" t="s">
        <v>68</v>
      </c>
      <c r="C39" s="65">
        <v>7038549.1472942401</v>
      </c>
      <c r="D39" s="65">
        <v>1824901.02066284</v>
      </c>
      <c r="E39" s="66">
        <v>3.8569484413667898</v>
      </c>
      <c r="F39" s="68">
        <v>6.4300316666666602</v>
      </c>
      <c r="G39" s="67"/>
    </row>
    <row r="40" spans="1:7" s="69" customFormat="1" x14ac:dyDescent="0.2">
      <c r="A40" s="64" t="s">
        <v>95</v>
      </c>
      <c r="B40" s="64" t="s">
        <v>69</v>
      </c>
      <c r="C40" s="65">
        <v>1664479.3892889901</v>
      </c>
      <c r="D40" s="65">
        <v>107583.765186235</v>
      </c>
      <c r="E40" s="66">
        <v>15.4714736596887</v>
      </c>
      <c r="F40" s="68">
        <v>6.44071166666666</v>
      </c>
      <c r="G40" s="67"/>
    </row>
    <row r="41" spans="1:7" s="69" customFormat="1" x14ac:dyDescent="0.2">
      <c r="A41" s="64" t="s">
        <v>96</v>
      </c>
      <c r="B41" s="64" t="s">
        <v>70</v>
      </c>
      <c r="C41" s="65">
        <v>7727690.6604058398</v>
      </c>
      <c r="D41" s="65">
        <v>2811464.7858560998</v>
      </c>
      <c r="E41" s="66">
        <v>2.7486350529027601</v>
      </c>
      <c r="F41" s="68">
        <v>6.4300316666666602</v>
      </c>
      <c r="G41" s="67"/>
    </row>
    <row r="42" spans="1:7" s="69" customFormat="1" x14ac:dyDescent="0.2">
      <c r="A42" s="64" t="s">
        <v>97</v>
      </c>
      <c r="B42" s="64" t="s">
        <v>71</v>
      </c>
      <c r="C42" s="65">
        <v>6578028.5956756901</v>
      </c>
      <c r="D42" s="65">
        <v>2947222.8123079902</v>
      </c>
      <c r="E42" s="66">
        <v>2.2319413952026101</v>
      </c>
      <c r="F42" s="68">
        <v>6.4244899999999996</v>
      </c>
      <c r="G42" s="67"/>
    </row>
    <row r="44" spans="1:7" s="69" customFormat="1" x14ac:dyDescent="0.2">
      <c r="A44" s="64" t="s">
        <v>260</v>
      </c>
      <c r="B44" s="64" t="s">
        <v>261</v>
      </c>
      <c r="C44" s="65">
        <v>5743.5212493381396</v>
      </c>
      <c r="D44" s="65">
        <v>1740365.9375829</v>
      </c>
      <c r="E44" s="66">
        <v>3.3001802237719998E-3</v>
      </c>
      <c r="F44" s="68">
        <v>4.31454</v>
      </c>
      <c r="G44" s="67"/>
    </row>
    <row r="45" spans="1:7" s="69" customFormat="1" x14ac:dyDescent="0.2">
      <c r="A45" s="64" t="s">
        <v>262</v>
      </c>
      <c r="B45" s="64" t="s">
        <v>263</v>
      </c>
      <c r="C45" s="65">
        <v>5689.9824407345704</v>
      </c>
      <c r="D45" s="65">
        <v>1518043.8485701701</v>
      </c>
      <c r="E45" s="66">
        <v>3.7482332582779998E-3</v>
      </c>
      <c r="F45" s="68">
        <v>4.3065683333333302</v>
      </c>
      <c r="G45" s="67"/>
    </row>
    <row r="46" spans="1:7" s="69" customFormat="1" x14ac:dyDescent="0.2">
      <c r="A46" s="64" t="s">
        <v>264</v>
      </c>
      <c r="B46" s="64" t="s">
        <v>265</v>
      </c>
      <c r="C46" s="65">
        <v>3161.4891890325898</v>
      </c>
      <c r="D46" s="65">
        <v>1493438.3088529599</v>
      </c>
      <c r="E46" s="66">
        <v>2.1169198421469998E-3</v>
      </c>
      <c r="F46" s="68">
        <v>4.3066383333333302</v>
      </c>
      <c r="G46" s="67"/>
    </row>
    <row r="47" spans="1:7" s="69" customFormat="1" x14ac:dyDescent="0.2">
      <c r="A47" s="64" t="s">
        <v>278</v>
      </c>
      <c r="B47" s="64" t="s">
        <v>279</v>
      </c>
      <c r="C47" s="65">
        <v>4986.7793273909701</v>
      </c>
      <c r="D47" s="65">
        <v>1444148.4716815399</v>
      </c>
      <c r="E47" s="66">
        <v>3.4530932415729998E-3</v>
      </c>
      <c r="F47" s="68">
        <v>4.306495</v>
      </c>
      <c r="G47" s="67"/>
    </row>
    <row r="48" spans="1:7" s="69" customFormat="1" x14ac:dyDescent="0.2">
      <c r="A48" s="64" t="s">
        <v>280</v>
      </c>
      <c r="B48" s="64" t="s">
        <v>281</v>
      </c>
      <c r="C48" s="65">
        <v>6263.2187403462503</v>
      </c>
      <c r="D48" s="65">
        <v>1415377.07845064</v>
      </c>
      <c r="E48" s="66">
        <v>4.4251237608019999E-3</v>
      </c>
      <c r="F48" s="68">
        <v>4.2984850000000003</v>
      </c>
      <c r="G48" s="67"/>
    </row>
    <row r="49" spans="1:7" s="69" customFormat="1" x14ac:dyDescent="0.2">
      <c r="A49" s="64" t="s">
        <v>282</v>
      </c>
      <c r="B49" s="64" t="s">
        <v>283</v>
      </c>
      <c r="C49" s="65">
        <v>17040.405035184202</v>
      </c>
      <c r="D49" s="65">
        <v>1333965.4675658301</v>
      </c>
      <c r="E49" s="66">
        <v>1.2774247497035001E-2</v>
      </c>
      <c r="F49" s="68">
        <v>4.3471966666666599</v>
      </c>
      <c r="G49" s="67"/>
    </row>
    <row r="50" spans="1:7" s="69" customFormat="1" ht="12.75" customHeight="1" x14ac:dyDescent="0.2">
      <c r="A50" s="64" t="s">
        <v>272</v>
      </c>
      <c r="B50" s="64" t="s">
        <v>273</v>
      </c>
      <c r="C50" s="65">
        <v>5751.37748877591</v>
      </c>
      <c r="D50" s="65">
        <v>1449148.27217949</v>
      </c>
      <c r="E50" s="66">
        <v>3.9687984999119998E-3</v>
      </c>
      <c r="F50" s="68">
        <v>4.30243166666666</v>
      </c>
      <c r="G50" s="67"/>
    </row>
    <row r="51" spans="1:7" s="69" customFormat="1" x14ac:dyDescent="0.2">
      <c r="A51" s="64" t="s">
        <v>274</v>
      </c>
      <c r="B51" s="64" t="s">
        <v>275</v>
      </c>
      <c r="C51" s="65">
        <v>7043.1057698060004</v>
      </c>
      <c r="D51" s="65">
        <v>1474794.98782426</v>
      </c>
      <c r="E51" s="66">
        <v>4.775650736511E-3</v>
      </c>
      <c r="F51" s="68">
        <v>4.3025083333333303</v>
      </c>
      <c r="G51" s="67"/>
    </row>
    <row r="52" spans="1:7" s="69" customFormat="1" x14ac:dyDescent="0.2">
      <c r="A52" s="64" t="s">
        <v>276</v>
      </c>
      <c r="B52" s="64" t="s">
        <v>277</v>
      </c>
      <c r="C52" s="65">
        <v>4187.7300280264999</v>
      </c>
      <c r="D52" s="65">
        <v>1444584.3077863301</v>
      </c>
      <c r="E52" s="66">
        <v>2.8989170140189999E-3</v>
      </c>
      <c r="F52" s="68">
        <v>4.3065216666666597</v>
      </c>
      <c r="G52" s="67"/>
    </row>
    <row r="53" spans="1:7" s="69" customFormat="1" x14ac:dyDescent="0.2">
      <c r="A53" s="64" t="s">
        <v>266</v>
      </c>
      <c r="B53" s="64" t="s">
        <v>267</v>
      </c>
      <c r="C53" s="65">
        <v>9026.9778177946901</v>
      </c>
      <c r="D53" s="65">
        <v>1592403.90483569</v>
      </c>
      <c r="E53" s="66">
        <v>5.6687739777469999E-3</v>
      </c>
      <c r="F53" s="68">
        <v>4.3104950000000004</v>
      </c>
      <c r="G53" s="67"/>
    </row>
    <row r="54" spans="1:7" s="69" customFormat="1" x14ac:dyDescent="0.2">
      <c r="A54" s="64" t="s">
        <v>268</v>
      </c>
      <c r="B54" s="64" t="s">
        <v>269</v>
      </c>
      <c r="C54" s="65">
        <v>4598.2999799736699</v>
      </c>
      <c r="D54" s="65">
        <v>1617059.8068573701</v>
      </c>
      <c r="E54" s="66">
        <v>2.8436177564210002E-3</v>
      </c>
      <c r="F54" s="68">
        <v>4.3025083333333303</v>
      </c>
      <c r="G54" s="67"/>
    </row>
    <row r="55" spans="1:7" s="69" customFormat="1" x14ac:dyDescent="0.2">
      <c r="A55" s="64" t="s">
        <v>270</v>
      </c>
      <c r="B55" s="64" t="s">
        <v>271</v>
      </c>
      <c r="C55" s="65">
        <v>14308.5628283279</v>
      </c>
      <c r="D55" s="65">
        <v>691760.76775124401</v>
      </c>
      <c r="E55" s="66">
        <v>2.0684264698679001E-2</v>
      </c>
      <c r="F55" s="68">
        <v>4.2821850000000001</v>
      </c>
      <c r="G55" s="67"/>
    </row>
    <row r="56" spans="1:7" s="69" customFormat="1" x14ac:dyDescent="0.2">
      <c r="A56" s="64" t="s">
        <v>254</v>
      </c>
      <c r="B56" s="64" t="s">
        <v>255</v>
      </c>
      <c r="C56" s="65">
        <v>24566.022208359202</v>
      </c>
      <c r="D56" s="65">
        <v>162942.976923476</v>
      </c>
      <c r="E56" s="66">
        <v>0.150764535374214</v>
      </c>
      <c r="F56" s="68">
        <v>4.3066183333333301</v>
      </c>
      <c r="G56" s="67"/>
    </row>
    <row r="57" spans="1:7" s="69" customFormat="1" x14ac:dyDescent="0.2">
      <c r="A57" s="64" t="s">
        <v>256</v>
      </c>
      <c r="B57" s="64" t="s">
        <v>257</v>
      </c>
      <c r="C57" s="65">
        <v>25718.000683925799</v>
      </c>
      <c r="D57" s="65">
        <v>205476.94448648399</v>
      </c>
      <c r="E57" s="66">
        <v>0.12516246408179099</v>
      </c>
      <c r="F57" s="68">
        <v>4.3063933333333297</v>
      </c>
      <c r="G57" s="67"/>
    </row>
    <row r="58" spans="1:7" s="69" customFormat="1" x14ac:dyDescent="0.2">
      <c r="A58" s="64" t="s">
        <v>258</v>
      </c>
      <c r="B58" s="64" t="s">
        <v>259</v>
      </c>
      <c r="C58" s="65">
        <v>21668.0788016796</v>
      </c>
      <c r="D58" s="65">
        <v>193962.83939708001</v>
      </c>
      <c r="E58" s="66">
        <v>0.111712526322224</v>
      </c>
      <c r="F58" s="68">
        <v>4.30659833333333</v>
      </c>
      <c r="G58" s="67"/>
    </row>
    <row r="59" spans="1:7" s="69" customFormat="1" x14ac:dyDescent="0.2">
      <c r="A59" s="64" t="s">
        <v>284</v>
      </c>
      <c r="B59" s="64" t="s">
        <v>285</v>
      </c>
      <c r="C59" s="65">
        <v>25420.030590385901</v>
      </c>
      <c r="D59" s="65">
        <v>302030.45341216098</v>
      </c>
      <c r="E59" s="66">
        <v>8.4163799720211999E-2</v>
      </c>
      <c r="F59" s="68">
        <v>4.3065966666666604</v>
      </c>
      <c r="G59" s="67"/>
    </row>
    <row r="60" spans="1:7" s="69" customFormat="1" x14ac:dyDescent="0.2">
      <c r="A60" s="64" t="s">
        <v>286</v>
      </c>
      <c r="B60" s="64" t="s">
        <v>287</v>
      </c>
      <c r="C60" s="65">
        <v>19953.883027406599</v>
      </c>
      <c r="D60" s="65">
        <v>274237.77131890203</v>
      </c>
      <c r="E60" s="66">
        <v>7.2761249959995E-2</v>
      </c>
      <c r="F60" s="68">
        <v>4.3065316666666602</v>
      </c>
      <c r="G60" s="67"/>
    </row>
    <row r="62" spans="1:7" x14ac:dyDescent="0.2">
      <c r="A62" s="53" t="s">
        <v>78</v>
      </c>
      <c r="B62" s="53" t="s">
        <v>33</v>
      </c>
      <c r="C62" s="58" t="s">
        <v>32</v>
      </c>
      <c r="D62" s="58">
        <v>1614810.53299363</v>
      </c>
      <c r="E62" s="54">
        <v>0</v>
      </c>
      <c r="F62" s="56" t="s">
        <v>32</v>
      </c>
    </row>
    <row r="63" spans="1:7" x14ac:dyDescent="0.2">
      <c r="A63" s="53" t="s">
        <v>79</v>
      </c>
      <c r="B63" s="53" t="s">
        <v>34</v>
      </c>
      <c r="C63" s="58" t="s">
        <v>32</v>
      </c>
      <c r="D63" s="58">
        <v>1438754.3494833999</v>
      </c>
      <c r="E63" s="54">
        <v>0</v>
      </c>
      <c r="F63" s="56" t="s">
        <v>32</v>
      </c>
    </row>
    <row r="64" spans="1:7" x14ac:dyDescent="0.2">
      <c r="A64" s="53" t="s">
        <v>80</v>
      </c>
      <c r="B64" s="53" t="s">
        <v>35</v>
      </c>
      <c r="C64" s="58" t="s">
        <v>32</v>
      </c>
      <c r="D64" s="58">
        <v>1834176.57378164</v>
      </c>
      <c r="E64" s="54">
        <v>0</v>
      </c>
      <c r="F64" s="56" t="s">
        <v>32</v>
      </c>
    </row>
    <row r="65" spans="1:7" s="69" customFormat="1" x14ac:dyDescent="0.2">
      <c r="A65" s="64" t="s">
        <v>192</v>
      </c>
      <c r="B65" s="64" t="s">
        <v>193</v>
      </c>
      <c r="C65" s="65">
        <v>220925.89104729</v>
      </c>
      <c r="D65" s="65">
        <v>1933552.9617677999</v>
      </c>
      <c r="E65" s="66">
        <v>0.114259032680078</v>
      </c>
      <c r="F65" s="68">
        <v>3.9545050000000002</v>
      </c>
      <c r="G65" s="67"/>
    </row>
    <row r="66" spans="1:7" s="69" customFormat="1" x14ac:dyDescent="0.2">
      <c r="A66" s="64" t="s">
        <v>194</v>
      </c>
      <c r="B66" s="64" t="s">
        <v>195</v>
      </c>
      <c r="C66" s="65">
        <v>161021.588191927</v>
      </c>
      <c r="D66" s="65">
        <v>1630710.5579621899</v>
      </c>
      <c r="E66" s="66">
        <v>9.8743205779662002E-2</v>
      </c>
      <c r="F66" s="68">
        <v>3.9329866666666602</v>
      </c>
      <c r="G66" s="67"/>
    </row>
    <row r="67" spans="1:7" s="69" customFormat="1" x14ac:dyDescent="0.2">
      <c r="A67" s="64" t="s">
        <v>196</v>
      </c>
      <c r="B67" s="64" t="s">
        <v>197</v>
      </c>
      <c r="C67" s="65">
        <v>178366.687350778</v>
      </c>
      <c r="D67" s="65">
        <v>1514660.27061933</v>
      </c>
      <c r="E67" s="66">
        <v>0.117760194025453</v>
      </c>
      <c r="F67" s="68">
        <v>3.9493033333333298</v>
      </c>
      <c r="G67" s="67"/>
    </row>
    <row r="68" spans="1:7" s="69" customFormat="1" x14ac:dyDescent="0.2">
      <c r="A68" s="64" t="s">
        <v>210</v>
      </c>
      <c r="B68" s="64" t="s">
        <v>211</v>
      </c>
      <c r="C68" s="65">
        <v>162091.020728125</v>
      </c>
      <c r="D68" s="65">
        <v>1485632.4444957401</v>
      </c>
      <c r="E68" s="66">
        <v>0.109105735627054</v>
      </c>
      <c r="F68" s="68">
        <v>3.9384649999999999</v>
      </c>
      <c r="G68" s="67"/>
    </row>
    <row r="69" spans="1:7" s="69" customFormat="1" x14ac:dyDescent="0.2">
      <c r="A69" s="64" t="s">
        <v>212</v>
      </c>
      <c r="B69" s="64" t="s">
        <v>213</v>
      </c>
      <c r="C69" s="65">
        <v>135930.04845000099</v>
      </c>
      <c r="D69" s="65">
        <v>1507997.57929038</v>
      </c>
      <c r="E69" s="66">
        <v>9.0139434118962997E-2</v>
      </c>
      <c r="F69" s="68">
        <v>3.9328949999999998</v>
      </c>
      <c r="G69" s="67"/>
    </row>
    <row r="70" spans="1:7" s="69" customFormat="1" x14ac:dyDescent="0.2">
      <c r="A70" s="64" t="s">
        <v>214</v>
      </c>
      <c r="B70" s="64" t="s">
        <v>215</v>
      </c>
      <c r="C70" s="65">
        <v>154467.98941043401</v>
      </c>
      <c r="D70" s="65">
        <v>1505420.4244231901</v>
      </c>
      <c r="E70" s="66">
        <v>0.102607874122353</v>
      </c>
      <c r="F70" s="68">
        <v>3.9330116666666601</v>
      </c>
      <c r="G70" s="67"/>
    </row>
    <row r="71" spans="1:7" s="69" customFormat="1" x14ac:dyDescent="0.2">
      <c r="A71" s="64" t="s">
        <v>204</v>
      </c>
      <c r="B71" s="64" t="s">
        <v>205</v>
      </c>
      <c r="C71" s="65">
        <v>116703.870170996</v>
      </c>
      <c r="D71" s="65">
        <v>1533681.37077881</v>
      </c>
      <c r="E71" s="66">
        <v>7.6093947800731004E-2</v>
      </c>
      <c r="F71" s="68">
        <v>3.9221366666666602</v>
      </c>
      <c r="G71" s="67"/>
    </row>
    <row r="72" spans="1:7" s="69" customFormat="1" x14ac:dyDescent="0.2">
      <c r="A72" s="64" t="s">
        <v>206</v>
      </c>
      <c r="B72" s="64" t="s">
        <v>207</v>
      </c>
      <c r="C72" s="65">
        <v>143388.526640622</v>
      </c>
      <c r="D72" s="65">
        <v>1508242.9106069501</v>
      </c>
      <c r="E72" s="66">
        <v>9.5069915881732997E-2</v>
      </c>
      <c r="F72" s="68">
        <v>3.9275783333333298</v>
      </c>
      <c r="G72" s="67"/>
    </row>
    <row r="73" spans="1:7" s="69" customFormat="1" x14ac:dyDescent="0.2">
      <c r="A73" s="64" t="s">
        <v>208</v>
      </c>
      <c r="B73" s="64" t="s">
        <v>209</v>
      </c>
      <c r="C73" s="65">
        <v>132880.95799999801</v>
      </c>
      <c r="D73" s="65">
        <v>1474519.7675181499</v>
      </c>
      <c r="E73" s="66">
        <v>9.0118125865249005E-2</v>
      </c>
      <c r="F73" s="68">
        <v>3.9328583333333298</v>
      </c>
      <c r="G73" s="67"/>
    </row>
    <row r="74" spans="1:7" s="69" customFormat="1" x14ac:dyDescent="0.2">
      <c r="A74" s="64" t="s">
        <v>198</v>
      </c>
      <c r="B74" s="64" t="s">
        <v>199</v>
      </c>
      <c r="C74" s="65">
        <v>107359.648563814</v>
      </c>
      <c r="D74" s="65">
        <v>1589501.3609831</v>
      </c>
      <c r="E74" s="66">
        <v>6.7542973664025993E-2</v>
      </c>
      <c r="F74" s="68">
        <v>3.9113783333333298</v>
      </c>
      <c r="G74" s="67"/>
    </row>
    <row r="75" spans="1:7" s="69" customFormat="1" x14ac:dyDescent="0.2">
      <c r="A75" s="64" t="s">
        <v>200</v>
      </c>
      <c r="B75" s="64" t="s">
        <v>201</v>
      </c>
      <c r="C75" s="65">
        <v>104774.199687499</v>
      </c>
      <c r="D75" s="65">
        <v>1607001.1750129799</v>
      </c>
      <c r="E75" s="66">
        <v>6.5198583122785994E-2</v>
      </c>
      <c r="F75" s="68">
        <v>3.9114</v>
      </c>
      <c r="G75" s="67"/>
    </row>
    <row r="76" spans="1:7" s="69" customFormat="1" x14ac:dyDescent="0.2">
      <c r="A76" s="64" t="s">
        <v>202</v>
      </c>
      <c r="B76" s="64" t="s">
        <v>203</v>
      </c>
      <c r="C76" s="65">
        <v>138956.09118749999</v>
      </c>
      <c r="D76" s="65">
        <v>1579954.8455467899</v>
      </c>
      <c r="E76" s="66">
        <v>8.7949406642320996E-2</v>
      </c>
      <c r="F76" s="68">
        <v>3.932985</v>
      </c>
      <c r="G76" s="67"/>
    </row>
    <row r="77" spans="1:7" s="69" customFormat="1" x14ac:dyDescent="0.2">
      <c r="A77" s="64" t="s">
        <v>186</v>
      </c>
      <c r="B77" s="64" t="s">
        <v>187</v>
      </c>
      <c r="C77" s="65">
        <v>137882.323167575</v>
      </c>
      <c r="D77" s="65">
        <v>1435372.9662085399</v>
      </c>
      <c r="E77" s="66">
        <v>9.6060275909880005E-2</v>
      </c>
      <c r="F77" s="68">
        <v>3.9329533333333302</v>
      </c>
      <c r="G77" s="67"/>
    </row>
    <row r="78" spans="1:7" s="69" customFormat="1" x14ac:dyDescent="0.2">
      <c r="A78" s="64" t="s">
        <v>188</v>
      </c>
      <c r="B78" s="64" t="s">
        <v>189</v>
      </c>
      <c r="C78" s="65">
        <v>121681.84196365</v>
      </c>
      <c r="D78" s="65">
        <v>1492049.0004817301</v>
      </c>
      <c r="E78" s="66">
        <v>8.1553515953138006E-2</v>
      </c>
      <c r="F78" s="68">
        <v>3.9221733333333302</v>
      </c>
      <c r="G78" s="67"/>
    </row>
    <row r="79" spans="1:7" s="69" customFormat="1" x14ac:dyDescent="0.2">
      <c r="A79" s="64" t="s">
        <v>190</v>
      </c>
      <c r="B79" s="64" t="s">
        <v>191</v>
      </c>
      <c r="C79" s="65">
        <v>174563.831049998</v>
      </c>
      <c r="D79" s="65">
        <v>1318350.37441644</v>
      </c>
      <c r="E79" s="66">
        <v>0.13241080249798301</v>
      </c>
      <c r="F79" s="68">
        <v>3.9546600000000001</v>
      </c>
      <c r="G79" s="67"/>
    </row>
    <row r="80" spans="1:7" s="69" customFormat="1" x14ac:dyDescent="0.2">
      <c r="A80" s="64" t="s">
        <v>216</v>
      </c>
      <c r="B80" s="64" t="s">
        <v>217</v>
      </c>
      <c r="C80" s="65">
        <v>58311.104214330597</v>
      </c>
      <c r="D80" s="65">
        <v>1692516.6390434201</v>
      </c>
      <c r="E80" s="66">
        <v>3.4452307805545E-2</v>
      </c>
      <c r="F80" s="68">
        <v>3.9654716666666601</v>
      </c>
      <c r="G80" s="67"/>
    </row>
    <row r="81" spans="1:7" s="69" customFormat="1" x14ac:dyDescent="0.2">
      <c r="A81" s="64" t="s">
        <v>218</v>
      </c>
      <c r="B81" s="64" t="s">
        <v>219</v>
      </c>
      <c r="C81" s="65">
        <v>154856.778592983</v>
      </c>
      <c r="D81" s="65">
        <v>1764506.6971388001</v>
      </c>
      <c r="E81" s="66">
        <v>8.7762080384330005E-2</v>
      </c>
      <c r="F81" s="68">
        <v>3.9547083333333299</v>
      </c>
      <c r="G81" s="67"/>
    </row>
    <row r="83" spans="1:7" x14ac:dyDescent="0.2">
      <c r="A83" s="53" t="s">
        <v>78</v>
      </c>
      <c r="B83" s="53" t="s">
        <v>33</v>
      </c>
      <c r="C83" s="58" t="s">
        <v>32</v>
      </c>
      <c r="D83" s="58">
        <v>1614810.53299363</v>
      </c>
      <c r="E83" s="54">
        <v>0</v>
      </c>
      <c r="F83" s="56" t="s">
        <v>32</v>
      </c>
    </row>
    <row r="84" spans="1:7" x14ac:dyDescent="0.2">
      <c r="A84" s="53" t="s">
        <v>79</v>
      </c>
      <c r="B84" s="53" t="s">
        <v>34</v>
      </c>
      <c r="C84" s="58" t="s">
        <v>32</v>
      </c>
      <c r="D84" s="58">
        <v>1438754.3494833999</v>
      </c>
      <c r="E84" s="54">
        <v>0</v>
      </c>
      <c r="F84" s="56" t="s">
        <v>32</v>
      </c>
    </row>
    <row r="85" spans="1:7" x14ac:dyDescent="0.2">
      <c r="A85" s="53" t="s">
        <v>80</v>
      </c>
      <c r="B85" s="53" t="s">
        <v>35</v>
      </c>
      <c r="C85" s="58" t="s">
        <v>32</v>
      </c>
      <c r="D85" s="58">
        <v>1834176.57378164</v>
      </c>
      <c r="E85" s="54">
        <v>0</v>
      </c>
      <c r="F85" s="56" t="s">
        <v>32</v>
      </c>
    </row>
    <row r="86" spans="1:7" s="69" customFormat="1" x14ac:dyDescent="0.2">
      <c r="A86" s="64" t="s">
        <v>226</v>
      </c>
      <c r="B86" s="64" t="s">
        <v>227</v>
      </c>
      <c r="C86" s="65">
        <v>59973022.631689101</v>
      </c>
      <c r="D86" s="65">
        <v>1743175.59816592</v>
      </c>
      <c r="E86" s="66">
        <v>34.4044642976815</v>
      </c>
      <c r="F86" s="68">
        <v>4.4337916666666599</v>
      </c>
      <c r="G86" s="67"/>
    </row>
    <row r="87" spans="1:7" s="69" customFormat="1" x14ac:dyDescent="0.2">
      <c r="A87" s="64" t="s">
        <v>228</v>
      </c>
      <c r="B87" s="64" t="s">
        <v>229</v>
      </c>
      <c r="C87" s="65">
        <v>57420666.896875203</v>
      </c>
      <c r="D87" s="65">
        <v>1538302.23890715</v>
      </c>
      <c r="E87" s="66">
        <v>37.327298527282998</v>
      </c>
      <c r="F87" s="68">
        <v>4.43905833333333</v>
      </c>
      <c r="G87" s="67"/>
    </row>
    <row r="88" spans="1:7" s="69" customFormat="1" x14ac:dyDescent="0.2">
      <c r="A88" s="64" t="s">
        <v>230</v>
      </c>
      <c r="B88" s="64" t="s">
        <v>231</v>
      </c>
      <c r="C88" s="65">
        <v>60448745.990215302</v>
      </c>
      <c r="D88" s="65">
        <v>1478895.6000266001</v>
      </c>
      <c r="E88" s="66">
        <v>40.874248316870897</v>
      </c>
      <c r="F88" s="68">
        <v>4.4391683333333303</v>
      </c>
      <c r="G88" s="67"/>
    </row>
    <row r="89" spans="1:7" s="69" customFormat="1" x14ac:dyDescent="0.2">
      <c r="A89" s="64" t="s">
        <v>244</v>
      </c>
      <c r="B89" s="64" t="s">
        <v>245</v>
      </c>
      <c r="C89" s="65">
        <v>56619818.191495501</v>
      </c>
      <c r="D89" s="65">
        <v>1523014.32085432</v>
      </c>
      <c r="E89" s="66">
        <v>37.176156137346801</v>
      </c>
      <c r="F89" s="68">
        <v>4.4444266666666596</v>
      </c>
      <c r="G89" s="67"/>
    </row>
    <row r="90" spans="1:7" s="69" customFormat="1" x14ac:dyDescent="0.2">
      <c r="A90" s="64" t="s">
        <v>246</v>
      </c>
      <c r="B90" s="64" t="s">
        <v>247</v>
      </c>
      <c r="C90" s="65">
        <v>57229886.154651903</v>
      </c>
      <c r="D90" s="65">
        <v>1500234.1111532799</v>
      </c>
      <c r="E90" s="66">
        <v>38.147303630269498</v>
      </c>
      <c r="F90" s="68">
        <v>4.4445933333333301</v>
      </c>
      <c r="G90" s="67"/>
    </row>
    <row r="91" spans="1:7" s="69" customFormat="1" x14ac:dyDescent="0.2">
      <c r="A91" s="64" t="s">
        <v>248</v>
      </c>
      <c r="B91" s="64" t="s">
        <v>249</v>
      </c>
      <c r="C91" s="65">
        <v>59167092.423481502</v>
      </c>
      <c r="D91" s="65">
        <v>1413215.3169833999</v>
      </c>
      <c r="E91" s="66">
        <v>41.867004774458202</v>
      </c>
      <c r="F91" s="68">
        <v>4.4498416666666598</v>
      </c>
      <c r="G91" s="67"/>
    </row>
    <row r="92" spans="1:7" s="69" customFormat="1" x14ac:dyDescent="0.2">
      <c r="A92" s="64" t="s">
        <v>238</v>
      </c>
      <c r="B92" s="64" t="s">
        <v>239</v>
      </c>
      <c r="C92" s="65">
        <v>57553998.7277226</v>
      </c>
      <c r="D92" s="65">
        <v>1388004.99834781</v>
      </c>
      <c r="E92" s="66">
        <v>41.465267629605599</v>
      </c>
      <c r="F92" s="68">
        <v>4.4391949999999998</v>
      </c>
      <c r="G92" s="67"/>
    </row>
    <row r="93" spans="1:7" s="69" customFormat="1" x14ac:dyDescent="0.2">
      <c r="A93" s="64" t="s">
        <v>240</v>
      </c>
      <c r="B93" s="64" t="s">
        <v>241</v>
      </c>
      <c r="C93" s="65">
        <v>60398049.893943503</v>
      </c>
      <c r="D93" s="65">
        <v>1364469.3859953501</v>
      </c>
      <c r="E93" s="66">
        <v>44.2648626006984</v>
      </c>
      <c r="F93" s="68">
        <v>4.4445316666666601</v>
      </c>
      <c r="G93" s="67"/>
    </row>
    <row r="94" spans="1:7" s="69" customFormat="1" x14ac:dyDescent="0.2">
      <c r="A94" s="64" t="s">
        <v>242</v>
      </c>
      <c r="B94" s="64" t="s">
        <v>243</v>
      </c>
      <c r="C94" s="65">
        <v>62897266.944029301</v>
      </c>
      <c r="D94" s="65">
        <v>1414390.8160669799</v>
      </c>
      <c r="E94" s="66">
        <v>44.469510286363899</v>
      </c>
      <c r="F94" s="68">
        <v>4.4390633333333298</v>
      </c>
      <c r="G94" s="67"/>
    </row>
    <row r="95" spans="1:7" s="69" customFormat="1" x14ac:dyDescent="0.2">
      <c r="A95" s="64" t="s">
        <v>232</v>
      </c>
      <c r="B95" s="64" t="s">
        <v>233</v>
      </c>
      <c r="C95" s="65">
        <v>55908733.143662401</v>
      </c>
      <c r="D95" s="65">
        <v>1532638.0921907199</v>
      </c>
      <c r="E95" s="66">
        <v>36.478757397806604</v>
      </c>
      <c r="F95" s="68">
        <v>4.4336916666666601</v>
      </c>
      <c r="G95" s="67"/>
    </row>
    <row r="96" spans="1:7" s="69" customFormat="1" x14ac:dyDescent="0.2">
      <c r="A96" s="64" t="s">
        <v>234</v>
      </c>
      <c r="B96" s="64" t="s">
        <v>235</v>
      </c>
      <c r="C96" s="65">
        <v>58991841.550586298</v>
      </c>
      <c r="D96" s="65">
        <v>1571302.40332356</v>
      </c>
      <c r="E96" s="66">
        <v>37.543277109363999</v>
      </c>
      <c r="F96" s="68">
        <v>4.4390966666666598</v>
      </c>
      <c r="G96" s="67"/>
    </row>
    <row r="97" spans="1:7" s="69" customFormat="1" x14ac:dyDescent="0.2">
      <c r="A97" s="64" t="s">
        <v>236</v>
      </c>
      <c r="B97" s="64" t="s">
        <v>237</v>
      </c>
      <c r="C97" s="65">
        <v>64720253.582753897</v>
      </c>
      <c r="D97" s="65">
        <v>1511241.3576926801</v>
      </c>
      <c r="E97" s="66">
        <v>42.825888302558397</v>
      </c>
      <c r="F97" s="68">
        <v>4.4608116666666602</v>
      </c>
      <c r="G97" s="67"/>
    </row>
    <row r="98" spans="1:7" s="69" customFormat="1" x14ac:dyDescent="0.2">
      <c r="A98" s="64" t="s">
        <v>220</v>
      </c>
      <c r="B98" s="64" t="s">
        <v>221</v>
      </c>
      <c r="C98" s="65">
        <v>2193752.79568739</v>
      </c>
      <c r="D98" s="65">
        <v>187138.37191283001</v>
      </c>
      <c r="E98" s="66">
        <v>11.722624137764999</v>
      </c>
      <c r="F98" s="68">
        <v>4.3794916666666603</v>
      </c>
      <c r="G98" s="67"/>
    </row>
    <row r="99" spans="1:7" s="69" customFormat="1" x14ac:dyDescent="0.2">
      <c r="A99" s="64" t="s">
        <v>222</v>
      </c>
      <c r="B99" s="64" t="s">
        <v>223</v>
      </c>
      <c r="C99" s="65">
        <v>2487839.31089905</v>
      </c>
      <c r="D99" s="65">
        <v>180192.39059472599</v>
      </c>
      <c r="E99" s="66">
        <v>13.8065725344334</v>
      </c>
      <c r="F99" s="68">
        <v>4.37944333333333</v>
      </c>
      <c r="G99" s="67"/>
    </row>
    <row r="100" spans="1:7" s="69" customFormat="1" x14ac:dyDescent="0.2">
      <c r="A100" s="64" t="s">
        <v>224</v>
      </c>
      <c r="B100" s="64" t="s">
        <v>225</v>
      </c>
      <c r="C100" s="65">
        <v>63042101.409014396</v>
      </c>
      <c r="D100" s="65">
        <v>1284282.6969122901</v>
      </c>
      <c r="E100" s="66">
        <v>49.087402299028</v>
      </c>
      <c r="F100" s="68">
        <v>4.4609449999999997</v>
      </c>
      <c r="G100" s="67"/>
    </row>
    <row r="101" spans="1:7" s="69" customFormat="1" x14ac:dyDescent="0.2">
      <c r="A101" s="64" t="s">
        <v>250</v>
      </c>
      <c r="B101" s="64" t="s">
        <v>251</v>
      </c>
      <c r="C101" s="65">
        <v>49615303.574205801</v>
      </c>
      <c r="D101" s="65">
        <v>1677920.37249197</v>
      </c>
      <c r="E101" s="66">
        <v>29.569522122506399</v>
      </c>
      <c r="F101" s="68">
        <v>4.4011516666666601</v>
      </c>
      <c r="G101" s="67"/>
    </row>
    <row r="102" spans="1:7" s="69" customFormat="1" x14ac:dyDescent="0.2">
      <c r="A102" s="64" t="s">
        <v>252</v>
      </c>
      <c r="B102" s="64" t="s">
        <v>253</v>
      </c>
      <c r="C102" s="65">
        <v>44405524.076781496</v>
      </c>
      <c r="D102" s="65">
        <v>1749611.3364957301</v>
      </c>
      <c r="E102" s="66">
        <v>25.3802219673087</v>
      </c>
      <c r="F102" s="68">
        <v>4.3850133333333297</v>
      </c>
      <c r="G102" s="67"/>
    </row>
    <row r="104" spans="1:7" s="69" customFormat="1" x14ac:dyDescent="0.2">
      <c r="A104" s="64" t="s">
        <v>124</v>
      </c>
      <c r="B104" s="64" t="s">
        <v>125</v>
      </c>
      <c r="C104" s="65">
        <v>163905233.89604101</v>
      </c>
      <c r="D104" s="65">
        <v>2582267.4315616698</v>
      </c>
      <c r="E104" s="66">
        <v>63.473376882934403</v>
      </c>
      <c r="F104" s="68">
        <v>5.2117800000000001</v>
      </c>
      <c r="G104" s="67"/>
    </row>
    <row r="105" spans="1:7" s="69" customFormat="1" x14ac:dyDescent="0.2">
      <c r="A105" s="64" t="s">
        <v>126</v>
      </c>
      <c r="B105" s="64" t="s">
        <v>127</v>
      </c>
      <c r="C105" s="65">
        <v>151210389.48440701</v>
      </c>
      <c r="D105" s="65">
        <v>2131038.56518924</v>
      </c>
      <c r="E105" s="66">
        <v>70.956195704032098</v>
      </c>
      <c r="F105" s="68">
        <v>5.2065033333333304</v>
      </c>
      <c r="G105" s="67"/>
    </row>
    <row r="106" spans="1:7" s="69" customFormat="1" x14ac:dyDescent="0.2">
      <c r="A106" s="64" t="s">
        <v>128</v>
      </c>
      <c r="B106" s="64" t="s">
        <v>129</v>
      </c>
      <c r="C106" s="65">
        <v>138068461.54858601</v>
      </c>
      <c r="D106" s="65">
        <v>2532925.1061284002</v>
      </c>
      <c r="E106" s="66">
        <v>54.509492291947303</v>
      </c>
      <c r="F106" s="68">
        <v>5.1901700000000002</v>
      </c>
      <c r="G106" s="67"/>
    </row>
    <row r="107" spans="1:7" s="69" customFormat="1" x14ac:dyDescent="0.2">
      <c r="A107" s="64" t="s">
        <v>142</v>
      </c>
      <c r="B107" s="64" t="s">
        <v>143</v>
      </c>
      <c r="C107" s="65">
        <v>131399116.808175</v>
      </c>
      <c r="D107" s="65">
        <v>1877676.65647968</v>
      </c>
      <c r="E107" s="66">
        <v>69.979629535644193</v>
      </c>
      <c r="F107" s="68">
        <v>5.2009499999999997</v>
      </c>
      <c r="G107" s="67"/>
    </row>
    <row r="108" spans="1:7" s="69" customFormat="1" x14ac:dyDescent="0.2">
      <c r="A108" s="64" t="s">
        <v>144</v>
      </c>
      <c r="B108" s="64" t="s">
        <v>145</v>
      </c>
      <c r="C108" s="65">
        <v>126564535.005137</v>
      </c>
      <c r="D108" s="65">
        <v>1775184.6828162801</v>
      </c>
      <c r="E108" s="66">
        <v>71.296545215986001</v>
      </c>
      <c r="F108" s="68">
        <v>5.1955450000000001</v>
      </c>
      <c r="G108" s="67"/>
    </row>
    <row r="109" spans="1:7" s="69" customFormat="1" x14ac:dyDescent="0.2">
      <c r="A109" s="64" t="s">
        <v>146</v>
      </c>
      <c r="B109" s="64" t="s">
        <v>147</v>
      </c>
      <c r="C109" s="65">
        <v>133299199.418176</v>
      </c>
      <c r="D109" s="65">
        <v>1928733.95068996</v>
      </c>
      <c r="E109" s="66">
        <v>69.112279259921607</v>
      </c>
      <c r="F109" s="68">
        <v>5.2010949999999996</v>
      </c>
      <c r="G109" s="67"/>
    </row>
    <row r="110" spans="1:7" s="69" customFormat="1" x14ac:dyDescent="0.2">
      <c r="A110" s="64" t="s">
        <v>136</v>
      </c>
      <c r="B110" s="64" t="s">
        <v>137</v>
      </c>
      <c r="C110" s="65">
        <v>130293732.949287</v>
      </c>
      <c r="D110" s="65">
        <v>1995895.6572370499</v>
      </c>
      <c r="E110" s="66">
        <v>65.280833933801503</v>
      </c>
      <c r="F110" s="68">
        <v>5.1955433333333296</v>
      </c>
      <c r="G110" s="67"/>
    </row>
    <row r="111" spans="1:7" s="69" customFormat="1" x14ac:dyDescent="0.2">
      <c r="A111" s="64" t="s">
        <v>138</v>
      </c>
      <c r="B111" s="64" t="s">
        <v>139</v>
      </c>
      <c r="C111" s="65">
        <v>121252070.821927</v>
      </c>
      <c r="D111" s="65">
        <v>1714116.9085879</v>
      </c>
      <c r="E111" s="66">
        <v>70.737340151328993</v>
      </c>
      <c r="F111" s="68">
        <v>5.1903249999999996</v>
      </c>
      <c r="G111" s="67"/>
    </row>
    <row r="112" spans="1:7" s="69" customFormat="1" x14ac:dyDescent="0.2">
      <c r="A112" s="64" t="s">
        <v>140</v>
      </c>
      <c r="B112" s="64" t="s">
        <v>141</v>
      </c>
      <c r="C112" s="65">
        <v>123619611.569479</v>
      </c>
      <c r="D112" s="65">
        <v>1773505.10224188</v>
      </c>
      <c r="E112" s="66">
        <v>69.703555638612102</v>
      </c>
      <c r="F112" s="68">
        <v>5.1847233333333298</v>
      </c>
      <c r="G112" s="67"/>
    </row>
    <row r="113" spans="1:7" s="69" customFormat="1" x14ac:dyDescent="0.2">
      <c r="A113" s="64" t="s">
        <v>130</v>
      </c>
      <c r="B113" s="64" t="s">
        <v>131</v>
      </c>
      <c r="C113" s="65">
        <v>118825692.64774901</v>
      </c>
      <c r="D113" s="65">
        <v>1682265.1431386201</v>
      </c>
      <c r="E113" s="66">
        <v>70.634342708935094</v>
      </c>
      <c r="F113" s="68">
        <v>5.1847633333333301</v>
      </c>
      <c r="G113" s="67"/>
    </row>
    <row r="114" spans="1:7" s="69" customFormat="1" x14ac:dyDescent="0.2">
      <c r="A114" s="64" t="s">
        <v>132</v>
      </c>
      <c r="B114" s="64" t="s">
        <v>133</v>
      </c>
      <c r="C114" s="65">
        <v>111824871.383586</v>
      </c>
      <c r="D114" s="65">
        <v>1670158.4665637901</v>
      </c>
      <c r="E114" s="66">
        <v>66.9546474914181</v>
      </c>
      <c r="F114" s="68">
        <v>5.1849016666666596</v>
      </c>
      <c r="G114" s="67"/>
    </row>
    <row r="115" spans="1:7" s="69" customFormat="1" x14ac:dyDescent="0.2">
      <c r="A115" s="64" t="s">
        <v>134</v>
      </c>
      <c r="B115" s="64" t="s">
        <v>135</v>
      </c>
      <c r="C115" s="65">
        <v>116974383.657849</v>
      </c>
      <c r="D115" s="65">
        <v>1916127.31127875</v>
      </c>
      <c r="E115" s="66">
        <v>61.047292092394997</v>
      </c>
      <c r="F115" s="68">
        <v>5.1847166666666604</v>
      </c>
      <c r="G115" s="67"/>
    </row>
    <row r="116" spans="1:7" s="69" customFormat="1" x14ac:dyDescent="0.2">
      <c r="A116" s="64" t="s">
        <v>118</v>
      </c>
      <c r="B116" s="64" t="s">
        <v>119</v>
      </c>
      <c r="C116" s="65">
        <v>129904297.588073</v>
      </c>
      <c r="D116" s="65">
        <v>1791254.4936706</v>
      </c>
      <c r="E116" s="66">
        <v>72.521407788279504</v>
      </c>
      <c r="F116" s="68">
        <v>5.1469300000000002</v>
      </c>
      <c r="G116" s="67"/>
    </row>
    <row r="117" spans="1:7" s="69" customFormat="1" x14ac:dyDescent="0.2">
      <c r="A117" s="64" t="s">
        <v>120</v>
      </c>
      <c r="B117" s="64" t="s">
        <v>121</v>
      </c>
      <c r="C117" s="65">
        <v>115645134.49903899</v>
      </c>
      <c r="D117" s="65">
        <v>1637620.6342156699</v>
      </c>
      <c r="E117" s="66">
        <v>70.617780505939294</v>
      </c>
      <c r="F117" s="68">
        <v>5.1360700000000001</v>
      </c>
      <c r="G117" s="67"/>
    </row>
    <row r="118" spans="1:7" s="69" customFormat="1" x14ac:dyDescent="0.2">
      <c r="A118" s="64" t="s">
        <v>122</v>
      </c>
      <c r="B118" s="64" t="s">
        <v>123</v>
      </c>
      <c r="C118" s="65">
        <v>113700958.96957199</v>
      </c>
      <c r="D118" s="65">
        <v>1633220.6535273299</v>
      </c>
      <c r="E118" s="66">
        <v>69.617634778257298</v>
      </c>
      <c r="F118" s="68">
        <v>5.1361499999999998</v>
      </c>
      <c r="G118" s="67"/>
    </row>
    <row r="119" spans="1:7" s="69" customFormat="1" x14ac:dyDescent="0.2">
      <c r="A119" s="64" t="s">
        <v>148</v>
      </c>
      <c r="B119" s="64" t="s">
        <v>149</v>
      </c>
      <c r="C119" s="65">
        <v>104545547.808318</v>
      </c>
      <c r="D119" s="65">
        <v>1995106.4801314699</v>
      </c>
      <c r="E119" s="66">
        <v>52.400986538537303</v>
      </c>
      <c r="F119" s="68">
        <v>5.1143483333333304</v>
      </c>
      <c r="G119" s="67"/>
    </row>
    <row r="120" spans="1:7" s="69" customFormat="1" x14ac:dyDescent="0.2">
      <c r="A120" s="64" t="s">
        <v>150</v>
      </c>
      <c r="B120" s="64" t="s">
        <v>151</v>
      </c>
      <c r="C120" s="65">
        <v>100633767.604765</v>
      </c>
      <c r="D120" s="65">
        <v>1707004.0951004999</v>
      </c>
      <c r="E120" s="66">
        <v>58.9534424045073</v>
      </c>
      <c r="F120" s="68">
        <v>5.1089500000000001</v>
      </c>
      <c r="G120" s="67"/>
    </row>
    <row r="122" spans="1:7" s="69" customFormat="1" x14ac:dyDescent="0.2">
      <c r="A122" s="64" t="s">
        <v>78</v>
      </c>
      <c r="B122" s="64" t="s">
        <v>33</v>
      </c>
      <c r="C122" s="65" t="s">
        <v>32</v>
      </c>
      <c r="D122" s="65">
        <v>1614810.53299363</v>
      </c>
      <c r="E122" s="66">
        <v>0</v>
      </c>
      <c r="F122" s="68" t="s">
        <v>32</v>
      </c>
      <c r="G122" s="67"/>
    </row>
    <row r="123" spans="1:7" s="69" customFormat="1" x14ac:dyDescent="0.2">
      <c r="A123" s="64" t="s">
        <v>79</v>
      </c>
      <c r="B123" s="64" t="s">
        <v>34</v>
      </c>
      <c r="C123" s="65" t="s">
        <v>32</v>
      </c>
      <c r="D123" s="65">
        <v>1438754.3494833999</v>
      </c>
      <c r="E123" s="66">
        <v>0</v>
      </c>
      <c r="F123" s="68" t="s">
        <v>32</v>
      </c>
      <c r="G123" s="67"/>
    </row>
    <row r="124" spans="1:7" s="69" customFormat="1" x14ac:dyDescent="0.2">
      <c r="A124" s="64" t="s">
        <v>80</v>
      </c>
      <c r="B124" s="64" t="s">
        <v>35</v>
      </c>
      <c r="C124" s="65" t="s">
        <v>32</v>
      </c>
      <c r="D124" s="65">
        <v>1834176.57378164</v>
      </c>
      <c r="E124" s="66">
        <v>0</v>
      </c>
      <c r="F124" s="68" t="s">
        <v>32</v>
      </c>
      <c r="G124" s="67"/>
    </row>
    <row r="125" spans="1:7" s="69" customFormat="1" x14ac:dyDescent="0.2">
      <c r="A125" s="64" t="s">
        <v>158</v>
      </c>
      <c r="B125" s="64" t="s">
        <v>159</v>
      </c>
      <c r="C125" s="65">
        <v>1204425.5239154</v>
      </c>
      <c r="D125" s="65">
        <v>1350128.9884317899</v>
      </c>
      <c r="E125" s="66">
        <v>0.89208181902261996</v>
      </c>
      <c r="F125" s="68">
        <v>6.6439533333333296</v>
      </c>
      <c r="G125" s="67"/>
    </row>
    <row r="126" spans="1:7" s="69" customFormat="1" x14ac:dyDescent="0.2">
      <c r="A126" s="64" t="s">
        <v>160</v>
      </c>
      <c r="B126" s="64" t="s">
        <v>161</v>
      </c>
      <c r="C126" s="65">
        <v>1098429.79374643</v>
      </c>
      <c r="D126" s="65">
        <v>1142117.2832016</v>
      </c>
      <c r="E126" s="66">
        <v>0.96174868369673505</v>
      </c>
      <c r="F126" s="68">
        <v>6.6440166666666602</v>
      </c>
      <c r="G126" s="67"/>
    </row>
    <row r="127" spans="1:7" s="69" customFormat="1" x14ac:dyDescent="0.2">
      <c r="A127" s="64" t="s">
        <v>162</v>
      </c>
      <c r="B127" s="64" t="s">
        <v>163</v>
      </c>
      <c r="C127" s="65">
        <v>1173985.9470351201</v>
      </c>
      <c r="D127" s="65">
        <v>1362114.07163548</v>
      </c>
      <c r="E127" s="66">
        <v>0.86188519117604401</v>
      </c>
      <c r="F127" s="68">
        <v>6.6399116666666602</v>
      </c>
      <c r="G127" s="67"/>
    </row>
    <row r="128" spans="1:7" s="69" customFormat="1" x14ac:dyDescent="0.2">
      <c r="A128" s="64" t="s">
        <v>176</v>
      </c>
      <c r="B128" s="64" t="s">
        <v>177</v>
      </c>
      <c r="C128" s="65">
        <v>980626.30466316605</v>
      </c>
      <c r="D128" s="65">
        <v>1571628.2136665799</v>
      </c>
      <c r="E128" s="66">
        <v>0.623955650665866</v>
      </c>
      <c r="F128" s="68">
        <v>6.6440716666666599</v>
      </c>
      <c r="G128" s="67"/>
    </row>
    <row r="129" spans="1:7" s="69" customFormat="1" x14ac:dyDescent="0.2">
      <c r="A129" s="64" t="s">
        <v>178</v>
      </c>
      <c r="B129" s="64" t="s">
        <v>179</v>
      </c>
      <c r="C129" s="65">
        <v>1108347.77825437</v>
      </c>
      <c r="D129" s="65">
        <v>1264179.4482620701</v>
      </c>
      <c r="E129" s="66">
        <v>0.876732950988938</v>
      </c>
      <c r="F129" s="68">
        <v>6.6400266666666603</v>
      </c>
      <c r="G129" s="67"/>
    </row>
    <row r="130" spans="1:7" s="69" customFormat="1" x14ac:dyDescent="0.2">
      <c r="A130" s="64" t="s">
        <v>180</v>
      </c>
      <c r="B130" s="64" t="s">
        <v>181</v>
      </c>
      <c r="C130" s="65">
        <v>1074778.27555422</v>
      </c>
      <c r="D130" s="65">
        <v>1460610.8274628799</v>
      </c>
      <c r="E130" s="66">
        <v>0.73584164607429203</v>
      </c>
      <c r="F130" s="68">
        <v>6.6398599999999997</v>
      </c>
      <c r="G130" s="67"/>
    </row>
    <row r="131" spans="1:7" s="69" customFormat="1" x14ac:dyDescent="0.2">
      <c r="A131" s="64" t="s">
        <v>170</v>
      </c>
      <c r="B131" s="64" t="s">
        <v>171</v>
      </c>
      <c r="C131" s="65">
        <v>964821.055435644</v>
      </c>
      <c r="D131" s="65">
        <v>1571328.9652976701</v>
      </c>
      <c r="E131" s="66">
        <v>0.61401595512042795</v>
      </c>
      <c r="F131" s="68">
        <v>6.6397333333333304</v>
      </c>
      <c r="G131" s="67"/>
    </row>
    <row r="132" spans="1:7" s="69" customFormat="1" x14ac:dyDescent="0.2">
      <c r="A132" s="64" t="s">
        <v>172</v>
      </c>
      <c r="B132" s="64" t="s">
        <v>173</v>
      </c>
      <c r="C132" s="65">
        <v>1027181.34926273</v>
      </c>
      <c r="D132" s="65">
        <v>1256406.0631413299</v>
      </c>
      <c r="E132" s="66">
        <v>0.81755523106480499</v>
      </c>
      <c r="F132" s="68">
        <v>6.6397250000000003</v>
      </c>
      <c r="G132" s="67"/>
    </row>
    <row r="133" spans="1:7" s="69" customFormat="1" x14ac:dyDescent="0.2">
      <c r="A133" s="64" t="s">
        <v>174</v>
      </c>
      <c r="B133" s="64" t="s">
        <v>175</v>
      </c>
      <c r="C133" s="65">
        <v>990009.86235450697</v>
      </c>
      <c r="D133" s="65">
        <v>1468234.6477468901</v>
      </c>
      <c r="E133" s="66">
        <v>0.67428586014759095</v>
      </c>
      <c r="F133" s="68">
        <v>6.6397383333333302</v>
      </c>
      <c r="G133" s="67"/>
    </row>
    <row r="134" spans="1:7" s="69" customFormat="1" x14ac:dyDescent="0.2">
      <c r="A134" s="64" t="s">
        <v>164</v>
      </c>
      <c r="B134" s="64" t="s">
        <v>165</v>
      </c>
      <c r="C134" s="65">
        <v>881597.28699328296</v>
      </c>
      <c r="D134" s="65">
        <v>1583105.9449466099</v>
      </c>
      <c r="E134" s="66">
        <v>0.55687826187969602</v>
      </c>
      <c r="F134" s="68">
        <v>6.6398099999999998</v>
      </c>
      <c r="G134" s="67"/>
    </row>
    <row r="135" spans="1:7" s="69" customFormat="1" x14ac:dyDescent="0.2">
      <c r="A135" s="64" t="s">
        <v>166</v>
      </c>
      <c r="B135" s="64" t="s">
        <v>167</v>
      </c>
      <c r="C135" s="65">
        <v>863036.56473109301</v>
      </c>
      <c r="D135" s="65">
        <v>1506487.64591603</v>
      </c>
      <c r="E135" s="66">
        <v>0.57287994831601596</v>
      </c>
      <c r="F135" s="68">
        <v>6.6396616666666599</v>
      </c>
      <c r="G135" s="67"/>
    </row>
    <row r="136" spans="1:7" s="69" customFormat="1" x14ac:dyDescent="0.2">
      <c r="A136" s="64" t="s">
        <v>168</v>
      </c>
      <c r="B136" s="64" t="s">
        <v>169</v>
      </c>
      <c r="C136" s="65">
        <v>908696.32924349897</v>
      </c>
      <c r="D136" s="65">
        <v>1601915.3966361999</v>
      </c>
      <c r="E136" s="66">
        <v>0.56725613047457601</v>
      </c>
      <c r="F136" s="68">
        <v>6.6396783333333298</v>
      </c>
      <c r="G136" s="67"/>
    </row>
    <row r="137" spans="1:7" s="69" customFormat="1" x14ac:dyDescent="0.2">
      <c r="A137" s="64" t="s">
        <v>152</v>
      </c>
      <c r="B137" s="64" t="s">
        <v>153</v>
      </c>
      <c r="C137" s="65">
        <v>683217.97502552602</v>
      </c>
      <c r="D137" s="65">
        <v>1608578.14427515</v>
      </c>
      <c r="E137" s="66">
        <v>0.42473409044942201</v>
      </c>
      <c r="F137" s="68">
        <v>6.6271166666666597</v>
      </c>
      <c r="G137" s="67"/>
    </row>
    <row r="138" spans="1:7" s="69" customFormat="1" x14ac:dyDescent="0.2">
      <c r="A138" s="64" t="s">
        <v>154</v>
      </c>
      <c r="B138" s="64" t="s">
        <v>155</v>
      </c>
      <c r="C138" s="65">
        <v>705639.71906596201</v>
      </c>
      <c r="D138" s="65">
        <v>1673196.1810490601</v>
      </c>
      <c r="E138" s="66">
        <v>0.42173160987227298</v>
      </c>
      <c r="F138" s="68">
        <v>6.6268849999999997</v>
      </c>
      <c r="G138" s="67"/>
    </row>
    <row r="139" spans="1:7" s="69" customFormat="1" x14ac:dyDescent="0.2">
      <c r="A139" s="64" t="s">
        <v>156</v>
      </c>
      <c r="B139" s="64" t="s">
        <v>157</v>
      </c>
      <c r="C139" s="65">
        <v>714026.81074740097</v>
      </c>
      <c r="D139" s="65">
        <v>1503776.0012626699</v>
      </c>
      <c r="E139" s="66">
        <v>0.47482258670696498</v>
      </c>
      <c r="F139" s="68">
        <v>6.6270233333333302</v>
      </c>
      <c r="G139" s="67"/>
    </row>
    <row r="140" spans="1:7" s="69" customFormat="1" x14ac:dyDescent="0.2">
      <c r="A140" s="64" t="s">
        <v>182</v>
      </c>
      <c r="B140" s="64" t="s">
        <v>183</v>
      </c>
      <c r="C140" s="65">
        <v>470321.16657132702</v>
      </c>
      <c r="D140" s="65">
        <v>1731975.55580838</v>
      </c>
      <c r="E140" s="66">
        <v>0.27155185013671201</v>
      </c>
      <c r="F140" s="68">
        <v>6.6226033333333296</v>
      </c>
      <c r="G140" s="67"/>
    </row>
    <row r="141" spans="1:7" s="69" customFormat="1" x14ac:dyDescent="0.2">
      <c r="A141" s="64" t="s">
        <v>184</v>
      </c>
      <c r="B141" s="64" t="s">
        <v>185</v>
      </c>
      <c r="C141" s="65">
        <v>616802.134163048</v>
      </c>
      <c r="D141" s="65">
        <v>1755039.4717337501</v>
      </c>
      <c r="E141" s="66">
        <v>0.35144630311574998</v>
      </c>
      <c r="F141" s="68">
        <v>6.6268666666666602</v>
      </c>
      <c r="G141" s="67"/>
    </row>
  </sheetData>
  <printOptions gridLinesSet="0"/>
  <pageMargins left="0.75" right="0.75" top="0.75" bottom="1" header="0.5" footer="0.5"/>
  <pageSetup orientation="landscape" r:id="rId1"/>
  <headerFooter alignWithMargins="0">
    <oddHeader>&amp;L&amp;"Arial,Regular"Component Summary: &amp;A&amp;R&amp;"Arial,Regular"&amp;D &amp;T&amp;C(EPA HepStab_19Feb2021_10uM.XQN)</oddHeader>
    <oddFooter>&amp;L&amp;"Arial,Regular"Page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2"/>
  <sheetViews>
    <sheetView showGridLines="0" tabSelected="1" workbookViewId="0">
      <selection activeCell="L27" sqref="L27"/>
    </sheetView>
  </sheetViews>
  <sheetFormatPr defaultRowHeight="11.25" x14ac:dyDescent="0.2"/>
  <cols>
    <col min="1" max="1" width="30.7109375" style="53" bestFit="1" customWidth="1"/>
    <col min="2" max="2" width="36.5703125" style="53" customWidth="1"/>
    <col min="3" max="4" width="13.5703125" style="58" customWidth="1"/>
    <col min="5" max="5" width="13.5703125" style="54" customWidth="1"/>
    <col min="6" max="6" width="8.42578125" style="56" customWidth="1"/>
    <col min="7" max="7" width="8.42578125" style="55" customWidth="1"/>
    <col min="8" max="246" width="9.140625" style="57"/>
    <col min="247" max="247" width="12.140625" style="57" customWidth="1"/>
    <col min="248" max="248" width="13.7109375" style="57" customWidth="1"/>
    <col min="249" max="249" width="36.5703125" style="57" customWidth="1"/>
    <col min="250" max="250" width="14.85546875" style="57" customWidth="1"/>
    <col min="251" max="253" width="13.5703125" style="57" customWidth="1"/>
    <col min="254" max="255" width="14.42578125" style="57" customWidth="1"/>
    <col min="256" max="256" width="12.140625" style="57" customWidth="1"/>
    <col min="257" max="257" width="9.42578125" style="57" customWidth="1"/>
    <col min="258" max="258" width="14.42578125" style="57" customWidth="1"/>
    <col min="259" max="259" width="9.42578125" style="57" customWidth="1"/>
    <col min="260" max="260" width="7.85546875" style="57" customWidth="1"/>
    <col min="261" max="261" width="8.42578125" style="57" customWidth="1"/>
    <col min="262" max="262" width="14.85546875" style="57" customWidth="1"/>
    <col min="263" max="263" width="8.42578125" style="57" customWidth="1"/>
    <col min="264" max="502" width="9.140625" style="57"/>
    <col min="503" max="503" width="12.140625" style="57" customWidth="1"/>
    <col min="504" max="504" width="13.7109375" style="57" customWidth="1"/>
    <col min="505" max="505" width="36.5703125" style="57" customWidth="1"/>
    <col min="506" max="506" width="14.85546875" style="57" customWidth="1"/>
    <col min="507" max="509" width="13.5703125" style="57" customWidth="1"/>
    <col min="510" max="511" width="14.42578125" style="57" customWidth="1"/>
    <col min="512" max="512" width="12.140625" style="57" customWidth="1"/>
    <col min="513" max="513" width="9.42578125" style="57" customWidth="1"/>
    <col min="514" max="514" width="14.42578125" style="57" customWidth="1"/>
    <col min="515" max="515" width="9.42578125" style="57" customWidth="1"/>
    <col min="516" max="516" width="7.85546875" style="57" customWidth="1"/>
    <col min="517" max="517" width="8.42578125" style="57" customWidth="1"/>
    <col min="518" max="518" width="14.85546875" style="57" customWidth="1"/>
    <col min="519" max="519" width="8.42578125" style="57" customWidth="1"/>
    <col min="520" max="758" width="9.140625" style="57"/>
    <col min="759" max="759" width="12.140625" style="57" customWidth="1"/>
    <col min="760" max="760" width="13.7109375" style="57" customWidth="1"/>
    <col min="761" max="761" width="36.5703125" style="57" customWidth="1"/>
    <col min="762" max="762" width="14.85546875" style="57" customWidth="1"/>
    <col min="763" max="765" width="13.5703125" style="57" customWidth="1"/>
    <col min="766" max="767" width="14.42578125" style="57" customWidth="1"/>
    <col min="768" max="768" width="12.140625" style="57" customWidth="1"/>
    <col min="769" max="769" width="9.42578125" style="57" customWidth="1"/>
    <col min="770" max="770" width="14.42578125" style="57" customWidth="1"/>
    <col min="771" max="771" width="9.42578125" style="57" customWidth="1"/>
    <col min="772" max="772" width="7.85546875" style="57" customWidth="1"/>
    <col min="773" max="773" width="8.42578125" style="57" customWidth="1"/>
    <col min="774" max="774" width="14.85546875" style="57" customWidth="1"/>
    <col min="775" max="775" width="8.42578125" style="57" customWidth="1"/>
    <col min="776" max="1014" width="9.140625" style="57"/>
    <col min="1015" max="1015" width="12.140625" style="57" customWidth="1"/>
    <col min="1016" max="1016" width="13.7109375" style="57" customWidth="1"/>
    <col min="1017" max="1017" width="36.5703125" style="57" customWidth="1"/>
    <col min="1018" max="1018" width="14.85546875" style="57" customWidth="1"/>
    <col min="1019" max="1021" width="13.5703125" style="57" customWidth="1"/>
    <col min="1022" max="1023" width="14.42578125" style="57" customWidth="1"/>
    <col min="1024" max="1024" width="12.140625" style="57" customWidth="1"/>
    <col min="1025" max="1025" width="9.42578125" style="57" customWidth="1"/>
    <col min="1026" max="1026" width="14.42578125" style="57" customWidth="1"/>
    <col min="1027" max="1027" width="9.42578125" style="57" customWidth="1"/>
    <col min="1028" max="1028" width="7.85546875" style="57" customWidth="1"/>
    <col min="1029" max="1029" width="8.42578125" style="57" customWidth="1"/>
    <col min="1030" max="1030" width="14.85546875" style="57" customWidth="1"/>
    <col min="1031" max="1031" width="8.42578125" style="57" customWidth="1"/>
    <col min="1032" max="1270" width="9.140625" style="57"/>
    <col min="1271" max="1271" width="12.140625" style="57" customWidth="1"/>
    <col min="1272" max="1272" width="13.7109375" style="57" customWidth="1"/>
    <col min="1273" max="1273" width="36.5703125" style="57" customWidth="1"/>
    <col min="1274" max="1274" width="14.85546875" style="57" customWidth="1"/>
    <col min="1275" max="1277" width="13.5703125" style="57" customWidth="1"/>
    <col min="1278" max="1279" width="14.42578125" style="57" customWidth="1"/>
    <col min="1280" max="1280" width="12.140625" style="57" customWidth="1"/>
    <col min="1281" max="1281" width="9.42578125" style="57" customWidth="1"/>
    <col min="1282" max="1282" width="14.42578125" style="57" customWidth="1"/>
    <col min="1283" max="1283" width="9.42578125" style="57" customWidth="1"/>
    <col min="1284" max="1284" width="7.85546875" style="57" customWidth="1"/>
    <col min="1285" max="1285" width="8.42578125" style="57" customWidth="1"/>
    <col min="1286" max="1286" width="14.85546875" style="57" customWidth="1"/>
    <col min="1287" max="1287" width="8.42578125" style="57" customWidth="1"/>
    <col min="1288" max="1526" width="9.140625" style="57"/>
    <col min="1527" max="1527" width="12.140625" style="57" customWidth="1"/>
    <col min="1528" max="1528" width="13.7109375" style="57" customWidth="1"/>
    <col min="1529" max="1529" width="36.5703125" style="57" customWidth="1"/>
    <col min="1530" max="1530" width="14.85546875" style="57" customWidth="1"/>
    <col min="1531" max="1533" width="13.5703125" style="57" customWidth="1"/>
    <col min="1534" max="1535" width="14.42578125" style="57" customWidth="1"/>
    <col min="1536" max="1536" width="12.140625" style="57" customWidth="1"/>
    <col min="1537" max="1537" width="9.42578125" style="57" customWidth="1"/>
    <col min="1538" max="1538" width="14.42578125" style="57" customWidth="1"/>
    <col min="1539" max="1539" width="9.42578125" style="57" customWidth="1"/>
    <col min="1540" max="1540" width="7.85546875" style="57" customWidth="1"/>
    <col min="1541" max="1541" width="8.42578125" style="57" customWidth="1"/>
    <col min="1542" max="1542" width="14.85546875" style="57" customWidth="1"/>
    <col min="1543" max="1543" width="8.42578125" style="57" customWidth="1"/>
    <col min="1544" max="1782" width="9.140625" style="57"/>
    <col min="1783" max="1783" width="12.140625" style="57" customWidth="1"/>
    <col min="1784" max="1784" width="13.7109375" style="57" customWidth="1"/>
    <col min="1785" max="1785" width="36.5703125" style="57" customWidth="1"/>
    <col min="1786" max="1786" width="14.85546875" style="57" customWidth="1"/>
    <col min="1787" max="1789" width="13.5703125" style="57" customWidth="1"/>
    <col min="1790" max="1791" width="14.42578125" style="57" customWidth="1"/>
    <col min="1792" max="1792" width="12.140625" style="57" customWidth="1"/>
    <col min="1793" max="1793" width="9.42578125" style="57" customWidth="1"/>
    <col min="1794" max="1794" width="14.42578125" style="57" customWidth="1"/>
    <col min="1795" max="1795" width="9.42578125" style="57" customWidth="1"/>
    <col min="1796" max="1796" width="7.85546875" style="57" customWidth="1"/>
    <col min="1797" max="1797" width="8.42578125" style="57" customWidth="1"/>
    <col min="1798" max="1798" width="14.85546875" style="57" customWidth="1"/>
    <col min="1799" max="1799" width="8.42578125" style="57" customWidth="1"/>
    <col min="1800" max="2038" width="9.140625" style="57"/>
    <col min="2039" max="2039" width="12.140625" style="57" customWidth="1"/>
    <col min="2040" max="2040" width="13.7109375" style="57" customWidth="1"/>
    <col min="2041" max="2041" width="36.5703125" style="57" customWidth="1"/>
    <col min="2042" max="2042" width="14.85546875" style="57" customWidth="1"/>
    <col min="2043" max="2045" width="13.5703125" style="57" customWidth="1"/>
    <col min="2046" max="2047" width="14.42578125" style="57" customWidth="1"/>
    <col min="2048" max="2048" width="12.140625" style="57" customWidth="1"/>
    <col min="2049" max="2049" width="9.42578125" style="57" customWidth="1"/>
    <col min="2050" max="2050" width="14.42578125" style="57" customWidth="1"/>
    <col min="2051" max="2051" width="9.42578125" style="57" customWidth="1"/>
    <col min="2052" max="2052" width="7.85546875" style="57" customWidth="1"/>
    <col min="2053" max="2053" width="8.42578125" style="57" customWidth="1"/>
    <col min="2054" max="2054" width="14.85546875" style="57" customWidth="1"/>
    <col min="2055" max="2055" width="8.42578125" style="57" customWidth="1"/>
    <col min="2056" max="2294" width="9.140625" style="57"/>
    <col min="2295" max="2295" width="12.140625" style="57" customWidth="1"/>
    <col min="2296" max="2296" width="13.7109375" style="57" customWidth="1"/>
    <col min="2297" max="2297" width="36.5703125" style="57" customWidth="1"/>
    <col min="2298" max="2298" width="14.85546875" style="57" customWidth="1"/>
    <col min="2299" max="2301" width="13.5703125" style="57" customWidth="1"/>
    <col min="2302" max="2303" width="14.42578125" style="57" customWidth="1"/>
    <col min="2304" max="2304" width="12.140625" style="57" customWidth="1"/>
    <col min="2305" max="2305" width="9.42578125" style="57" customWidth="1"/>
    <col min="2306" max="2306" width="14.42578125" style="57" customWidth="1"/>
    <col min="2307" max="2307" width="9.42578125" style="57" customWidth="1"/>
    <col min="2308" max="2308" width="7.85546875" style="57" customWidth="1"/>
    <col min="2309" max="2309" width="8.42578125" style="57" customWidth="1"/>
    <col min="2310" max="2310" width="14.85546875" style="57" customWidth="1"/>
    <col min="2311" max="2311" width="8.42578125" style="57" customWidth="1"/>
    <col min="2312" max="2550" width="9.140625" style="57"/>
    <col min="2551" max="2551" width="12.140625" style="57" customWidth="1"/>
    <col min="2552" max="2552" width="13.7109375" style="57" customWidth="1"/>
    <col min="2553" max="2553" width="36.5703125" style="57" customWidth="1"/>
    <col min="2554" max="2554" width="14.85546875" style="57" customWidth="1"/>
    <col min="2555" max="2557" width="13.5703125" style="57" customWidth="1"/>
    <col min="2558" max="2559" width="14.42578125" style="57" customWidth="1"/>
    <col min="2560" max="2560" width="12.140625" style="57" customWidth="1"/>
    <col min="2561" max="2561" width="9.42578125" style="57" customWidth="1"/>
    <col min="2562" max="2562" width="14.42578125" style="57" customWidth="1"/>
    <col min="2563" max="2563" width="9.42578125" style="57" customWidth="1"/>
    <col min="2564" max="2564" width="7.85546875" style="57" customWidth="1"/>
    <col min="2565" max="2565" width="8.42578125" style="57" customWidth="1"/>
    <col min="2566" max="2566" width="14.85546875" style="57" customWidth="1"/>
    <col min="2567" max="2567" width="8.42578125" style="57" customWidth="1"/>
    <col min="2568" max="2806" width="9.140625" style="57"/>
    <col min="2807" max="2807" width="12.140625" style="57" customWidth="1"/>
    <col min="2808" max="2808" width="13.7109375" style="57" customWidth="1"/>
    <col min="2809" max="2809" width="36.5703125" style="57" customWidth="1"/>
    <col min="2810" max="2810" width="14.85546875" style="57" customWidth="1"/>
    <col min="2811" max="2813" width="13.5703125" style="57" customWidth="1"/>
    <col min="2814" max="2815" width="14.42578125" style="57" customWidth="1"/>
    <col min="2816" max="2816" width="12.140625" style="57" customWidth="1"/>
    <col min="2817" max="2817" width="9.42578125" style="57" customWidth="1"/>
    <col min="2818" max="2818" width="14.42578125" style="57" customWidth="1"/>
    <col min="2819" max="2819" width="9.42578125" style="57" customWidth="1"/>
    <col min="2820" max="2820" width="7.85546875" style="57" customWidth="1"/>
    <col min="2821" max="2821" width="8.42578125" style="57" customWidth="1"/>
    <col min="2822" max="2822" width="14.85546875" style="57" customWidth="1"/>
    <col min="2823" max="2823" width="8.42578125" style="57" customWidth="1"/>
    <col min="2824" max="3062" width="9.140625" style="57"/>
    <col min="3063" max="3063" width="12.140625" style="57" customWidth="1"/>
    <col min="3064" max="3064" width="13.7109375" style="57" customWidth="1"/>
    <col min="3065" max="3065" width="36.5703125" style="57" customWidth="1"/>
    <col min="3066" max="3066" width="14.85546875" style="57" customWidth="1"/>
    <col min="3067" max="3069" width="13.5703125" style="57" customWidth="1"/>
    <col min="3070" max="3071" width="14.42578125" style="57" customWidth="1"/>
    <col min="3072" max="3072" width="12.140625" style="57" customWidth="1"/>
    <col min="3073" max="3073" width="9.42578125" style="57" customWidth="1"/>
    <col min="3074" max="3074" width="14.42578125" style="57" customWidth="1"/>
    <col min="3075" max="3075" width="9.42578125" style="57" customWidth="1"/>
    <col min="3076" max="3076" width="7.85546875" style="57" customWidth="1"/>
    <col min="3077" max="3077" width="8.42578125" style="57" customWidth="1"/>
    <col min="3078" max="3078" width="14.85546875" style="57" customWidth="1"/>
    <col min="3079" max="3079" width="8.42578125" style="57" customWidth="1"/>
    <col min="3080" max="3318" width="9.140625" style="57"/>
    <col min="3319" max="3319" width="12.140625" style="57" customWidth="1"/>
    <col min="3320" max="3320" width="13.7109375" style="57" customWidth="1"/>
    <col min="3321" max="3321" width="36.5703125" style="57" customWidth="1"/>
    <col min="3322" max="3322" width="14.85546875" style="57" customWidth="1"/>
    <col min="3323" max="3325" width="13.5703125" style="57" customWidth="1"/>
    <col min="3326" max="3327" width="14.42578125" style="57" customWidth="1"/>
    <col min="3328" max="3328" width="12.140625" style="57" customWidth="1"/>
    <col min="3329" max="3329" width="9.42578125" style="57" customWidth="1"/>
    <col min="3330" max="3330" width="14.42578125" style="57" customWidth="1"/>
    <col min="3331" max="3331" width="9.42578125" style="57" customWidth="1"/>
    <col min="3332" max="3332" width="7.85546875" style="57" customWidth="1"/>
    <col min="3333" max="3333" width="8.42578125" style="57" customWidth="1"/>
    <col min="3334" max="3334" width="14.85546875" style="57" customWidth="1"/>
    <col min="3335" max="3335" width="8.42578125" style="57" customWidth="1"/>
    <col min="3336" max="3574" width="9.140625" style="57"/>
    <col min="3575" max="3575" width="12.140625" style="57" customWidth="1"/>
    <col min="3576" max="3576" width="13.7109375" style="57" customWidth="1"/>
    <col min="3577" max="3577" width="36.5703125" style="57" customWidth="1"/>
    <col min="3578" max="3578" width="14.85546875" style="57" customWidth="1"/>
    <col min="3579" max="3581" width="13.5703125" style="57" customWidth="1"/>
    <col min="3582" max="3583" width="14.42578125" style="57" customWidth="1"/>
    <col min="3584" max="3584" width="12.140625" style="57" customWidth="1"/>
    <col min="3585" max="3585" width="9.42578125" style="57" customWidth="1"/>
    <col min="3586" max="3586" width="14.42578125" style="57" customWidth="1"/>
    <col min="3587" max="3587" width="9.42578125" style="57" customWidth="1"/>
    <col min="3588" max="3588" width="7.85546875" style="57" customWidth="1"/>
    <col min="3589" max="3589" width="8.42578125" style="57" customWidth="1"/>
    <col min="3590" max="3590" width="14.85546875" style="57" customWidth="1"/>
    <col min="3591" max="3591" width="8.42578125" style="57" customWidth="1"/>
    <col min="3592" max="3830" width="9.140625" style="57"/>
    <col min="3831" max="3831" width="12.140625" style="57" customWidth="1"/>
    <col min="3832" max="3832" width="13.7109375" style="57" customWidth="1"/>
    <col min="3833" max="3833" width="36.5703125" style="57" customWidth="1"/>
    <col min="3834" max="3834" width="14.85546875" style="57" customWidth="1"/>
    <col min="3835" max="3837" width="13.5703125" style="57" customWidth="1"/>
    <col min="3838" max="3839" width="14.42578125" style="57" customWidth="1"/>
    <col min="3840" max="3840" width="12.140625" style="57" customWidth="1"/>
    <col min="3841" max="3841" width="9.42578125" style="57" customWidth="1"/>
    <col min="3842" max="3842" width="14.42578125" style="57" customWidth="1"/>
    <col min="3843" max="3843" width="9.42578125" style="57" customWidth="1"/>
    <col min="3844" max="3844" width="7.85546875" style="57" customWidth="1"/>
    <col min="3845" max="3845" width="8.42578125" style="57" customWidth="1"/>
    <col min="3846" max="3846" width="14.85546875" style="57" customWidth="1"/>
    <col min="3847" max="3847" width="8.42578125" style="57" customWidth="1"/>
    <col min="3848" max="4086" width="9.140625" style="57"/>
    <col min="4087" max="4087" width="12.140625" style="57" customWidth="1"/>
    <col min="4088" max="4088" width="13.7109375" style="57" customWidth="1"/>
    <col min="4089" max="4089" width="36.5703125" style="57" customWidth="1"/>
    <col min="4090" max="4090" width="14.85546875" style="57" customWidth="1"/>
    <col min="4091" max="4093" width="13.5703125" style="57" customWidth="1"/>
    <col min="4094" max="4095" width="14.42578125" style="57" customWidth="1"/>
    <col min="4096" max="4096" width="12.140625" style="57" customWidth="1"/>
    <col min="4097" max="4097" width="9.42578125" style="57" customWidth="1"/>
    <col min="4098" max="4098" width="14.42578125" style="57" customWidth="1"/>
    <col min="4099" max="4099" width="9.42578125" style="57" customWidth="1"/>
    <col min="4100" max="4100" width="7.85546875" style="57" customWidth="1"/>
    <col min="4101" max="4101" width="8.42578125" style="57" customWidth="1"/>
    <col min="4102" max="4102" width="14.85546875" style="57" customWidth="1"/>
    <col min="4103" max="4103" width="8.42578125" style="57" customWidth="1"/>
    <col min="4104" max="4342" width="9.140625" style="57"/>
    <col min="4343" max="4343" width="12.140625" style="57" customWidth="1"/>
    <col min="4344" max="4344" width="13.7109375" style="57" customWidth="1"/>
    <col min="4345" max="4345" width="36.5703125" style="57" customWidth="1"/>
    <col min="4346" max="4346" width="14.85546875" style="57" customWidth="1"/>
    <col min="4347" max="4349" width="13.5703125" style="57" customWidth="1"/>
    <col min="4350" max="4351" width="14.42578125" style="57" customWidth="1"/>
    <col min="4352" max="4352" width="12.140625" style="57" customWidth="1"/>
    <col min="4353" max="4353" width="9.42578125" style="57" customWidth="1"/>
    <col min="4354" max="4354" width="14.42578125" style="57" customWidth="1"/>
    <col min="4355" max="4355" width="9.42578125" style="57" customWidth="1"/>
    <col min="4356" max="4356" width="7.85546875" style="57" customWidth="1"/>
    <col min="4357" max="4357" width="8.42578125" style="57" customWidth="1"/>
    <col min="4358" max="4358" width="14.85546875" style="57" customWidth="1"/>
    <col min="4359" max="4359" width="8.42578125" style="57" customWidth="1"/>
    <col min="4360" max="4598" width="9.140625" style="57"/>
    <col min="4599" max="4599" width="12.140625" style="57" customWidth="1"/>
    <col min="4600" max="4600" width="13.7109375" style="57" customWidth="1"/>
    <col min="4601" max="4601" width="36.5703125" style="57" customWidth="1"/>
    <col min="4602" max="4602" width="14.85546875" style="57" customWidth="1"/>
    <col min="4603" max="4605" width="13.5703125" style="57" customWidth="1"/>
    <col min="4606" max="4607" width="14.42578125" style="57" customWidth="1"/>
    <col min="4608" max="4608" width="12.140625" style="57" customWidth="1"/>
    <col min="4609" max="4609" width="9.42578125" style="57" customWidth="1"/>
    <col min="4610" max="4610" width="14.42578125" style="57" customWidth="1"/>
    <col min="4611" max="4611" width="9.42578125" style="57" customWidth="1"/>
    <col min="4612" max="4612" width="7.85546875" style="57" customWidth="1"/>
    <col min="4613" max="4613" width="8.42578125" style="57" customWidth="1"/>
    <col min="4614" max="4614" width="14.85546875" style="57" customWidth="1"/>
    <col min="4615" max="4615" width="8.42578125" style="57" customWidth="1"/>
    <col min="4616" max="4854" width="9.140625" style="57"/>
    <col min="4855" max="4855" width="12.140625" style="57" customWidth="1"/>
    <col min="4856" max="4856" width="13.7109375" style="57" customWidth="1"/>
    <col min="4857" max="4857" width="36.5703125" style="57" customWidth="1"/>
    <col min="4858" max="4858" width="14.85546875" style="57" customWidth="1"/>
    <col min="4859" max="4861" width="13.5703125" style="57" customWidth="1"/>
    <col min="4862" max="4863" width="14.42578125" style="57" customWidth="1"/>
    <col min="4864" max="4864" width="12.140625" style="57" customWidth="1"/>
    <col min="4865" max="4865" width="9.42578125" style="57" customWidth="1"/>
    <col min="4866" max="4866" width="14.42578125" style="57" customWidth="1"/>
    <col min="4867" max="4867" width="9.42578125" style="57" customWidth="1"/>
    <col min="4868" max="4868" width="7.85546875" style="57" customWidth="1"/>
    <col min="4869" max="4869" width="8.42578125" style="57" customWidth="1"/>
    <col min="4870" max="4870" width="14.85546875" style="57" customWidth="1"/>
    <col min="4871" max="4871" width="8.42578125" style="57" customWidth="1"/>
    <col min="4872" max="5110" width="9.140625" style="57"/>
    <col min="5111" max="5111" width="12.140625" style="57" customWidth="1"/>
    <col min="5112" max="5112" width="13.7109375" style="57" customWidth="1"/>
    <col min="5113" max="5113" width="36.5703125" style="57" customWidth="1"/>
    <col min="5114" max="5114" width="14.85546875" style="57" customWidth="1"/>
    <col min="5115" max="5117" width="13.5703125" style="57" customWidth="1"/>
    <col min="5118" max="5119" width="14.42578125" style="57" customWidth="1"/>
    <col min="5120" max="5120" width="12.140625" style="57" customWidth="1"/>
    <col min="5121" max="5121" width="9.42578125" style="57" customWidth="1"/>
    <col min="5122" max="5122" width="14.42578125" style="57" customWidth="1"/>
    <col min="5123" max="5123" width="9.42578125" style="57" customWidth="1"/>
    <col min="5124" max="5124" width="7.85546875" style="57" customWidth="1"/>
    <col min="5125" max="5125" width="8.42578125" style="57" customWidth="1"/>
    <col min="5126" max="5126" width="14.85546875" style="57" customWidth="1"/>
    <col min="5127" max="5127" width="8.42578125" style="57" customWidth="1"/>
    <col min="5128" max="5366" width="9.140625" style="57"/>
    <col min="5367" max="5367" width="12.140625" style="57" customWidth="1"/>
    <col min="5368" max="5368" width="13.7109375" style="57" customWidth="1"/>
    <col min="5369" max="5369" width="36.5703125" style="57" customWidth="1"/>
    <col min="5370" max="5370" width="14.85546875" style="57" customWidth="1"/>
    <col min="5371" max="5373" width="13.5703125" style="57" customWidth="1"/>
    <col min="5374" max="5375" width="14.42578125" style="57" customWidth="1"/>
    <col min="5376" max="5376" width="12.140625" style="57" customWidth="1"/>
    <col min="5377" max="5377" width="9.42578125" style="57" customWidth="1"/>
    <col min="5378" max="5378" width="14.42578125" style="57" customWidth="1"/>
    <col min="5379" max="5379" width="9.42578125" style="57" customWidth="1"/>
    <col min="5380" max="5380" width="7.85546875" style="57" customWidth="1"/>
    <col min="5381" max="5381" width="8.42578125" style="57" customWidth="1"/>
    <col min="5382" max="5382" width="14.85546875" style="57" customWidth="1"/>
    <col min="5383" max="5383" width="8.42578125" style="57" customWidth="1"/>
    <col min="5384" max="5622" width="9.140625" style="57"/>
    <col min="5623" max="5623" width="12.140625" style="57" customWidth="1"/>
    <col min="5624" max="5624" width="13.7109375" style="57" customWidth="1"/>
    <col min="5625" max="5625" width="36.5703125" style="57" customWidth="1"/>
    <col min="5626" max="5626" width="14.85546875" style="57" customWidth="1"/>
    <col min="5627" max="5629" width="13.5703125" style="57" customWidth="1"/>
    <col min="5630" max="5631" width="14.42578125" style="57" customWidth="1"/>
    <col min="5632" max="5632" width="12.140625" style="57" customWidth="1"/>
    <col min="5633" max="5633" width="9.42578125" style="57" customWidth="1"/>
    <col min="5634" max="5634" width="14.42578125" style="57" customWidth="1"/>
    <col min="5635" max="5635" width="9.42578125" style="57" customWidth="1"/>
    <col min="5636" max="5636" width="7.85546875" style="57" customWidth="1"/>
    <col min="5637" max="5637" width="8.42578125" style="57" customWidth="1"/>
    <col min="5638" max="5638" width="14.85546875" style="57" customWidth="1"/>
    <col min="5639" max="5639" width="8.42578125" style="57" customWidth="1"/>
    <col min="5640" max="5878" width="9.140625" style="57"/>
    <col min="5879" max="5879" width="12.140625" style="57" customWidth="1"/>
    <col min="5880" max="5880" width="13.7109375" style="57" customWidth="1"/>
    <col min="5881" max="5881" width="36.5703125" style="57" customWidth="1"/>
    <col min="5882" max="5882" width="14.85546875" style="57" customWidth="1"/>
    <col min="5883" max="5885" width="13.5703125" style="57" customWidth="1"/>
    <col min="5886" max="5887" width="14.42578125" style="57" customWidth="1"/>
    <col min="5888" max="5888" width="12.140625" style="57" customWidth="1"/>
    <col min="5889" max="5889" width="9.42578125" style="57" customWidth="1"/>
    <col min="5890" max="5890" width="14.42578125" style="57" customWidth="1"/>
    <col min="5891" max="5891" width="9.42578125" style="57" customWidth="1"/>
    <col min="5892" max="5892" width="7.85546875" style="57" customWidth="1"/>
    <col min="5893" max="5893" width="8.42578125" style="57" customWidth="1"/>
    <col min="5894" max="5894" width="14.85546875" style="57" customWidth="1"/>
    <col min="5895" max="5895" width="8.42578125" style="57" customWidth="1"/>
    <col min="5896" max="6134" width="9.140625" style="57"/>
    <col min="6135" max="6135" width="12.140625" style="57" customWidth="1"/>
    <col min="6136" max="6136" width="13.7109375" style="57" customWidth="1"/>
    <col min="6137" max="6137" width="36.5703125" style="57" customWidth="1"/>
    <col min="6138" max="6138" width="14.85546875" style="57" customWidth="1"/>
    <col min="6139" max="6141" width="13.5703125" style="57" customWidth="1"/>
    <col min="6142" max="6143" width="14.42578125" style="57" customWidth="1"/>
    <col min="6144" max="6144" width="12.140625" style="57" customWidth="1"/>
    <col min="6145" max="6145" width="9.42578125" style="57" customWidth="1"/>
    <col min="6146" max="6146" width="14.42578125" style="57" customWidth="1"/>
    <col min="6147" max="6147" width="9.42578125" style="57" customWidth="1"/>
    <col min="6148" max="6148" width="7.85546875" style="57" customWidth="1"/>
    <col min="6149" max="6149" width="8.42578125" style="57" customWidth="1"/>
    <col min="6150" max="6150" width="14.85546875" style="57" customWidth="1"/>
    <col min="6151" max="6151" width="8.42578125" style="57" customWidth="1"/>
    <col min="6152" max="6390" width="9.140625" style="57"/>
    <col min="6391" max="6391" width="12.140625" style="57" customWidth="1"/>
    <col min="6392" max="6392" width="13.7109375" style="57" customWidth="1"/>
    <col min="6393" max="6393" width="36.5703125" style="57" customWidth="1"/>
    <col min="6394" max="6394" width="14.85546875" style="57" customWidth="1"/>
    <col min="6395" max="6397" width="13.5703125" style="57" customWidth="1"/>
    <col min="6398" max="6399" width="14.42578125" style="57" customWidth="1"/>
    <col min="6400" max="6400" width="12.140625" style="57" customWidth="1"/>
    <col min="6401" max="6401" width="9.42578125" style="57" customWidth="1"/>
    <col min="6402" max="6402" width="14.42578125" style="57" customWidth="1"/>
    <col min="6403" max="6403" width="9.42578125" style="57" customWidth="1"/>
    <col min="6404" max="6404" width="7.85546875" style="57" customWidth="1"/>
    <col min="6405" max="6405" width="8.42578125" style="57" customWidth="1"/>
    <col min="6406" max="6406" width="14.85546875" style="57" customWidth="1"/>
    <col min="6407" max="6407" width="8.42578125" style="57" customWidth="1"/>
    <col min="6408" max="6646" width="9.140625" style="57"/>
    <col min="6647" max="6647" width="12.140625" style="57" customWidth="1"/>
    <col min="6648" max="6648" width="13.7109375" style="57" customWidth="1"/>
    <col min="6649" max="6649" width="36.5703125" style="57" customWidth="1"/>
    <col min="6650" max="6650" width="14.85546875" style="57" customWidth="1"/>
    <col min="6651" max="6653" width="13.5703125" style="57" customWidth="1"/>
    <col min="6654" max="6655" width="14.42578125" style="57" customWidth="1"/>
    <col min="6656" max="6656" width="12.140625" style="57" customWidth="1"/>
    <col min="6657" max="6657" width="9.42578125" style="57" customWidth="1"/>
    <col min="6658" max="6658" width="14.42578125" style="57" customWidth="1"/>
    <col min="6659" max="6659" width="9.42578125" style="57" customWidth="1"/>
    <col min="6660" max="6660" width="7.85546875" style="57" customWidth="1"/>
    <col min="6661" max="6661" width="8.42578125" style="57" customWidth="1"/>
    <col min="6662" max="6662" width="14.85546875" style="57" customWidth="1"/>
    <col min="6663" max="6663" width="8.42578125" style="57" customWidth="1"/>
    <col min="6664" max="6902" width="9.140625" style="57"/>
    <col min="6903" max="6903" width="12.140625" style="57" customWidth="1"/>
    <col min="6904" max="6904" width="13.7109375" style="57" customWidth="1"/>
    <col min="6905" max="6905" width="36.5703125" style="57" customWidth="1"/>
    <col min="6906" max="6906" width="14.85546875" style="57" customWidth="1"/>
    <col min="6907" max="6909" width="13.5703125" style="57" customWidth="1"/>
    <col min="6910" max="6911" width="14.42578125" style="57" customWidth="1"/>
    <col min="6912" max="6912" width="12.140625" style="57" customWidth="1"/>
    <col min="6913" max="6913" width="9.42578125" style="57" customWidth="1"/>
    <col min="6914" max="6914" width="14.42578125" style="57" customWidth="1"/>
    <col min="6915" max="6915" width="9.42578125" style="57" customWidth="1"/>
    <col min="6916" max="6916" width="7.85546875" style="57" customWidth="1"/>
    <col min="6917" max="6917" width="8.42578125" style="57" customWidth="1"/>
    <col min="6918" max="6918" width="14.85546875" style="57" customWidth="1"/>
    <col min="6919" max="6919" width="8.42578125" style="57" customWidth="1"/>
    <col min="6920" max="7158" width="9.140625" style="57"/>
    <col min="7159" max="7159" width="12.140625" style="57" customWidth="1"/>
    <col min="7160" max="7160" width="13.7109375" style="57" customWidth="1"/>
    <col min="7161" max="7161" width="36.5703125" style="57" customWidth="1"/>
    <col min="7162" max="7162" width="14.85546875" style="57" customWidth="1"/>
    <col min="7163" max="7165" width="13.5703125" style="57" customWidth="1"/>
    <col min="7166" max="7167" width="14.42578125" style="57" customWidth="1"/>
    <col min="7168" max="7168" width="12.140625" style="57" customWidth="1"/>
    <col min="7169" max="7169" width="9.42578125" style="57" customWidth="1"/>
    <col min="7170" max="7170" width="14.42578125" style="57" customWidth="1"/>
    <col min="7171" max="7171" width="9.42578125" style="57" customWidth="1"/>
    <col min="7172" max="7172" width="7.85546875" style="57" customWidth="1"/>
    <col min="7173" max="7173" width="8.42578125" style="57" customWidth="1"/>
    <col min="7174" max="7174" width="14.85546875" style="57" customWidth="1"/>
    <col min="7175" max="7175" width="8.42578125" style="57" customWidth="1"/>
    <col min="7176" max="7414" width="9.140625" style="57"/>
    <col min="7415" max="7415" width="12.140625" style="57" customWidth="1"/>
    <col min="7416" max="7416" width="13.7109375" style="57" customWidth="1"/>
    <col min="7417" max="7417" width="36.5703125" style="57" customWidth="1"/>
    <col min="7418" max="7418" width="14.85546875" style="57" customWidth="1"/>
    <col min="7419" max="7421" width="13.5703125" style="57" customWidth="1"/>
    <col min="7422" max="7423" width="14.42578125" style="57" customWidth="1"/>
    <col min="7424" max="7424" width="12.140625" style="57" customWidth="1"/>
    <col min="7425" max="7425" width="9.42578125" style="57" customWidth="1"/>
    <col min="7426" max="7426" width="14.42578125" style="57" customWidth="1"/>
    <col min="7427" max="7427" width="9.42578125" style="57" customWidth="1"/>
    <col min="7428" max="7428" width="7.85546875" style="57" customWidth="1"/>
    <col min="7429" max="7429" width="8.42578125" style="57" customWidth="1"/>
    <col min="7430" max="7430" width="14.85546875" style="57" customWidth="1"/>
    <col min="7431" max="7431" width="8.42578125" style="57" customWidth="1"/>
    <col min="7432" max="7670" width="9.140625" style="57"/>
    <col min="7671" max="7671" width="12.140625" style="57" customWidth="1"/>
    <col min="7672" max="7672" width="13.7109375" style="57" customWidth="1"/>
    <col min="7673" max="7673" width="36.5703125" style="57" customWidth="1"/>
    <col min="7674" max="7674" width="14.85546875" style="57" customWidth="1"/>
    <col min="7675" max="7677" width="13.5703125" style="57" customWidth="1"/>
    <col min="7678" max="7679" width="14.42578125" style="57" customWidth="1"/>
    <col min="7680" max="7680" width="12.140625" style="57" customWidth="1"/>
    <col min="7681" max="7681" width="9.42578125" style="57" customWidth="1"/>
    <col min="7682" max="7682" width="14.42578125" style="57" customWidth="1"/>
    <col min="7683" max="7683" width="9.42578125" style="57" customWidth="1"/>
    <col min="7684" max="7684" width="7.85546875" style="57" customWidth="1"/>
    <col min="7685" max="7685" width="8.42578125" style="57" customWidth="1"/>
    <col min="7686" max="7686" width="14.85546875" style="57" customWidth="1"/>
    <col min="7687" max="7687" width="8.42578125" style="57" customWidth="1"/>
    <col min="7688" max="7926" width="9.140625" style="57"/>
    <col min="7927" max="7927" width="12.140625" style="57" customWidth="1"/>
    <col min="7928" max="7928" width="13.7109375" style="57" customWidth="1"/>
    <col min="7929" max="7929" width="36.5703125" style="57" customWidth="1"/>
    <col min="7930" max="7930" width="14.85546875" style="57" customWidth="1"/>
    <col min="7931" max="7933" width="13.5703125" style="57" customWidth="1"/>
    <col min="7934" max="7935" width="14.42578125" style="57" customWidth="1"/>
    <col min="7936" max="7936" width="12.140625" style="57" customWidth="1"/>
    <col min="7937" max="7937" width="9.42578125" style="57" customWidth="1"/>
    <col min="7938" max="7938" width="14.42578125" style="57" customWidth="1"/>
    <col min="7939" max="7939" width="9.42578125" style="57" customWidth="1"/>
    <col min="7940" max="7940" width="7.85546875" style="57" customWidth="1"/>
    <col min="7941" max="7941" width="8.42578125" style="57" customWidth="1"/>
    <col min="7942" max="7942" width="14.85546875" style="57" customWidth="1"/>
    <col min="7943" max="7943" width="8.42578125" style="57" customWidth="1"/>
    <col min="7944" max="8182" width="9.140625" style="57"/>
    <col min="8183" max="8183" width="12.140625" style="57" customWidth="1"/>
    <col min="8184" max="8184" width="13.7109375" style="57" customWidth="1"/>
    <col min="8185" max="8185" width="36.5703125" style="57" customWidth="1"/>
    <col min="8186" max="8186" width="14.85546875" style="57" customWidth="1"/>
    <col min="8187" max="8189" width="13.5703125" style="57" customWidth="1"/>
    <col min="8190" max="8191" width="14.42578125" style="57" customWidth="1"/>
    <col min="8192" max="8192" width="12.140625" style="57" customWidth="1"/>
    <col min="8193" max="8193" width="9.42578125" style="57" customWidth="1"/>
    <col min="8194" max="8194" width="14.42578125" style="57" customWidth="1"/>
    <col min="8195" max="8195" width="9.42578125" style="57" customWidth="1"/>
    <col min="8196" max="8196" width="7.85546875" style="57" customWidth="1"/>
    <col min="8197" max="8197" width="8.42578125" style="57" customWidth="1"/>
    <col min="8198" max="8198" width="14.85546875" style="57" customWidth="1"/>
    <col min="8199" max="8199" width="8.42578125" style="57" customWidth="1"/>
    <col min="8200" max="8438" width="9.140625" style="57"/>
    <col min="8439" max="8439" width="12.140625" style="57" customWidth="1"/>
    <col min="8440" max="8440" width="13.7109375" style="57" customWidth="1"/>
    <col min="8441" max="8441" width="36.5703125" style="57" customWidth="1"/>
    <col min="8442" max="8442" width="14.85546875" style="57" customWidth="1"/>
    <col min="8443" max="8445" width="13.5703125" style="57" customWidth="1"/>
    <col min="8446" max="8447" width="14.42578125" style="57" customWidth="1"/>
    <col min="8448" max="8448" width="12.140625" style="57" customWidth="1"/>
    <col min="8449" max="8449" width="9.42578125" style="57" customWidth="1"/>
    <col min="8450" max="8450" width="14.42578125" style="57" customWidth="1"/>
    <col min="8451" max="8451" width="9.42578125" style="57" customWidth="1"/>
    <col min="8452" max="8452" width="7.85546875" style="57" customWidth="1"/>
    <col min="8453" max="8453" width="8.42578125" style="57" customWidth="1"/>
    <col min="8454" max="8454" width="14.85546875" style="57" customWidth="1"/>
    <col min="8455" max="8455" width="8.42578125" style="57" customWidth="1"/>
    <col min="8456" max="8694" width="9.140625" style="57"/>
    <col min="8695" max="8695" width="12.140625" style="57" customWidth="1"/>
    <col min="8696" max="8696" width="13.7109375" style="57" customWidth="1"/>
    <col min="8697" max="8697" width="36.5703125" style="57" customWidth="1"/>
    <col min="8698" max="8698" width="14.85546875" style="57" customWidth="1"/>
    <col min="8699" max="8701" width="13.5703125" style="57" customWidth="1"/>
    <col min="8702" max="8703" width="14.42578125" style="57" customWidth="1"/>
    <col min="8704" max="8704" width="12.140625" style="57" customWidth="1"/>
    <col min="8705" max="8705" width="9.42578125" style="57" customWidth="1"/>
    <col min="8706" max="8706" width="14.42578125" style="57" customWidth="1"/>
    <col min="8707" max="8707" width="9.42578125" style="57" customWidth="1"/>
    <col min="8708" max="8708" width="7.85546875" style="57" customWidth="1"/>
    <col min="8709" max="8709" width="8.42578125" style="57" customWidth="1"/>
    <col min="8710" max="8710" width="14.85546875" style="57" customWidth="1"/>
    <col min="8711" max="8711" width="8.42578125" style="57" customWidth="1"/>
    <col min="8712" max="8950" width="9.140625" style="57"/>
    <col min="8951" max="8951" width="12.140625" style="57" customWidth="1"/>
    <col min="8952" max="8952" width="13.7109375" style="57" customWidth="1"/>
    <col min="8953" max="8953" width="36.5703125" style="57" customWidth="1"/>
    <col min="8954" max="8954" width="14.85546875" style="57" customWidth="1"/>
    <col min="8955" max="8957" width="13.5703125" style="57" customWidth="1"/>
    <col min="8958" max="8959" width="14.42578125" style="57" customWidth="1"/>
    <col min="8960" max="8960" width="12.140625" style="57" customWidth="1"/>
    <col min="8961" max="8961" width="9.42578125" style="57" customWidth="1"/>
    <col min="8962" max="8962" width="14.42578125" style="57" customWidth="1"/>
    <col min="8963" max="8963" width="9.42578125" style="57" customWidth="1"/>
    <col min="8964" max="8964" width="7.85546875" style="57" customWidth="1"/>
    <col min="8965" max="8965" width="8.42578125" style="57" customWidth="1"/>
    <col min="8966" max="8966" width="14.85546875" style="57" customWidth="1"/>
    <col min="8967" max="8967" width="8.42578125" style="57" customWidth="1"/>
    <col min="8968" max="9206" width="9.140625" style="57"/>
    <col min="9207" max="9207" width="12.140625" style="57" customWidth="1"/>
    <col min="9208" max="9208" width="13.7109375" style="57" customWidth="1"/>
    <col min="9209" max="9209" width="36.5703125" style="57" customWidth="1"/>
    <col min="9210" max="9210" width="14.85546875" style="57" customWidth="1"/>
    <col min="9211" max="9213" width="13.5703125" style="57" customWidth="1"/>
    <col min="9214" max="9215" width="14.42578125" style="57" customWidth="1"/>
    <col min="9216" max="9216" width="12.140625" style="57" customWidth="1"/>
    <col min="9217" max="9217" width="9.42578125" style="57" customWidth="1"/>
    <col min="9218" max="9218" width="14.42578125" style="57" customWidth="1"/>
    <col min="9219" max="9219" width="9.42578125" style="57" customWidth="1"/>
    <col min="9220" max="9220" width="7.85546875" style="57" customWidth="1"/>
    <col min="9221" max="9221" width="8.42578125" style="57" customWidth="1"/>
    <col min="9222" max="9222" width="14.85546875" style="57" customWidth="1"/>
    <col min="9223" max="9223" width="8.42578125" style="57" customWidth="1"/>
    <col min="9224" max="9462" width="9.140625" style="57"/>
    <col min="9463" max="9463" width="12.140625" style="57" customWidth="1"/>
    <col min="9464" max="9464" width="13.7109375" style="57" customWidth="1"/>
    <col min="9465" max="9465" width="36.5703125" style="57" customWidth="1"/>
    <col min="9466" max="9466" width="14.85546875" style="57" customWidth="1"/>
    <col min="9467" max="9469" width="13.5703125" style="57" customWidth="1"/>
    <col min="9470" max="9471" width="14.42578125" style="57" customWidth="1"/>
    <col min="9472" max="9472" width="12.140625" style="57" customWidth="1"/>
    <col min="9473" max="9473" width="9.42578125" style="57" customWidth="1"/>
    <col min="9474" max="9474" width="14.42578125" style="57" customWidth="1"/>
    <col min="9475" max="9475" width="9.42578125" style="57" customWidth="1"/>
    <col min="9476" max="9476" width="7.85546875" style="57" customWidth="1"/>
    <col min="9477" max="9477" width="8.42578125" style="57" customWidth="1"/>
    <col min="9478" max="9478" width="14.85546875" style="57" customWidth="1"/>
    <col min="9479" max="9479" width="8.42578125" style="57" customWidth="1"/>
    <col min="9480" max="9718" width="9.140625" style="57"/>
    <col min="9719" max="9719" width="12.140625" style="57" customWidth="1"/>
    <col min="9720" max="9720" width="13.7109375" style="57" customWidth="1"/>
    <col min="9721" max="9721" width="36.5703125" style="57" customWidth="1"/>
    <col min="9722" max="9722" width="14.85546875" style="57" customWidth="1"/>
    <col min="9723" max="9725" width="13.5703125" style="57" customWidth="1"/>
    <col min="9726" max="9727" width="14.42578125" style="57" customWidth="1"/>
    <col min="9728" max="9728" width="12.140625" style="57" customWidth="1"/>
    <col min="9729" max="9729" width="9.42578125" style="57" customWidth="1"/>
    <col min="9730" max="9730" width="14.42578125" style="57" customWidth="1"/>
    <col min="9731" max="9731" width="9.42578125" style="57" customWidth="1"/>
    <col min="9732" max="9732" width="7.85546875" style="57" customWidth="1"/>
    <col min="9733" max="9733" width="8.42578125" style="57" customWidth="1"/>
    <col min="9734" max="9734" width="14.85546875" style="57" customWidth="1"/>
    <col min="9735" max="9735" width="8.42578125" style="57" customWidth="1"/>
    <col min="9736" max="9974" width="9.140625" style="57"/>
    <col min="9975" max="9975" width="12.140625" style="57" customWidth="1"/>
    <col min="9976" max="9976" width="13.7109375" style="57" customWidth="1"/>
    <col min="9977" max="9977" width="36.5703125" style="57" customWidth="1"/>
    <col min="9978" max="9978" width="14.85546875" style="57" customWidth="1"/>
    <col min="9979" max="9981" width="13.5703125" style="57" customWidth="1"/>
    <col min="9982" max="9983" width="14.42578125" style="57" customWidth="1"/>
    <col min="9984" max="9984" width="12.140625" style="57" customWidth="1"/>
    <col min="9985" max="9985" width="9.42578125" style="57" customWidth="1"/>
    <col min="9986" max="9986" width="14.42578125" style="57" customWidth="1"/>
    <col min="9987" max="9987" width="9.42578125" style="57" customWidth="1"/>
    <col min="9988" max="9988" width="7.85546875" style="57" customWidth="1"/>
    <col min="9989" max="9989" width="8.42578125" style="57" customWidth="1"/>
    <col min="9990" max="9990" width="14.85546875" style="57" customWidth="1"/>
    <col min="9991" max="9991" width="8.42578125" style="57" customWidth="1"/>
    <col min="9992" max="10230" width="9.140625" style="57"/>
    <col min="10231" max="10231" width="12.140625" style="57" customWidth="1"/>
    <col min="10232" max="10232" width="13.7109375" style="57" customWidth="1"/>
    <col min="10233" max="10233" width="36.5703125" style="57" customWidth="1"/>
    <col min="10234" max="10234" width="14.85546875" style="57" customWidth="1"/>
    <col min="10235" max="10237" width="13.5703125" style="57" customWidth="1"/>
    <col min="10238" max="10239" width="14.42578125" style="57" customWidth="1"/>
    <col min="10240" max="10240" width="12.140625" style="57" customWidth="1"/>
    <col min="10241" max="10241" width="9.42578125" style="57" customWidth="1"/>
    <col min="10242" max="10242" width="14.42578125" style="57" customWidth="1"/>
    <col min="10243" max="10243" width="9.42578125" style="57" customWidth="1"/>
    <col min="10244" max="10244" width="7.85546875" style="57" customWidth="1"/>
    <col min="10245" max="10245" width="8.42578125" style="57" customWidth="1"/>
    <col min="10246" max="10246" width="14.85546875" style="57" customWidth="1"/>
    <col min="10247" max="10247" width="8.42578125" style="57" customWidth="1"/>
    <col min="10248" max="10486" width="9.140625" style="57"/>
    <col min="10487" max="10487" width="12.140625" style="57" customWidth="1"/>
    <col min="10488" max="10488" width="13.7109375" style="57" customWidth="1"/>
    <col min="10489" max="10489" width="36.5703125" style="57" customWidth="1"/>
    <col min="10490" max="10490" width="14.85546875" style="57" customWidth="1"/>
    <col min="10491" max="10493" width="13.5703125" style="57" customWidth="1"/>
    <col min="10494" max="10495" width="14.42578125" style="57" customWidth="1"/>
    <col min="10496" max="10496" width="12.140625" style="57" customWidth="1"/>
    <col min="10497" max="10497" width="9.42578125" style="57" customWidth="1"/>
    <col min="10498" max="10498" width="14.42578125" style="57" customWidth="1"/>
    <col min="10499" max="10499" width="9.42578125" style="57" customWidth="1"/>
    <col min="10500" max="10500" width="7.85546875" style="57" customWidth="1"/>
    <col min="10501" max="10501" width="8.42578125" style="57" customWidth="1"/>
    <col min="10502" max="10502" width="14.85546875" style="57" customWidth="1"/>
    <col min="10503" max="10503" width="8.42578125" style="57" customWidth="1"/>
    <col min="10504" max="10742" width="9.140625" style="57"/>
    <col min="10743" max="10743" width="12.140625" style="57" customWidth="1"/>
    <col min="10744" max="10744" width="13.7109375" style="57" customWidth="1"/>
    <col min="10745" max="10745" width="36.5703125" style="57" customWidth="1"/>
    <col min="10746" max="10746" width="14.85546875" style="57" customWidth="1"/>
    <col min="10747" max="10749" width="13.5703125" style="57" customWidth="1"/>
    <col min="10750" max="10751" width="14.42578125" style="57" customWidth="1"/>
    <col min="10752" max="10752" width="12.140625" style="57" customWidth="1"/>
    <col min="10753" max="10753" width="9.42578125" style="57" customWidth="1"/>
    <col min="10754" max="10754" width="14.42578125" style="57" customWidth="1"/>
    <col min="10755" max="10755" width="9.42578125" style="57" customWidth="1"/>
    <col min="10756" max="10756" width="7.85546875" style="57" customWidth="1"/>
    <col min="10757" max="10757" width="8.42578125" style="57" customWidth="1"/>
    <col min="10758" max="10758" width="14.85546875" style="57" customWidth="1"/>
    <col min="10759" max="10759" width="8.42578125" style="57" customWidth="1"/>
    <col min="10760" max="10998" width="9.140625" style="57"/>
    <col min="10999" max="10999" width="12.140625" style="57" customWidth="1"/>
    <col min="11000" max="11000" width="13.7109375" style="57" customWidth="1"/>
    <col min="11001" max="11001" width="36.5703125" style="57" customWidth="1"/>
    <col min="11002" max="11002" width="14.85546875" style="57" customWidth="1"/>
    <col min="11003" max="11005" width="13.5703125" style="57" customWidth="1"/>
    <col min="11006" max="11007" width="14.42578125" style="57" customWidth="1"/>
    <col min="11008" max="11008" width="12.140625" style="57" customWidth="1"/>
    <col min="11009" max="11009" width="9.42578125" style="57" customWidth="1"/>
    <col min="11010" max="11010" width="14.42578125" style="57" customWidth="1"/>
    <col min="11011" max="11011" width="9.42578125" style="57" customWidth="1"/>
    <col min="11012" max="11012" width="7.85546875" style="57" customWidth="1"/>
    <col min="11013" max="11013" width="8.42578125" style="57" customWidth="1"/>
    <col min="11014" max="11014" width="14.85546875" style="57" customWidth="1"/>
    <col min="11015" max="11015" width="8.42578125" style="57" customWidth="1"/>
    <col min="11016" max="11254" width="9.140625" style="57"/>
    <col min="11255" max="11255" width="12.140625" style="57" customWidth="1"/>
    <col min="11256" max="11256" width="13.7109375" style="57" customWidth="1"/>
    <col min="11257" max="11257" width="36.5703125" style="57" customWidth="1"/>
    <col min="11258" max="11258" width="14.85546875" style="57" customWidth="1"/>
    <col min="11259" max="11261" width="13.5703125" style="57" customWidth="1"/>
    <col min="11262" max="11263" width="14.42578125" style="57" customWidth="1"/>
    <col min="11264" max="11264" width="12.140625" style="57" customWidth="1"/>
    <col min="11265" max="11265" width="9.42578125" style="57" customWidth="1"/>
    <col min="11266" max="11266" width="14.42578125" style="57" customWidth="1"/>
    <col min="11267" max="11267" width="9.42578125" style="57" customWidth="1"/>
    <col min="11268" max="11268" width="7.85546875" style="57" customWidth="1"/>
    <col min="11269" max="11269" width="8.42578125" style="57" customWidth="1"/>
    <col min="11270" max="11270" width="14.85546875" style="57" customWidth="1"/>
    <col min="11271" max="11271" width="8.42578125" style="57" customWidth="1"/>
    <col min="11272" max="11510" width="9.140625" style="57"/>
    <col min="11511" max="11511" width="12.140625" style="57" customWidth="1"/>
    <col min="11512" max="11512" width="13.7109375" style="57" customWidth="1"/>
    <col min="11513" max="11513" width="36.5703125" style="57" customWidth="1"/>
    <col min="11514" max="11514" width="14.85546875" style="57" customWidth="1"/>
    <col min="11515" max="11517" width="13.5703125" style="57" customWidth="1"/>
    <col min="11518" max="11519" width="14.42578125" style="57" customWidth="1"/>
    <col min="11520" max="11520" width="12.140625" style="57" customWidth="1"/>
    <col min="11521" max="11521" width="9.42578125" style="57" customWidth="1"/>
    <col min="11522" max="11522" width="14.42578125" style="57" customWidth="1"/>
    <col min="11523" max="11523" width="9.42578125" style="57" customWidth="1"/>
    <col min="11524" max="11524" width="7.85546875" style="57" customWidth="1"/>
    <col min="11525" max="11525" width="8.42578125" style="57" customWidth="1"/>
    <col min="11526" max="11526" width="14.85546875" style="57" customWidth="1"/>
    <col min="11527" max="11527" width="8.42578125" style="57" customWidth="1"/>
    <col min="11528" max="11766" width="9.140625" style="57"/>
    <col min="11767" max="11767" width="12.140625" style="57" customWidth="1"/>
    <col min="11768" max="11768" width="13.7109375" style="57" customWidth="1"/>
    <col min="11769" max="11769" width="36.5703125" style="57" customWidth="1"/>
    <col min="11770" max="11770" width="14.85546875" style="57" customWidth="1"/>
    <col min="11771" max="11773" width="13.5703125" style="57" customWidth="1"/>
    <col min="11774" max="11775" width="14.42578125" style="57" customWidth="1"/>
    <col min="11776" max="11776" width="12.140625" style="57" customWidth="1"/>
    <col min="11777" max="11777" width="9.42578125" style="57" customWidth="1"/>
    <col min="11778" max="11778" width="14.42578125" style="57" customWidth="1"/>
    <col min="11779" max="11779" width="9.42578125" style="57" customWidth="1"/>
    <col min="11780" max="11780" width="7.85546875" style="57" customWidth="1"/>
    <col min="11781" max="11781" width="8.42578125" style="57" customWidth="1"/>
    <col min="11782" max="11782" width="14.85546875" style="57" customWidth="1"/>
    <col min="11783" max="11783" width="8.42578125" style="57" customWidth="1"/>
    <col min="11784" max="12022" width="9.140625" style="57"/>
    <col min="12023" max="12023" width="12.140625" style="57" customWidth="1"/>
    <col min="12024" max="12024" width="13.7109375" style="57" customWidth="1"/>
    <col min="12025" max="12025" width="36.5703125" style="57" customWidth="1"/>
    <col min="12026" max="12026" width="14.85546875" style="57" customWidth="1"/>
    <col min="12027" max="12029" width="13.5703125" style="57" customWidth="1"/>
    <col min="12030" max="12031" width="14.42578125" style="57" customWidth="1"/>
    <col min="12032" max="12032" width="12.140625" style="57" customWidth="1"/>
    <col min="12033" max="12033" width="9.42578125" style="57" customWidth="1"/>
    <col min="12034" max="12034" width="14.42578125" style="57" customWidth="1"/>
    <col min="12035" max="12035" width="9.42578125" style="57" customWidth="1"/>
    <col min="12036" max="12036" width="7.85546875" style="57" customWidth="1"/>
    <col min="12037" max="12037" width="8.42578125" style="57" customWidth="1"/>
    <col min="12038" max="12038" width="14.85546875" style="57" customWidth="1"/>
    <col min="12039" max="12039" width="8.42578125" style="57" customWidth="1"/>
    <col min="12040" max="12278" width="9.140625" style="57"/>
    <col min="12279" max="12279" width="12.140625" style="57" customWidth="1"/>
    <col min="12280" max="12280" width="13.7109375" style="57" customWidth="1"/>
    <col min="12281" max="12281" width="36.5703125" style="57" customWidth="1"/>
    <col min="12282" max="12282" width="14.85546875" style="57" customWidth="1"/>
    <col min="12283" max="12285" width="13.5703125" style="57" customWidth="1"/>
    <col min="12286" max="12287" width="14.42578125" style="57" customWidth="1"/>
    <col min="12288" max="12288" width="12.140625" style="57" customWidth="1"/>
    <col min="12289" max="12289" width="9.42578125" style="57" customWidth="1"/>
    <col min="12290" max="12290" width="14.42578125" style="57" customWidth="1"/>
    <col min="12291" max="12291" width="9.42578125" style="57" customWidth="1"/>
    <col min="12292" max="12292" width="7.85546875" style="57" customWidth="1"/>
    <col min="12293" max="12293" width="8.42578125" style="57" customWidth="1"/>
    <col min="12294" max="12294" width="14.85546875" style="57" customWidth="1"/>
    <col min="12295" max="12295" width="8.42578125" style="57" customWidth="1"/>
    <col min="12296" max="12534" width="9.140625" style="57"/>
    <col min="12535" max="12535" width="12.140625" style="57" customWidth="1"/>
    <col min="12536" max="12536" width="13.7109375" style="57" customWidth="1"/>
    <col min="12537" max="12537" width="36.5703125" style="57" customWidth="1"/>
    <col min="12538" max="12538" width="14.85546875" style="57" customWidth="1"/>
    <col min="12539" max="12541" width="13.5703125" style="57" customWidth="1"/>
    <col min="12542" max="12543" width="14.42578125" style="57" customWidth="1"/>
    <col min="12544" max="12544" width="12.140625" style="57" customWidth="1"/>
    <col min="12545" max="12545" width="9.42578125" style="57" customWidth="1"/>
    <col min="12546" max="12546" width="14.42578125" style="57" customWidth="1"/>
    <col min="12547" max="12547" width="9.42578125" style="57" customWidth="1"/>
    <col min="12548" max="12548" width="7.85546875" style="57" customWidth="1"/>
    <col min="12549" max="12549" width="8.42578125" style="57" customWidth="1"/>
    <col min="12550" max="12550" width="14.85546875" style="57" customWidth="1"/>
    <col min="12551" max="12551" width="8.42578125" style="57" customWidth="1"/>
    <col min="12552" max="12790" width="9.140625" style="57"/>
    <col min="12791" max="12791" width="12.140625" style="57" customWidth="1"/>
    <col min="12792" max="12792" width="13.7109375" style="57" customWidth="1"/>
    <col min="12793" max="12793" width="36.5703125" style="57" customWidth="1"/>
    <col min="12794" max="12794" width="14.85546875" style="57" customWidth="1"/>
    <col min="12795" max="12797" width="13.5703125" style="57" customWidth="1"/>
    <col min="12798" max="12799" width="14.42578125" style="57" customWidth="1"/>
    <col min="12800" max="12800" width="12.140625" style="57" customWidth="1"/>
    <col min="12801" max="12801" width="9.42578125" style="57" customWidth="1"/>
    <col min="12802" max="12802" width="14.42578125" style="57" customWidth="1"/>
    <col min="12803" max="12803" width="9.42578125" style="57" customWidth="1"/>
    <col min="12804" max="12804" width="7.85546875" style="57" customWidth="1"/>
    <col min="12805" max="12805" width="8.42578125" style="57" customWidth="1"/>
    <col min="12806" max="12806" width="14.85546875" style="57" customWidth="1"/>
    <col min="12807" max="12807" width="8.42578125" style="57" customWidth="1"/>
    <col min="12808" max="13046" width="9.140625" style="57"/>
    <col min="13047" max="13047" width="12.140625" style="57" customWidth="1"/>
    <col min="13048" max="13048" width="13.7109375" style="57" customWidth="1"/>
    <col min="13049" max="13049" width="36.5703125" style="57" customWidth="1"/>
    <col min="13050" max="13050" width="14.85546875" style="57" customWidth="1"/>
    <col min="13051" max="13053" width="13.5703125" style="57" customWidth="1"/>
    <col min="13054" max="13055" width="14.42578125" style="57" customWidth="1"/>
    <col min="13056" max="13056" width="12.140625" style="57" customWidth="1"/>
    <col min="13057" max="13057" width="9.42578125" style="57" customWidth="1"/>
    <col min="13058" max="13058" width="14.42578125" style="57" customWidth="1"/>
    <col min="13059" max="13059" width="9.42578125" style="57" customWidth="1"/>
    <col min="13060" max="13060" width="7.85546875" style="57" customWidth="1"/>
    <col min="13061" max="13061" width="8.42578125" style="57" customWidth="1"/>
    <col min="13062" max="13062" width="14.85546875" style="57" customWidth="1"/>
    <col min="13063" max="13063" width="8.42578125" style="57" customWidth="1"/>
    <col min="13064" max="13302" width="9.140625" style="57"/>
    <col min="13303" max="13303" width="12.140625" style="57" customWidth="1"/>
    <col min="13304" max="13304" width="13.7109375" style="57" customWidth="1"/>
    <col min="13305" max="13305" width="36.5703125" style="57" customWidth="1"/>
    <col min="13306" max="13306" width="14.85546875" style="57" customWidth="1"/>
    <col min="13307" max="13309" width="13.5703125" style="57" customWidth="1"/>
    <col min="13310" max="13311" width="14.42578125" style="57" customWidth="1"/>
    <col min="13312" max="13312" width="12.140625" style="57" customWidth="1"/>
    <col min="13313" max="13313" width="9.42578125" style="57" customWidth="1"/>
    <col min="13314" max="13314" width="14.42578125" style="57" customWidth="1"/>
    <col min="13315" max="13315" width="9.42578125" style="57" customWidth="1"/>
    <col min="13316" max="13316" width="7.85546875" style="57" customWidth="1"/>
    <col min="13317" max="13317" width="8.42578125" style="57" customWidth="1"/>
    <col min="13318" max="13318" width="14.85546875" style="57" customWidth="1"/>
    <col min="13319" max="13319" width="8.42578125" style="57" customWidth="1"/>
    <col min="13320" max="13558" width="9.140625" style="57"/>
    <col min="13559" max="13559" width="12.140625" style="57" customWidth="1"/>
    <col min="13560" max="13560" width="13.7109375" style="57" customWidth="1"/>
    <col min="13561" max="13561" width="36.5703125" style="57" customWidth="1"/>
    <col min="13562" max="13562" width="14.85546875" style="57" customWidth="1"/>
    <col min="13563" max="13565" width="13.5703125" style="57" customWidth="1"/>
    <col min="13566" max="13567" width="14.42578125" style="57" customWidth="1"/>
    <col min="13568" max="13568" width="12.140625" style="57" customWidth="1"/>
    <col min="13569" max="13569" width="9.42578125" style="57" customWidth="1"/>
    <col min="13570" max="13570" width="14.42578125" style="57" customWidth="1"/>
    <col min="13571" max="13571" width="9.42578125" style="57" customWidth="1"/>
    <col min="13572" max="13572" width="7.85546875" style="57" customWidth="1"/>
    <col min="13573" max="13573" width="8.42578125" style="57" customWidth="1"/>
    <col min="13574" max="13574" width="14.85546875" style="57" customWidth="1"/>
    <col min="13575" max="13575" width="8.42578125" style="57" customWidth="1"/>
    <col min="13576" max="13814" width="9.140625" style="57"/>
    <col min="13815" max="13815" width="12.140625" style="57" customWidth="1"/>
    <col min="13816" max="13816" width="13.7109375" style="57" customWidth="1"/>
    <col min="13817" max="13817" width="36.5703125" style="57" customWidth="1"/>
    <col min="13818" max="13818" width="14.85546875" style="57" customWidth="1"/>
    <col min="13819" max="13821" width="13.5703125" style="57" customWidth="1"/>
    <col min="13822" max="13823" width="14.42578125" style="57" customWidth="1"/>
    <col min="13824" max="13824" width="12.140625" style="57" customWidth="1"/>
    <col min="13825" max="13825" width="9.42578125" style="57" customWidth="1"/>
    <col min="13826" max="13826" width="14.42578125" style="57" customWidth="1"/>
    <col min="13827" max="13827" width="9.42578125" style="57" customWidth="1"/>
    <col min="13828" max="13828" width="7.85546875" style="57" customWidth="1"/>
    <col min="13829" max="13829" width="8.42578125" style="57" customWidth="1"/>
    <col min="13830" max="13830" width="14.85546875" style="57" customWidth="1"/>
    <col min="13831" max="13831" width="8.42578125" style="57" customWidth="1"/>
    <col min="13832" max="14070" width="9.140625" style="57"/>
    <col min="14071" max="14071" width="12.140625" style="57" customWidth="1"/>
    <col min="14072" max="14072" width="13.7109375" style="57" customWidth="1"/>
    <col min="14073" max="14073" width="36.5703125" style="57" customWidth="1"/>
    <col min="14074" max="14074" width="14.85546875" style="57" customWidth="1"/>
    <col min="14075" max="14077" width="13.5703125" style="57" customWidth="1"/>
    <col min="14078" max="14079" width="14.42578125" style="57" customWidth="1"/>
    <col min="14080" max="14080" width="12.140625" style="57" customWidth="1"/>
    <col min="14081" max="14081" width="9.42578125" style="57" customWidth="1"/>
    <col min="14082" max="14082" width="14.42578125" style="57" customWidth="1"/>
    <col min="14083" max="14083" width="9.42578125" style="57" customWidth="1"/>
    <col min="14084" max="14084" width="7.85546875" style="57" customWidth="1"/>
    <col min="14085" max="14085" width="8.42578125" style="57" customWidth="1"/>
    <col min="14086" max="14086" width="14.85546875" style="57" customWidth="1"/>
    <col min="14087" max="14087" width="8.42578125" style="57" customWidth="1"/>
    <col min="14088" max="14326" width="9.140625" style="57"/>
    <col min="14327" max="14327" width="12.140625" style="57" customWidth="1"/>
    <col min="14328" max="14328" width="13.7109375" style="57" customWidth="1"/>
    <col min="14329" max="14329" width="36.5703125" style="57" customWidth="1"/>
    <col min="14330" max="14330" width="14.85546875" style="57" customWidth="1"/>
    <col min="14331" max="14333" width="13.5703125" style="57" customWidth="1"/>
    <col min="14334" max="14335" width="14.42578125" style="57" customWidth="1"/>
    <col min="14336" max="14336" width="12.140625" style="57" customWidth="1"/>
    <col min="14337" max="14337" width="9.42578125" style="57" customWidth="1"/>
    <col min="14338" max="14338" width="14.42578125" style="57" customWidth="1"/>
    <col min="14339" max="14339" width="9.42578125" style="57" customWidth="1"/>
    <col min="14340" max="14340" width="7.85546875" style="57" customWidth="1"/>
    <col min="14341" max="14341" width="8.42578125" style="57" customWidth="1"/>
    <col min="14342" max="14342" width="14.85546875" style="57" customWidth="1"/>
    <col min="14343" max="14343" width="8.42578125" style="57" customWidth="1"/>
    <col min="14344" max="14582" width="9.140625" style="57"/>
    <col min="14583" max="14583" width="12.140625" style="57" customWidth="1"/>
    <col min="14584" max="14584" width="13.7109375" style="57" customWidth="1"/>
    <col min="14585" max="14585" width="36.5703125" style="57" customWidth="1"/>
    <col min="14586" max="14586" width="14.85546875" style="57" customWidth="1"/>
    <col min="14587" max="14589" width="13.5703125" style="57" customWidth="1"/>
    <col min="14590" max="14591" width="14.42578125" style="57" customWidth="1"/>
    <col min="14592" max="14592" width="12.140625" style="57" customWidth="1"/>
    <col min="14593" max="14593" width="9.42578125" style="57" customWidth="1"/>
    <col min="14594" max="14594" width="14.42578125" style="57" customWidth="1"/>
    <col min="14595" max="14595" width="9.42578125" style="57" customWidth="1"/>
    <col min="14596" max="14596" width="7.85546875" style="57" customWidth="1"/>
    <col min="14597" max="14597" width="8.42578125" style="57" customWidth="1"/>
    <col min="14598" max="14598" width="14.85546875" style="57" customWidth="1"/>
    <col min="14599" max="14599" width="8.42578125" style="57" customWidth="1"/>
    <col min="14600" max="14838" width="9.140625" style="57"/>
    <col min="14839" max="14839" width="12.140625" style="57" customWidth="1"/>
    <col min="14840" max="14840" width="13.7109375" style="57" customWidth="1"/>
    <col min="14841" max="14841" width="36.5703125" style="57" customWidth="1"/>
    <col min="14842" max="14842" width="14.85546875" style="57" customWidth="1"/>
    <col min="14843" max="14845" width="13.5703125" style="57" customWidth="1"/>
    <col min="14846" max="14847" width="14.42578125" style="57" customWidth="1"/>
    <col min="14848" max="14848" width="12.140625" style="57" customWidth="1"/>
    <col min="14849" max="14849" width="9.42578125" style="57" customWidth="1"/>
    <col min="14850" max="14850" width="14.42578125" style="57" customWidth="1"/>
    <col min="14851" max="14851" width="9.42578125" style="57" customWidth="1"/>
    <col min="14852" max="14852" width="7.85546875" style="57" customWidth="1"/>
    <col min="14853" max="14853" width="8.42578125" style="57" customWidth="1"/>
    <col min="14854" max="14854" width="14.85546875" style="57" customWidth="1"/>
    <col min="14855" max="14855" width="8.42578125" style="57" customWidth="1"/>
    <col min="14856" max="15094" width="9.140625" style="57"/>
    <col min="15095" max="15095" width="12.140625" style="57" customWidth="1"/>
    <col min="15096" max="15096" width="13.7109375" style="57" customWidth="1"/>
    <col min="15097" max="15097" width="36.5703125" style="57" customWidth="1"/>
    <col min="15098" max="15098" width="14.85546875" style="57" customWidth="1"/>
    <col min="15099" max="15101" width="13.5703125" style="57" customWidth="1"/>
    <col min="15102" max="15103" width="14.42578125" style="57" customWidth="1"/>
    <col min="15104" max="15104" width="12.140625" style="57" customWidth="1"/>
    <col min="15105" max="15105" width="9.42578125" style="57" customWidth="1"/>
    <col min="15106" max="15106" width="14.42578125" style="57" customWidth="1"/>
    <col min="15107" max="15107" width="9.42578125" style="57" customWidth="1"/>
    <col min="15108" max="15108" width="7.85546875" style="57" customWidth="1"/>
    <col min="15109" max="15109" width="8.42578125" style="57" customWidth="1"/>
    <col min="15110" max="15110" width="14.85546875" style="57" customWidth="1"/>
    <col min="15111" max="15111" width="8.42578125" style="57" customWidth="1"/>
    <col min="15112" max="15350" width="9.140625" style="57"/>
    <col min="15351" max="15351" width="12.140625" style="57" customWidth="1"/>
    <col min="15352" max="15352" width="13.7109375" style="57" customWidth="1"/>
    <col min="15353" max="15353" width="36.5703125" style="57" customWidth="1"/>
    <col min="15354" max="15354" width="14.85546875" style="57" customWidth="1"/>
    <col min="15355" max="15357" width="13.5703125" style="57" customWidth="1"/>
    <col min="15358" max="15359" width="14.42578125" style="57" customWidth="1"/>
    <col min="15360" max="15360" width="12.140625" style="57" customWidth="1"/>
    <col min="15361" max="15361" width="9.42578125" style="57" customWidth="1"/>
    <col min="15362" max="15362" width="14.42578125" style="57" customWidth="1"/>
    <col min="15363" max="15363" width="9.42578125" style="57" customWidth="1"/>
    <col min="15364" max="15364" width="7.85546875" style="57" customWidth="1"/>
    <col min="15365" max="15365" width="8.42578125" style="57" customWidth="1"/>
    <col min="15366" max="15366" width="14.85546875" style="57" customWidth="1"/>
    <col min="15367" max="15367" width="8.42578125" style="57" customWidth="1"/>
    <col min="15368" max="15606" width="9.140625" style="57"/>
    <col min="15607" max="15607" width="12.140625" style="57" customWidth="1"/>
    <col min="15608" max="15608" width="13.7109375" style="57" customWidth="1"/>
    <col min="15609" max="15609" width="36.5703125" style="57" customWidth="1"/>
    <col min="15610" max="15610" width="14.85546875" style="57" customWidth="1"/>
    <col min="15611" max="15613" width="13.5703125" style="57" customWidth="1"/>
    <col min="15614" max="15615" width="14.42578125" style="57" customWidth="1"/>
    <col min="15616" max="15616" width="12.140625" style="57" customWidth="1"/>
    <col min="15617" max="15617" width="9.42578125" style="57" customWidth="1"/>
    <col min="15618" max="15618" width="14.42578125" style="57" customWidth="1"/>
    <col min="15619" max="15619" width="9.42578125" style="57" customWidth="1"/>
    <col min="15620" max="15620" width="7.85546875" style="57" customWidth="1"/>
    <col min="15621" max="15621" width="8.42578125" style="57" customWidth="1"/>
    <col min="15622" max="15622" width="14.85546875" style="57" customWidth="1"/>
    <col min="15623" max="15623" width="8.42578125" style="57" customWidth="1"/>
    <col min="15624" max="15862" width="9.140625" style="57"/>
    <col min="15863" max="15863" width="12.140625" style="57" customWidth="1"/>
    <col min="15864" max="15864" width="13.7109375" style="57" customWidth="1"/>
    <col min="15865" max="15865" width="36.5703125" style="57" customWidth="1"/>
    <col min="15866" max="15866" width="14.85546875" style="57" customWidth="1"/>
    <col min="15867" max="15869" width="13.5703125" style="57" customWidth="1"/>
    <col min="15870" max="15871" width="14.42578125" style="57" customWidth="1"/>
    <col min="15872" max="15872" width="12.140625" style="57" customWidth="1"/>
    <col min="15873" max="15873" width="9.42578125" style="57" customWidth="1"/>
    <col min="15874" max="15874" width="14.42578125" style="57" customWidth="1"/>
    <col min="15875" max="15875" width="9.42578125" style="57" customWidth="1"/>
    <col min="15876" max="15876" width="7.85546875" style="57" customWidth="1"/>
    <col min="15877" max="15877" width="8.42578125" style="57" customWidth="1"/>
    <col min="15878" max="15878" width="14.85546875" style="57" customWidth="1"/>
    <col min="15879" max="15879" width="8.42578125" style="57" customWidth="1"/>
    <col min="15880" max="16118" width="9.140625" style="57"/>
    <col min="16119" max="16119" width="12.140625" style="57" customWidth="1"/>
    <col min="16120" max="16120" width="13.7109375" style="57" customWidth="1"/>
    <col min="16121" max="16121" width="36.5703125" style="57" customWidth="1"/>
    <col min="16122" max="16122" width="14.85546875" style="57" customWidth="1"/>
    <col min="16123" max="16125" width="13.5703125" style="57" customWidth="1"/>
    <col min="16126" max="16127" width="14.42578125" style="57" customWidth="1"/>
    <col min="16128" max="16128" width="12.140625" style="57" customWidth="1"/>
    <col min="16129" max="16129" width="9.42578125" style="57" customWidth="1"/>
    <col min="16130" max="16130" width="14.42578125" style="57" customWidth="1"/>
    <col min="16131" max="16131" width="9.42578125" style="57" customWidth="1"/>
    <col min="16132" max="16132" width="7.85546875" style="57" customWidth="1"/>
    <col min="16133" max="16133" width="8.42578125" style="57" customWidth="1"/>
    <col min="16134" max="16134" width="14.85546875" style="57" customWidth="1"/>
    <col min="16135" max="16135" width="8.42578125" style="57" customWidth="1"/>
    <col min="16136" max="16384" width="9.140625" style="57"/>
  </cols>
  <sheetData>
    <row r="1" spans="1:7" s="63" customFormat="1" x14ac:dyDescent="0.2">
      <c r="A1" s="52" t="s">
        <v>75</v>
      </c>
      <c r="B1" s="52" t="s">
        <v>76</v>
      </c>
      <c r="C1" s="60" t="s">
        <v>3</v>
      </c>
      <c r="D1" s="60" t="s">
        <v>4</v>
      </c>
      <c r="E1" s="59" t="s">
        <v>28</v>
      </c>
      <c r="F1" s="62" t="s">
        <v>77</v>
      </c>
      <c r="G1" s="61"/>
    </row>
    <row r="2" spans="1:7" s="67" customFormat="1" x14ac:dyDescent="0.2">
      <c r="A2" s="64" t="s">
        <v>427</v>
      </c>
      <c r="B2" s="64" t="s">
        <v>428</v>
      </c>
      <c r="C2" s="65" t="s">
        <v>32</v>
      </c>
      <c r="D2" s="65">
        <v>1243571.3345315501</v>
      </c>
      <c r="E2" s="66">
        <v>0</v>
      </c>
      <c r="F2" s="68" t="s">
        <v>32</v>
      </c>
    </row>
    <row r="3" spans="1:7" s="67" customFormat="1" x14ac:dyDescent="0.2">
      <c r="A3" s="64" t="s">
        <v>429</v>
      </c>
      <c r="B3" s="64" t="s">
        <v>430</v>
      </c>
      <c r="C3" s="65" t="s">
        <v>32</v>
      </c>
      <c r="D3" s="65">
        <v>1556621.34364445</v>
      </c>
      <c r="E3" s="66">
        <v>0</v>
      </c>
      <c r="F3" s="68" t="s">
        <v>32</v>
      </c>
    </row>
    <row r="4" spans="1:7" s="67" customFormat="1" x14ac:dyDescent="0.2">
      <c r="A4" s="64" t="s">
        <v>431</v>
      </c>
      <c r="B4" s="64" t="s">
        <v>432</v>
      </c>
      <c r="C4" s="65" t="s">
        <v>32</v>
      </c>
      <c r="D4" s="65">
        <v>1360881.94558013</v>
      </c>
      <c r="E4" s="66">
        <v>0</v>
      </c>
      <c r="F4" s="68" t="s">
        <v>32</v>
      </c>
    </row>
    <row r="5" spans="1:7" s="67" customFormat="1" x14ac:dyDescent="0.2">
      <c r="A5" s="64" t="s">
        <v>445</v>
      </c>
      <c r="B5" s="64" t="s">
        <v>446</v>
      </c>
      <c r="C5" s="65" t="s">
        <v>32</v>
      </c>
      <c r="D5" s="65">
        <v>1030897.12162926</v>
      </c>
      <c r="E5" s="66">
        <v>0</v>
      </c>
      <c r="F5" s="68" t="s">
        <v>32</v>
      </c>
    </row>
    <row r="6" spans="1:7" s="67" customFormat="1" x14ac:dyDescent="0.2">
      <c r="A6" s="64" t="s">
        <v>447</v>
      </c>
      <c r="B6" s="64" t="s">
        <v>448</v>
      </c>
      <c r="C6" s="65" t="s">
        <v>32</v>
      </c>
      <c r="D6" s="65">
        <v>1120009.8644948299</v>
      </c>
      <c r="E6" s="66">
        <v>0</v>
      </c>
      <c r="F6" s="68" t="s">
        <v>32</v>
      </c>
    </row>
    <row r="7" spans="1:7" s="67" customFormat="1" x14ac:dyDescent="0.2">
      <c r="A7" s="64" t="s">
        <v>449</v>
      </c>
      <c r="B7" s="64" t="s">
        <v>450</v>
      </c>
      <c r="C7" s="65" t="s">
        <v>32</v>
      </c>
      <c r="D7" s="65">
        <v>1280563.5445686099</v>
      </c>
      <c r="E7" s="66">
        <v>0</v>
      </c>
      <c r="F7" s="68" t="s">
        <v>32</v>
      </c>
    </row>
    <row r="8" spans="1:7" s="67" customFormat="1" x14ac:dyDescent="0.2">
      <c r="A8" s="64" t="s">
        <v>439</v>
      </c>
      <c r="B8" s="64" t="s">
        <v>440</v>
      </c>
      <c r="C8" s="65" t="s">
        <v>32</v>
      </c>
      <c r="D8" s="65">
        <v>765188.74981835298</v>
      </c>
      <c r="E8" s="66">
        <v>0</v>
      </c>
      <c r="F8" s="68" t="s">
        <v>32</v>
      </c>
    </row>
    <row r="9" spans="1:7" s="67" customFormat="1" x14ac:dyDescent="0.2">
      <c r="A9" s="64" t="s">
        <v>441</v>
      </c>
      <c r="B9" s="64" t="s">
        <v>442</v>
      </c>
      <c r="C9" s="65" t="s">
        <v>32</v>
      </c>
      <c r="D9" s="65">
        <v>1193413.3720686501</v>
      </c>
      <c r="E9" s="66">
        <v>0</v>
      </c>
      <c r="F9" s="68" t="s">
        <v>32</v>
      </c>
    </row>
    <row r="10" spans="1:7" s="67" customFormat="1" x14ac:dyDescent="0.2">
      <c r="A10" s="64" t="s">
        <v>443</v>
      </c>
      <c r="B10" s="64" t="s">
        <v>444</v>
      </c>
      <c r="C10" s="65" t="s">
        <v>32</v>
      </c>
      <c r="D10" s="65">
        <v>1270589.23558048</v>
      </c>
      <c r="E10" s="66">
        <v>0</v>
      </c>
      <c r="F10" s="68" t="s">
        <v>32</v>
      </c>
    </row>
    <row r="11" spans="1:7" s="67" customFormat="1" x14ac:dyDescent="0.2">
      <c r="A11" s="64" t="s">
        <v>433</v>
      </c>
      <c r="B11" s="64" t="s">
        <v>434</v>
      </c>
      <c r="C11" s="65" t="s">
        <v>32</v>
      </c>
      <c r="D11" s="65">
        <v>1153694.6204159099</v>
      </c>
      <c r="E11" s="66">
        <v>0</v>
      </c>
      <c r="F11" s="68" t="s">
        <v>32</v>
      </c>
    </row>
    <row r="12" spans="1:7" s="67" customFormat="1" x14ac:dyDescent="0.2">
      <c r="A12" s="64" t="s">
        <v>435</v>
      </c>
      <c r="B12" s="64" t="s">
        <v>436</v>
      </c>
      <c r="C12" s="65" t="s">
        <v>32</v>
      </c>
      <c r="D12" s="65">
        <v>1190182.0872816099</v>
      </c>
      <c r="E12" s="66">
        <v>0</v>
      </c>
      <c r="F12" s="68" t="s">
        <v>32</v>
      </c>
    </row>
    <row r="13" spans="1:7" s="67" customFormat="1" x14ac:dyDescent="0.2">
      <c r="A13" s="64" t="s">
        <v>437</v>
      </c>
      <c r="B13" s="64" t="s">
        <v>438</v>
      </c>
      <c r="C13" s="65" t="s">
        <v>32</v>
      </c>
      <c r="D13" s="65">
        <v>1185583.3975992501</v>
      </c>
      <c r="E13" s="66">
        <v>0</v>
      </c>
      <c r="F13" s="68" t="s">
        <v>32</v>
      </c>
    </row>
    <row r="14" spans="1:7" s="67" customFormat="1" x14ac:dyDescent="0.2">
      <c r="A14" s="64" t="s">
        <v>421</v>
      </c>
      <c r="B14" s="64" t="s">
        <v>422</v>
      </c>
      <c r="C14" s="65" t="s">
        <v>32</v>
      </c>
      <c r="D14" s="65">
        <v>1243023.63306204</v>
      </c>
      <c r="E14" s="66">
        <v>0</v>
      </c>
      <c r="F14" s="68" t="s">
        <v>32</v>
      </c>
    </row>
    <row r="15" spans="1:7" s="67" customFormat="1" x14ac:dyDescent="0.2">
      <c r="A15" s="64" t="s">
        <v>423</v>
      </c>
      <c r="B15" s="64" t="s">
        <v>424</v>
      </c>
      <c r="C15" s="65" t="s">
        <v>32</v>
      </c>
      <c r="D15" s="65">
        <v>1222228.0281150299</v>
      </c>
      <c r="E15" s="66">
        <v>0</v>
      </c>
      <c r="F15" s="68" t="s">
        <v>32</v>
      </c>
    </row>
    <row r="16" spans="1:7" s="67" customFormat="1" x14ac:dyDescent="0.2">
      <c r="A16" s="64" t="s">
        <v>425</v>
      </c>
      <c r="B16" s="64" t="s">
        <v>426</v>
      </c>
      <c r="C16" s="65" t="s">
        <v>32</v>
      </c>
      <c r="D16" s="65">
        <v>1215145.8221229699</v>
      </c>
      <c r="E16" s="66">
        <v>0</v>
      </c>
      <c r="F16" s="68" t="s">
        <v>32</v>
      </c>
    </row>
    <row r="17" spans="1:6" s="67" customFormat="1" x14ac:dyDescent="0.2">
      <c r="A17" s="64" t="s">
        <v>451</v>
      </c>
      <c r="B17" s="64" t="s">
        <v>452</v>
      </c>
      <c r="C17" s="65" t="s">
        <v>32</v>
      </c>
      <c r="D17" s="65">
        <v>1619989.65333784</v>
      </c>
      <c r="E17" s="66">
        <v>0</v>
      </c>
      <c r="F17" s="68" t="s">
        <v>32</v>
      </c>
    </row>
    <row r="18" spans="1:6" s="67" customFormat="1" x14ac:dyDescent="0.2">
      <c r="A18" s="64" t="s">
        <v>453</v>
      </c>
      <c r="B18" s="64" t="s">
        <v>454</v>
      </c>
      <c r="C18" s="65" t="s">
        <v>32</v>
      </c>
      <c r="D18" s="65">
        <v>1611031.06865157</v>
      </c>
      <c r="E18" s="66">
        <v>0</v>
      </c>
      <c r="F18" s="68" t="s">
        <v>32</v>
      </c>
    </row>
    <row r="20" spans="1:6" s="67" customFormat="1" x14ac:dyDescent="0.2">
      <c r="A20" s="64" t="s">
        <v>325</v>
      </c>
      <c r="B20" s="64" t="s">
        <v>326</v>
      </c>
      <c r="C20" s="65">
        <v>833922.67904297903</v>
      </c>
      <c r="D20" s="65">
        <v>1383686.60474227</v>
      </c>
      <c r="E20" s="66">
        <v>0.60268176058429501</v>
      </c>
      <c r="F20" s="68">
        <v>6.4137000000000004</v>
      </c>
    </row>
    <row r="21" spans="1:6" s="67" customFormat="1" x14ac:dyDescent="0.2">
      <c r="A21" s="64" t="s">
        <v>327</v>
      </c>
      <c r="B21" s="64" t="s">
        <v>328</v>
      </c>
      <c r="C21" s="65">
        <v>477135.12223706499</v>
      </c>
      <c r="D21" s="65">
        <v>8645099.2201391105</v>
      </c>
      <c r="E21" s="66">
        <v>5.5191399206334001E-2</v>
      </c>
      <c r="F21" s="68">
        <v>6.4189850000000002</v>
      </c>
    </row>
    <row r="22" spans="1:6" s="67" customFormat="1" x14ac:dyDescent="0.2">
      <c r="A22" s="64" t="s">
        <v>329</v>
      </c>
      <c r="B22" s="64" t="s">
        <v>330</v>
      </c>
      <c r="C22" s="65">
        <v>2693819.3828886398</v>
      </c>
      <c r="D22" s="65">
        <v>475285.48501061002</v>
      </c>
      <c r="E22" s="66">
        <v>5.6677922382344601</v>
      </c>
      <c r="F22" s="68">
        <v>6.3973366666666598</v>
      </c>
    </row>
    <row r="23" spans="1:6" s="67" customFormat="1" x14ac:dyDescent="0.2">
      <c r="A23" s="64" t="s">
        <v>343</v>
      </c>
      <c r="B23" s="64" t="s">
        <v>344</v>
      </c>
      <c r="C23" s="65">
        <v>1200186.4249076201</v>
      </c>
      <c r="D23" s="65">
        <v>535517.56644705799</v>
      </c>
      <c r="E23" s="66">
        <v>2.2411709719820698</v>
      </c>
      <c r="F23" s="68">
        <v>6.40276333333333</v>
      </c>
    </row>
    <row r="24" spans="1:6" s="67" customFormat="1" x14ac:dyDescent="0.2">
      <c r="A24" s="64" t="s">
        <v>345</v>
      </c>
      <c r="B24" s="64" t="s">
        <v>346</v>
      </c>
      <c r="C24" s="65">
        <v>1611538.81768287</v>
      </c>
      <c r="D24" s="65">
        <v>765102.84570592502</v>
      </c>
      <c r="E24" s="66">
        <v>2.10630352079788</v>
      </c>
      <c r="F24" s="68">
        <v>6.4081683333333297</v>
      </c>
    </row>
    <row r="25" spans="1:6" s="67" customFormat="1" x14ac:dyDescent="0.2">
      <c r="A25" s="64" t="s">
        <v>347</v>
      </c>
      <c r="B25" s="64" t="s">
        <v>348</v>
      </c>
      <c r="C25" s="65">
        <v>1409269.8920082699</v>
      </c>
      <c r="D25" s="65">
        <v>1184586.86957888</v>
      </c>
      <c r="E25" s="66">
        <v>1.1896720520878701</v>
      </c>
      <c r="F25" s="68">
        <v>6.4245083333333302</v>
      </c>
    </row>
    <row r="26" spans="1:6" s="67" customFormat="1" x14ac:dyDescent="0.2">
      <c r="A26" s="64" t="s">
        <v>337</v>
      </c>
      <c r="B26" s="64" t="s">
        <v>338</v>
      </c>
      <c r="C26" s="65">
        <v>953114.31775438599</v>
      </c>
      <c r="D26" s="65">
        <v>503701.98892088199</v>
      </c>
      <c r="E26" s="66">
        <v>1.8922186902543501</v>
      </c>
      <c r="F26" s="68">
        <v>6.3865999999999996</v>
      </c>
    </row>
    <row r="27" spans="1:6" s="67" customFormat="1" x14ac:dyDescent="0.2">
      <c r="A27" s="64" t="s">
        <v>339</v>
      </c>
      <c r="B27" s="64" t="s">
        <v>340</v>
      </c>
      <c r="C27" s="65">
        <v>345916.40719455399</v>
      </c>
      <c r="D27" s="65">
        <v>92675.051664358805</v>
      </c>
      <c r="E27" s="66">
        <v>3.73257312493722</v>
      </c>
      <c r="F27" s="68">
        <v>6.4243933333333301</v>
      </c>
    </row>
    <row r="28" spans="1:6" s="67" customFormat="1" x14ac:dyDescent="0.2">
      <c r="A28" s="64" t="s">
        <v>341</v>
      </c>
      <c r="B28" s="64" t="s">
        <v>342</v>
      </c>
      <c r="C28" s="65">
        <v>261938.54461763901</v>
      </c>
      <c r="D28" s="65">
        <v>104079.621126094</v>
      </c>
      <c r="E28" s="66">
        <v>2.5167130873804302</v>
      </c>
      <c r="F28" s="68">
        <v>6.4299949999999999</v>
      </c>
    </row>
    <row r="29" spans="1:6" s="67" customFormat="1" x14ac:dyDescent="0.2">
      <c r="A29" s="64" t="s">
        <v>331</v>
      </c>
      <c r="B29" s="64" t="s">
        <v>332</v>
      </c>
      <c r="C29" s="65">
        <v>88610.309123084604</v>
      </c>
      <c r="D29" s="65">
        <v>61604.365668291997</v>
      </c>
      <c r="E29" s="66">
        <v>1.4383771046390701</v>
      </c>
      <c r="F29" s="68">
        <v>6.4298866666666603</v>
      </c>
    </row>
    <row r="30" spans="1:6" s="67" customFormat="1" x14ac:dyDescent="0.2">
      <c r="A30" s="64" t="s">
        <v>333</v>
      </c>
      <c r="B30" s="64" t="s">
        <v>334</v>
      </c>
      <c r="C30" s="65">
        <v>1675884.8129038301</v>
      </c>
      <c r="D30" s="65">
        <v>1484122.3685211199</v>
      </c>
      <c r="E30" s="66">
        <v>1.1292093215829599</v>
      </c>
      <c r="F30" s="68">
        <v>6.40818333333333</v>
      </c>
    </row>
    <row r="31" spans="1:6" s="67" customFormat="1" x14ac:dyDescent="0.2">
      <c r="A31" s="64" t="s">
        <v>335</v>
      </c>
      <c r="B31" s="64" t="s">
        <v>336</v>
      </c>
      <c r="C31" s="65">
        <v>1567402.4036858501</v>
      </c>
      <c r="D31" s="65">
        <v>1382504.31777452</v>
      </c>
      <c r="E31" s="66">
        <v>1.1337414165974999</v>
      </c>
      <c r="F31" s="68">
        <v>6.4084016666666601</v>
      </c>
    </row>
    <row r="32" spans="1:6" s="67" customFormat="1" x14ac:dyDescent="0.2">
      <c r="A32" s="64" t="s">
        <v>319</v>
      </c>
      <c r="B32" s="64" t="s">
        <v>320</v>
      </c>
      <c r="C32" s="65">
        <v>1173753.82497522</v>
      </c>
      <c r="D32" s="65">
        <v>805063.26894963603</v>
      </c>
      <c r="E32" s="66">
        <v>1.45796469699409</v>
      </c>
      <c r="F32" s="68">
        <v>6.4082249999999998</v>
      </c>
    </row>
    <row r="33" spans="1:7" s="67" customFormat="1" x14ac:dyDescent="0.2">
      <c r="A33" s="64" t="s">
        <v>321</v>
      </c>
      <c r="B33" s="64" t="s">
        <v>322</v>
      </c>
      <c r="C33" s="65">
        <v>1051106.75202995</v>
      </c>
      <c r="D33" s="65">
        <v>1023671.3719554601</v>
      </c>
      <c r="E33" s="66">
        <v>1.02680096447562</v>
      </c>
      <c r="F33" s="68">
        <v>6.4136666666666597</v>
      </c>
    </row>
    <row r="34" spans="1:7" s="67" customFormat="1" x14ac:dyDescent="0.2">
      <c r="A34" s="64" t="s">
        <v>323</v>
      </c>
      <c r="B34" s="64" t="s">
        <v>324</v>
      </c>
      <c r="C34" s="65">
        <v>1573053.24030161</v>
      </c>
      <c r="D34" s="65">
        <v>1253065.4603329301</v>
      </c>
      <c r="E34" s="66">
        <v>1.2553639774602501</v>
      </c>
      <c r="F34" s="68">
        <v>6.4081416666666602</v>
      </c>
    </row>
    <row r="35" spans="1:7" s="67" customFormat="1" x14ac:dyDescent="0.2">
      <c r="A35" s="64" t="s">
        <v>349</v>
      </c>
      <c r="B35" s="64" t="s">
        <v>350</v>
      </c>
      <c r="C35" s="65">
        <v>1203739.6578825801</v>
      </c>
      <c r="D35" s="65">
        <v>842583.25134298904</v>
      </c>
      <c r="E35" s="66">
        <v>1.42862993771114</v>
      </c>
      <c r="F35" s="68">
        <v>6.4083449999999997</v>
      </c>
    </row>
    <row r="36" spans="1:7" s="67" customFormat="1" x14ac:dyDescent="0.2">
      <c r="A36" s="64" t="s">
        <v>351</v>
      </c>
      <c r="B36" s="64" t="s">
        <v>352</v>
      </c>
      <c r="C36" s="65">
        <v>1144492.3287792101</v>
      </c>
      <c r="D36" s="65">
        <v>1871064.14109695</v>
      </c>
      <c r="E36" s="66">
        <v>0.61167990110068005</v>
      </c>
      <c r="F36" s="68">
        <v>6.4136016666666604</v>
      </c>
    </row>
    <row r="38" spans="1:7" x14ac:dyDescent="0.2">
      <c r="A38" s="53" t="s">
        <v>316</v>
      </c>
      <c r="B38" s="53" t="s">
        <v>116</v>
      </c>
      <c r="C38" s="58" t="s">
        <v>32</v>
      </c>
      <c r="D38" s="58">
        <v>535785.55124895996</v>
      </c>
      <c r="E38" s="54">
        <v>0</v>
      </c>
      <c r="F38" s="56" t="s">
        <v>32</v>
      </c>
    </row>
    <row r="39" spans="1:7" x14ac:dyDescent="0.2">
      <c r="A39" s="53" t="s">
        <v>317</v>
      </c>
      <c r="B39" s="53" t="s">
        <v>117</v>
      </c>
      <c r="C39" s="58" t="s">
        <v>32</v>
      </c>
      <c r="D39" s="58">
        <v>1314081.40024331</v>
      </c>
      <c r="E39" s="54">
        <v>0</v>
      </c>
      <c r="F39" s="56" t="s">
        <v>32</v>
      </c>
    </row>
    <row r="40" spans="1:7" x14ac:dyDescent="0.2">
      <c r="A40" s="53" t="s">
        <v>318</v>
      </c>
      <c r="B40" s="53" t="s">
        <v>35</v>
      </c>
      <c r="C40" s="58" t="s">
        <v>32</v>
      </c>
      <c r="D40" s="58">
        <v>1532416.1873884399</v>
      </c>
      <c r="E40" s="54">
        <v>0</v>
      </c>
      <c r="F40" s="56" t="s">
        <v>32</v>
      </c>
    </row>
    <row r="41" spans="1:7" customFormat="1" ht="15" x14ac:dyDescent="0.25">
      <c r="A41" s="110" t="s">
        <v>529</v>
      </c>
      <c r="B41" s="110" t="s">
        <v>530</v>
      </c>
      <c r="C41" s="111" t="s">
        <v>32</v>
      </c>
      <c r="D41" s="111">
        <v>1235345.83885341</v>
      </c>
      <c r="E41" s="54">
        <v>0</v>
      </c>
      <c r="F41" s="113" t="s">
        <v>32</v>
      </c>
      <c r="G41" s="112"/>
    </row>
    <row r="42" spans="1:7" customFormat="1" ht="15" x14ac:dyDescent="0.25">
      <c r="A42" s="110" t="s">
        <v>531</v>
      </c>
      <c r="B42" s="110" t="s">
        <v>532</v>
      </c>
      <c r="C42" s="111" t="s">
        <v>32</v>
      </c>
      <c r="D42" s="111">
        <v>211430.84322234301</v>
      </c>
      <c r="E42" s="54">
        <v>0</v>
      </c>
      <c r="F42" s="113" t="s">
        <v>32</v>
      </c>
      <c r="G42" s="112"/>
    </row>
    <row r="43" spans="1:7" customFormat="1" ht="15" x14ac:dyDescent="0.25">
      <c r="A43" s="110" t="s">
        <v>533</v>
      </c>
      <c r="B43" s="110" t="s">
        <v>534</v>
      </c>
      <c r="C43" s="111" t="s">
        <v>32</v>
      </c>
      <c r="D43" s="111">
        <v>1323632.9130945599</v>
      </c>
      <c r="E43" s="54">
        <v>0</v>
      </c>
      <c r="F43" s="113" t="s">
        <v>32</v>
      </c>
      <c r="G43" s="112"/>
    </row>
    <row r="44" spans="1:7" customFormat="1" ht="15" x14ac:dyDescent="0.25">
      <c r="A44" s="110" t="s">
        <v>547</v>
      </c>
      <c r="B44" s="110" t="s">
        <v>548</v>
      </c>
      <c r="C44" s="111" t="s">
        <v>32</v>
      </c>
      <c r="D44" s="111">
        <v>1209894.0353127001</v>
      </c>
      <c r="E44" s="54">
        <v>0</v>
      </c>
      <c r="F44" s="113" t="s">
        <v>32</v>
      </c>
      <c r="G44" s="112"/>
    </row>
    <row r="45" spans="1:7" customFormat="1" ht="15" x14ac:dyDescent="0.25">
      <c r="A45" s="110" t="s">
        <v>549</v>
      </c>
      <c r="B45" s="110" t="s">
        <v>550</v>
      </c>
      <c r="C45" s="111" t="s">
        <v>32</v>
      </c>
      <c r="D45" s="111">
        <v>143715.555772263</v>
      </c>
      <c r="E45" s="54">
        <v>0</v>
      </c>
      <c r="F45" s="113" t="s">
        <v>32</v>
      </c>
      <c r="G45" s="112"/>
    </row>
    <row r="46" spans="1:7" customFormat="1" ht="15" x14ac:dyDescent="0.25">
      <c r="A46" s="110" t="s">
        <v>551</v>
      </c>
      <c r="B46" s="110" t="s">
        <v>552</v>
      </c>
      <c r="C46" s="111" t="s">
        <v>32</v>
      </c>
      <c r="D46" s="111">
        <v>1127228.2572778999</v>
      </c>
      <c r="E46" s="54">
        <v>0</v>
      </c>
      <c r="F46" s="113" t="s">
        <v>32</v>
      </c>
      <c r="G46" s="112"/>
    </row>
    <row r="47" spans="1:7" customFormat="1" ht="15" x14ac:dyDescent="0.25">
      <c r="A47" s="110" t="s">
        <v>541</v>
      </c>
      <c r="B47" s="110" t="s">
        <v>542</v>
      </c>
      <c r="C47" s="111" t="s">
        <v>32</v>
      </c>
      <c r="D47" s="111">
        <v>1294993.2872325999</v>
      </c>
      <c r="E47" s="54">
        <v>0</v>
      </c>
      <c r="F47" s="113" t="s">
        <v>32</v>
      </c>
      <c r="G47" s="112"/>
    </row>
    <row r="48" spans="1:7" customFormat="1" ht="15" x14ac:dyDescent="0.25">
      <c r="A48" s="110" t="s">
        <v>543</v>
      </c>
      <c r="B48" s="110" t="s">
        <v>544</v>
      </c>
      <c r="C48" s="111" t="s">
        <v>32</v>
      </c>
      <c r="D48" s="111">
        <v>1368114.6756540099</v>
      </c>
      <c r="E48" s="54">
        <v>0</v>
      </c>
      <c r="F48" s="113" t="s">
        <v>32</v>
      </c>
      <c r="G48" s="112"/>
    </row>
    <row r="49" spans="1:7" customFormat="1" ht="15" x14ac:dyDescent="0.25">
      <c r="A49" s="110" t="s">
        <v>545</v>
      </c>
      <c r="B49" s="110" t="s">
        <v>546</v>
      </c>
      <c r="C49" s="111" t="s">
        <v>32</v>
      </c>
      <c r="D49" s="111">
        <v>1379279.36725366</v>
      </c>
      <c r="E49" s="54">
        <v>0</v>
      </c>
      <c r="F49" s="113" t="s">
        <v>32</v>
      </c>
      <c r="G49" s="112"/>
    </row>
    <row r="50" spans="1:7" customFormat="1" ht="15" x14ac:dyDescent="0.25">
      <c r="A50" s="110" t="s">
        <v>535</v>
      </c>
      <c r="B50" s="110" t="s">
        <v>536</v>
      </c>
      <c r="C50" s="111" t="s">
        <v>32</v>
      </c>
      <c r="D50" s="111">
        <v>1412061.4113634501</v>
      </c>
      <c r="E50" s="54">
        <v>0</v>
      </c>
      <c r="F50" s="113" t="s">
        <v>32</v>
      </c>
      <c r="G50" s="112"/>
    </row>
    <row r="51" spans="1:7" customFormat="1" ht="15" x14ac:dyDescent="0.25">
      <c r="A51" s="110" t="s">
        <v>537</v>
      </c>
      <c r="B51" s="110" t="s">
        <v>538</v>
      </c>
      <c r="C51" s="111" t="s">
        <v>32</v>
      </c>
      <c r="D51" s="111">
        <v>1325951.2845419999</v>
      </c>
      <c r="E51" s="54">
        <v>0</v>
      </c>
      <c r="F51" s="113" t="s">
        <v>32</v>
      </c>
      <c r="G51" s="112"/>
    </row>
    <row r="52" spans="1:7" customFormat="1" ht="15" x14ac:dyDescent="0.25">
      <c r="A52" s="110" t="s">
        <v>539</v>
      </c>
      <c r="B52" s="110" t="s">
        <v>540</v>
      </c>
      <c r="C52" s="111" t="s">
        <v>32</v>
      </c>
      <c r="D52" s="111">
        <v>1291928.4344009201</v>
      </c>
      <c r="E52" s="54">
        <v>0</v>
      </c>
      <c r="F52" s="113" t="s">
        <v>32</v>
      </c>
      <c r="G52" s="112"/>
    </row>
    <row r="53" spans="1:7" customFormat="1" ht="15" x14ac:dyDescent="0.25">
      <c r="A53" s="110" t="s">
        <v>523</v>
      </c>
      <c r="B53" s="110" t="s">
        <v>524</v>
      </c>
      <c r="C53" s="111" t="s">
        <v>32</v>
      </c>
      <c r="D53" s="111">
        <v>1073116.42634719</v>
      </c>
      <c r="E53" s="54">
        <v>0</v>
      </c>
      <c r="F53" s="113" t="s">
        <v>32</v>
      </c>
      <c r="G53" s="112"/>
    </row>
    <row r="54" spans="1:7" customFormat="1" ht="15" x14ac:dyDescent="0.25">
      <c r="A54" s="110" t="s">
        <v>525</v>
      </c>
      <c r="B54" s="110" t="s">
        <v>526</v>
      </c>
      <c r="C54" s="111" t="s">
        <v>32</v>
      </c>
      <c r="D54" s="111">
        <v>1029174.82846727</v>
      </c>
      <c r="E54" s="54">
        <v>0</v>
      </c>
      <c r="F54" s="113" t="s">
        <v>32</v>
      </c>
      <c r="G54" s="112"/>
    </row>
    <row r="55" spans="1:7" customFormat="1" ht="15" x14ac:dyDescent="0.25">
      <c r="A55" s="110" t="s">
        <v>527</v>
      </c>
      <c r="B55" s="110" t="s">
        <v>528</v>
      </c>
      <c r="C55" s="111" t="s">
        <v>32</v>
      </c>
      <c r="D55" s="111">
        <v>1069674.2588402501</v>
      </c>
      <c r="E55" s="54">
        <v>0</v>
      </c>
      <c r="F55" s="113" t="s">
        <v>32</v>
      </c>
      <c r="G55" s="112"/>
    </row>
    <row r="56" spans="1:7" customFormat="1" ht="15" x14ac:dyDescent="0.25">
      <c r="A56" s="110" t="s">
        <v>553</v>
      </c>
      <c r="B56" s="110" t="s">
        <v>554</v>
      </c>
      <c r="C56" s="111" t="s">
        <v>32</v>
      </c>
      <c r="D56" s="111">
        <v>1668919.88280237</v>
      </c>
      <c r="E56" s="54">
        <v>0</v>
      </c>
      <c r="F56" s="113" t="s">
        <v>32</v>
      </c>
      <c r="G56" s="112"/>
    </row>
    <row r="57" spans="1:7" customFormat="1" ht="15" x14ac:dyDescent="0.25">
      <c r="A57" s="110" t="s">
        <v>555</v>
      </c>
      <c r="B57" s="110" t="s">
        <v>556</v>
      </c>
      <c r="C57" s="111" t="s">
        <v>32</v>
      </c>
      <c r="D57" s="111">
        <v>1756441.30452475</v>
      </c>
      <c r="E57" s="54">
        <v>0</v>
      </c>
      <c r="F57" s="113" t="s">
        <v>32</v>
      </c>
      <c r="G57" s="112"/>
    </row>
    <row r="59" spans="1:7" x14ac:dyDescent="0.2">
      <c r="A59" s="53" t="s">
        <v>461</v>
      </c>
      <c r="B59" s="53" t="s">
        <v>462</v>
      </c>
      <c r="C59" s="58" t="s">
        <v>32</v>
      </c>
      <c r="D59" s="58">
        <v>1344612.55943071</v>
      </c>
      <c r="E59" s="54">
        <v>0</v>
      </c>
      <c r="F59" s="56" t="s">
        <v>32</v>
      </c>
    </row>
    <row r="60" spans="1:7" x14ac:dyDescent="0.2">
      <c r="A60" s="53" t="s">
        <v>463</v>
      </c>
      <c r="B60" s="53" t="s">
        <v>464</v>
      </c>
      <c r="C60" s="58" t="s">
        <v>32</v>
      </c>
      <c r="D60" s="58">
        <v>1425972.3760609601</v>
      </c>
      <c r="E60" s="54">
        <v>0</v>
      </c>
      <c r="F60" s="56" t="s">
        <v>32</v>
      </c>
    </row>
    <row r="61" spans="1:7" x14ac:dyDescent="0.2">
      <c r="A61" s="53" t="s">
        <v>465</v>
      </c>
      <c r="B61" s="53" t="s">
        <v>466</v>
      </c>
      <c r="C61" s="58" t="s">
        <v>32</v>
      </c>
      <c r="D61" s="58">
        <v>1294992.4958325401</v>
      </c>
      <c r="E61" s="54">
        <v>0</v>
      </c>
      <c r="F61" s="56" t="s">
        <v>32</v>
      </c>
    </row>
    <row r="62" spans="1:7" x14ac:dyDescent="0.2">
      <c r="A62" s="53" t="s">
        <v>479</v>
      </c>
      <c r="B62" s="53" t="s">
        <v>480</v>
      </c>
      <c r="C62" s="58" t="s">
        <v>32</v>
      </c>
      <c r="D62" s="58">
        <v>1281347.19775529</v>
      </c>
      <c r="E62" s="54">
        <v>0</v>
      </c>
      <c r="F62" s="56" t="s">
        <v>32</v>
      </c>
    </row>
    <row r="63" spans="1:7" x14ac:dyDescent="0.2">
      <c r="A63" s="53" t="s">
        <v>481</v>
      </c>
      <c r="B63" s="53" t="s">
        <v>482</v>
      </c>
      <c r="C63" s="58" t="s">
        <v>32</v>
      </c>
      <c r="D63" s="58">
        <v>1274592.7334658999</v>
      </c>
      <c r="E63" s="54">
        <v>0</v>
      </c>
      <c r="F63" s="56" t="s">
        <v>32</v>
      </c>
    </row>
    <row r="64" spans="1:7" x14ac:dyDescent="0.2">
      <c r="A64" s="53" t="s">
        <v>483</v>
      </c>
      <c r="B64" s="53" t="s">
        <v>484</v>
      </c>
      <c r="C64" s="58" t="s">
        <v>32</v>
      </c>
      <c r="D64" s="58">
        <v>1171769.9123714699</v>
      </c>
      <c r="E64" s="54">
        <v>0</v>
      </c>
      <c r="F64" s="56" t="s">
        <v>32</v>
      </c>
    </row>
    <row r="65" spans="1:6" x14ac:dyDescent="0.2">
      <c r="A65" s="53" t="s">
        <v>473</v>
      </c>
      <c r="B65" s="53" t="s">
        <v>474</v>
      </c>
      <c r="C65" s="58" t="s">
        <v>32</v>
      </c>
      <c r="D65" s="58">
        <v>1272006.0815642099</v>
      </c>
      <c r="E65" s="54">
        <v>0</v>
      </c>
      <c r="F65" s="56" t="s">
        <v>32</v>
      </c>
    </row>
    <row r="66" spans="1:6" x14ac:dyDescent="0.2">
      <c r="A66" s="53" t="s">
        <v>475</v>
      </c>
      <c r="B66" s="53" t="s">
        <v>476</v>
      </c>
      <c r="C66" s="58" t="s">
        <v>32</v>
      </c>
      <c r="D66" s="58">
        <v>1175320.18048094</v>
      </c>
      <c r="E66" s="54">
        <v>0</v>
      </c>
      <c r="F66" s="56" t="s">
        <v>32</v>
      </c>
    </row>
    <row r="67" spans="1:6" x14ac:dyDescent="0.2">
      <c r="A67" s="53" t="s">
        <v>477</v>
      </c>
      <c r="B67" s="53" t="s">
        <v>478</v>
      </c>
      <c r="C67" s="58" t="s">
        <v>32</v>
      </c>
      <c r="D67" s="58">
        <v>1166914.4616231001</v>
      </c>
      <c r="E67" s="54">
        <v>0</v>
      </c>
      <c r="F67" s="56" t="s">
        <v>32</v>
      </c>
    </row>
    <row r="68" spans="1:6" x14ac:dyDescent="0.2">
      <c r="A68" s="53" t="s">
        <v>467</v>
      </c>
      <c r="B68" s="53" t="s">
        <v>468</v>
      </c>
      <c r="C68" s="58" t="s">
        <v>32</v>
      </c>
      <c r="D68" s="58">
        <v>1229549.09553671</v>
      </c>
      <c r="E68" s="54">
        <v>0</v>
      </c>
      <c r="F68" s="56" t="s">
        <v>32</v>
      </c>
    </row>
    <row r="69" spans="1:6" x14ac:dyDescent="0.2">
      <c r="A69" s="53" t="s">
        <v>469</v>
      </c>
      <c r="B69" s="53" t="s">
        <v>470</v>
      </c>
      <c r="C69" s="58" t="s">
        <v>32</v>
      </c>
      <c r="D69" s="58">
        <v>1190435.4842666001</v>
      </c>
      <c r="E69" s="54">
        <v>0</v>
      </c>
      <c r="F69" s="56" t="s">
        <v>32</v>
      </c>
    </row>
    <row r="70" spans="1:6" x14ac:dyDescent="0.2">
      <c r="A70" s="53" t="s">
        <v>471</v>
      </c>
      <c r="B70" s="53" t="s">
        <v>472</v>
      </c>
      <c r="C70" s="58" t="s">
        <v>32</v>
      </c>
      <c r="D70" s="58">
        <v>1219799.2849168601</v>
      </c>
      <c r="E70" s="54">
        <v>0</v>
      </c>
      <c r="F70" s="56" t="s">
        <v>32</v>
      </c>
    </row>
    <row r="71" spans="1:6" x14ac:dyDescent="0.2">
      <c r="A71" s="53" t="s">
        <v>455</v>
      </c>
      <c r="B71" s="53" t="s">
        <v>456</v>
      </c>
      <c r="C71" s="58" t="s">
        <v>32</v>
      </c>
      <c r="D71" s="58">
        <v>1196675.0881081601</v>
      </c>
      <c r="E71" s="54">
        <v>0</v>
      </c>
      <c r="F71" s="56" t="s">
        <v>32</v>
      </c>
    </row>
    <row r="72" spans="1:6" x14ac:dyDescent="0.2">
      <c r="A72" s="53" t="s">
        <v>457</v>
      </c>
      <c r="B72" s="53" t="s">
        <v>458</v>
      </c>
      <c r="C72" s="58" t="s">
        <v>32</v>
      </c>
      <c r="D72" s="58">
        <v>1140689.0520921501</v>
      </c>
      <c r="E72" s="54">
        <v>0</v>
      </c>
      <c r="F72" s="56" t="s">
        <v>32</v>
      </c>
    </row>
    <row r="73" spans="1:6" x14ac:dyDescent="0.2">
      <c r="A73" s="53" t="s">
        <v>459</v>
      </c>
      <c r="B73" s="53" t="s">
        <v>460</v>
      </c>
      <c r="C73" s="58" t="s">
        <v>32</v>
      </c>
      <c r="D73" s="58">
        <v>1166308.5808767399</v>
      </c>
      <c r="E73" s="54">
        <v>0</v>
      </c>
      <c r="F73" s="56" t="s">
        <v>32</v>
      </c>
    </row>
    <row r="74" spans="1:6" x14ac:dyDescent="0.2">
      <c r="A74" s="53" t="s">
        <v>485</v>
      </c>
      <c r="B74" s="53" t="s">
        <v>486</v>
      </c>
      <c r="C74" s="58" t="s">
        <v>32</v>
      </c>
      <c r="D74" s="58">
        <v>1532657.5333513201</v>
      </c>
      <c r="E74" s="54">
        <v>0</v>
      </c>
      <c r="F74" s="56" t="s">
        <v>32</v>
      </c>
    </row>
    <row r="75" spans="1:6" x14ac:dyDescent="0.2">
      <c r="A75" s="53" t="s">
        <v>487</v>
      </c>
      <c r="B75" s="53" t="s">
        <v>488</v>
      </c>
      <c r="C75" s="58" t="s">
        <v>32</v>
      </c>
      <c r="D75" s="58">
        <v>1455650.7729489701</v>
      </c>
      <c r="E75" s="54">
        <v>0</v>
      </c>
      <c r="F75" s="56" t="s">
        <v>32</v>
      </c>
    </row>
    <row r="77" spans="1:6" s="116" customFormat="1" x14ac:dyDescent="0.2">
      <c r="A77" s="114" t="s">
        <v>495</v>
      </c>
      <c r="B77" s="114" t="s">
        <v>496</v>
      </c>
      <c r="C77" s="119">
        <v>6259756.4314003801</v>
      </c>
      <c r="D77" s="119">
        <v>1322743.4745480299</v>
      </c>
      <c r="E77" s="115">
        <v>4.7324039406350096</v>
      </c>
      <c r="F77" s="117">
        <v>4.4323583333333296</v>
      </c>
    </row>
    <row r="78" spans="1:6" s="116" customFormat="1" x14ac:dyDescent="0.2">
      <c r="A78" s="114" t="s">
        <v>497</v>
      </c>
      <c r="B78" s="114" t="s">
        <v>498</v>
      </c>
      <c r="C78" s="119">
        <v>6241864.7735537002</v>
      </c>
      <c r="D78" s="119">
        <v>1329068.2186376899</v>
      </c>
      <c r="E78" s="115">
        <v>4.6964216629539699</v>
      </c>
      <c r="F78" s="117">
        <v>4.4162049999999997</v>
      </c>
    </row>
    <row r="79" spans="1:6" s="116" customFormat="1" x14ac:dyDescent="0.2">
      <c r="A79" s="114" t="s">
        <v>499</v>
      </c>
      <c r="B79" s="114" t="s">
        <v>500</v>
      </c>
      <c r="C79" s="119">
        <v>5940293.9196305396</v>
      </c>
      <c r="D79" s="119">
        <v>1194448.5262563</v>
      </c>
      <c r="E79" s="115">
        <v>4.9732523328140896</v>
      </c>
      <c r="F79" s="117">
        <v>4.4377149999999999</v>
      </c>
    </row>
    <row r="80" spans="1:6" s="116" customFormat="1" x14ac:dyDescent="0.2">
      <c r="A80" s="114" t="s">
        <v>513</v>
      </c>
      <c r="B80" s="114" t="s">
        <v>514</v>
      </c>
      <c r="C80" s="119">
        <v>5868034.8885271205</v>
      </c>
      <c r="D80" s="119">
        <v>1040946.43578559</v>
      </c>
      <c r="E80" s="115">
        <v>5.6372111828199296</v>
      </c>
      <c r="F80" s="117">
        <v>4.44874833333333</v>
      </c>
    </row>
    <row r="81" spans="1:7" s="116" customFormat="1" x14ac:dyDescent="0.2">
      <c r="A81" s="114" t="s">
        <v>515</v>
      </c>
      <c r="B81" s="114" t="s">
        <v>516</v>
      </c>
      <c r="C81" s="119">
        <v>6022922.3801081004</v>
      </c>
      <c r="D81" s="119">
        <v>1176344.36690476</v>
      </c>
      <c r="E81" s="115">
        <v>5.1200333418995196</v>
      </c>
      <c r="F81" s="117">
        <v>4.44322166666666</v>
      </c>
    </row>
    <row r="82" spans="1:7" s="116" customFormat="1" x14ac:dyDescent="0.2">
      <c r="A82" s="114" t="s">
        <v>517</v>
      </c>
      <c r="B82" s="114" t="s">
        <v>518</v>
      </c>
      <c r="C82" s="119">
        <v>5834750.90360732</v>
      </c>
      <c r="D82" s="119">
        <v>1179212.88609759</v>
      </c>
      <c r="E82" s="115">
        <v>4.9480047007597197</v>
      </c>
      <c r="F82" s="117">
        <v>4.4486049999999997</v>
      </c>
    </row>
    <row r="83" spans="1:7" s="116" customFormat="1" x14ac:dyDescent="0.2">
      <c r="A83" s="114" t="s">
        <v>507</v>
      </c>
      <c r="B83" s="114" t="s">
        <v>508</v>
      </c>
      <c r="C83" s="119">
        <v>5949449.9283755403</v>
      </c>
      <c r="D83" s="119">
        <v>1216535.6452373699</v>
      </c>
      <c r="E83" s="115">
        <v>4.8904854959795898</v>
      </c>
      <c r="F83" s="117">
        <v>4.4432600000000004</v>
      </c>
    </row>
    <row r="84" spans="1:7" s="116" customFormat="1" x14ac:dyDescent="0.2">
      <c r="A84" s="114" t="s">
        <v>509</v>
      </c>
      <c r="B84" s="114" t="s">
        <v>510</v>
      </c>
      <c r="C84" s="119">
        <v>5946343.2579835402</v>
      </c>
      <c r="D84" s="119">
        <v>1267916.03389411</v>
      </c>
      <c r="E84" s="115">
        <v>4.6898557152248399</v>
      </c>
      <c r="F84" s="117">
        <v>4.4432966666666598</v>
      </c>
    </row>
    <row r="85" spans="1:7" s="116" customFormat="1" x14ac:dyDescent="0.2">
      <c r="A85" s="114" t="s">
        <v>511</v>
      </c>
      <c r="B85" s="114" t="s">
        <v>512</v>
      </c>
      <c r="C85" s="119">
        <v>5013219.7680776799</v>
      </c>
      <c r="D85" s="119">
        <v>1318526.60575729</v>
      </c>
      <c r="E85" s="115">
        <v>3.8021377393430198</v>
      </c>
      <c r="F85" s="117">
        <v>4.4540850000000001</v>
      </c>
    </row>
    <row r="86" spans="1:7" s="116" customFormat="1" x14ac:dyDescent="0.2">
      <c r="A86" s="114" t="s">
        <v>501</v>
      </c>
      <c r="B86" s="114" t="s">
        <v>502</v>
      </c>
      <c r="C86" s="119">
        <v>5643060.03489717</v>
      </c>
      <c r="D86" s="119">
        <v>1300917.45750618</v>
      </c>
      <c r="E86" s="115">
        <v>4.3377540998755899</v>
      </c>
      <c r="F86" s="117">
        <v>4.4431033333333296</v>
      </c>
    </row>
    <row r="87" spans="1:7" s="116" customFormat="1" x14ac:dyDescent="0.2">
      <c r="A87" s="114" t="s">
        <v>503</v>
      </c>
      <c r="B87" s="114" t="s">
        <v>504</v>
      </c>
      <c r="C87" s="119">
        <v>5531267.2536984095</v>
      </c>
      <c r="D87" s="119">
        <v>1255144.1605877599</v>
      </c>
      <c r="E87" s="115">
        <v>4.4068780522455802</v>
      </c>
      <c r="F87" s="117">
        <v>4.4324133333333302</v>
      </c>
    </row>
    <row r="88" spans="1:7" s="116" customFormat="1" x14ac:dyDescent="0.2">
      <c r="A88" s="114" t="s">
        <v>505</v>
      </c>
      <c r="B88" s="114" t="s">
        <v>506</v>
      </c>
      <c r="C88" s="119">
        <v>5218446.9431470698</v>
      </c>
      <c r="D88" s="119">
        <v>1213234.5743147801</v>
      </c>
      <c r="E88" s="115">
        <v>4.3012679111081003</v>
      </c>
      <c r="F88" s="117">
        <v>4.4215766666666596</v>
      </c>
    </row>
    <row r="89" spans="1:7" s="116" customFormat="1" x14ac:dyDescent="0.2">
      <c r="A89" s="114" t="s">
        <v>489</v>
      </c>
      <c r="B89" s="114" t="s">
        <v>490</v>
      </c>
      <c r="C89" s="119">
        <v>5590634.1878980501</v>
      </c>
      <c r="D89" s="119">
        <v>1192863.4038414501</v>
      </c>
      <c r="E89" s="115">
        <v>4.68673460003399</v>
      </c>
      <c r="F89" s="117">
        <v>4.4431033333333296</v>
      </c>
    </row>
    <row r="90" spans="1:7" s="116" customFormat="1" x14ac:dyDescent="0.2">
      <c r="A90" s="114" t="s">
        <v>491</v>
      </c>
      <c r="B90" s="114" t="s">
        <v>492</v>
      </c>
      <c r="C90" s="119">
        <v>5740213.6128088702</v>
      </c>
      <c r="D90" s="119">
        <v>1161834.50381921</v>
      </c>
      <c r="E90" s="115">
        <v>4.9406465326511499</v>
      </c>
      <c r="F90" s="117">
        <v>4.4430916666666596</v>
      </c>
    </row>
    <row r="91" spans="1:7" s="116" customFormat="1" x14ac:dyDescent="0.2">
      <c r="A91" s="114" t="s">
        <v>493</v>
      </c>
      <c r="B91" s="114" t="s">
        <v>494</v>
      </c>
      <c r="C91" s="119">
        <v>5550356.5669162497</v>
      </c>
      <c r="D91" s="119">
        <v>1091560.47240529</v>
      </c>
      <c r="E91" s="115">
        <v>5.0847907259648402</v>
      </c>
      <c r="F91" s="117">
        <v>4.4431099999999999</v>
      </c>
    </row>
    <row r="92" spans="1:7" s="116" customFormat="1" x14ac:dyDescent="0.2">
      <c r="A92" s="114" t="s">
        <v>519</v>
      </c>
      <c r="B92" s="114" t="s">
        <v>520</v>
      </c>
      <c r="C92" s="119">
        <v>5003217.3970803302</v>
      </c>
      <c r="D92" s="119">
        <v>1663483.58399362</v>
      </c>
      <c r="E92" s="115">
        <v>3.0076746444763902</v>
      </c>
      <c r="F92" s="117">
        <v>4.3999216666666596</v>
      </c>
    </row>
    <row r="93" spans="1:7" s="116" customFormat="1" x14ac:dyDescent="0.2">
      <c r="A93" s="114" t="s">
        <v>521</v>
      </c>
      <c r="B93" s="114" t="s">
        <v>522</v>
      </c>
      <c r="C93" s="119" t="s">
        <v>32</v>
      </c>
      <c r="D93" s="119">
        <v>1520082.85701087</v>
      </c>
      <c r="E93" s="115">
        <v>0</v>
      </c>
      <c r="F93" s="117" t="s">
        <v>32</v>
      </c>
    </row>
    <row r="95" spans="1:7" s="118" customFormat="1" x14ac:dyDescent="0.2">
      <c r="A95" s="114" t="s">
        <v>316</v>
      </c>
      <c r="B95" s="114" t="s">
        <v>116</v>
      </c>
      <c r="C95" s="119" t="s">
        <v>32</v>
      </c>
      <c r="D95" s="119">
        <v>535785.55124895996</v>
      </c>
      <c r="E95" s="115">
        <v>0</v>
      </c>
      <c r="F95" s="117" t="s">
        <v>32</v>
      </c>
      <c r="G95" s="116"/>
    </row>
    <row r="96" spans="1:7" s="118" customFormat="1" x14ac:dyDescent="0.2">
      <c r="A96" s="114" t="s">
        <v>317</v>
      </c>
      <c r="B96" s="114" t="s">
        <v>117</v>
      </c>
      <c r="C96" s="119" t="s">
        <v>32</v>
      </c>
      <c r="D96" s="119">
        <v>1314081.40024331</v>
      </c>
      <c r="E96" s="115">
        <v>0</v>
      </c>
      <c r="F96" s="117" t="s">
        <v>32</v>
      </c>
      <c r="G96" s="116"/>
    </row>
    <row r="97" spans="1:7" s="118" customFormat="1" x14ac:dyDescent="0.2">
      <c r="A97" s="114" t="s">
        <v>318</v>
      </c>
      <c r="B97" s="114" t="s">
        <v>35</v>
      </c>
      <c r="C97" s="119" t="s">
        <v>32</v>
      </c>
      <c r="D97" s="119">
        <v>1532416.1873884399</v>
      </c>
      <c r="E97" s="115">
        <v>0</v>
      </c>
      <c r="F97" s="117" t="s">
        <v>32</v>
      </c>
      <c r="G97" s="116"/>
    </row>
    <row r="98" spans="1:7" s="116" customFormat="1" x14ac:dyDescent="0.2">
      <c r="A98" s="114" t="s">
        <v>359</v>
      </c>
      <c r="B98" s="114" t="s">
        <v>360</v>
      </c>
      <c r="C98" s="119">
        <v>131176101.768051</v>
      </c>
      <c r="D98" s="119">
        <v>1413408.40188076</v>
      </c>
      <c r="E98" s="115">
        <v>92.808350080203397</v>
      </c>
      <c r="F98" s="117">
        <v>5.0821016666666603</v>
      </c>
    </row>
    <row r="99" spans="1:7" s="116" customFormat="1" x14ac:dyDescent="0.2">
      <c r="A99" s="114" t="s">
        <v>361</v>
      </c>
      <c r="B99" s="114" t="s">
        <v>362</v>
      </c>
      <c r="C99" s="119">
        <v>123572060.190358</v>
      </c>
      <c r="D99" s="119">
        <v>1897512.60625345</v>
      </c>
      <c r="E99" s="115">
        <v>65.123182730440604</v>
      </c>
      <c r="F99" s="117">
        <v>5.04959166666666</v>
      </c>
    </row>
    <row r="100" spans="1:7" s="116" customFormat="1" x14ac:dyDescent="0.2">
      <c r="A100" s="114" t="s">
        <v>363</v>
      </c>
      <c r="B100" s="114" t="s">
        <v>364</v>
      </c>
      <c r="C100" s="119">
        <v>133401654.042037</v>
      </c>
      <c r="D100" s="119">
        <v>1450066.7155883501</v>
      </c>
      <c r="E100" s="115">
        <v>91.996907871863598</v>
      </c>
      <c r="F100" s="117">
        <v>5.0819683333333296</v>
      </c>
    </row>
    <row r="101" spans="1:7" s="116" customFormat="1" x14ac:dyDescent="0.2">
      <c r="A101" s="114" t="s">
        <v>377</v>
      </c>
      <c r="B101" s="114" t="s">
        <v>378</v>
      </c>
      <c r="C101" s="119">
        <v>120937287.06335901</v>
      </c>
      <c r="D101" s="119">
        <v>1357496.4123797701</v>
      </c>
      <c r="E101" s="115">
        <v>89.088476374938494</v>
      </c>
      <c r="F101" s="117">
        <v>5.0874866666666598</v>
      </c>
    </row>
    <row r="102" spans="1:7" s="116" customFormat="1" x14ac:dyDescent="0.2">
      <c r="A102" s="114" t="s">
        <v>379</v>
      </c>
      <c r="B102" s="114" t="s">
        <v>380</v>
      </c>
      <c r="C102" s="119">
        <v>122877500.00096101</v>
      </c>
      <c r="D102" s="119">
        <v>1222089.7788828399</v>
      </c>
      <c r="E102" s="115">
        <v>100.54703191551801</v>
      </c>
      <c r="F102" s="117">
        <v>5.0927266666666604</v>
      </c>
    </row>
    <row r="103" spans="1:7" s="116" customFormat="1" x14ac:dyDescent="0.2">
      <c r="A103" s="114" t="s">
        <v>381</v>
      </c>
      <c r="B103" s="114" t="s">
        <v>382</v>
      </c>
      <c r="C103" s="119">
        <v>117525044.85506301</v>
      </c>
      <c r="D103" s="119">
        <v>1336643.8057364</v>
      </c>
      <c r="E103" s="115">
        <v>87.925477491226005</v>
      </c>
      <c r="F103" s="117">
        <v>5.0874216666666596</v>
      </c>
    </row>
    <row r="104" spans="1:7" s="116" customFormat="1" x14ac:dyDescent="0.2">
      <c r="A104" s="114" t="s">
        <v>371</v>
      </c>
      <c r="B104" s="114" t="s">
        <v>372</v>
      </c>
      <c r="C104" s="119">
        <v>120161172.595412</v>
      </c>
      <c r="D104" s="119">
        <v>1390519.96359826</v>
      </c>
      <c r="E104" s="115">
        <v>86.414561272798807</v>
      </c>
      <c r="F104" s="117">
        <v>5.1090366666666602</v>
      </c>
    </row>
    <row r="105" spans="1:7" s="116" customFormat="1" x14ac:dyDescent="0.2">
      <c r="A105" s="114" t="s">
        <v>373</v>
      </c>
      <c r="B105" s="114" t="s">
        <v>374</v>
      </c>
      <c r="C105" s="119">
        <v>121437921.20379899</v>
      </c>
      <c r="D105" s="119">
        <v>1371591.16642167</v>
      </c>
      <c r="E105" s="115">
        <v>88.537987249230696</v>
      </c>
      <c r="F105" s="117">
        <v>5.0981683333333301</v>
      </c>
    </row>
    <row r="106" spans="1:7" s="116" customFormat="1" x14ac:dyDescent="0.2">
      <c r="A106" s="114" t="s">
        <v>375</v>
      </c>
      <c r="B106" s="114" t="s">
        <v>376</v>
      </c>
      <c r="C106" s="119">
        <v>119481353.438712</v>
      </c>
      <c r="D106" s="119">
        <v>1283098.9458842401</v>
      </c>
      <c r="E106" s="115">
        <v>93.119360608913595</v>
      </c>
      <c r="F106" s="117">
        <v>5.0983049999999999</v>
      </c>
    </row>
    <row r="107" spans="1:7" s="116" customFormat="1" x14ac:dyDescent="0.2">
      <c r="A107" s="114" t="s">
        <v>365</v>
      </c>
      <c r="B107" s="114" t="s">
        <v>366</v>
      </c>
      <c r="C107" s="119">
        <v>116491433.456637</v>
      </c>
      <c r="D107" s="119">
        <v>1365815.98946309</v>
      </c>
      <c r="E107" s="115">
        <v>85.290723168668094</v>
      </c>
      <c r="F107" s="117">
        <v>5.0929333333333302</v>
      </c>
    </row>
    <row r="108" spans="1:7" s="116" customFormat="1" x14ac:dyDescent="0.2">
      <c r="A108" s="114" t="s">
        <v>367</v>
      </c>
      <c r="B108" s="114" t="s">
        <v>368</v>
      </c>
      <c r="C108" s="119">
        <v>116888878.95135599</v>
      </c>
      <c r="D108" s="119">
        <v>1231790.0424059101</v>
      </c>
      <c r="E108" s="115">
        <v>94.893508574765093</v>
      </c>
      <c r="F108" s="117">
        <v>5.0926833333333299</v>
      </c>
    </row>
    <row r="109" spans="1:7" s="116" customFormat="1" x14ac:dyDescent="0.2">
      <c r="A109" s="114" t="s">
        <v>369</v>
      </c>
      <c r="B109" s="114" t="s">
        <v>370</v>
      </c>
      <c r="C109" s="119">
        <v>119790506.847537</v>
      </c>
      <c r="D109" s="119">
        <v>924636.92015377502</v>
      </c>
      <c r="E109" s="115">
        <v>129.55410306092301</v>
      </c>
      <c r="F109" s="117">
        <v>5.0980383333333297</v>
      </c>
    </row>
    <row r="110" spans="1:7" s="116" customFormat="1" x14ac:dyDescent="0.2">
      <c r="A110" s="114" t="s">
        <v>353</v>
      </c>
      <c r="B110" s="114" t="s">
        <v>354</v>
      </c>
      <c r="C110" s="119">
        <v>122825369.47848</v>
      </c>
      <c r="D110" s="119">
        <v>1051537.90119468</v>
      </c>
      <c r="E110" s="115">
        <v>116.805461162108</v>
      </c>
      <c r="F110" s="117">
        <v>5.0927699999999998</v>
      </c>
    </row>
    <row r="111" spans="1:7" s="116" customFormat="1" x14ac:dyDescent="0.2">
      <c r="A111" s="114" t="s">
        <v>355</v>
      </c>
      <c r="B111" s="114" t="s">
        <v>356</v>
      </c>
      <c r="C111" s="119">
        <v>120576460.073424</v>
      </c>
      <c r="D111" s="119">
        <v>1039877.88394894</v>
      </c>
      <c r="E111" s="115">
        <v>115.95251897803</v>
      </c>
      <c r="F111" s="117">
        <v>5.0872816666666596</v>
      </c>
    </row>
    <row r="112" spans="1:7" s="116" customFormat="1" x14ac:dyDescent="0.2">
      <c r="A112" s="114" t="s">
        <v>357</v>
      </c>
      <c r="B112" s="114" t="s">
        <v>358</v>
      </c>
      <c r="C112" s="119">
        <v>119829016.270061</v>
      </c>
      <c r="D112" s="119">
        <v>1069030.9899384701</v>
      </c>
      <c r="E112" s="115">
        <v>112.09124655680699</v>
      </c>
      <c r="F112" s="117">
        <v>5.0928500000000003</v>
      </c>
    </row>
    <row r="113" spans="1:6" s="116" customFormat="1" x14ac:dyDescent="0.2">
      <c r="A113" s="114" t="s">
        <v>383</v>
      </c>
      <c r="B113" s="114" t="s">
        <v>384</v>
      </c>
      <c r="C113" s="119">
        <v>109273231.14079601</v>
      </c>
      <c r="D113" s="119">
        <v>1531883.6991617901</v>
      </c>
      <c r="E113" s="115">
        <v>71.332589543571203</v>
      </c>
      <c r="F113" s="117">
        <v>5.0495416666666602</v>
      </c>
    </row>
    <row r="114" spans="1:6" s="116" customFormat="1" x14ac:dyDescent="0.2">
      <c r="A114" s="114" t="s">
        <v>385</v>
      </c>
      <c r="B114" s="114" t="s">
        <v>386</v>
      </c>
      <c r="C114" s="119">
        <v>107228500.40693</v>
      </c>
      <c r="D114" s="119">
        <v>1524146.5166569401</v>
      </c>
      <c r="E114" s="115">
        <v>70.353144684622706</v>
      </c>
      <c r="F114" s="117">
        <v>5.0549249999999999</v>
      </c>
    </row>
    <row r="116" spans="1:6" s="116" customFormat="1" x14ac:dyDescent="0.2">
      <c r="A116" s="114" t="s">
        <v>393</v>
      </c>
      <c r="B116" s="114" t="s">
        <v>394</v>
      </c>
      <c r="C116" s="119" t="s">
        <v>32</v>
      </c>
      <c r="D116" s="119">
        <v>1180987.0956613801</v>
      </c>
      <c r="E116" s="115">
        <v>0</v>
      </c>
      <c r="F116" s="117" t="s">
        <v>32</v>
      </c>
    </row>
    <row r="117" spans="1:6" s="116" customFormat="1" x14ac:dyDescent="0.2">
      <c r="A117" s="114" t="s">
        <v>395</v>
      </c>
      <c r="B117" s="114" t="s">
        <v>396</v>
      </c>
      <c r="C117" s="119" t="s">
        <v>32</v>
      </c>
      <c r="D117" s="119">
        <v>1463590.68983476</v>
      </c>
      <c r="E117" s="115">
        <v>0</v>
      </c>
      <c r="F117" s="117" t="s">
        <v>32</v>
      </c>
    </row>
    <row r="118" spans="1:6" s="116" customFormat="1" x14ac:dyDescent="0.2">
      <c r="A118" s="114" t="s">
        <v>397</v>
      </c>
      <c r="B118" s="114" t="s">
        <v>398</v>
      </c>
      <c r="C118" s="119" t="s">
        <v>32</v>
      </c>
      <c r="D118" s="119">
        <v>1265847.69342048</v>
      </c>
      <c r="E118" s="115">
        <v>0</v>
      </c>
      <c r="F118" s="117" t="s">
        <v>32</v>
      </c>
    </row>
    <row r="119" spans="1:6" s="116" customFormat="1" x14ac:dyDescent="0.2">
      <c r="A119" s="114" t="s">
        <v>411</v>
      </c>
      <c r="B119" s="114" t="s">
        <v>412</v>
      </c>
      <c r="C119" s="119" t="s">
        <v>32</v>
      </c>
      <c r="D119" s="119">
        <v>1041052.2600152</v>
      </c>
      <c r="E119" s="115">
        <v>0</v>
      </c>
      <c r="F119" s="117" t="s">
        <v>32</v>
      </c>
    </row>
    <row r="120" spans="1:6" s="116" customFormat="1" x14ac:dyDescent="0.2">
      <c r="A120" s="114" t="s">
        <v>413</v>
      </c>
      <c r="B120" s="114" t="s">
        <v>414</v>
      </c>
      <c r="C120" s="119" t="s">
        <v>32</v>
      </c>
      <c r="D120" s="119">
        <v>1134082.3951854301</v>
      </c>
      <c r="E120" s="115">
        <v>0</v>
      </c>
      <c r="F120" s="117" t="s">
        <v>32</v>
      </c>
    </row>
    <row r="121" spans="1:6" s="116" customFormat="1" x14ac:dyDescent="0.2">
      <c r="A121" s="114" t="s">
        <v>415</v>
      </c>
      <c r="B121" s="114" t="s">
        <v>416</v>
      </c>
      <c r="C121" s="119" t="s">
        <v>32</v>
      </c>
      <c r="D121" s="119">
        <v>1199788.45541044</v>
      </c>
      <c r="E121" s="115">
        <v>0</v>
      </c>
      <c r="F121" s="117" t="s">
        <v>32</v>
      </c>
    </row>
    <row r="122" spans="1:6" s="116" customFormat="1" x14ac:dyDescent="0.2">
      <c r="A122" s="114" t="s">
        <v>405</v>
      </c>
      <c r="B122" s="114" t="s">
        <v>406</v>
      </c>
      <c r="C122" s="119" t="s">
        <v>32</v>
      </c>
      <c r="D122" s="119">
        <v>1387636.6214372399</v>
      </c>
      <c r="E122" s="115">
        <v>0</v>
      </c>
      <c r="F122" s="117" t="s">
        <v>32</v>
      </c>
    </row>
    <row r="123" spans="1:6" s="116" customFormat="1" x14ac:dyDescent="0.2">
      <c r="A123" s="114" t="s">
        <v>407</v>
      </c>
      <c r="B123" s="114" t="s">
        <v>408</v>
      </c>
      <c r="C123" s="119" t="s">
        <v>32</v>
      </c>
      <c r="D123" s="119">
        <v>1202873.6266063801</v>
      </c>
      <c r="E123" s="115">
        <v>0</v>
      </c>
      <c r="F123" s="117" t="s">
        <v>32</v>
      </c>
    </row>
    <row r="124" spans="1:6" s="116" customFormat="1" x14ac:dyDescent="0.2">
      <c r="A124" s="114" t="s">
        <v>409</v>
      </c>
      <c r="B124" s="114" t="s">
        <v>410</v>
      </c>
      <c r="C124" s="119" t="s">
        <v>32</v>
      </c>
      <c r="D124" s="119">
        <v>1175698.1836105799</v>
      </c>
      <c r="E124" s="115">
        <v>0</v>
      </c>
      <c r="F124" s="117" t="s">
        <v>32</v>
      </c>
    </row>
    <row r="125" spans="1:6" s="116" customFormat="1" x14ac:dyDescent="0.2">
      <c r="A125" s="114" t="s">
        <v>399</v>
      </c>
      <c r="B125" s="114" t="s">
        <v>400</v>
      </c>
      <c r="C125" s="119" t="s">
        <v>32</v>
      </c>
      <c r="D125" s="119">
        <v>1202148.6353567401</v>
      </c>
      <c r="E125" s="115">
        <v>0</v>
      </c>
      <c r="F125" s="117" t="s">
        <v>32</v>
      </c>
    </row>
    <row r="126" spans="1:6" s="116" customFormat="1" x14ac:dyDescent="0.2">
      <c r="A126" s="114" t="s">
        <v>401</v>
      </c>
      <c r="B126" s="114" t="s">
        <v>402</v>
      </c>
      <c r="C126" s="119" t="s">
        <v>32</v>
      </c>
      <c r="D126" s="119">
        <v>1272554.3439456001</v>
      </c>
      <c r="E126" s="115">
        <v>0</v>
      </c>
      <c r="F126" s="117" t="s">
        <v>32</v>
      </c>
    </row>
    <row r="127" spans="1:6" s="116" customFormat="1" x14ac:dyDescent="0.2">
      <c r="A127" s="114" t="s">
        <v>403</v>
      </c>
      <c r="B127" s="114" t="s">
        <v>404</v>
      </c>
      <c r="C127" s="119" t="s">
        <v>32</v>
      </c>
      <c r="D127" s="119">
        <v>1042724.38244186</v>
      </c>
      <c r="E127" s="115">
        <v>0</v>
      </c>
      <c r="F127" s="117" t="s">
        <v>32</v>
      </c>
    </row>
    <row r="128" spans="1:6" s="116" customFormat="1" x14ac:dyDescent="0.2">
      <c r="A128" s="114" t="s">
        <v>387</v>
      </c>
      <c r="B128" s="114" t="s">
        <v>388</v>
      </c>
      <c r="C128" s="119" t="s">
        <v>32</v>
      </c>
      <c r="D128" s="119">
        <v>1167113.41836217</v>
      </c>
      <c r="E128" s="115">
        <v>0</v>
      </c>
      <c r="F128" s="117" t="s">
        <v>32</v>
      </c>
    </row>
    <row r="129" spans="1:6" s="116" customFormat="1" x14ac:dyDescent="0.2">
      <c r="A129" s="114" t="s">
        <v>389</v>
      </c>
      <c r="B129" s="114" t="s">
        <v>390</v>
      </c>
      <c r="C129" s="119" t="s">
        <v>32</v>
      </c>
      <c r="D129" s="119">
        <v>1155689.5557212799</v>
      </c>
      <c r="E129" s="115">
        <v>0</v>
      </c>
      <c r="F129" s="117" t="s">
        <v>32</v>
      </c>
    </row>
    <row r="130" spans="1:6" s="116" customFormat="1" x14ac:dyDescent="0.2">
      <c r="A130" s="114" t="s">
        <v>391</v>
      </c>
      <c r="B130" s="114" t="s">
        <v>392</v>
      </c>
      <c r="C130" s="119" t="s">
        <v>32</v>
      </c>
      <c r="D130" s="119">
        <v>1116738.4038396899</v>
      </c>
      <c r="E130" s="115">
        <v>0</v>
      </c>
      <c r="F130" s="117" t="s">
        <v>32</v>
      </c>
    </row>
    <row r="131" spans="1:6" s="116" customFormat="1" x14ac:dyDescent="0.2">
      <c r="A131" s="114" t="s">
        <v>417</v>
      </c>
      <c r="B131" s="114" t="s">
        <v>418</v>
      </c>
      <c r="C131" s="119" t="s">
        <v>32</v>
      </c>
      <c r="D131" s="119">
        <v>1465854.37553369</v>
      </c>
      <c r="E131" s="115">
        <v>0</v>
      </c>
      <c r="F131" s="117" t="s">
        <v>32</v>
      </c>
    </row>
    <row r="132" spans="1:6" s="116" customFormat="1" x14ac:dyDescent="0.2">
      <c r="A132" s="114" t="s">
        <v>419</v>
      </c>
      <c r="B132" s="114" t="s">
        <v>420</v>
      </c>
      <c r="C132" s="119" t="s">
        <v>32</v>
      </c>
      <c r="D132" s="119">
        <v>1396271.90529683</v>
      </c>
      <c r="E132" s="115">
        <v>0</v>
      </c>
      <c r="F132" s="117" t="s">
        <v>32</v>
      </c>
    </row>
  </sheetData>
  <printOptions gridLinesSet="0"/>
  <pageMargins left="0.75" right="0.75" top="0.75" bottom="1" header="0.5" footer="0.5"/>
  <pageSetup orientation="landscape" r:id="rId1"/>
  <headerFooter alignWithMargins="0">
    <oddHeader>&amp;L&amp;"Arial,Regular"Component Summary: &amp;A&amp;R&amp;"Arial,Regular"&amp;D &amp;T&amp;C(HepStab_Feb2021_1uM.XQN)</oddHeader>
    <oddFooter>&amp;L&amp;"Arial,Regular"Page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Summary</vt:lpstr>
      <vt:lpstr>Data</vt:lpstr>
      <vt:lpstr>Control</vt:lpstr>
      <vt:lpstr>10 uM raw data</vt:lpstr>
      <vt:lpstr>1 uM Raw data</vt:lpstr>
      <vt:lpstr>'1 uM Raw data'!Print_Titles</vt:lpstr>
      <vt:lpstr>'10 uM raw data'!Print_Titles</vt:lpstr>
      <vt:lpstr>Summary1</vt:lpstr>
      <vt:lpstr>Control!Table1</vt:lpstr>
      <vt:lpstr>Table1</vt:lpstr>
      <vt:lpstr>Table10</vt:lpstr>
      <vt:lpstr>Table11</vt:lpstr>
      <vt:lpstr>Table12</vt:lpstr>
      <vt:lpstr>Table13</vt:lpstr>
      <vt:lpstr>Table14</vt:lpstr>
      <vt:lpstr>Table15</vt:lpstr>
      <vt:lpstr>Table2</vt:lpstr>
      <vt:lpstr>Table3</vt:lpstr>
      <vt:lpstr>Table5</vt:lpstr>
      <vt:lpstr>Table6</vt:lpstr>
      <vt:lpstr>Table7</vt:lpstr>
      <vt:lpstr>Table8</vt:lpstr>
      <vt:lpstr>Table9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 Snodgrass</dc:creator>
  <cp:lastModifiedBy>Lau, Janice</cp:lastModifiedBy>
  <dcterms:created xsi:type="dcterms:W3CDTF">2020-06-22T16:31:06Z</dcterms:created>
  <dcterms:modified xsi:type="dcterms:W3CDTF">2021-03-31T19:49:21Z</dcterms:modified>
</cp:coreProperties>
</file>