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4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Hepatocyte Stability\06242020\Results\Revised\"/>
    </mc:Choice>
  </mc:AlternateContent>
  <bookViews>
    <workbookView xWindow="0" yWindow="0" windowWidth="28800" windowHeight="12300"/>
  </bookViews>
  <sheets>
    <sheet name="Summary" sheetId="1" r:id="rId1"/>
    <sheet name="Data 1uM" sheetId="2" r:id="rId2"/>
    <sheet name="Data 1uM Control" sheetId="6" r:id="rId3"/>
    <sheet name="Data 10uM" sheetId="7" r:id="rId4"/>
    <sheet name="Data 10uM control" sheetId="8" r:id="rId5"/>
  </sheets>
  <functionGroups builtInGroupCount="18"/>
  <externalReferences>
    <externalReference r:id="rId6"/>
    <externalReference r:id="rId7"/>
    <externalReference r:id="rId8"/>
  </externalReferences>
  <definedNames>
    <definedName name="Summary1">Summary!$A$4:$G$21</definedName>
    <definedName name="Table1">'Data 1uM'!$Z$2:$AD$7</definedName>
    <definedName name="Table2">'Data 1uM'!$Z$21:$AD$26</definedName>
    <definedName name="Table3">'Data 1uM'!$Z$40:$AD$45</definedName>
    <definedName name="Table4">'Data 1uM'!$Z$59:$AD$64</definedName>
    <definedName name="Table5">'Data 1uM'!$Z$78:$AD$83</definedName>
    <definedName name="Table6">'Data 1uM'!$Z$97:$AD$102</definedName>
    <definedName name="Table7">'Data 1uM'!$Z$116:$AD$121</definedName>
    <definedName name="Table8">'Data 1uM'!$Z$135:$AD$140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2" i="8" l="1"/>
  <c r="I172" i="8" s="1"/>
  <c r="AC166" i="8" s="1"/>
  <c r="G171" i="8"/>
  <c r="I171" i="8" s="1"/>
  <c r="G170" i="8"/>
  <c r="I170" i="8" s="1"/>
  <c r="AA166" i="8" s="1"/>
  <c r="G169" i="8"/>
  <c r="I169" i="8" s="1"/>
  <c r="G168" i="8"/>
  <c r="I168" i="8" s="1"/>
  <c r="U168" i="8" s="1"/>
  <c r="G167" i="8"/>
  <c r="I167" i="8" s="1"/>
  <c r="Z166" i="8"/>
  <c r="Z165" i="8"/>
  <c r="G152" i="8"/>
  <c r="I152" i="8" s="1"/>
  <c r="G151" i="8"/>
  <c r="I151" i="8" s="1"/>
  <c r="G150" i="8"/>
  <c r="I150" i="8" s="1"/>
  <c r="U150" i="8" s="1"/>
  <c r="G149" i="8"/>
  <c r="I149" i="8" s="1"/>
  <c r="U149" i="8" s="1"/>
  <c r="G148" i="8"/>
  <c r="I148" i="8" s="1"/>
  <c r="U148" i="8" s="1"/>
  <c r="G147" i="8"/>
  <c r="I147" i="8" s="1"/>
  <c r="Z146" i="8"/>
  <c r="Z145" i="8"/>
  <c r="G132" i="8"/>
  <c r="I132" i="8" s="1"/>
  <c r="G131" i="8"/>
  <c r="I131" i="8" s="1"/>
  <c r="U131" i="8" s="1"/>
  <c r="G130" i="8"/>
  <c r="I130" i="8" s="1"/>
  <c r="G129" i="8"/>
  <c r="I129" i="8" s="1"/>
  <c r="AC125" i="8" s="1"/>
  <c r="G128" i="8"/>
  <c r="I128" i="8" s="1"/>
  <c r="G127" i="8"/>
  <c r="I127" i="8" s="1"/>
  <c r="AB126" i="8"/>
  <c r="Z126" i="8"/>
  <c r="Z125" i="8"/>
  <c r="G112" i="8"/>
  <c r="I112" i="8" s="1"/>
  <c r="G111" i="8"/>
  <c r="I111" i="8" s="1"/>
  <c r="G110" i="8"/>
  <c r="I110" i="8" s="1"/>
  <c r="AA106" i="8" s="1"/>
  <c r="G109" i="8"/>
  <c r="I109" i="8" s="1"/>
  <c r="G108" i="8"/>
  <c r="I108" i="8" s="1"/>
  <c r="G107" i="8"/>
  <c r="I107" i="8" s="1"/>
  <c r="Z106" i="8"/>
  <c r="Z105" i="8"/>
  <c r="G90" i="8"/>
  <c r="I90" i="8" s="1"/>
  <c r="U90" i="8" s="1"/>
  <c r="G89" i="8"/>
  <c r="I89" i="8" s="1"/>
  <c r="G88" i="8"/>
  <c r="I88" i="8" s="1"/>
  <c r="G87" i="8"/>
  <c r="I87" i="8" s="1"/>
  <c r="U87" i="8" s="1"/>
  <c r="G86" i="8"/>
  <c r="I86" i="8" s="1"/>
  <c r="AB83" i="8" s="1"/>
  <c r="I85" i="8"/>
  <c r="U85" i="8" s="1"/>
  <c r="G85" i="8"/>
  <c r="Z84" i="8"/>
  <c r="AC83" i="8"/>
  <c r="AA83" i="8"/>
  <c r="Z83" i="8"/>
  <c r="G70" i="8"/>
  <c r="I70" i="8" s="1"/>
  <c r="G69" i="8"/>
  <c r="I69" i="8" s="1"/>
  <c r="G68" i="8"/>
  <c r="I68" i="8" s="1"/>
  <c r="G67" i="8"/>
  <c r="I67" i="8" s="1"/>
  <c r="G66" i="8"/>
  <c r="I66" i="8" s="1"/>
  <c r="U66" i="8" s="1"/>
  <c r="G65" i="8"/>
  <c r="I65" i="8" s="1"/>
  <c r="U65" i="8" s="1"/>
  <c r="Z64" i="8"/>
  <c r="Z63" i="8"/>
  <c r="G50" i="8"/>
  <c r="I50" i="8" s="1"/>
  <c r="AC44" i="8" s="1"/>
  <c r="G49" i="8"/>
  <c r="I49" i="8" s="1"/>
  <c r="G48" i="8"/>
  <c r="I48" i="8" s="1"/>
  <c r="U48" i="8" s="1"/>
  <c r="G47" i="8"/>
  <c r="I47" i="8" s="1"/>
  <c r="G46" i="8"/>
  <c r="I46" i="8" s="1"/>
  <c r="U46" i="8" s="1"/>
  <c r="G45" i="8"/>
  <c r="I45" i="8" s="1"/>
  <c r="U45" i="8" s="1"/>
  <c r="Z44" i="8"/>
  <c r="Z43" i="8"/>
  <c r="G30" i="8"/>
  <c r="I30" i="8" s="1"/>
  <c r="G29" i="8"/>
  <c r="I29" i="8" s="1"/>
  <c r="G28" i="8"/>
  <c r="I28" i="8" s="1"/>
  <c r="U28" i="8" s="1"/>
  <c r="G27" i="8"/>
  <c r="I27" i="8" s="1"/>
  <c r="G26" i="8"/>
  <c r="I26" i="8" s="1"/>
  <c r="U26" i="8" s="1"/>
  <c r="G25" i="8"/>
  <c r="I25" i="8" s="1"/>
  <c r="U25" i="8" s="1"/>
  <c r="AA24" i="8"/>
  <c r="Z24" i="8"/>
  <c r="Z23" i="8"/>
  <c r="G10" i="8"/>
  <c r="I10" i="8" s="1"/>
  <c r="G9" i="8"/>
  <c r="I9" i="8" s="1"/>
  <c r="G8" i="8"/>
  <c r="I8" i="8" s="1"/>
  <c r="U8" i="8" s="1"/>
  <c r="G7" i="8"/>
  <c r="I7" i="8" s="1"/>
  <c r="G6" i="8"/>
  <c r="I6" i="8" s="1"/>
  <c r="U6" i="8" s="1"/>
  <c r="G5" i="8"/>
  <c r="I5" i="8" s="1"/>
  <c r="Z4" i="8"/>
  <c r="Z3" i="8"/>
  <c r="U112" i="8" l="1"/>
  <c r="AC106" i="8"/>
  <c r="AB43" i="8"/>
  <c r="U70" i="8"/>
  <c r="AC64" i="8"/>
  <c r="U107" i="8"/>
  <c r="AA105" i="8"/>
  <c r="U9" i="8"/>
  <c r="AB4" i="8"/>
  <c r="U7" i="8"/>
  <c r="AC3" i="8"/>
  <c r="U129" i="8"/>
  <c r="AB165" i="8"/>
  <c r="U170" i="8"/>
  <c r="AB3" i="8"/>
  <c r="AD83" i="8"/>
  <c r="AA4" i="8"/>
  <c r="AA23" i="8"/>
  <c r="U110" i="8"/>
  <c r="U27" i="8"/>
  <c r="AC23" i="8"/>
  <c r="AA3" i="8"/>
  <c r="U5" i="8"/>
  <c r="U169" i="8"/>
  <c r="AC165" i="8"/>
  <c r="AA125" i="8"/>
  <c r="U127" i="8"/>
  <c r="AA146" i="8"/>
  <c r="AB23" i="8"/>
  <c r="AA44" i="8"/>
  <c r="U49" i="8"/>
  <c r="AB44" i="8"/>
  <c r="U86" i="8"/>
  <c r="AA84" i="8"/>
  <c r="U88" i="8"/>
  <c r="AB125" i="8"/>
  <c r="U128" i="8"/>
  <c r="U132" i="8"/>
  <c r="AC126" i="8"/>
  <c r="U151" i="8"/>
  <c r="AB146" i="8"/>
  <c r="U29" i="8"/>
  <c r="AB24" i="8"/>
  <c r="V46" i="8"/>
  <c r="AC43" i="8"/>
  <c r="U47" i="8"/>
  <c r="U67" i="8"/>
  <c r="AC63" i="8"/>
  <c r="U69" i="8"/>
  <c r="AB64" i="8"/>
  <c r="U10" i="8"/>
  <c r="AC4" i="8"/>
  <c r="AC84" i="8"/>
  <c r="AB105" i="8"/>
  <c r="U108" i="8"/>
  <c r="U167" i="8"/>
  <c r="AA165" i="8"/>
  <c r="U171" i="8"/>
  <c r="AB166" i="8"/>
  <c r="AD166" i="8" s="1"/>
  <c r="U30" i="8"/>
  <c r="V26" i="8" s="1"/>
  <c r="AC24" i="8"/>
  <c r="AA43" i="8"/>
  <c r="AD43" i="8" s="1"/>
  <c r="U68" i="8"/>
  <c r="W69" i="8" s="1"/>
  <c r="AA64" i="8"/>
  <c r="AB84" i="8"/>
  <c r="U89" i="8"/>
  <c r="AA126" i="8"/>
  <c r="AD126" i="8" s="1"/>
  <c r="U130" i="8"/>
  <c r="AB145" i="8"/>
  <c r="U50" i="8"/>
  <c r="V48" i="8" s="1"/>
  <c r="AA63" i="8"/>
  <c r="U111" i="8"/>
  <c r="AB106" i="8"/>
  <c r="AD106" i="8" s="1"/>
  <c r="AC145" i="8"/>
  <c r="U172" i="8"/>
  <c r="AB63" i="8"/>
  <c r="U109" i="8"/>
  <c r="AC105" i="8"/>
  <c r="AA145" i="8"/>
  <c r="AD145" i="8" s="1"/>
  <c r="U147" i="8"/>
  <c r="U152" i="8"/>
  <c r="AC146" i="8"/>
  <c r="V65" i="8" l="1"/>
  <c r="AD105" i="8"/>
  <c r="V86" i="8"/>
  <c r="V45" i="8"/>
  <c r="W108" i="8"/>
  <c r="AD64" i="8"/>
  <c r="AD165" i="8"/>
  <c r="AD44" i="8"/>
  <c r="AD3" i="8"/>
  <c r="AD4" i="8"/>
  <c r="W66" i="8"/>
  <c r="V88" i="8"/>
  <c r="W49" i="8"/>
  <c r="V66" i="8"/>
  <c r="W70" i="8"/>
  <c r="V50" i="8"/>
  <c r="V112" i="8"/>
  <c r="W67" i="8"/>
  <c r="AD24" i="8"/>
  <c r="AD23" i="8"/>
  <c r="AD125" i="8"/>
  <c r="W30" i="8"/>
  <c r="V29" i="8"/>
  <c r="W89" i="8"/>
  <c r="W9" i="8"/>
  <c r="W7" i="8"/>
  <c r="V5" i="8"/>
  <c r="V9" i="8"/>
  <c r="V7" i="8"/>
  <c r="W10" i="8"/>
  <c r="V8" i="8"/>
  <c r="W8" i="8"/>
  <c r="V6" i="8"/>
  <c r="V10" i="8"/>
  <c r="W5" i="8"/>
  <c r="W6" i="8"/>
  <c r="V107" i="8"/>
  <c r="V108" i="8"/>
  <c r="W50" i="8"/>
  <c r="W90" i="8"/>
  <c r="W45" i="8"/>
  <c r="V47" i="8"/>
  <c r="V30" i="8"/>
  <c r="W109" i="8"/>
  <c r="V110" i="8"/>
  <c r="W112" i="8"/>
  <c r="V68" i="8"/>
  <c r="V109" i="8"/>
  <c r="W111" i="8"/>
  <c r="W86" i="8"/>
  <c r="V85" i="8"/>
  <c r="W85" i="8"/>
  <c r="W46" i="8"/>
  <c r="W48" i="8"/>
  <c r="V49" i="8"/>
  <c r="V28" i="8"/>
  <c r="V27" i="8"/>
  <c r="AD146" i="8"/>
  <c r="W29" i="8"/>
  <c r="W107" i="8"/>
  <c r="W88" i="8"/>
  <c r="W26" i="8"/>
  <c r="W25" i="8"/>
  <c r="W151" i="8"/>
  <c r="W149" i="8"/>
  <c r="V147" i="8"/>
  <c r="V151" i="8"/>
  <c r="V149" i="8"/>
  <c r="W148" i="8"/>
  <c r="V150" i="8"/>
  <c r="W150" i="8"/>
  <c r="V148" i="8"/>
  <c r="W152" i="8"/>
  <c r="V152" i="8"/>
  <c r="W147" i="8"/>
  <c r="AD63" i="8"/>
  <c r="W110" i="8"/>
  <c r="V25" i="8"/>
  <c r="V171" i="8"/>
  <c r="V169" i="8"/>
  <c r="W172" i="8"/>
  <c r="W170" i="8"/>
  <c r="W168" i="8"/>
  <c r="V172" i="8"/>
  <c r="W171" i="8"/>
  <c r="V168" i="8"/>
  <c r="V167" i="8"/>
  <c r="W167" i="8"/>
  <c r="V170" i="8"/>
  <c r="W169" i="8"/>
  <c r="V89" i="8"/>
  <c r="V90" i="8"/>
  <c r="V67" i="8"/>
  <c r="V70" i="8"/>
  <c r="W65" i="8"/>
  <c r="AD84" i="8"/>
  <c r="W28" i="8"/>
  <c r="V111" i="8"/>
  <c r="V69" i="8"/>
  <c r="W68" i="8"/>
  <c r="W87" i="8"/>
  <c r="V87" i="8"/>
  <c r="W47" i="8"/>
  <c r="W27" i="8"/>
  <c r="V132" i="8"/>
  <c r="V130" i="8"/>
  <c r="V128" i="8"/>
  <c r="W127" i="8"/>
  <c r="W131" i="8"/>
  <c r="W129" i="8"/>
  <c r="V127" i="8"/>
  <c r="V131" i="8"/>
  <c r="W130" i="8"/>
  <c r="W132" i="8"/>
  <c r="W128" i="8"/>
  <c r="V129" i="8"/>
  <c r="AA170" i="8" l="1"/>
  <c r="AA168" i="8"/>
  <c r="AA169" i="8"/>
  <c r="AA109" i="8"/>
  <c r="AA108" i="8"/>
  <c r="AA110" i="8"/>
  <c r="AA87" i="8"/>
  <c r="AA88" i="8"/>
  <c r="AA86" i="8"/>
  <c r="AA48" i="8"/>
  <c r="AA46" i="8"/>
  <c r="AA47" i="8"/>
  <c r="AA8" i="8"/>
  <c r="AA6" i="8"/>
  <c r="AA7" i="8"/>
  <c r="AA129" i="8"/>
  <c r="AA128" i="8"/>
  <c r="AA130" i="8"/>
  <c r="AA68" i="8"/>
  <c r="AA66" i="8"/>
  <c r="AA67" i="8"/>
  <c r="AA150" i="8"/>
  <c r="AA148" i="8"/>
  <c r="AA149" i="8"/>
  <c r="AA28" i="8"/>
  <c r="AA26" i="8"/>
  <c r="AA27" i="8"/>
  <c r="AA131" i="8" l="1"/>
  <c r="AA132" i="8"/>
  <c r="AA70" i="8"/>
  <c r="AA69" i="8"/>
  <c r="AA50" i="8"/>
  <c r="AA49" i="8"/>
  <c r="AA172" i="8"/>
  <c r="AA171" i="8"/>
  <c r="AA30" i="8"/>
  <c r="AA29" i="8"/>
  <c r="AA152" i="8"/>
  <c r="AA151" i="8"/>
  <c r="AA10" i="8"/>
  <c r="AA9" i="8"/>
  <c r="AA89" i="8"/>
  <c r="AA90" i="8"/>
  <c r="AA111" i="8"/>
  <c r="AA112" i="8"/>
  <c r="G172" i="7" l="1"/>
  <c r="I172" i="7" s="1"/>
  <c r="G171" i="7"/>
  <c r="I171" i="7" s="1"/>
  <c r="G170" i="7"/>
  <c r="I170" i="7" s="1"/>
  <c r="G169" i="7"/>
  <c r="I169" i="7" s="1"/>
  <c r="I168" i="7"/>
  <c r="G168" i="7"/>
  <c r="G167" i="7"/>
  <c r="I167" i="7" s="1"/>
  <c r="G166" i="7"/>
  <c r="I166" i="7" s="1"/>
  <c r="G165" i="7"/>
  <c r="I165" i="7" s="1"/>
  <c r="G164" i="7"/>
  <c r="I164" i="7" s="1"/>
  <c r="G163" i="7"/>
  <c r="I163" i="7" s="1"/>
  <c r="G162" i="7"/>
  <c r="I162" i="7" s="1"/>
  <c r="G161" i="7"/>
  <c r="I161" i="7" s="1"/>
  <c r="Z160" i="7"/>
  <c r="G160" i="7"/>
  <c r="I160" i="7" s="1"/>
  <c r="Z159" i="7"/>
  <c r="G159" i="7"/>
  <c r="I159" i="7" s="1"/>
  <c r="Z158" i="7"/>
  <c r="G158" i="7"/>
  <c r="I158" i="7" s="1"/>
  <c r="U158" i="7" s="1"/>
  <c r="Z157" i="7"/>
  <c r="Z156" i="7"/>
  <c r="I153" i="7"/>
  <c r="G153" i="7"/>
  <c r="G152" i="7"/>
  <c r="I152" i="7" s="1"/>
  <c r="G151" i="7"/>
  <c r="I151" i="7" s="1"/>
  <c r="I150" i="7"/>
  <c r="G150" i="7"/>
  <c r="G149" i="7"/>
  <c r="I149" i="7" s="1"/>
  <c r="U149" i="7" s="1"/>
  <c r="G148" i="7"/>
  <c r="I148" i="7" s="1"/>
  <c r="G147" i="7"/>
  <c r="I147" i="7" s="1"/>
  <c r="U147" i="7" s="1"/>
  <c r="G146" i="7"/>
  <c r="I146" i="7" s="1"/>
  <c r="G145" i="7"/>
  <c r="I145" i="7" s="1"/>
  <c r="G144" i="7"/>
  <c r="I144" i="7" s="1"/>
  <c r="I143" i="7"/>
  <c r="G143" i="7"/>
  <c r="G142" i="7"/>
  <c r="I142" i="7" s="1"/>
  <c r="Z141" i="7"/>
  <c r="G141" i="7"/>
  <c r="I141" i="7" s="1"/>
  <c r="Z140" i="7"/>
  <c r="G140" i="7"/>
  <c r="I140" i="7" s="1"/>
  <c r="Z139" i="7"/>
  <c r="G139" i="7"/>
  <c r="I139" i="7" s="1"/>
  <c r="Z138" i="7"/>
  <c r="Z137" i="7"/>
  <c r="G134" i="7"/>
  <c r="I134" i="7" s="1"/>
  <c r="G133" i="7"/>
  <c r="I133" i="7" s="1"/>
  <c r="G132" i="7"/>
  <c r="I132" i="7" s="1"/>
  <c r="I131" i="7"/>
  <c r="G131" i="7"/>
  <c r="G130" i="7"/>
  <c r="I130" i="7" s="1"/>
  <c r="U130" i="7" s="1"/>
  <c r="G129" i="7"/>
  <c r="I129" i="7" s="1"/>
  <c r="G128" i="7"/>
  <c r="I128" i="7" s="1"/>
  <c r="AC120" i="7" s="1"/>
  <c r="G127" i="7"/>
  <c r="I127" i="7" s="1"/>
  <c r="G126" i="7"/>
  <c r="I126" i="7" s="1"/>
  <c r="AA120" i="7" s="1"/>
  <c r="G125" i="7"/>
  <c r="I125" i="7" s="1"/>
  <c r="G124" i="7"/>
  <c r="I124" i="7" s="1"/>
  <c r="U124" i="7" s="1"/>
  <c r="G123" i="7"/>
  <c r="I123" i="7" s="1"/>
  <c r="Z122" i="7"/>
  <c r="G122" i="7"/>
  <c r="I122" i="7" s="1"/>
  <c r="AB121" i="7"/>
  <c r="Z121" i="7"/>
  <c r="G121" i="7"/>
  <c r="I121" i="7" s="1"/>
  <c r="Z120" i="7"/>
  <c r="G120" i="7"/>
  <c r="I120" i="7" s="1"/>
  <c r="AB119" i="7"/>
  <c r="Z119" i="7"/>
  <c r="Z118" i="7"/>
  <c r="G115" i="7"/>
  <c r="I115" i="7" s="1"/>
  <c r="G114" i="7"/>
  <c r="I114" i="7" s="1"/>
  <c r="I113" i="7"/>
  <c r="U113" i="7" s="1"/>
  <c r="G113" i="7"/>
  <c r="G112" i="7"/>
  <c r="I112" i="7" s="1"/>
  <c r="U112" i="7" s="1"/>
  <c r="G111" i="7"/>
  <c r="I111" i="7" s="1"/>
  <c r="I110" i="7"/>
  <c r="G110" i="7"/>
  <c r="G109" i="7"/>
  <c r="I109" i="7" s="1"/>
  <c r="G108" i="7"/>
  <c r="I108" i="7" s="1"/>
  <c r="G107" i="7"/>
  <c r="I107" i="7" s="1"/>
  <c r="U107" i="7" s="1"/>
  <c r="G106" i="7"/>
  <c r="I106" i="7" s="1"/>
  <c r="U106" i="7" s="1"/>
  <c r="U105" i="7"/>
  <c r="G105" i="7"/>
  <c r="I105" i="7" s="1"/>
  <c r="G104" i="7"/>
  <c r="I104" i="7" s="1"/>
  <c r="AA103" i="7"/>
  <c r="Z103" i="7"/>
  <c r="G103" i="7"/>
  <c r="I103" i="7" s="1"/>
  <c r="Z102" i="7"/>
  <c r="G102" i="7"/>
  <c r="I102" i="7" s="1"/>
  <c r="AA101" i="7"/>
  <c r="Z101" i="7"/>
  <c r="G101" i="7"/>
  <c r="I101" i="7" s="1"/>
  <c r="AA99" i="7" s="1"/>
  <c r="AB100" i="7"/>
  <c r="Z100" i="7"/>
  <c r="Z99" i="7"/>
  <c r="U95" i="7"/>
  <c r="G95" i="7"/>
  <c r="I95" i="7" s="1"/>
  <c r="G94" i="7"/>
  <c r="I94" i="7" s="1"/>
  <c r="G93" i="7"/>
  <c r="I93" i="7" s="1"/>
  <c r="G92" i="7"/>
  <c r="I92" i="7" s="1"/>
  <c r="G91" i="7"/>
  <c r="I91" i="7" s="1"/>
  <c r="AB82" i="7" s="1"/>
  <c r="G90" i="7"/>
  <c r="I90" i="7" s="1"/>
  <c r="I89" i="7"/>
  <c r="AC81" i="7" s="1"/>
  <c r="G89" i="7"/>
  <c r="G88" i="7"/>
  <c r="I88" i="7" s="1"/>
  <c r="G87" i="7"/>
  <c r="I87" i="7" s="1"/>
  <c r="G86" i="7"/>
  <c r="I86" i="7" s="1"/>
  <c r="U85" i="7"/>
  <c r="I85" i="7"/>
  <c r="G85" i="7"/>
  <c r="G84" i="7"/>
  <c r="I84" i="7" s="1"/>
  <c r="U84" i="7" s="1"/>
  <c r="AC83" i="7"/>
  <c r="Z83" i="7"/>
  <c r="G83" i="7"/>
  <c r="I83" i="7" s="1"/>
  <c r="Z82" i="7"/>
  <c r="G82" i="7"/>
  <c r="I82" i="7" s="1"/>
  <c r="U82" i="7" s="1"/>
  <c r="Z81" i="7"/>
  <c r="U81" i="7"/>
  <c r="G81" i="7"/>
  <c r="I81" i="7" s="1"/>
  <c r="AA79" i="7" s="1"/>
  <c r="AB80" i="7"/>
  <c r="AA80" i="7"/>
  <c r="Z80" i="7"/>
  <c r="Z79" i="7"/>
  <c r="G76" i="7"/>
  <c r="I76" i="7" s="1"/>
  <c r="U76" i="7" s="1"/>
  <c r="U75" i="7"/>
  <c r="I75" i="7"/>
  <c r="AB64" i="7" s="1"/>
  <c r="G75" i="7"/>
  <c r="G74" i="7"/>
  <c r="I74" i="7" s="1"/>
  <c r="G73" i="7"/>
  <c r="I73" i="7" s="1"/>
  <c r="U73" i="7" s="1"/>
  <c r="G72" i="7"/>
  <c r="I72" i="7" s="1"/>
  <c r="U72" i="7" s="1"/>
  <c r="G71" i="7"/>
  <c r="I71" i="7" s="1"/>
  <c r="G70" i="7"/>
  <c r="I70" i="7" s="1"/>
  <c r="G69" i="7"/>
  <c r="I69" i="7" s="1"/>
  <c r="G68" i="7"/>
  <c r="I68" i="7" s="1"/>
  <c r="G67" i="7"/>
  <c r="I67" i="7" s="1"/>
  <c r="G66" i="7"/>
  <c r="I66" i="7" s="1"/>
  <c r="G65" i="7"/>
  <c r="I65" i="7" s="1"/>
  <c r="AA61" i="7" s="1"/>
  <c r="AC64" i="7"/>
  <c r="Z64" i="7"/>
  <c r="G64" i="7"/>
  <c r="I64" i="7" s="1"/>
  <c r="U64" i="7" s="1"/>
  <c r="AC63" i="7"/>
  <c r="Z63" i="7"/>
  <c r="I63" i="7"/>
  <c r="U63" i="7" s="1"/>
  <c r="G63" i="7"/>
  <c r="Z62" i="7"/>
  <c r="G62" i="7"/>
  <c r="I62" i="7" s="1"/>
  <c r="Z61" i="7"/>
  <c r="AB60" i="7"/>
  <c r="Z60" i="7"/>
  <c r="G57" i="7"/>
  <c r="I57" i="7" s="1"/>
  <c r="G56" i="7"/>
  <c r="I56" i="7" s="1"/>
  <c r="G55" i="7"/>
  <c r="I55" i="7" s="1"/>
  <c r="U55" i="7" s="1"/>
  <c r="I54" i="7"/>
  <c r="U54" i="7" s="1"/>
  <c r="G54" i="7"/>
  <c r="G53" i="7"/>
  <c r="I53" i="7" s="1"/>
  <c r="U53" i="7" s="1"/>
  <c r="G52" i="7"/>
  <c r="I52" i="7" s="1"/>
  <c r="G51" i="7"/>
  <c r="I51" i="7" s="1"/>
  <c r="AC43" i="7" s="1"/>
  <c r="G50" i="7"/>
  <c r="I50" i="7" s="1"/>
  <c r="G49" i="7"/>
  <c r="I49" i="7" s="1"/>
  <c r="AA43" i="7" s="1"/>
  <c r="G48" i="7"/>
  <c r="I48" i="7" s="1"/>
  <c r="U47" i="7"/>
  <c r="G47" i="7"/>
  <c r="I47" i="7" s="1"/>
  <c r="AB42" i="7" s="1"/>
  <c r="G46" i="7"/>
  <c r="I46" i="7" s="1"/>
  <c r="Z45" i="7"/>
  <c r="G45" i="7"/>
  <c r="I45" i="7" s="1"/>
  <c r="U45" i="7" s="1"/>
  <c r="AC44" i="7"/>
  <c r="Z44" i="7"/>
  <c r="G44" i="7"/>
  <c r="I44" i="7" s="1"/>
  <c r="Z43" i="7"/>
  <c r="I43" i="7"/>
  <c r="AA41" i="7" s="1"/>
  <c r="G43" i="7"/>
  <c r="Z42" i="7"/>
  <c r="Z41" i="7"/>
  <c r="G38" i="7"/>
  <c r="I38" i="7" s="1"/>
  <c r="G37" i="7"/>
  <c r="I37" i="7" s="1"/>
  <c r="G36" i="7"/>
  <c r="I36" i="7" s="1"/>
  <c r="U36" i="7" s="1"/>
  <c r="G35" i="7"/>
  <c r="I35" i="7" s="1"/>
  <c r="U35" i="7" s="1"/>
  <c r="G34" i="7"/>
  <c r="I34" i="7" s="1"/>
  <c r="G33" i="7"/>
  <c r="I33" i="7" s="1"/>
  <c r="G32" i="7"/>
  <c r="I32" i="7" s="1"/>
  <c r="U32" i="7" s="1"/>
  <c r="G31" i="7"/>
  <c r="I31" i="7" s="1"/>
  <c r="G30" i="7"/>
  <c r="I30" i="7" s="1"/>
  <c r="U30" i="7" s="1"/>
  <c r="G29" i="7"/>
  <c r="I29" i="7" s="1"/>
  <c r="G28" i="7"/>
  <c r="I28" i="7" s="1"/>
  <c r="G27" i="7"/>
  <c r="I27" i="7" s="1"/>
  <c r="Z26" i="7"/>
  <c r="G26" i="7"/>
  <c r="I26" i="7" s="1"/>
  <c r="U26" i="7" s="1"/>
  <c r="AC25" i="7"/>
  <c r="Z25" i="7"/>
  <c r="G25" i="7"/>
  <c r="I25" i="7" s="1"/>
  <c r="AC24" i="7"/>
  <c r="AA24" i="7"/>
  <c r="Z24" i="7"/>
  <c r="G24" i="7"/>
  <c r="I24" i="7" s="1"/>
  <c r="Z23" i="7"/>
  <c r="Z22" i="7"/>
  <c r="G19" i="7"/>
  <c r="I19" i="7" s="1"/>
  <c r="U19" i="7" s="1"/>
  <c r="U18" i="7"/>
  <c r="I18" i="7"/>
  <c r="G18" i="7"/>
  <c r="G17" i="7"/>
  <c r="I17" i="7" s="1"/>
  <c r="G16" i="7"/>
  <c r="I16" i="7" s="1"/>
  <c r="I15" i="7"/>
  <c r="AB6" i="7" s="1"/>
  <c r="G15" i="7"/>
  <c r="G14" i="7"/>
  <c r="I14" i="7" s="1"/>
  <c r="G13" i="7"/>
  <c r="I13" i="7" s="1"/>
  <c r="G12" i="7"/>
  <c r="I12" i="7" s="1"/>
  <c r="G11" i="7"/>
  <c r="I11" i="7" s="1"/>
  <c r="G10" i="7"/>
  <c r="I10" i="7" s="1"/>
  <c r="G9" i="7"/>
  <c r="I9" i="7" s="1"/>
  <c r="G8" i="7"/>
  <c r="I8" i="7" s="1"/>
  <c r="AA4" i="7" s="1"/>
  <c r="AB7" i="7"/>
  <c r="Z7" i="7"/>
  <c r="G7" i="7"/>
  <c r="I7" i="7" s="1"/>
  <c r="Z6" i="7"/>
  <c r="I6" i="7"/>
  <c r="AB3" i="7" s="1"/>
  <c r="G6" i="7"/>
  <c r="Z5" i="7"/>
  <c r="G5" i="7"/>
  <c r="I5" i="7" s="1"/>
  <c r="Z4" i="7"/>
  <c r="Z3" i="7"/>
  <c r="AA64" i="7" l="1"/>
  <c r="AD64" i="7" s="1"/>
  <c r="U74" i="7"/>
  <c r="U12" i="7"/>
  <c r="AB5" i="7"/>
  <c r="U37" i="7"/>
  <c r="AB26" i="7"/>
  <c r="AA22" i="7"/>
  <c r="U24" i="7"/>
  <c r="V24" i="7" s="1"/>
  <c r="U83" i="7"/>
  <c r="AC79" i="7"/>
  <c r="U87" i="7"/>
  <c r="AA81" i="7"/>
  <c r="AC4" i="7"/>
  <c r="U10" i="7"/>
  <c r="AA6" i="7"/>
  <c r="U14" i="7"/>
  <c r="U66" i="7"/>
  <c r="AB61" i="7"/>
  <c r="AD61" i="7" s="1"/>
  <c r="U70" i="7"/>
  <c r="AC62" i="7"/>
  <c r="AC141" i="7"/>
  <c r="U153" i="7"/>
  <c r="U43" i="7"/>
  <c r="V50" i="7" s="1"/>
  <c r="AA45" i="7"/>
  <c r="U71" i="7"/>
  <c r="AA63" i="7"/>
  <c r="U101" i="7"/>
  <c r="W114" i="7" s="1"/>
  <c r="U128" i="7"/>
  <c r="U131" i="7"/>
  <c r="AC121" i="7"/>
  <c r="AB137" i="7"/>
  <c r="U140" i="7"/>
  <c r="U29" i="7"/>
  <c r="AC23" i="7"/>
  <c r="U51" i="7"/>
  <c r="AA62" i="7"/>
  <c r="U68" i="7"/>
  <c r="U91" i="7"/>
  <c r="AC99" i="7"/>
  <c r="U103" i="7"/>
  <c r="V108" i="7" s="1"/>
  <c r="U126" i="7"/>
  <c r="U142" i="7"/>
  <c r="AA138" i="7"/>
  <c r="AD138" i="7" s="1"/>
  <c r="AC22" i="7"/>
  <c r="AA26" i="7"/>
  <c r="U49" i="7"/>
  <c r="U65" i="7"/>
  <c r="AB79" i="7"/>
  <c r="AD79" i="7" s="1"/>
  <c r="U89" i="7"/>
  <c r="U122" i="7"/>
  <c r="AC118" i="7"/>
  <c r="AB140" i="7"/>
  <c r="U163" i="7"/>
  <c r="AC157" i="7"/>
  <c r="AB44" i="7"/>
  <c r="AA156" i="7"/>
  <c r="U5" i="7"/>
  <c r="AA3" i="7"/>
  <c r="AD24" i="7"/>
  <c r="U31" i="7"/>
  <c r="AB24" i="7"/>
  <c r="U48" i="7"/>
  <c r="AC42" i="7"/>
  <c r="U50" i="7"/>
  <c r="AB43" i="7"/>
  <c r="AD43" i="7" s="1"/>
  <c r="AA44" i="7"/>
  <c r="U52" i="7"/>
  <c r="U56" i="7"/>
  <c r="AB45" i="7"/>
  <c r="U25" i="7"/>
  <c r="AB22" i="7"/>
  <c r="U33" i="7"/>
  <c r="AA25" i="7"/>
  <c r="U28" i="7"/>
  <c r="AB23" i="7"/>
  <c r="AA60" i="7"/>
  <c r="AD60" i="7" s="1"/>
  <c r="U62" i="7"/>
  <c r="AC6" i="7"/>
  <c r="U16" i="7"/>
  <c r="U7" i="7"/>
  <c r="AC3" i="7"/>
  <c r="U17" i="7"/>
  <c r="AA7" i="7"/>
  <c r="U9" i="7"/>
  <c r="AB4" i="7"/>
  <c r="AD4" i="7" s="1"/>
  <c r="AA5" i="7"/>
  <c r="U11" i="7"/>
  <c r="U13" i="7"/>
  <c r="AC5" i="7"/>
  <c r="U27" i="7"/>
  <c r="AA23" i="7"/>
  <c r="U34" i="7"/>
  <c r="AB25" i="7"/>
  <c r="U38" i="7"/>
  <c r="AC26" i="7"/>
  <c r="AD26" i="7" s="1"/>
  <c r="W32" i="7"/>
  <c r="U161" i="7"/>
  <c r="AA157" i="7"/>
  <c r="AA159" i="7"/>
  <c r="U167" i="7"/>
  <c r="U6" i="7"/>
  <c r="AC7" i="7"/>
  <c r="U8" i="7"/>
  <c r="U15" i="7"/>
  <c r="AC41" i="7"/>
  <c r="U44" i="7"/>
  <c r="W50" i="7" s="1"/>
  <c r="AB41" i="7"/>
  <c r="U46" i="7"/>
  <c r="AA42" i="7"/>
  <c r="AD42" i="7" s="1"/>
  <c r="AC60" i="7"/>
  <c r="AB63" i="7"/>
  <c r="AD63" i="7" s="1"/>
  <c r="U69" i="7"/>
  <c r="AB62" i="7"/>
  <c r="AD62" i="7" s="1"/>
  <c r="U90" i="7"/>
  <c r="AA82" i="7"/>
  <c r="AD82" i="7" s="1"/>
  <c r="U92" i="7"/>
  <c r="AC82" i="7"/>
  <c r="U94" i="7"/>
  <c r="AB83" i="7"/>
  <c r="U57" i="7"/>
  <c r="V57" i="7" s="1"/>
  <c r="AC45" i="7"/>
  <c r="U111" i="7"/>
  <c r="AB102" i="7"/>
  <c r="V28" i="7"/>
  <c r="U67" i="7"/>
  <c r="AC61" i="7"/>
  <c r="V49" i="7"/>
  <c r="U86" i="7"/>
  <c r="AC80" i="7"/>
  <c r="AD80" i="7" s="1"/>
  <c r="U88" i="7"/>
  <c r="AB81" i="7"/>
  <c r="AA83" i="7"/>
  <c r="U93" i="7"/>
  <c r="U109" i="7"/>
  <c r="AC101" i="7"/>
  <c r="AA118" i="7"/>
  <c r="U120" i="7"/>
  <c r="AB160" i="7"/>
  <c r="U171" i="7"/>
  <c r="U114" i="7"/>
  <c r="AB103" i="7"/>
  <c r="AD103" i="7" s="1"/>
  <c r="U127" i="7"/>
  <c r="AB120" i="7"/>
  <c r="AD120" i="7" s="1"/>
  <c r="U143" i="7"/>
  <c r="AB138" i="7"/>
  <c r="U148" i="7"/>
  <c r="AA140" i="7"/>
  <c r="U159" i="7"/>
  <c r="V169" i="7" s="1"/>
  <c r="AB156" i="7"/>
  <c r="AB158" i="7"/>
  <c r="U165" i="7"/>
  <c r="U134" i="7"/>
  <c r="AC122" i="7"/>
  <c r="U141" i="7"/>
  <c r="AC137" i="7"/>
  <c r="AC159" i="7"/>
  <c r="U169" i="7"/>
  <c r="U115" i="7"/>
  <c r="AC103" i="7"/>
  <c r="U121" i="7"/>
  <c r="AB118" i="7"/>
  <c r="AA121" i="7"/>
  <c r="U129" i="7"/>
  <c r="U132" i="7"/>
  <c r="AA122" i="7"/>
  <c r="AD122" i="7" s="1"/>
  <c r="AC139" i="7"/>
  <c r="AA139" i="7"/>
  <c r="U145" i="7"/>
  <c r="U152" i="7"/>
  <c r="AB141" i="7"/>
  <c r="U162" i="7"/>
  <c r="AB157" i="7"/>
  <c r="V113" i="7"/>
  <c r="U102" i="7"/>
  <c r="AB99" i="7"/>
  <c r="AD99" i="7" s="1"/>
  <c r="U104" i="7"/>
  <c r="AA100" i="7"/>
  <c r="U108" i="7"/>
  <c r="AB101" i="7"/>
  <c r="AD101" i="7" s="1"/>
  <c r="U123" i="7"/>
  <c r="AA119" i="7"/>
  <c r="U133" i="7"/>
  <c r="AB122" i="7"/>
  <c r="AA137" i="7"/>
  <c r="AD137" i="7" s="1"/>
  <c r="U139" i="7"/>
  <c r="U144" i="7"/>
  <c r="AC138" i="7"/>
  <c r="AC140" i="7"/>
  <c r="U150" i="7"/>
  <c r="AA158" i="7"/>
  <c r="U164" i="7"/>
  <c r="U166" i="7"/>
  <c r="W171" i="7" s="1"/>
  <c r="AC158" i="7"/>
  <c r="U170" i="7"/>
  <c r="AA160" i="7"/>
  <c r="AC100" i="7"/>
  <c r="AC102" i="7"/>
  <c r="AA102" i="7"/>
  <c r="U110" i="7"/>
  <c r="U125" i="7"/>
  <c r="AC119" i="7"/>
  <c r="U146" i="7"/>
  <c r="AB139" i="7"/>
  <c r="U151" i="7"/>
  <c r="AA141" i="7"/>
  <c r="W163" i="7"/>
  <c r="U160" i="7"/>
  <c r="AC156" i="7"/>
  <c r="AB159" i="7"/>
  <c r="U168" i="7"/>
  <c r="V170" i="7"/>
  <c r="U172" i="7"/>
  <c r="AC160" i="7"/>
  <c r="V31" i="7" l="1"/>
  <c r="V26" i="7"/>
  <c r="W168" i="7"/>
  <c r="V105" i="7"/>
  <c r="AD156" i="7"/>
  <c r="W38" i="7"/>
  <c r="W47" i="7"/>
  <c r="AD22" i="7"/>
  <c r="W160" i="7"/>
  <c r="V162" i="7"/>
  <c r="V112" i="7"/>
  <c r="V104" i="7"/>
  <c r="AD158" i="7"/>
  <c r="W106" i="7"/>
  <c r="AD83" i="7"/>
  <c r="V27" i="7"/>
  <c r="V55" i="7"/>
  <c r="W33" i="7"/>
  <c r="V30" i="7"/>
  <c r="V44" i="7"/>
  <c r="V36" i="7"/>
  <c r="AD6" i="7"/>
  <c r="AD44" i="7"/>
  <c r="W164" i="7"/>
  <c r="W170" i="7"/>
  <c r="W109" i="7"/>
  <c r="AD119" i="7"/>
  <c r="W105" i="7"/>
  <c r="AD121" i="7"/>
  <c r="AD81" i="7"/>
  <c r="AD41" i="7"/>
  <c r="V171" i="7"/>
  <c r="W95" i="7"/>
  <c r="W88" i="7"/>
  <c r="V82" i="7"/>
  <c r="AD45" i="7"/>
  <c r="W165" i="7"/>
  <c r="V151" i="7"/>
  <c r="W150" i="7"/>
  <c r="W147" i="7"/>
  <c r="W145" i="7"/>
  <c r="W143" i="7"/>
  <c r="V141" i="7"/>
  <c r="V139" i="7"/>
  <c r="W153" i="7"/>
  <c r="V150" i="7"/>
  <c r="W149" i="7"/>
  <c r="V147" i="7"/>
  <c r="V145" i="7"/>
  <c r="V143" i="7"/>
  <c r="W142" i="7"/>
  <c r="W140" i="7"/>
  <c r="V153" i="7"/>
  <c r="W152" i="7"/>
  <c r="V149" i="7"/>
  <c r="W148" i="7"/>
  <c r="W146" i="7"/>
  <c r="W144" i="7"/>
  <c r="V142" i="7"/>
  <c r="V140" i="7"/>
  <c r="V144" i="7"/>
  <c r="W139" i="7"/>
  <c r="V152" i="7"/>
  <c r="V148" i="7"/>
  <c r="W141" i="7"/>
  <c r="V146" i="7"/>
  <c r="W151" i="7"/>
  <c r="V107" i="7"/>
  <c r="W104" i="7"/>
  <c r="W102" i="7"/>
  <c r="W107" i="7"/>
  <c r="W101" i="7"/>
  <c r="V110" i="7"/>
  <c r="W108" i="7"/>
  <c r="V115" i="7"/>
  <c r="W162" i="7"/>
  <c r="V158" i="7"/>
  <c r="V160" i="7"/>
  <c r="AD118" i="7"/>
  <c r="V47" i="7"/>
  <c r="V32" i="7"/>
  <c r="V25" i="7"/>
  <c r="V53" i="7"/>
  <c r="W49" i="7"/>
  <c r="W43" i="7"/>
  <c r="V52" i="7"/>
  <c r="W27" i="7"/>
  <c r="V33" i="7"/>
  <c r="V34" i="7"/>
  <c r="W81" i="7"/>
  <c r="V85" i="7"/>
  <c r="V91" i="7"/>
  <c r="W91" i="7"/>
  <c r="V88" i="7"/>
  <c r="V83" i="7"/>
  <c r="W92" i="7"/>
  <c r="W48" i="7"/>
  <c r="W29" i="7"/>
  <c r="V54" i="7"/>
  <c r="W35" i="7"/>
  <c r="V133" i="7"/>
  <c r="W132" i="7"/>
  <c r="V129" i="7"/>
  <c r="V127" i="7"/>
  <c r="V125" i="7"/>
  <c r="W122" i="7"/>
  <c r="W120" i="7"/>
  <c r="V132" i="7"/>
  <c r="W131" i="7"/>
  <c r="W128" i="7"/>
  <c r="W126" i="7"/>
  <c r="W124" i="7"/>
  <c r="V122" i="7"/>
  <c r="V120" i="7"/>
  <c r="W134" i="7"/>
  <c r="V131" i="7"/>
  <c r="W130" i="7"/>
  <c r="V128" i="7"/>
  <c r="V126" i="7"/>
  <c r="V124" i="7"/>
  <c r="W123" i="7"/>
  <c r="W121" i="7"/>
  <c r="W133" i="7"/>
  <c r="V123" i="7"/>
  <c r="W129" i="7"/>
  <c r="V121" i="7"/>
  <c r="V134" i="7"/>
  <c r="W127" i="7"/>
  <c r="W125" i="7"/>
  <c r="V130" i="7"/>
  <c r="V84" i="7"/>
  <c r="V90" i="7"/>
  <c r="W90" i="7"/>
  <c r="V81" i="7"/>
  <c r="W89" i="7"/>
  <c r="W57" i="7"/>
  <c r="V163" i="7"/>
  <c r="V172" i="7"/>
  <c r="V164" i="7"/>
  <c r="W172" i="7"/>
  <c r="V165" i="7"/>
  <c r="W167" i="7"/>
  <c r="V166" i="7"/>
  <c r="AD100" i="7"/>
  <c r="V101" i="7"/>
  <c r="W103" i="7"/>
  <c r="W113" i="7"/>
  <c r="W110" i="7"/>
  <c r="V109" i="7"/>
  <c r="W169" i="7"/>
  <c r="W56" i="7"/>
  <c r="W46" i="7"/>
  <c r="W31" i="7"/>
  <c r="V43" i="7"/>
  <c r="W51" i="7"/>
  <c r="W45" i="7"/>
  <c r="W55" i="7"/>
  <c r="W25" i="7"/>
  <c r="W36" i="7"/>
  <c r="W37" i="7"/>
  <c r="W82" i="7"/>
  <c r="V86" i="7"/>
  <c r="V94" i="7"/>
  <c r="V92" i="7"/>
  <c r="W94" i="7"/>
  <c r="W85" i="7"/>
  <c r="V93" i="7"/>
  <c r="V46" i="7"/>
  <c r="W26" i="7"/>
  <c r="V35" i="7"/>
  <c r="W53" i="7"/>
  <c r="W28" i="7"/>
  <c r="AD159" i="7"/>
  <c r="AD23" i="7"/>
  <c r="W34" i="7"/>
  <c r="AD3" i="7"/>
  <c r="W84" i="7"/>
  <c r="V87" i="7"/>
  <c r="V159" i="7"/>
  <c r="W159" i="7"/>
  <c r="W166" i="7"/>
  <c r="W158" i="7"/>
  <c r="V167" i="7"/>
  <c r="V161" i="7"/>
  <c r="V168" i="7"/>
  <c r="W161" i="7"/>
  <c r="AD141" i="7"/>
  <c r="AD102" i="7"/>
  <c r="V102" i="7"/>
  <c r="AD160" i="7"/>
  <c r="W115" i="7"/>
  <c r="V103" i="7"/>
  <c r="W112" i="7"/>
  <c r="V106" i="7"/>
  <c r="V114" i="7"/>
  <c r="V111" i="7"/>
  <c r="AD139" i="7"/>
  <c r="AD140" i="7"/>
  <c r="W111" i="7"/>
  <c r="V51" i="7"/>
  <c r="W44" i="7"/>
  <c r="W30" i="7"/>
  <c r="V45" i="7"/>
  <c r="W54" i="7"/>
  <c r="V48" i="7"/>
  <c r="V56" i="7"/>
  <c r="V29" i="7"/>
  <c r="V37" i="7"/>
  <c r="V38" i="7"/>
  <c r="W83" i="7"/>
  <c r="V89" i="7"/>
  <c r="W86" i="7"/>
  <c r="W93" i="7"/>
  <c r="V95" i="7"/>
  <c r="W87" i="7"/>
  <c r="W52" i="7"/>
  <c r="W24" i="7"/>
  <c r="AD157" i="7"/>
  <c r="AD5" i="7"/>
  <c r="AD7" i="7"/>
  <c r="V75" i="7"/>
  <c r="W74" i="7"/>
  <c r="V71" i="7"/>
  <c r="V69" i="7"/>
  <c r="V67" i="7"/>
  <c r="W70" i="7"/>
  <c r="W68" i="7"/>
  <c r="W66" i="7"/>
  <c r="V64" i="7"/>
  <c r="V62" i="7"/>
  <c r="W76" i="7"/>
  <c r="W75" i="7"/>
  <c r="V74" i="7"/>
  <c r="W73" i="7"/>
  <c r="W72" i="7"/>
  <c r="V70" i="7"/>
  <c r="V68" i="7"/>
  <c r="V66" i="7"/>
  <c r="W65" i="7"/>
  <c r="W63" i="7"/>
  <c r="W71" i="7"/>
  <c r="W62" i="7"/>
  <c r="V73" i="7"/>
  <c r="W69" i="7"/>
  <c r="V63" i="7"/>
  <c r="V65" i="7"/>
  <c r="V76" i="7"/>
  <c r="V72" i="7"/>
  <c r="W67" i="7"/>
  <c r="W64" i="7"/>
  <c r="AD25" i="7"/>
  <c r="W19" i="7"/>
  <c r="V16" i="7"/>
  <c r="W15" i="7"/>
  <c r="V13" i="7"/>
  <c r="V11" i="7"/>
  <c r="V9" i="7"/>
  <c r="W8" i="7"/>
  <c r="W6" i="7"/>
  <c r="W16" i="7"/>
  <c r="W9" i="7"/>
  <c r="V7" i="7"/>
  <c r="V19" i="7"/>
  <c r="W18" i="7"/>
  <c r="V15" i="7"/>
  <c r="W14" i="7"/>
  <c r="W12" i="7"/>
  <c r="W10" i="7"/>
  <c r="V8" i="7"/>
  <c r="V6" i="7"/>
  <c r="V17" i="7"/>
  <c r="W13" i="7"/>
  <c r="W11" i="7"/>
  <c r="V18" i="7"/>
  <c r="W17" i="7"/>
  <c r="V14" i="7"/>
  <c r="V12" i="7"/>
  <c r="V10" i="7"/>
  <c r="W7" i="7"/>
  <c r="W5" i="7"/>
  <c r="V5" i="7"/>
  <c r="AA107" i="7" l="1"/>
  <c r="AA105" i="7"/>
  <c r="AA106" i="7"/>
  <c r="AA68" i="7"/>
  <c r="AA66" i="7"/>
  <c r="AA67" i="7"/>
  <c r="AA163" i="7"/>
  <c r="AA164" i="7"/>
  <c r="AA162" i="7"/>
  <c r="AA30" i="7"/>
  <c r="AA29" i="7"/>
  <c r="AA28" i="7"/>
  <c r="AA86" i="7"/>
  <c r="AA85" i="7"/>
  <c r="AA87" i="7"/>
  <c r="AA144" i="7"/>
  <c r="AA145" i="7"/>
  <c r="AA143" i="7"/>
  <c r="AA10" i="7"/>
  <c r="AA11" i="7"/>
  <c r="AA9" i="7"/>
  <c r="AA126" i="7"/>
  <c r="AA124" i="7"/>
  <c r="AA125" i="7"/>
  <c r="AA49" i="7"/>
  <c r="AA47" i="7"/>
  <c r="AA48" i="7"/>
  <c r="AA12" i="7" l="1"/>
  <c r="AA13" i="7"/>
  <c r="AA32" i="7"/>
  <c r="AA31" i="7"/>
  <c r="AA109" i="7"/>
  <c r="AA108" i="7"/>
  <c r="AA51" i="7"/>
  <c r="AA50" i="7"/>
  <c r="AA165" i="7"/>
  <c r="AA166" i="7"/>
  <c r="AA128" i="7"/>
  <c r="AA127" i="7"/>
  <c r="AA146" i="7"/>
  <c r="AA147" i="7"/>
  <c r="AA89" i="7"/>
  <c r="AA88" i="7"/>
  <c r="AA70" i="7"/>
  <c r="AA69" i="7"/>
  <c r="U150" i="6" l="1"/>
  <c r="I150" i="6"/>
  <c r="G150" i="6"/>
  <c r="G149" i="6"/>
  <c r="I149" i="6" s="1"/>
  <c r="U148" i="6"/>
  <c r="I148" i="6"/>
  <c r="G148" i="6"/>
  <c r="G147" i="6"/>
  <c r="I147" i="6" s="1"/>
  <c r="U146" i="6"/>
  <c r="I146" i="6"/>
  <c r="AB143" i="6" s="1"/>
  <c r="G146" i="6"/>
  <c r="G145" i="6"/>
  <c r="I145" i="6" s="1"/>
  <c r="U145" i="6" s="1"/>
  <c r="AC144" i="6"/>
  <c r="AA144" i="6"/>
  <c r="Z144" i="6"/>
  <c r="AA143" i="6"/>
  <c r="Z143" i="6"/>
  <c r="G130" i="6"/>
  <c r="I130" i="6" s="1"/>
  <c r="AC124" i="6" s="1"/>
  <c r="G129" i="6"/>
  <c r="I129" i="6" s="1"/>
  <c r="U128" i="6"/>
  <c r="G128" i="6"/>
  <c r="I128" i="6" s="1"/>
  <c r="I127" i="6"/>
  <c r="G127" i="6"/>
  <c r="G126" i="6"/>
  <c r="I126" i="6" s="1"/>
  <c r="U126" i="6" s="1"/>
  <c r="G125" i="6"/>
  <c r="I125" i="6" s="1"/>
  <c r="U125" i="6" s="1"/>
  <c r="AA124" i="6"/>
  <c r="Z124" i="6"/>
  <c r="AB123" i="6"/>
  <c r="AA123" i="6"/>
  <c r="Z123" i="6"/>
  <c r="G110" i="6"/>
  <c r="I110" i="6" s="1"/>
  <c r="U109" i="6"/>
  <c r="I109" i="6"/>
  <c r="G109" i="6"/>
  <c r="G108" i="6"/>
  <c r="I108" i="6" s="1"/>
  <c r="U108" i="6" s="1"/>
  <c r="I107" i="6"/>
  <c r="U107" i="6" s="1"/>
  <c r="G107" i="6"/>
  <c r="G106" i="6"/>
  <c r="I106" i="6" s="1"/>
  <c r="U106" i="6" s="1"/>
  <c r="I105" i="6"/>
  <c r="G105" i="6"/>
  <c r="AB104" i="6"/>
  <c r="AA104" i="6"/>
  <c r="Z104" i="6"/>
  <c r="Z103" i="6"/>
  <c r="I90" i="6"/>
  <c r="U90" i="6" s="1"/>
  <c r="G90" i="6"/>
  <c r="G89" i="6"/>
  <c r="I89" i="6" s="1"/>
  <c r="U89" i="6" s="1"/>
  <c r="G88" i="6"/>
  <c r="I88" i="6" s="1"/>
  <c r="U87" i="6"/>
  <c r="G87" i="6"/>
  <c r="I87" i="6" s="1"/>
  <c r="I86" i="6"/>
  <c r="G86" i="6"/>
  <c r="U85" i="6"/>
  <c r="I85" i="6"/>
  <c r="AA83" i="6" s="1"/>
  <c r="G85" i="6"/>
  <c r="AB84" i="6"/>
  <c r="Z84" i="6"/>
  <c r="AC83" i="6"/>
  <c r="Z83" i="6"/>
  <c r="U70" i="6"/>
  <c r="I70" i="6"/>
  <c r="G70" i="6"/>
  <c r="G69" i="6"/>
  <c r="I69" i="6" s="1"/>
  <c r="I68" i="6"/>
  <c r="AA64" i="6" s="1"/>
  <c r="G68" i="6"/>
  <c r="G67" i="6"/>
  <c r="I67" i="6" s="1"/>
  <c r="U66" i="6"/>
  <c r="I66" i="6"/>
  <c r="AB63" i="6" s="1"/>
  <c r="G66" i="6"/>
  <c r="U65" i="6"/>
  <c r="G65" i="6"/>
  <c r="I65" i="6" s="1"/>
  <c r="AC64" i="6"/>
  <c r="Z64" i="6"/>
  <c r="AA63" i="6"/>
  <c r="Z63" i="6"/>
  <c r="G50" i="6"/>
  <c r="I50" i="6" s="1"/>
  <c r="AC44" i="6" s="1"/>
  <c r="G49" i="6"/>
  <c r="I49" i="6" s="1"/>
  <c r="U48" i="6"/>
  <c r="G48" i="6"/>
  <c r="I48" i="6" s="1"/>
  <c r="I47" i="6"/>
  <c r="G47" i="6"/>
  <c r="G46" i="6"/>
  <c r="I46" i="6" s="1"/>
  <c r="U46" i="6" s="1"/>
  <c r="G45" i="6"/>
  <c r="I45" i="6" s="1"/>
  <c r="U45" i="6" s="1"/>
  <c r="AA44" i="6"/>
  <c r="Z44" i="6"/>
  <c r="AA43" i="6"/>
  <c r="Z43" i="6"/>
  <c r="G30" i="6"/>
  <c r="I30" i="6" s="1"/>
  <c r="U30" i="6" s="1"/>
  <c r="U29" i="6"/>
  <c r="I29" i="6"/>
  <c r="G29" i="6"/>
  <c r="G28" i="6"/>
  <c r="I28" i="6" s="1"/>
  <c r="I27" i="6"/>
  <c r="U27" i="6" s="1"/>
  <c r="G27" i="6"/>
  <c r="G26" i="6"/>
  <c r="I26" i="6" s="1"/>
  <c r="G25" i="6"/>
  <c r="I25" i="6" s="1"/>
  <c r="AB24" i="6"/>
  <c r="Z24" i="6"/>
  <c r="AC23" i="6"/>
  <c r="Z23" i="6"/>
  <c r="G10" i="6"/>
  <c r="I10" i="6" s="1"/>
  <c r="G9" i="6"/>
  <c r="I9" i="6" s="1"/>
  <c r="U9" i="6" s="1"/>
  <c r="G8" i="6"/>
  <c r="I8" i="6" s="1"/>
  <c r="G7" i="6"/>
  <c r="I7" i="6" s="1"/>
  <c r="U7" i="6" s="1"/>
  <c r="I6" i="6"/>
  <c r="AB3" i="6" s="1"/>
  <c r="G6" i="6"/>
  <c r="I5" i="6"/>
  <c r="U5" i="6" s="1"/>
  <c r="G5" i="6"/>
  <c r="AB4" i="6"/>
  <c r="Z4" i="6"/>
  <c r="AA3" i="6"/>
  <c r="Z3" i="6"/>
  <c r="AA23" i="6" l="1"/>
  <c r="U25" i="6"/>
  <c r="V8" i="6"/>
  <c r="W8" i="6"/>
  <c r="W6" i="6"/>
  <c r="U26" i="6"/>
  <c r="AB23" i="6"/>
  <c r="U28" i="6"/>
  <c r="AA24" i="6"/>
  <c r="AD24" i="6" s="1"/>
  <c r="AA84" i="6"/>
  <c r="U88" i="6"/>
  <c r="AA4" i="6"/>
  <c r="U8" i="6"/>
  <c r="V9" i="6" s="1"/>
  <c r="U129" i="6"/>
  <c r="W130" i="6" s="1"/>
  <c r="AB124" i="6"/>
  <c r="AD124" i="6" s="1"/>
  <c r="U10" i="6"/>
  <c r="AC4" i="6"/>
  <c r="U49" i="6"/>
  <c r="AB44" i="6"/>
  <c r="AD44" i="6" s="1"/>
  <c r="V89" i="6"/>
  <c r="AB43" i="6"/>
  <c r="U69" i="6"/>
  <c r="AB64" i="6"/>
  <c r="AD64" i="6" s="1"/>
  <c r="AC84" i="6"/>
  <c r="AC103" i="6"/>
  <c r="U130" i="6"/>
  <c r="V130" i="6" s="1"/>
  <c r="U47" i="6"/>
  <c r="W45" i="6" s="1"/>
  <c r="AC43" i="6"/>
  <c r="AD43" i="6" s="1"/>
  <c r="W67" i="6"/>
  <c r="AC3" i="6"/>
  <c r="AD3" i="6" s="1"/>
  <c r="U6" i="6"/>
  <c r="V6" i="6" s="1"/>
  <c r="U67" i="6"/>
  <c r="V65" i="6" s="1"/>
  <c r="AC63" i="6"/>
  <c r="AD63" i="6" s="1"/>
  <c r="AB83" i="6"/>
  <c r="AD83" i="6" s="1"/>
  <c r="U86" i="6"/>
  <c r="W90" i="6" s="1"/>
  <c r="W88" i="6"/>
  <c r="AA103" i="6"/>
  <c r="AD103" i="6" s="1"/>
  <c r="U105" i="6"/>
  <c r="U110" i="6"/>
  <c r="AC104" i="6"/>
  <c r="AD104" i="6" s="1"/>
  <c r="AD123" i="6"/>
  <c r="U127" i="6"/>
  <c r="AC123" i="6"/>
  <c r="U147" i="6"/>
  <c r="V147" i="6" s="1"/>
  <c r="AC143" i="6"/>
  <c r="W70" i="6"/>
  <c r="W68" i="6"/>
  <c r="V68" i="6"/>
  <c r="V66" i="6"/>
  <c r="V90" i="6"/>
  <c r="V88" i="6"/>
  <c r="V86" i="6"/>
  <c r="W89" i="6"/>
  <c r="W87" i="6"/>
  <c r="V85" i="6"/>
  <c r="AB103" i="6"/>
  <c r="AD143" i="6"/>
  <c r="AC24" i="6"/>
  <c r="U50" i="6"/>
  <c r="V47" i="6" s="1"/>
  <c r="U68" i="6"/>
  <c r="W69" i="6"/>
  <c r="W86" i="6"/>
  <c r="V127" i="6"/>
  <c r="W127" i="6"/>
  <c r="U149" i="6"/>
  <c r="AB144" i="6"/>
  <c r="AD144" i="6" s="1"/>
  <c r="V146" i="6" l="1"/>
  <c r="W48" i="6"/>
  <c r="V125" i="6"/>
  <c r="W129" i="6"/>
  <c r="W125" i="6"/>
  <c r="W47" i="6"/>
  <c r="V46" i="6"/>
  <c r="V7" i="6"/>
  <c r="V10" i="6"/>
  <c r="V45" i="6"/>
  <c r="AA48" i="6" s="1"/>
  <c r="V129" i="6"/>
  <c r="V148" i="6"/>
  <c r="W128" i="6"/>
  <c r="V70" i="6"/>
  <c r="V150" i="6"/>
  <c r="W50" i="6"/>
  <c r="V49" i="6"/>
  <c r="AD4" i="6"/>
  <c r="V69" i="6"/>
  <c r="W49" i="6"/>
  <c r="W10" i="6"/>
  <c r="W9" i="6"/>
  <c r="W5" i="6"/>
  <c r="W29" i="6"/>
  <c r="W27" i="6"/>
  <c r="V25" i="6"/>
  <c r="V29" i="6"/>
  <c r="W28" i="6"/>
  <c r="W30" i="6"/>
  <c r="V28" i="6"/>
  <c r="V27" i="6"/>
  <c r="W25" i="6"/>
  <c r="V26" i="6"/>
  <c r="V30" i="6"/>
  <c r="W26" i="6"/>
  <c r="W147" i="6"/>
  <c r="V145" i="6"/>
  <c r="W149" i="6"/>
  <c r="W148" i="6"/>
  <c r="V48" i="6"/>
  <c r="W126" i="6"/>
  <c r="W150" i="6"/>
  <c r="V126" i="6"/>
  <c r="V128" i="6"/>
  <c r="V87" i="6"/>
  <c r="V67" i="6"/>
  <c r="W85" i="6"/>
  <c r="W65" i="6"/>
  <c r="W66" i="6"/>
  <c r="W109" i="6"/>
  <c r="W107" i="6"/>
  <c r="V105" i="6"/>
  <c r="V109" i="6"/>
  <c r="V107" i="6"/>
  <c r="V110" i="6"/>
  <c r="W105" i="6"/>
  <c r="W106" i="6"/>
  <c r="W110" i="6"/>
  <c r="V108" i="6"/>
  <c r="W108" i="6"/>
  <c r="V106" i="6"/>
  <c r="W145" i="6"/>
  <c r="W146" i="6"/>
  <c r="V149" i="6"/>
  <c r="W46" i="6"/>
  <c r="AD84" i="6"/>
  <c r="V50" i="6"/>
  <c r="V5" i="6"/>
  <c r="W7" i="6"/>
  <c r="AD23" i="6"/>
  <c r="AA108" i="6" l="1"/>
  <c r="AA106" i="6"/>
  <c r="AA107" i="6"/>
  <c r="AA128" i="6"/>
  <c r="AA126" i="6"/>
  <c r="AA127" i="6"/>
  <c r="AA67" i="6"/>
  <c r="AA68" i="6"/>
  <c r="AA66" i="6"/>
  <c r="AA28" i="6"/>
  <c r="AA27" i="6"/>
  <c r="AA26" i="6"/>
  <c r="AA47" i="6"/>
  <c r="AA87" i="6"/>
  <c r="AA88" i="6"/>
  <c r="AA86" i="6"/>
  <c r="AA7" i="6"/>
  <c r="AA6" i="6"/>
  <c r="AA8" i="6"/>
  <c r="AA46" i="6"/>
  <c r="AA148" i="6"/>
  <c r="AA146" i="6"/>
  <c r="AA147" i="6"/>
  <c r="AA30" i="6" l="1"/>
  <c r="AA29" i="6"/>
  <c r="AA89" i="6"/>
  <c r="AA90" i="6"/>
  <c r="AA150" i="6"/>
  <c r="AA149" i="6"/>
  <c r="AA9" i="6"/>
  <c r="AA10" i="6"/>
  <c r="AA110" i="6"/>
  <c r="AA109" i="6"/>
  <c r="AA50" i="6"/>
  <c r="AA49" i="6"/>
  <c r="AA69" i="6"/>
  <c r="AA70" i="6"/>
  <c r="AA130" i="6"/>
  <c r="AA129" i="6"/>
  <c r="I83" i="2" l="1"/>
  <c r="I82" i="2"/>
  <c r="I81" i="2"/>
  <c r="I24" i="2"/>
  <c r="I25" i="2"/>
  <c r="I26" i="2"/>
  <c r="F21" i="1" l="1"/>
  <c r="E21" i="1"/>
  <c r="D21" i="1"/>
  <c r="A21" i="1"/>
  <c r="AA146" i="2"/>
  <c r="AA145" i="2"/>
  <c r="AA144" i="2"/>
  <c r="AA143" i="2"/>
  <c r="AA142" i="2"/>
  <c r="AD140" i="2"/>
  <c r="AC140" i="2"/>
  <c r="AB140" i="2"/>
  <c r="AA140" i="2"/>
  <c r="Z140" i="2"/>
  <c r="AD139" i="2"/>
  <c r="AC139" i="2"/>
  <c r="AB139" i="2"/>
  <c r="AA139" i="2"/>
  <c r="Z139" i="2"/>
  <c r="AD138" i="2"/>
  <c r="AC138" i="2"/>
  <c r="AB138" i="2"/>
  <c r="AA138" i="2"/>
  <c r="Z138" i="2"/>
  <c r="AD137" i="2"/>
  <c r="AC137" i="2"/>
  <c r="AB137" i="2"/>
  <c r="AA137" i="2"/>
  <c r="Z137" i="2"/>
  <c r="AD136" i="2"/>
  <c r="AC136" i="2"/>
  <c r="AB136" i="2"/>
  <c r="AA136" i="2"/>
  <c r="Z136" i="2"/>
  <c r="H11" i="1"/>
  <c r="A12" i="1"/>
  <c r="AA127" i="2"/>
  <c r="AA126" i="2"/>
  <c r="AA125" i="2"/>
  <c r="AA124" i="2"/>
  <c r="AA123" i="2"/>
  <c r="AD121" i="2"/>
  <c r="AC121" i="2"/>
  <c r="AB121" i="2"/>
  <c r="AA121" i="2"/>
  <c r="Z121" i="2"/>
  <c r="AD120" i="2"/>
  <c r="AC120" i="2"/>
  <c r="AB120" i="2"/>
  <c r="AA120" i="2"/>
  <c r="Z120" i="2"/>
  <c r="AD119" i="2"/>
  <c r="AC119" i="2"/>
  <c r="AB119" i="2"/>
  <c r="AA119" i="2"/>
  <c r="Z119" i="2"/>
  <c r="AD118" i="2"/>
  <c r="AC118" i="2"/>
  <c r="AB118" i="2"/>
  <c r="AA118" i="2"/>
  <c r="Z118" i="2"/>
  <c r="AD117" i="2"/>
  <c r="AC117" i="2"/>
  <c r="AB117" i="2"/>
  <c r="AA117" i="2"/>
  <c r="Z117" i="2"/>
  <c r="H10" i="1"/>
  <c r="A11" i="1"/>
  <c r="AA108" i="2"/>
  <c r="AA107" i="2"/>
  <c r="AA106" i="2"/>
  <c r="AA105" i="2"/>
  <c r="AA104" i="2"/>
  <c r="AD102" i="2"/>
  <c r="AC102" i="2"/>
  <c r="AB102" i="2"/>
  <c r="AA102" i="2"/>
  <c r="Z102" i="2"/>
  <c r="AD101" i="2"/>
  <c r="AC101" i="2"/>
  <c r="AB101" i="2"/>
  <c r="AA101" i="2"/>
  <c r="Z101" i="2"/>
  <c r="AD100" i="2"/>
  <c r="AC100" i="2"/>
  <c r="AB100" i="2"/>
  <c r="AA100" i="2"/>
  <c r="Z100" i="2"/>
  <c r="AD99" i="2"/>
  <c r="AC99" i="2"/>
  <c r="AB99" i="2"/>
  <c r="AA99" i="2"/>
  <c r="Z99" i="2"/>
  <c r="AD98" i="2"/>
  <c r="AC98" i="2"/>
  <c r="AB98" i="2"/>
  <c r="AA98" i="2"/>
  <c r="Z98" i="2"/>
  <c r="A10" i="1"/>
  <c r="AD83" i="2"/>
  <c r="AC83" i="2"/>
  <c r="AB83" i="2"/>
  <c r="AA83" i="2"/>
  <c r="Z83" i="2"/>
  <c r="AD82" i="2"/>
  <c r="AC82" i="2"/>
  <c r="AB82" i="2"/>
  <c r="AA82" i="2"/>
  <c r="Z82" i="2"/>
  <c r="AD81" i="2"/>
  <c r="AC81" i="2"/>
  <c r="AB81" i="2"/>
  <c r="AA81" i="2"/>
  <c r="Z81" i="2"/>
  <c r="AD80" i="2"/>
  <c r="AC80" i="2"/>
  <c r="AB80" i="2"/>
  <c r="AA80" i="2"/>
  <c r="Z80" i="2"/>
  <c r="AC79" i="2"/>
  <c r="AB79" i="2"/>
  <c r="AA79" i="2"/>
  <c r="AD79" i="2" s="1"/>
  <c r="Z79" i="2"/>
  <c r="H8" i="1"/>
  <c r="A9" i="1"/>
  <c r="AA70" i="2"/>
  <c r="AA69" i="2"/>
  <c r="AA68" i="2"/>
  <c r="AA67" i="2"/>
  <c r="AA66" i="2"/>
  <c r="AD64" i="2"/>
  <c r="AC64" i="2"/>
  <c r="AB64" i="2"/>
  <c r="AA64" i="2"/>
  <c r="Z64" i="2"/>
  <c r="AD63" i="2"/>
  <c r="AC63" i="2"/>
  <c r="AB63" i="2"/>
  <c r="AA63" i="2"/>
  <c r="Z63" i="2"/>
  <c r="AD62" i="2"/>
  <c r="AC62" i="2"/>
  <c r="AB62" i="2"/>
  <c r="AA62" i="2"/>
  <c r="Z62" i="2"/>
  <c r="AD61" i="2"/>
  <c r="AC61" i="2"/>
  <c r="AB61" i="2"/>
  <c r="AA61" i="2"/>
  <c r="Z61" i="2"/>
  <c r="AD60" i="2"/>
  <c r="AC60" i="2"/>
  <c r="AB60" i="2"/>
  <c r="AA60" i="2"/>
  <c r="Z60" i="2"/>
  <c r="H7" i="1"/>
  <c r="A8" i="1"/>
  <c r="AA51" i="2"/>
  <c r="AA50" i="2"/>
  <c r="AA49" i="2"/>
  <c r="AA48" i="2"/>
  <c r="AA47" i="2"/>
  <c r="AD45" i="2"/>
  <c r="AC45" i="2"/>
  <c r="AB45" i="2"/>
  <c r="AA45" i="2"/>
  <c r="Z45" i="2"/>
  <c r="AD44" i="2"/>
  <c r="AC44" i="2"/>
  <c r="AB44" i="2"/>
  <c r="AA44" i="2"/>
  <c r="Z44" i="2"/>
  <c r="AD43" i="2"/>
  <c r="AC43" i="2"/>
  <c r="AB43" i="2"/>
  <c r="AA43" i="2"/>
  <c r="Z43" i="2"/>
  <c r="AD42" i="2"/>
  <c r="AC42" i="2"/>
  <c r="AB42" i="2"/>
  <c r="AA42" i="2"/>
  <c r="Z42" i="2"/>
  <c r="AD41" i="2"/>
  <c r="AC41" i="2"/>
  <c r="AB41" i="2"/>
  <c r="AA41" i="2"/>
  <c r="Z41" i="2"/>
  <c r="H6" i="1"/>
  <c r="A7" i="1"/>
  <c r="AD26" i="2"/>
  <c r="AC26" i="2"/>
  <c r="AB26" i="2"/>
  <c r="AA26" i="2"/>
  <c r="Z26" i="2"/>
  <c r="AD25" i="2"/>
  <c r="AC25" i="2"/>
  <c r="AB25" i="2"/>
  <c r="AA25" i="2"/>
  <c r="Z25" i="2"/>
  <c r="AD24" i="2"/>
  <c r="AC24" i="2"/>
  <c r="AB24" i="2"/>
  <c r="AA24" i="2"/>
  <c r="Z24" i="2"/>
  <c r="AD23" i="2"/>
  <c r="AC23" i="2"/>
  <c r="AB23" i="2"/>
  <c r="AA23" i="2"/>
  <c r="Z23" i="2"/>
  <c r="AC22" i="2"/>
  <c r="AB22" i="2"/>
  <c r="AA22" i="2"/>
  <c r="Z22" i="2"/>
  <c r="A6" i="1"/>
  <c r="AA13" i="2"/>
  <c r="AA12" i="2"/>
  <c r="AA11" i="2"/>
  <c r="AA10" i="2"/>
  <c r="AA9" i="2"/>
  <c r="AD7" i="2"/>
  <c r="AC7" i="2"/>
  <c r="AB7" i="2"/>
  <c r="AA7" i="2"/>
  <c r="Z7" i="2"/>
  <c r="AD6" i="2"/>
  <c r="AC6" i="2"/>
  <c r="AB6" i="2"/>
  <c r="AA6" i="2"/>
  <c r="Z6" i="2"/>
  <c r="AD5" i="2"/>
  <c r="AC5" i="2"/>
  <c r="AB5" i="2"/>
  <c r="AA5" i="2"/>
  <c r="Z5" i="2"/>
  <c r="AD4" i="2"/>
  <c r="AC4" i="2"/>
  <c r="AB4" i="2"/>
  <c r="AA4" i="2"/>
  <c r="Z4" i="2"/>
  <c r="AD3" i="2"/>
  <c r="AC3" i="2"/>
  <c r="AB3" i="2"/>
  <c r="AA3" i="2"/>
  <c r="Z3" i="2"/>
  <c r="W152" i="2"/>
  <c r="V152" i="2"/>
  <c r="U152" i="2"/>
  <c r="W147" i="2" s="1"/>
  <c r="I152" i="2"/>
  <c r="G152" i="2"/>
  <c r="W151" i="2"/>
  <c r="V151" i="2"/>
  <c r="U151" i="2"/>
  <c r="I151" i="2"/>
  <c r="G151" i="2"/>
  <c r="W150" i="2"/>
  <c r="V150" i="2"/>
  <c r="U150" i="2"/>
  <c r="I150" i="2"/>
  <c r="G150" i="2"/>
  <c r="W149" i="2"/>
  <c r="V149" i="2"/>
  <c r="U149" i="2"/>
  <c r="I149" i="2"/>
  <c r="G149" i="2"/>
  <c r="W148" i="2"/>
  <c r="V148" i="2"/>
  <c r="U148" i="2"/>
  <c r="I148" i="2"/>
  <c r="G148" i="2"/>
  <c r="V147" i="2"/>
  <c r="U147" i="2"/>
  <c r="I147" i="2"/>
  <c r="G147" i="2"/>
  <c r="V146" i="2"/>
  <c r="U146" i="2"/>
  <c r="I146" i="2"/>
  <c r="G146" i="2"/>
  <c r="V145" i="2"/>
  <c r="U145" i="2"/>
  <c r="I145" i="2"/>
  <c r="G145" i="2"/>
  <c r="V144" i="2"/>
  <c r="U144" i="2"/>
  <c r="I144" i="2"/>
  <c r="G144" i="2"/>
  <c r="V143" i="2"/>
  <c r="U143" i="2"/>
  <c r="I143" i="2"/>
  <c r="G143" i="2"/>
  <c r="V142" i="2"/>
  <c r="U142" i="2"/>
  <c r="I142" i="2"/>
  <c r="G142" i="2"/>
  <c r="V141" i="2"/>
  <c r="U141" i="2"/>
  <c r="I141" i="2"/>
  <c r="G141" i="2"/>
  <c r="V140" i="2"/>
  <c r="U140" i="2"/>
  <c r="I140" i="2"/>
  <c r="G140" i="2"/>
  <c r="V139" i="2"/>
  <c r="U139" i="2"/>
  <c r="I139" i="2"/>
  <c r="G139" i="2"/>
  <c r="V138" i="2"/>
  <c r="U138" i="2"/>
  <c r="I138" i="2"/>
  <c r="G138" i="2"/>
  <c r="W133" i="2"/>
  <c r="V133" i="2"/>
  <c r="U133" i="2"/>
  <c r="W130" i="2" s="1"/>
  <c r="I133" i="2"/>
  <c r="G133" i="2"/>
  <c r="W132" i="2"/>
  <c r="V132" i="2"/>
  <c r="U132" i="2"/>
  <c r="I132" i="2"/>
  <c r="G132" i="2"/>
  <c r="U131" i="2"/>
  <c r="I131" i="2"/>
  <c r="G131" i="2"/>
  <c r="U130" i="2"/>
  <c r="I130" i="2"/>
  <c r="G130" i="2"/>
  <c r="W129" i="2"/>
  <c r="V129" i="2"/>
  <c r="U129" i="2"/>
  <c r="I129" i="2"/>
  <c r="G129" i="2"/>
  <c r="W128" i="2"/>
  <c r="V128" i="2"/>
  <c r="U128" i="2"/>
  <c r="I128" i="2"/>
  <c r="G128" i="2"/>
  <c r="V127" i="2"/>
  <c r="U127" i="2"/>
  <c r="I127" i="2"/>
  <c r="G127" i="2"/>
  <c r="U126" i="2"/>
  <c r="I126" i="2"/>
  <c r="G126" i="2"/>
  <c r="V125" i="2"/>
  <c r="U125" i="2"/>
  <c r="I125" i="2"/>
  <c r="G125" i="2"/>
  <c r="V124" i="2"/>
  <c r="U124" i="2"/>
  <c r="I124" i="2"/>
  <c r="G124" i="2"/>
  <c r="V123" i="2"/>
  <c r="U123" i="2"/>
  <c r="I123" i="2"/>
  <c r="G123" i="2"/>
  <c r="V122" i="2"/>
  <c r="U122" i="2"/>
  <c r="I122" i="2"/>
  <c r="G122" i="2"/>
  <c r="V121" i="2"/>
  <c r="U121" i="2"/>
  <c r="I121" i="2"/>
  <c r="G121" i="2"/>
  <c r="W120" i="2"/>
  <c r="U120" i="2"/>
  <c r="I120" i="2"/>
  <c r="G120" i="2"/>
  <c r="V119" i="2"/>
  <c r="U119" i="2"/>
  <c r="I119" i="2"/>
  <c r="G119" i="2"/>
  <c r="W114" i="2"/>
  <c r="V114" i="2"/>
  <c r="U114" i="2"/>
  <c r="W109" i="2" s="1"/>
  <c r="I114" i="2"/>
  <c r="G114" i="2"/>
  <c r="W113" i="2"/>
  <c r="V113" i="2"/>
  <c r="U113" i="2"/>
  <c r="I113" i="2"/>
  <c r="G113" i="2"/>
  <c r="W112" i="2"/>
  <c r="V112" i="2"/>
  <c r="U112" i="2"/>
  <c r="I112" i="2"/>
  <c r="G112" i="2"/>
  <c r="W111" i="2"/>
  <c r="V111" i="2"/>
  <c r="U111" i="2"/>
  <c r="W106" i="2" s="1"/>
  <c r="I111" i="2"/>
  <c r="G111" i="2"/>
  <c r="W110" i="2"/>
  <c r="V110" i="2"/>
  <c r="U110" i="2"/>
  <c r="I110" i="2"/>
  <c r="G110" i="2"/>
  <c r="V109" i="2"/>
  <c r="U109" i="2"/>
  <c r="I109" i="2"/>
  <c r="G109" i="2"/>
  <c r="V108" i="2"/>
  <c r="U108" i="2"/>
  <c r="I108" i="2"/>
  <c r="G108" i="2"/>
  <c r="W107" i="2"/>
  <c r="U107" i="2"/>
  <c r="I107" i="2"/>
  <c r="G107" i="2"/>
  <c r="V106" i="2"/>
  <c r="U106" i="2"/>
  <c r="I106" i="2"/>
  <c r="G106" i="2"/>
  <c r="V105" i="2"/>
  <c r="U105" i="2"/>
  <c r="I105" i="2"/>
  <c r="G105" i="2"/>
  <c r="U104" i="2"/>
  <c r="I104" i="2"/>
  <c r="G104" i="2"/>
  <c r="U103" i="2"/>
  <c r="I103" i="2"/>
  <c r="G103" i="2"/>
  <c r="V102" i="2"/>
  <c r="U102" i="2"/>
  <c r="I102" i="2"/>
  <c r="G102" i="2"/>
  <c r="U101" i="2"/>
  <c r="I101" i="2"/>
  <c r="G101" i="2"/>
  <c r="V100" i="2"/>
  <c r="U100" i="2"/>
  <c r="I100" i="2"/>
  <c r="G100" i="2"/>
  <c r="U95" i="2"/>
  <c r="I95" i="2"/>
  <c r="G95" i="2"/>
  <c r="U94" i="2"/>
  <c r="I94" i="2"/>
  <c r="G94" i="2"/>
  <c r="U93" i="2"/>
  <c r="I93" i="2"/>
  <c r="G93" i="2"/>
  <c r="U92" i="2"/>
  <c r="I92" i="2"/>
  <c r="G92" i="2"/>
  <c r="U91" i="2"/>
  <c r="I91" i="2"/>
  <c r="G91" i="2"/>
  <c r="U90" i="2"/>
  <c r="I90" i="2"/>
  <c r="G90" i="2"/>
  <c r="U89" i="2"/>
  <c r="I89" i="2"/>
  <c r="G89" i="2"/>
  <c r="U88" i="2"/>
  <c r="I88" i="2"/>
  <c r="G88" i="2"/>
  <c r="U87" i="2"/>
  <c r="I87" i="2"/>
  <c r="G87" i="2"/>
  <c r="U86" i="2"/>
  <c r="I86" i="2"/>
  <c r="G86" i="2"/>
  <c r="U85" i="2"/>
  <c r="I85" i="2"/>
  <c r="G85" i="2"/>
  <c r="U84" i="2"/>
  <c r="I84" i="2"/>
  <c r="G84" i="2"/>
  <c r="U83" i="2"/>
  <c r="G83" i="2"/>
  <c r="U82" i="2"/>
  <c r="G82" i="2"/>
  <c r="U81" i="2"/>
  <c r="G81" i="2"/>
  <c r="W76" i="2"/>
  <c r="V76" i="2"/>
  <c r="U76" i="2"/>
  <c r="I76" i="2"/>
  <c r="G76" i="2"/>
  <c r="W75" i="2"/>
  <c r="V75" i="2"/>
  <c r="U75" i="2"/>
  <c r="W70" i="2" s="1"/>
  <c r="I75" i="2"/>
  <c r="G75" i="2"/>
  <c r="W74" i="2"/>
  <c r="V74" i="2"/>
  <c r="U74" i="2"/>
  <c r="I74" i="2"/>
  <c r="G74" i="2"/>
  <c r="W73" i="2"/>
  <c r="V73" i="2"/>
  <c r="U73" i="2"/>
  <c r="I73" i="2"/>
  <c r="G73" i="2"/>
  <c r="W72" i="2"/>
  <c r="V72" i="2"/>
  <c r="U72" i="2"/>
  <c r="I72" i="2"/>
  <c r="G72" i="2"/>
  <c r="W71" i="2"/>
  <c r="V71" i="2"/>
  <c r="U71" i="2"/>
  <c r="I71" i="2"/>
  <c r="G71" i="2"/>
  <c r="V70" i="2"/>
  <c r="U70" i="2"/>
  <c r="I70" i="2"/>
  <c r="G70" i="2"/>
  <c r="V69" i="2"/>
  <c r="U69" i="2"/>
  <c r="I69" i="2"/>
  <c r="G69" i="2"/>
  <c r="U68" i="2"/>
  <c r="I68" i="2"/>
  <c r="G68" i="2"/>
  <c r="U67" i="2"/>
  <c r="I67" i="2"/>
  <c r="G67" i="2"/>
  <c r="U66" i="2"/>
  <c r="I66" i="2"/>
  <c r="G66" i="2"/>
  <c r="U65" i="2"/>
  <c r="I65" i="2"/>
  <c r="G65" i="2"/>
  <c r="U64" i="2"/>
  <c r="I64" i="2"/>
  <c r="G64" i="2"/>
  <c r="U63" i="2"/>
  <c r="I63" i="2"/>
  <c r="G63" i="2"/>
  <c r="U62" i="2"/>
  <c r="I62" i="2"/>
  <c r="G62" i="2"/>
  <c r="W57" i="2"/>
  <c r="V57" i="2"/>
  <c r="U57" i="2"/>
  <c r="I57" i="2"/>
  <c r="G57" i="2"/>
  <c r="W56" i="2"/>
  <c r="V56" i="2"/>
  <c r="U56" i="2"/>
  <c r="W51" i="2" s="1"/>
  <c r="I56" i="2"/>
  <c r="G56" i="2"/>
  <c r="W55" i="2"/>
  <c r="V55" i="2"/>
  <c r="U55" i="2"/>
  <c r="I55" i="2"/>
  <c r="G55" i="2"/>
  <c r="W54" i="2"/>
  <c r="V54" i="2"/>
  <c r="U54" i="2"/>
  <c r="I54" i="2"/>
  <c r="G54" i="2"/>
  <c r="W53" i="2"/>
  <c r="V53" i="2"/>
  <c r="U53" i="2"/>
  <c r="I53" i="2"/>
  <c r="G53" i="2"/>
  <c r="W52" i="2"/>
  <c r="V52" i="2"/>
  <c r="U52" i="2"/>
  <c r="I52" i="2"/>
  <c r="G52" i="2"/>
  <c r="V51" i="2"/>
  <c r="U51" i="2"/>
  <c r="I51" i="2"/>
  <c r="G51" i="2"/>
  <c r="V50" i="2"/>
  <c r="U50" i="2"/>
  <c r="I50" i="2"/>
  <c r="G50" i="2"/>
  <c r="V49" i="2"/>
  <c r="U49" i="2"/>
  <c r="I49" i="2"/>
  <c r="G49" i="2"/>
  <c r="V48" i="2"/>
  <c r="U48" i="2"/>
  <c r="I48" i="2"/>
  <c r="G48" i="2"/>
  <c r="V47" i="2"/>
  <c r="U47" i="2"/>
  <c r="I47" i="2"/>
  <c r="G47" i="2"/>
  <c r="V46" i="2"/>
  <c r="U46" i="2"/>
  <c r="I46" i="2"/>
  <c r="G46" i="2"/>
  <c r="V45" i="2"/>
  <c r="U45" i="2"/>
  <c r="I45" i="2"/>
  <c r="G45" i="2"/>
  <c r="V44" i="2"/>
  <c r="U44" i="2"/>
  <c r="I44" i="2"/>
  <c r="G44" i="2"/>
  <c r="V43" i="2"/>
  <c r="U43" i="2"/>
  <c r="I43" i="2"/>
  <c r="G43" i="2"/>
  <c r="U38" i="2"/>
  <c r="I38" i="2"/>
  <c r="G38" i="2"/>
  <c r="U37" i="2"/>
  <c r="I37" i="2"/>
  <c r="G37" i="2"/>
  <c r="U36" i="2"/>
  <c r="I36" i="2"/>
  <c r="G36" i="2"/>
  <c r="U35" i="2"/>
  <c r="I35" i="2"/>
  <c r="G35" i="2"/>
  <c r="U34" i="2"/>
  <c r="I34" i="2"/>
  <c r="G34" i="2"/>
  <c r="U33" i="2"/>
  <c r="I33" i="2"/>
  <c r="G33" i="2"/>
  <c r="U32" i="2"/>
  <c r="I32" i="2"/>
  <c r="G32" i="2"/>
  <c r="U31" i="2"/>
  <c r="I31" i="2"/>
  <c r="G31" i="2"/>
  <c r="U30" i="2"/>
  <c r="I30" i="2"/>
  <c r="G30" i="2"/>
  <c r="U29" i="2"/>
  <c r="I29" i="2"/>
  <c r="G29" i="2"/>
  <c r="U28" i="2"/>
  <c r="I28" i="2"/>
  <c r="G28" i="2"/>
  <c r="U27" i="2"/>
  <c r="I27" i="2"/>
  <c r="G27" i="2"/>
  <c r="U26" i="2"/>
  <c r="G26" i="2"/>
  <c r="U25" i="2"/>
  <c r="G25" i="2"/>
  <c r="U24" i="2"/>
  <c r="G24" i="2"/>
  <c r="W19" i="2"/>
  <c r="V19" i="2"/>
  <c r="U19" i="2"/>
  <c r="W14" i="2" s="1"/>
  <c r="I19" i="2"/>
  <c r="G19" i="2"/>
  <c r="W18" i="2"/>
  <c r="V18" i="2"/>
  <c r="U18" i="2"/>
  <c r="I18" i="2"/>
  <c r="G18" i="2"/>
  <c r="W17" i="2"/>
  <c r="V17" i="2"/>
  <c r="U17" i="2"/>
  <c r="I17" i="2"/>
  <c r="G17" i="2"/>
  <c r="W16" i="2"/>
  <c r="V16" i="2"/>
  <c r="U16" i="2"/>
  <c r="I16" i="2"/>
  <c r="G16" i="2"/>
  <c r="W15" i="2"/>
  <c r="V15" i="2"/>
  <c r="U15" i="2"/>
  <c r="I15" i="2"/>
  <c r="G15" i="2"/>
  <c r="V14" i="2"/>
  <c r="U14" i="2"/>
  <c r="I14" i="2"/>
  <c r="G14" i="2"/>
  <c r="V13" i="2"/>
  <c r="U13" i="2"/>
  <c r="I13" i="2"/>
  <c r="G13" i="2"/>
  <c r="V12" i="2"/>
  <c r="U12" i="2"/>
  <c r="I12" i="2"/>
  <c r="G12" i="2"/>
  <c r="V11" i="2"/>
  <c r="U11" i="2"/>
  <c r="I11" i="2"/>
  <c r="G11" i="2"/>
  <c r="V10" i="2"/>
  <c r="U10" i="2"/>
  <c r="I10" i="2"/>
  <c r="G10" i="2"/>
  <c r="V9" i="2"/>
  <c r="U9" i="2"/>
  <c r="I9" i="2"/>
  <c r="G9" i="2"/>
  <c r="V8" i="2"/>
  <c r="U8" i="2"/>
  <c r="I8" i="2"/>
  <c r="G8" i="2"/>
  <c r="V7" i="2"/>
  <c r="U7" i="2"/>
  <c r="I7" i="2"/>
  <c r="G7" i="2"/>
  <c r="U6" i="2"/>
  <c r="I6" i="2"/>
  <c r="G6" i="2"/>
  <c r="U5" i="2"/>
  <c r="I5" i="2"/>
  <c r="G5" i="2"/>
  <c r="W95" i="2" l="1"/>
  <c r="W86" i="2"/>
  <c r="V89" i="2"/>
  <c r="V93" i="2"/>
  <c r="W94" i="2"/>
  <c r="V83" i="2"/>
  <c r="V92" i="2"/>
  <c r="W93" i="2"/>
  <c r="V88" i="2"/>
  <c r="V91" i="2"/>
  <c r="W92" i="2"/>
  <c r="W85" i="2"/>
  <c r="W91" i="2"/>
  <c r="W90" i="2"/>
  <c r="W87" i="2"/>
  <c r="V90" i="2"/>
  <c r="V95" i="2"/>
  <c r="V84" i="2"/>
  <c r="V94" i="2"/>
  <c r="W34" i="2"/>
  <c r="AD22" i="2"/>
  <c r="V36" i="2"/>
  <c r="W33" i="2"/>
  <c r="V24" i="2"/>
  <c r="V27" i="2"/>
  <c r="V30" i="2"/>
  <c r="V33" i="2"/>
  <c r="V38" i="2"/>
  <c r="V37" i="2"/>
  <c r="W26" i="2"/>
  <c r="V29" i="2"/>
  <c r="V32" i="2"/>
  <c r="W37" i="2"/>
  <c r="V35" i="2"/>
  <c r="W36" i="2"/>
  <c r="V25" i="2"/>
  <c r="V28" i="2"/>
  <c r="V31" i="2"/>
  <c r="V34" i="2"/>
  <c r="W35" i="2"/>
  <c r="W38" i="2"/>
  <c r="W146" i="2"/>
  <c r="W145" i="2"/>
  <c r="W144" i="2"/>
  <c r="W143" i="2"/>
  <c r="W142" i="2"/>
  <c r="W141" i="2"/>
  <c r="W140" i="2"/>
  <c r="W139" i="2"/>
  <c r="W138" i="2"/>
  <c r="W131" i="2"/>
  <c r="W127" i="2"/>
  <c r="W126" i="2"/>
  <c r="V126" i="2"/>
  <c r="V131" i="2"/>
  <c r="V130" i="2"/>
  <c r="W125" i="2"/>
  <c r="W119" i="2"/>
  <c r="W124" i="2"/>
  <c r="W123" i="2"/>
  <c r="W122" i="2"/>
  <c r="W121" i="2"/>
  <c r="V120" i="2"/>
  <c r="V103" i="2"/>
  <c r="W108" i="2"/>
  <c r="V101" i="2"/>
  <c r="V104" i="2"/>
  <c r="V107" i="2"/>
  <c r="W105" i="2"/>
  <c r="W104" i="2"/>
  <c r="W103" i="2"/>
  <c r="W102" i="2"/>
  <c r="W101" i="2"/>
  <c r="W100" i="2"/>
  <c r="V81" i="2"/>
  <c r="V86" i="2"/>
  <c r="W89" i="2"/>
  <c r="W82" i="2"/>
  <c r="V85" i="2"/>
  <c r="W88" i="2"/>
  <c r="W81" i="2"/>
  <c r="V87" i="2"/>
  <c r="W84" i="2"/>
  <c r="W83" i="2"/>
  <c r="V82" i="2"/>
  <c r="V65" i="2"/>
  <c r="V63" i="2"/>
  <c r="W69" i="2"/>
  <c r="V64" i="2"/>
  <c r="V68" i="2"/>
  <c r="W66" i="2"/>
  <c r="W67" i="2"/>
  <c r="W65" i="2"/>
  <c r="W68" i="2"/>
  <c r="W64" i="2"/>
  <c r="V62" i="2"/>
  <c r="W63" i="2"/>
  <c r="W62" i="2"/>
  <c r="V67" i="2"/>
  <c r="V66" i="2"/>
  <c r="W50" i="2"/>
  <c r="W49" i="2"/>
  <c r="W48" i="2"/>
  <c r="W47" i="2"/>
  <c r="W46" i="2"/>
  <c r="W45" i="2"/>
  <c r="W44" i="2"/>
  <c r="W43" i="2"/>
  <c r="W32" i="2"/>
  <c r="W31" i="2"/>
  <c r="W25" i="2"/>
  <c r="W30" i="2"/>
  <c r="W29" i="2"/>
  <c r="W28" i="2"/>
  <c r="W27" i="2"/>
  <c r="V26" i="2"/>
  <c r="W24" i="2"/>
  <c r="W13" i="2"/>
  <c r="W12" i="2"/>
  <c r="W11" i="2"/>
  <c r="W10" i="2"/>
  <c r="W9" i="2"/>
  <c r="W8" i="2"/>
  <c r="W7" i="2"/>
  <c r="W5" i="2"/>
  <c r="V6" i="2"/>
  <c r="V5" i="2"/>
  <c r="W6" i="2"/>
  <c r="AA86" i="2" l="1"/>
  <c r="AA87" i="2"/>
  <c r="AA85" i="2"/>
  <c r="AA30" i="2"/>
  <c r="AA29" i="2"/>
  <c r="AA28" i="2"/>
  <c r="AA89" i="2" l="1"/>
  <c r="AA88" i="2"/>
  <c r="AA32" i="2"/>
  <c r="AA31" i="2"/>
</calcChain>
</file>

<file path=xl/sharedStrings.xml><?xml version="1.0" encoding="utf-8"?>
<sst xmlns="http://schemas.openxmlformats.org/spreadsheetml/2006/main" count="1971" uniqueCount="383">
  <si>
    <t>SampleName</t>
  </si>
  <si>
    <t>CompoundName</t>
  </si>
  <si>
    <t>Transition</t>
  </si>
  <si>
    <t>Area</t>
  </si>
  <si>
    <t>ISTD Area</t>
  </si>
  <si>
    <t>ISTDResponseRatio</t>
  </si>
  <si>
    <t>Blank_Human___1_____XP2_Inj 2020Jun24_EPA_003</t>
  </si>
  <si>
    <t>272.11 &gt; 109.993</t>
  </si>
  <si>
    <t>Blank_Human___2_____XP2_Inj 2020Jun24_EPA_003</t>
  </si>
  <si>
    <t>Blank_Human___3_____XP2_Inj 2020Jun24_EPA_003</t>
  </si>
  <si>
    <t>326.017 &gt; 92.884</t>
  </si>
  <si>
    <t>266.036 &gt; 151.918</t>
  </si>
  <si>
    <t>257.246 &gt; 59.921</t>
  </si>
  <si>
    <t>368.03 &gt; 144.95</t>
  </si>
  <si>
    <t>300.039 &gt; 126.905</t>
  </si>
  <si>
    <t>255.947 &gt; 139.855</t>
  </si>
  <si>
    <t>Midazolam</t>
  </si>
  <si>
    <t>326.211 &gt; 291.114</t>
  </si>
  <si>
    <t>Midazolam_Human__0_1_____XP1_Inj 2020Jun24_EPA_016</t>
  </si>
  <si>
    <t>Midazolam_Human__0_2_____XP1_Inj 2020Jun24_EPA_017</t>
  </si>
  <si>
    <t>Midazolam_Human__0_3_____XP1_Inj 2020Jun24_EPA_018</t>
  </si>
  <si>
    <t>Midazolam_Human__120_1_____XP2_Inj 2020Jun24_EPA_004</t>
  </si>
  <si>
    <t>Midazolam_Human__120_2_____XP2_Inj 2020Jun24_EPA_005</t>
  </si>
  <si>
    <t>Midazolam_Human__120_3_____XP2_Inj 2020Jun24_EPA_006</t>
  </si>
  <si>
    <t>Midazolam_Human__15_1_____XP1_Inj 2020Jun24_EPA_013</t>
  </si>
  <si>
    <t>Midazolam_Human__15_2_____XP1_Inj 2020Jun24_EPA_014</t>
  </si>
  <si>
    <t>Midazolam_Human__15_3_____XP1_Inj 2020Jun24_EPA_015</t>
  </si>
  <si>
    <t>Midazolam_Human__30_1_____XP1_Inj 2020Jun24_EPA_010</t>
  </si>
  <si>
    <t>Midazolam_Human__30_2_____XP1_Inj 2020Jun24_EPA_011</t>
  </si>
  <si>
    <t>Midazolam_Human__30_3_____XP1_Inj 2020Jun24_EPA_012</t>
  </si>
  <si>
    <t>Midazolam_Human__60_1_____XP1_Inj 2020Jun24_EPA_007</t>
  </si>
  <si>
    <t>Midazolam_Human__60_2_____XP1_Inj 2020Jun24_EPA_008</t>
  </si>
  <si>
    <t>Midazolam_Human__60_3_____XP1_Inj 2020Jun24_EPA_009</t>
  </si>
  <si>
    <t>Compound</t>
  </si>
  <si>
    <t>Control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</si>
  <si>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</si>
  <si>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</si>
  <si>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</si>
  <si>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</si>
  <si>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</si>
  <si>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</si>
  <si>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</si>
  <si>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</si>
  <si>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</si>
  <si>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</si>
  <si>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</si>
  <si>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</si>
  <si>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</si>
  <si>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</si>
  <si>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</si>
  <si>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</si>
  <si>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</si>
  <si>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</si>
  <si>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</si>
  <si>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</si>
  <si>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</si>
  <si>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</si>
  <si>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</si>
  <si>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 xml:space="preserve"> &gt; 480</t>
  </si>
  <si>
    <t>Midazolam - Human</t>
  </si>
  <si>
    <t xml:space="preserve">Points Deleted: (120,-0.2540) (120,-0.1720) (120,-0.4930) </t>
  </si>
  <si>
    <t>DTXSID6047284</t>
  </si>
  <si>
    <t>DTXSID6047284 - Human</t>
  </si>
  <si>
    <t>DTXSID6047284_Human__120_1_____XP2_Inj 2020Jun24_EPA_004</t>
  </si>
  <si>
    <t>DTXSID6047284_Human__120_2_____XP2_Inj 2020Jun24_EPA_005</t>
  </si>
  <si>
    <t>DTXSID6047284_Human__120_3_____XP2_Inj 2020Jun24_EPA_006</t>
  </si>
  <si>
    <t>DTXSID6047284_Human__60_1_____XP1_Inj 2020Jun24_EPA_007</t>
  </si>
  <si>
    <t>DTXSID6047284_Human__60_2_____XP1_Inj 2020Jun24_EPA_008</t>
  </si>
  <si>
    <t>DTXSID6047284_Human__60_3_____XP1_Inj 2020Jun24_EPA_009</t>
  </si>
  <si>
    <t>DTXSID6047284_Human__30_1_____XP1_Inj 2020Jun24_EPA_010</t>
  </si>
  <si>
    <t>DTXSID6047284_Human__30_2_____XP1_Inj 2020Jun24_EPA_011</t>
  </si>
  <si>
    <t>DTXSID6047284_Human__30_3_____XP1_Inj 2020Jun24_EPA_012</t>
  </si>
  <si>
    <t>DTXSID6047284_Human__15_1_____XP1_Inj 2020Jun24_EPA_013</t>
  </si>
  <si>
    <t>DTXSID6047284_Human__15_2_____XP1_Inj 2020Jun24_EPA_014</t>
  </si>
  <si>
    <t>DTXSID6047284_Human__15_3_____XP1_Inj 2020Jun24_EPA_015</t>
  </si>
  <si>
    <t>DTXSID6047284_Human__0_1_____XP1_Inj 2020Jun24_EPA_016</t>
  </si>
  <si>
    <t>DTXSID6047284_Human__0_2_____XP1_Inj 2020Jun24_EPA_017</t>
  </si>
  <si>
    <t>DTXSID6047284_Human__0_3_____XP1_Inj 2020Jun24_EPA_018</t>
  </si>
  <si>
    <t>DTXSID7041966</t>
  </si>
  <si>
    <t>DTXSID7041966 - Human</t>
  </si>
  <si>
    <t>DTXSID7041966_Human__120_1_____XP2_Inj 2020Jun24_EPA_042</t>
  </si>
  <si>
    <t>DTXSID7041966_Human__120_2_____XP2_Inj 2020Jun24_EPA_043</t>
  </si>
  <si>
    <t>DTXSID7041966_Human__120_3_____XP2_Inj 2020Jun24_EPA_044</t>
  </si>
  <si>
    <t>DTXSID7041966_Human__60_1_____XP1_Inj 2020Jun24_EPA_045</t>
  </si>
  <si>
    <t>DTXSID7041966_Human__60_2_____XP1_Inj 2020Jun24_EPA_046</t>
  </si>
  <si>
    <t>DTXSID7041966_Human__60_3_____XP1_Inj 2020Jun24_EPA_047</t>
  </si>
  <si>
    <t>DTXSID7041966_Human__30_1_____XP1_Inj 2020Jun24_EPA_048</t>
  </si>
  <si>
    <t>DTXSID7041966_Human__30_2_____XP1_Inj 2020Jun24_EPA_049</t>
  </si>
  <si>
    <t>DTXSID7041966_Human__30_3_____XP1_Inj 2020Jun24_EPA_050</t>
  </si>
  <si>
    <t>DTXSID7041966_Human__15_1_____XP1_Inj 2020Jun24_EPA_051</t>
  </si>
  <si>
    <t>DTXSID7041966_Human__15_2_____XP1_Inj 2020Jun24_EPA_052</t>
  </si>
  <si>
    <t>DTXSID7041966_Human__15_3_____XP1_Inj 2020Jun24_EPA_053</t>
  </si>
  <si>
    <t>DTXSID7041966_Human__0_1_____XP1_Inj 2020Jun24_EPA_054</t>
  </si>
  <si>
    <t>DTXSID7041966_Human__0_2_____XP1_Inj 2020Jun24_EPA_055</t>
  </si>
  <si>
    <t>DTXSID7041966_Human__0_3_____XP1_Inj 2020Jun24_EPA_056</t>
  </si>
  <si>
    <t>DTXSID3047261</t>
  </si>
  <si>
    <t>DTXSID3047261 - Human</t>
  </si>
  <si>
    <t>DTXSID3047261_Human__120_1_____XP2_Inj 2020Jun24_EPA_004</t>
  </si>
  <si>
    <t>DTXSID3047261_Human__120_2_____XP2_Inj 2020Jun24_EPA_005</t>
  </si>
  <si>
    <t>DTXSID3047261_Human__120_3_____XP2_Inj 2020Jun24_EPA_006</t>
  </si>
  <si>
    <t>DTXSID3047261_Human__60_1_____XP1_Inj 2020Jun24_EPA_007</t>
  </si>
  <si>
    <t>DTXSID3047261_Human__60_2_____XP1_Inj 2020Jun24_EPA_008</t>
  </si>
  <si>
    <t>DTXSID3047261_Human__60_3_____XP1_Inj 2020Jun24_EPA_009</t>
  </si>
  <si>
    <t>DTXSID3047261_Human__30_1_____XP1_Inj 2020Jun24_EPA_010</t>
  </si>
  <si>
    <t>DTXSID3047261_Human__30_2_____XP1_Inj 2020Jun24_EPA_011</t>
  </si>
  <si>
    <t>DTXSID3047261_Human__30_3_____XP1_Inj 2020Jun24_EPA_012</t>
  </si>
  <si>
    <t>DTXSID3047261_Human__15_1_____XP1_Inj 2020Jun24_EPA_013</t>
  </si>
  <si>
    <t>DTXSID3047261_Human__15_2_____XP1_Inj 2020Jun24_EPA_014</t>
  </si>
  <si>
    <t>DTXSID3047261_Human__15_3_____XP1_Inj 2020Jun24_EPA_015</t>
  </si>
  <si>
    <t>DTXSID3047261_Human__0_1_____XP1_Inj 2020Jun24_EPA_016</t>
  </si>
  <si>
    <t>DTXSID3047261_Human__0_2_____XP1_Inj 2020Jun24_EPA_017</t>
  </si>
  <si>
    <t>DTXSID3047261_Human__0_3_____XP1_Inj 2020Jun24_EPA_018</t>
  </si>
  <si>
    <t>DTXSID9041289</t>
  </si>
  <si>
    <t>DTXSID9041289 - Human</t>
  </si>
  <si>
    <t>DTXSID9041289_Human__120_1_____XP2_Inj 2020Jun24_EPA_042</t>
  </si>
  <si>
    <t>DTXSID9041289_Human__120_2_____XP2_Inj 2020Jun24_EPA_043</t>
  </si>
  <si>
    <t>DTXSID9041289_Human__120_3_____XP2_Inj 2020Jun24_EPA_044</t>
  </si>
  <si>
    <t>DTXSID9041289_Human__60_1_____XP1_Inj 2020Jun24_EPA_045</t>
  </si>
  <si>
    <t>DTXSID9041289_Human__60_2_____XP1_Inj 2020Jun24_EPA_046</t>
  </si>
  <si>
    <t>DTXSID9041289_Human__60_3_____XP1_Inj 2020Jun24_EPA_047</t>
  </si>
  <si>
    <t>DTXSID9041289_Human__30_1_____XP1_Inj 2020Jun24_EPA_048</t>
  </si>
  <si>
    <t>DTXSID9041289_Human__30_2_____XP1_Inj 2020Jun24_EPA_049</t>
  </si>
  <si>
    <t>DTXSID9041289_Human__30_3_____XP1_Inj 2020Jun24_EPA_050</t>
  </si>
  <si>
    <t>DTXSID9041289_Human__15_1_____XP1_Inj 2020Jun24_EPA_051</t>
  </si>
  <si>
    <t>DTXSID9041289_Human__15_2_____XP1_Inj 2020Jun24_EPA_052</t>
  </si>
  <si>
    <t>DTXSID9041289_Human__15_3_____XP1_Inj 2020Jun24_EPA_053</t>
  </si>
  <si>
    <t>DTXSID9041289_Human__0_1_____XP1_Inj 2020Jun24_EPA_054</t>
  </si>
  <si>
    <t>DTXSID9041289_Human__0_2_____XP1_Inj 2020Jun24_EPA_055</t>
  </si>
  <si>
    <t>DTXSID9041289_Human__0_3_____XP1_Inj 2020Jun24_EPA_056</t>
  </si>
  <si>
    <t>DTXSID9047542</t>
  </si>
  <si>
    <t>DTXSID9047542 - Human</t>
  </si>
  <si>
    <t>DTXSID9047542_Human__120_1_____XP2_Inj 2020Jun24_EPA_080</t>
  </si>
  <si>
    <t>DTXSID9047542_Human__120_2_____XP2_Inj 2020Jun24_EPA_081</t>
  </si>
  <si>
    <t>DTXSID9047542_Human__120_3_____XP2_Inj 2020Jun24_EPA_082</t>
  </si>
  <si>
    <t>DTXSID9047542_Human__60_1_____XP1_Inj 2020Jun24_EPA_083</t>
  </si>
  <si>
    <t>DTXSID9047542_Human__60_2_____XP1_Inj 2020Jun24_EPA_084</t>
  </si>
  <si>
    <t>DTXSID9047542_Human__60_3_____XP1_Inj 2020Jun24_EPA_085</t>
  </si>
  <si>
    <t>DTXSID9047542_Human__30_1_____XP1_Inj 2020Jun24_EPA_086</t>
  </si>
  <si>
    <t>DTXSID9047542_Human__30_2_____XP1_Inj 2020Jun24_EPA_087</t>
  </si>
  <si>
    <t>DTXSID9047542_Human__30_3_____XP1_Inj 2020Jun24_EPA_088</t>
  </si>
  <si>
    <t>DTXSID9047542_Human__15_1_____XP1_Inj 2020Jun24_EPA_089</t>
  </si>
  <si>
    <t>DTXSID9047542_Human__15_2_____XP1_Inj 2020Jun24_EPA_090</t>
  </si>
  <si>
    <t>DTXSID9047542_Human__15_3_____XP1_Inj 2020Jun24_EPA_091</t>
  </si>
  <si>
    <t>DTXSID9047542_Human__0_1_____XP1_Inj 2020Jun24_EPA_092</t>
  </si>
  <si>
    <t>DTXSID9047542_Human__0_2_____XP1_Inj 2020Jun24_EPA_093</t>
  </si>
  <si>
    <t>DTXSID9047542_Human__0_3_____XP1_Inj 2020Jun24_EPA_094</t>
  </si>
  <si>
    <t>DTXSID7021156</t>
  </si>
  <si>
    <t>DTXSID7021156 - Human</t>
  </si>
  <si>
    <t>DTXSID7021156_Human__120_1_____XP2_Inj 2020Jun24_EPA_118</t>
  </si>
  <si>
    <t>DTXSID7021156_Human__120_2_____XP2_Inj 2020Jun24_EPA_119</t>
  </si>
  <si>
    <t>DTXSID7021156_Human__120_3_____XP2_Inj 2020Jun24_EPA_120</t>
  </si>
  <si>
    <t>DTXSID7021156_Human__60_1_____XP1_Inj 2020Jun24_EPA_121</t>
  </si>
  <si>
    <t>DTXSID7021156_Human__60_2_____XP1_Inj 2020Jun24_EPA_122</t>
  </si>
  <si>
    <t>DTXSID7021156_Human__60_3_____XP1_Inj 2020Jun24_EPA_123</t>
  </si>
  <si>
    <t>DTXSID7021156_Human__30_1_____XP1_Inj 2020Jun24_EPA_124</t>
  </si>
  <si>
    <t>DTXSID7021156_Human__30_2_____XP1_Inj 2020Jun24_EPA_125</t>
  </si>
  <si>
    <t>DTXSID7021156_Human__30_3_____XP1_Inj 2020Jun24_EPA_126</t>
  </si>
  <si>
    <t>DTXSID7021156_Human__15_1_____XP1_Inj 2020Jun24_EPA_127</t>
  </si>
  <si>
    <t>DTXSID7021156_Human__15_2_____XP1_Inj 2020Jun24_EPA_128</t>
  </si>
  <si>
    <t>DTXSID7021156_Human__15_3_____XP1_Inj 2020Jun24_EPA_129</t>
  </si>
  <si>
    <t>DTXSID7021156_Human__0_1_____XP1_Inj 2020Jun24_EPA_130</t>
  </si>
  <si>
    <t>DTXSID7021156_Human__0_2_____XP1_Inj 2020Jun24_EPA_131</t>
  </si>
  <si>
    <t>DTXSID7021156_Human__0_3_____XP1_Inj 2020Jun24_EPA_132</t>
  </si>
  <si>
    <t>DTXSID1042285</t>
  </si>
  <si>
    <t>DTXSID1042285 - Human</t>
  </si>
  <si>
    <t>DTXSID1042285_Human__120_1_____XP2_Inj 2020Jun24_EPA_080</t>
  </si>
  <si>
    <t>DTXSID1042285_Human__120_2_____XP2_Inj 2020Jun24_EPA_081</t>
  </si>
  <si>
    <t>DTXSID1042285_Human__120_3_____XP2_Inj 2020Jun24_EPA_082</t>
  </si>
  <si>
    <t>DTXSID1042285_Human__60_1_____XP1_Inj 2020Jun24_EPA_083</t>
  </si>
  <si>
    <t>DTXSID1042285_Human__60_2_____XP1_Inj 2020Jun24_EPA_084</t>
  </si>
  <si>
    <t>DTXSID1042285_Human__60_3_____XP1_Inj 2020Jun24_EPA_085</t>
  </si>
  <si>
    <t>DTXSID1042285_Human__30_1_____XP1_Inj 2020Jun24_EPA_086</t>
  </si>
  <si>
    <t>DTXSID1042285_Human__30_2_____XP1_Inj 2020Jun24_EPA_087</t>
  </si>
  <si>
    <t>DTXSID1042285_Human__30_3_____XP1_Inj 2020Jun24_EPA_088</t>
  </si>
  <si>
    <t>DTXSID1042285_Human__15_1_____XP1_Inj 2020Jun24_EPA_089</t>
  </si>
  <si>
    <t>DTXSID1042285_Human__15_2_____XP1_Inj 2020Jun24_EPA_090</t>
  </si>
  <si>
    <t>DTXSID1042285_Human__15_3_____XP1_Inj 2020Jun24_EPA_091</t>
  </si>
  <si>
    <t>DTXSID1042285_Human__0_1_____XP1_Inj 2020Jun24_EPA_092</t>
  </si>
  <si>
    <t>DTXSID1042285_Human__0_2_____XP1_Inj 2020Jun24_EPA_093</t>
  </si>
  <si>
    <t>DTXSID1042285_Human__0_3_____XP1_Inj 2020Jun24_EPA_094</t>
  </si>
  <si>
    <t>EPA</t>
  </si>
  <si>
    <t>Test Concentration (µM)</t>
  </si>
  <si>
    <t>Avg % Remaining at Last Point (Control)</t>
  </si>
  <si>
    <t>DTXSID6047284_Human__120_1_____XP2_Inj 2020Jun24_EPA_019</t>
  </si>
  <si>
    <t>DTXSID6047284_Human__120_2_____XP2_Inj 2020Jun24_EPA_020</t>
  </si>
  <si>
    <t>DTXSID6047284_Human__120_3_____XP2_Inj 2020Jun24_EPA_021</t>
  </si>
  <si>
    <t>DTXSID7041966_Human__120_1_____XP2_Inj 2020Jun24_EPA_057</t>
  </si>
  <si>
    <t>DTXSID7041966_Human__120_2_____XP2_Inj 2020Jun24_EPA_058</t>
  </si>
  <si>
    <t>DTXSID7041966_Human__120_3_____XP2_Inj 2020Jun24_EPA_059</t>
  </si>
  <si>
    <t>DTXSID3047261_Human__120_1_____XP2_Inj 2020Jun24_EPA_019</t>
  </si>
  <si>
    <t>DTXSID3047261_Human__120_2_____XP2_Inj 2020Jun24_EPA_020</t>
  </si>
  <si>
    <t>DTXSID3047261_Human__120_3_____XP2_Inj 2020Jun24_EPA_021</t>
  </si>
  <si>
    <t>DTXSID9041289_Human__120_1_____XP2_Inj 2020Jun24_EPA_057</t>
  </si>
  <si>
    <t>DTXSID9041289_Human__120_2_____XP2_Inj 2020Jun24_EPA_058</t>
  </si>
  <si>
    <t>DTXSID9041289_Human__120_3_____XP2_Inj 2020Jun24_EPA_059</t>
  </si>
  <si>
    <t>DTXSID9047542_Human__120_1_____XP2_Inj 2020Jun24_EPA_095</t>
  </si>
  <si>
    <t>DTXSID9047542_Human__120_2_____XP2_Inj 2020Jun24_EPA_096</t>
  </si>
  <si>
    <t>DTXSID9047542_Human__120_3_____XP2_Inj 2020Jun24_EPA_097</t>
  </si>
  <si>
    <t>DTXSID7021156_Human__120_1_____XP2_Inj 2020Jun24_EPA_133</t>
  </si>
  <si>
    <t>DTXSID7021156_Human__120_2_____XP2_Inj 2020Jun24_EPA_134</t>
  </si>
  <si>
    <t>DTXSID7021156_Human__120_3_____XP2_Inj 2020Jun24_EPA_135</t>
  </si>
  <si>
    <t>DTXSID1042285_Human__120_1_____XP2_Inj 2020Jun24_EPA_095</t>
  </si>
  <si>
    <t>DTXSID1042285_Human__120_2_____XP2_Inj 2020Jun24_EPA_096</t>
  </si>
  <si>
    <t>DTXSID1042285_Human__120_3_____XP2_Inj 2020Jun24_EPA_097</t>
  </si>
  <si>
    <t>Midazolam_Human__120_1_____XP2_Inj 2020Jun24_EPA_019</t>
  </si>
  <si>
    <t>Midazolam_Human__120_2_____XP2_Inj 2020Jun24_EPA_020</t>
  </si>
  <si>
    <t>Midazolam_Human__120_3_____XP2_Inj 2020Jun24_EPA_021</t>
  </si>
  <si>
    <t>DTXSID1032484</t>
  </si>
  <si>
    <t>467.004 &gt; 124.816</t>
  </si>
  <si>
    <t>DTXSID6047284_Human__120_1_____XP2_Inj 2020Jun24_EPA_023</t>
  </si>
  <si>
    <t>DTXSID6047284_Human__120_2_____XP2_Inj 2020Jun24_EPA_024</t>
  </si>
  <si>
    <t>DTXSID6047284_Human__120_3_____XP2_Inj 2020Jun24_EPA_025</t>
  </si>
  <si>
    <t>DTXSID6047284_Human__60_1_____XP1_Inj 2020Jun24_EPA_026</t>
  </si>
  <si>
    <t>DTXSID6047284_Human__60_2_____XP1_Inj 2020Jun24_EPA_027</t>
  </si>
  <si>
    <t>DTXSID6047284_Human__60_3_____XP1_Inj 2020Jun24_EPA_028</t>
  </si>
  <si>
    <t>DTXSID6047284_Human__30_1_____XP1_Inj 2020Jun24_EPA_029</t>
  </si>
  <si>
    <t>DTXSID6047284_Human__30_2_____XP1_Inj 2020Jun24_EPA_030</t>
  </si>
  <si>
    <t>DTXSID6047284_Human__30_3_____XP1_Inj 2020Jun24_EPA_031</t>
  </si>
  <si>
    <t>DTXSID6047284_Human__15_1_____XP1_Inj 2020Jun24_EPA_032</t>
  </si>
  <si>
    <t>DTXSID6047284_Human__15_2_____XP1_Inj 2020Jun24_EPA_033</t>
  </si>
  <si>
    <t>DTXSID6047284_Human__15_3_____XP1_Inj 2020Jun24_EPA_034</t>
  </si>
  <si>
    <t>DTXSID6047284_Human__0_1_____XP1_Inj 2020Jun24_EPA_035</t>
  </si>
  <si>
    <t>DTXSID6047284_Human__0_2_____XP1_Inj 2020Jun24_EPA_036</t>
  </si>
  <si>
    <t>DTXSID6047284_Human__0_3_____XP1_Inj 2020Jun24_EPA_037</t>
  </si>
  <si>
    <t>DTXSID7041966_Human__120_1_____XP2_Inj 2020Jun24_EPA_061</t>
  </si>
  <si>
    <t>DTXSID7041966_Human__120_2_____XP2_Inj 2020Jun24_EPA_062</t>
  </si>
  <si>
    <t>DTXSID7041966_Human__120_3_____XP2_Inj 2020Jun24_EPA_063</t>
  </si>
  <si>
    <t>DTXSID7041966_Human__60_1_____XP1_Inj 2020Jun24_EPA_064</t>
  </si>
  <si>
    <t>DTXSID7041966_Human__60_2_____XP1_Inj 2020Jun24_EPA_065</t>
  </si>
  <si>
    <t>DTXSID7041966_Human__60_3_____XP1_Inj 2020Jun24_EPA_066</t>
  </si>
  <si>
    <t>DTXSID7041966_Human__30_1_____XP1_Inj 2020Jun24_EPA_067</t>
  </si>
  <si>
    <t>DTXSID7041966_Human__30_2_____XP1_Inj 2020Jun24_EPA_068</t>
  </si>
  <si>
    <t>DTXSID7041966_Human__30_3_____XP1_Inj 2020Jun24_EPA_069</t>
  </si>
  <si>
    <t>DTXSID7041966_Human__15_1_____XP1_Inj 2020Jun24_EPA_070</t>
  </si>
  <si>
    <t xml:space="preserve">Points Deleted: (120,4.0270) (120,3.9790) (120,4.2150) </t>
  </si>
  <si>
    <t>DTXSID7041966_Human__15_2_____XP1_Inj 2020Jun24_EPA_071</t>
  </si>
  <si>
    <t>DTXSID7041966_Human__15_3_____XP1_Inj 2020Jun24_EPA_072</t>
  </si>
  <si>
    <t>DTXSID7041966_Human__0_1_____XP1_Inj 2020Jun24_EPA_073</t>
  </si>
  <si>
    <t>DTXSID7041966_Human__0_2_____XP1_Inj 2020Jun24_EPA_074</t>
  </si>
  <si>
    <t>DTXSID7041966_Human__0_3_____XP1_Inj 2020Jun24_EPA_075</t>
  </si>
  <si>
    <t>DTXSID1032484 - Human</t>
  </si>
  <si>
    <t>DTXSID1032484_Human__120_1_____XP2_Inj 2020Jun24_EPA_061</t>
  </si>
  <si>
    <t>DTXSID1032484_Human__120_2_____XP2_Inj 2020Jun24_EPA_062</t>
  </si>
  <si>
    <t>DTXSID1032484_Human__120_3_____XP2_Inj 2020Jun24_EPA_063</t>
  </si>
  <si>
    <t>DTXSID1032484_Human__60_1_____XP1_Inj 2020Jun24_EPA_064</t>
  </si>
  <si>
    <t>DTXSID1032484_Human__60_2_____XP1_Inj 2020Jun24_EPA_065</t>
  </si>
  <si>
    <t>DTXSID1032484_Human__60_3_____XP1_Inj 2020Jun24_EPA_066</t>
  </si>
  <si>
    <t>DTXSID1032484_Human__30_1_____XP1_Inj 2020Jun24_EPA_067</t>
  </si>
  <si>
    <t>DTXSID1032484_Human__30_2_____XP1_Inj 2020Jun24_EPA_068</t>
  </si>
  <si>
    <t>DTXSID1032484_Human__30_3_____XP1_Inj 2020Jun24_EPA_069</t>
  </si>
  <si>
    <t>DTXSID1032484_Human__15_1_____XP1_Inj 2020Jun24_EPA_070</t>
  </si>
  <si>
    <t>DTXSID1032484_Human__15_2_____XP1_Inj 2020Jun24_EPA_071</t>
  </si>
  <si>
    <t>DTXSID1032484_Human__15_3_____XP1_Inj 2020Jun24_EPA_072</t>
  </si>
  <si>
    <t>DTXSID1032484_Human__0_1_____XP1_Inj 2020Jun24_EPA_073</t>
  </si>
  <si>
    <t>DTXSID1032484_Human__0_2_____XP1_Inj 2020Jun24_EPA_074</t>
  </si>
  <si>
    <t>DTXSID1032484_Human__0_3_____XP1_Inj 2020Jun24_EPA_075</t>
  </si>
  <si>
    <t>DTXSID3047261_Human__120_1_____XP2_Inj 2020Jun24_EPA_023</t>
  </si>
  <si>
    <t>DTXSID3047261_Human__120_2_____XP2_Inj 2020Jun24_EPA_024</t>
  </si>
  <si>
    <t>DTXSID3047261_Human__120_3_____XP2_Inj 2020Jun24_EPA_025</t>
  </si>
  <si>
    <t>DTXSID3047261_Human__60_1_____XP1_Inj 2020Jun24_EPA_026</t>
  </si>
  <si>
    <t>DTXSID3047261_Human__60_2_____XP1_Inj 2020Jun24_EPA_027</t>
  </si>
  <si>
    <t>DTXSID3047261_Human__60_3_____XP1_Inj 2020Jun24_EPA_028</t>
  </si>
  <si>
    <t>DTXSID3047261_Human__30_1_____XP1_Inj 2020Jun24_EPA_029</t>
  </si>
  <si>
    <t>DTXSID3047261_Human__30_2_____XP1_Inj 2020Jun24_EPA_030</t>
  </si>
  <si>
    <t>DTXSID3047261_Human__30_3_____XP1_Inj 2020Jun24_EPA_031</t>
  </si>
  <si>
    <t>DTXSID3047261_Human__15_1_____XP1_Inj 2020Jun24_EPA_032</t>
  </si>
  <si>
    <t>DTXSID3047261_Human__15_2_____XP1_Inj 2020Jun24_EPA_033</t>
  </si>
  <si>
    <t>DTXSID3047261_Human__15_3_____XP1_Inj 2020Jun24_EPA_034</t>
  </si>
  <si>
    <t>DTXSID3047261_Human__0_1_____XP1_Inj 2020Jun24_EPA_035</t>
  </si>
  <si>
    <t>DTXSID3047261_Human__0_2_____XP1_Inj 2020Jun24_EPA_036</t>
  </si>
  <si>
    <t>DTXSID3047261_Human__0_3_____XP1_Inj 2020Jun24_EPA_037</t>
  </si>
  <si>
    <t>DTXSID9041289_Human__120_1_____XP2_Inj 2020Jun24_EPA_061</t>
  </si>
  <si>
    <t>DTXSID9041289_Human__120_2_____XP2_Inj 2020Jun24_EPA_062</t>
  </si>
  <si>
    <t>DTXSID9041289_Human__120_3_____XP2_Inj 2020Jun24_EPA_063</t>
  </si>
  <si>
    <t>DTXSID9041289_Human__60_1_____XP1_Inj 2020Jun24_EPA_064</t>
  </si>
  <si>
    <t>DTXSID9041289_Human__60_2_____XP1_Inj 2020Jun24_EPA_065</t>
  </si>
  <si>
    <t>DTXSID9041289_Human__60_3_____XP1_Inj 2020Jun24_EPA_066</t>
  </si>
  <si>
    <t>DTXSID9041289_Human__30_1_____XP1_Inj 2020Jun24_EPA_067</t>
  </si>
  <si>
    <t>DTXSID9041289_Human__30_2_____XP1_Inj 2020Jun24_EPA_068</t>
  </si>
  <si>
    <t>DTXSID9041289_Human__30_3_____XP1_Inj 2020Jun24_EPA_069</t>
  </si>
  <si>
    <t>DTXSID9041289_Human__15_1_____XP1_Inj 2020Jun24_EPA_070</t>
  </si>
  <si>
    <t>DTXSID9041289_Human__15_2_____XP1_Inj 2020Jun24_EPA_071</t>
  </si>
  <si>
    <t>DTXSID9041289_Human__15_3_____XP1_Inj 2020Jun24_EPA_072</t>
  </si>
  <si>
    <t>DTXSID9041289_Human__0_1_____XP1_Inj 2020Jun24_EPA_073</t>
  </si>
  <si>
    <t>DTXSID9041289_Human__0_2_____XP1_Inj 2020Jun24_EPA_074</t>
  </si>
  <si>
    <t>DTXSID9041289_Human__0_3_____XP1_Inj 2020Jun24_EPA_075</t>
  </si>
  <si>
    <t>DTXSID9047542_Human__120_1_____XP2_Inj 2020Jun24_EPA_099</t>
  </si>
  <si>
    <t>DTXSID9047542_Human__120_2_____XP2_Inj 2020Jun24_EPA_100</t>
  </si>
  <si>
    <t>DTXSID9047542_Human__120_3_____XP2_Inj 2020Jun24_EPA_101</t>
  </si>
  <si>
    <t>DTXSID9047542_Human__60_1_____XP1_Inj 2020Jun24_EPA_102</t>
  </si>
  <si>
    <t>DTXSID9047542_Human__60_2_____XP1_Inj 2020Jun24_EPA_103</t>
  </si>
  <si>
    <t>DTXSID9047542_Human__60_3_____XP1_Inj 2020Jun24_EPA_104</t>
  </si>
  <si>
    <t>DTXSID9047542_Human__30_1_____XP1_Inj 2020Jun24_EPA_105</t>
  </si>
  <si>
    <t>DTXSID9047542_Human__30_2_____XP1_Inj 2020Jun24_EPA_106</t>
  </si>
  <si>
    <t>DTXSID9047542_Human__30_3_____XP1_Inj 2020Jun24_EPA_107</t>
  </si>
  <si>
    <t>DTXSID9047542_Human__15_1_____XP1_Inj 2020Jun24_EPA_108</t>
  </si>
  <si>
    <t>DTXSID9047542_Human__15_2_____XP1_Inj 2020Jun24_EPA_109</t>
  </si>
  <si>
    <t>DTXSID9047542_Human__15_3_____XP1_Inj 2020Jun24_EPA_110</t>
  </si>
  <si>
    <t>DTXSID9047542_Human__0_1_____XP1_Inj 2020Jun24_EPA_111</t>
  </si>
  <si>
    <t>DTXSID9047542_Human__0_2_____XP1_Inj 2020Jun24_EPA_112</t>
  </si>
  <si>
    <t>DTXSID9047542_Human__0_3_____XP1_Inj 2020Jun24_EPA_113</t>
  </si>
  <si>
    <t>DTXSID7021156_Human__120_1_____XP2_Inj 2020Jun24_EPA_137</t>
  </si>
  <si>
    <t>DTXSID7021156_Human__120_2_____XP2_Inj 2020Jun24_EPA_138</t>
  </si>
  <si>
    <t>DTXSID7021156_Human__120_3_____XP2_Inj 2020Jun24_EPA_139</t>
  </si>
  <si>
    <t>DTXSID7021156_Human__60_1_____XP1_Inj 2020Jun24_EPA_140</t>
  </si>
  <si>
    <t>DTXSID7021156_Human__60_2_____XP1_Inj 2020Jun24_EPA_141</t>
  </si>
  <si>
    <t>DTXSID7021156_Human__60_3_____XP1_Inj 2020Jun24_EPA_142</t>
  </si>
  <si>
    <t>DTXSID7021156_Human__30_1_____XP1_Inj 2020Jun24_EPA_143</t>
  </si>
  <si>
    <t>DTXSID7021156_Human__30_2_____XP1_Inj 2020Jun24_EPA_144</t>
  </si>
  <si>
    <t>DTXSID7021156_Human__30_3_____XP1_Inj 2020Jun24_EPA_145</t>
  </si>
  <si>
    <t>DTXSID7021156_Human__15_1_____XP1_Inj 2020Jun24_EPA_146</t>
  </si>
  <si>
    <t>DTXSID7021156_Human__15_2_____XP1_Inj 2020Jun24_EPA_147</t>
  </si>
  <si>
    <t>DTXSID7021156_Human__15_3_____XP1_Inj 2020Jun24_EPA_148</t>
  </si>
  <si>
    <t>DTXSID7021156_Human__0_1_____XP1_Inj 2020Jun24_EPA_149</t>
  </si>
  <si>
    <t>DTXSID7021156_Human__0_2_____XP1_Inj 2020Jun24_EPA_150</t>
  </si>
  <si>
    <t>DTXSID7021156_Human__0_3_____XP1_Inj 2020Jun24_EPA_151</t>
  </si>
  <si>
    <t>DTXSID1042285_Human__120_1_____XP2_Inj 2020Jun24_EPA_099</t>
  </si>
  <si>
    <t>DTXSID1042285_Human__120_2_____XP2_Inj 2020Jun24_EPA_100</t>
  </si>
  <si>
    <t>DTXSID1042285_Human__120_3_____XP2_Inj 2020Jun24_EPA_101</t>
  </si>
  <si>
    <t>DTXSID1042285_Human__60_1_____XP1_Inj 2020Jun24_EPA_102</t>
  </si>
  <si>
    <t>DTXSID1042285_Human__60_2_____XP1_Inj 2020Jun24_EPA_103</t>
  </si>
  <si>
    <t>DTXSID1042285_Human__60_3_____XP1_Inj 2020Jun24_EPA_104</t>
  </si>
  <si>
    <t>DTXSID1042285_Human__30_1_____XP1_Inj 2020Jun24_EPA_105</t>
  </si>
  <si>
    <t>DTXSID1042285_Human__30_2_____XP1_Inj 2020Jun24_EPA_106</t>
  </si>
  <si>
    <t>DTXSID1042285_Human__30_3_____XP1_Inj 2020Jun24_EPA_107</t>
  </si>
  <si>
    <t>DTXSID1042285_Human__15_1_____XP1_Inj 2020Jun24_EPA_108</t>
  </si>
  <si>
    <t>DTXSID1042285_Human__15_2_____XP1_Inj 2020Jun24_EPA_109</t>
  </si>
  <si>
    <t>DTXSID1042285_Human__15_3_____XP1_Inj 2020Jun24_EPA_110</t>
  </si>
  <si>
    <t>DTXSID1042285_Human__0_1_____XP1_Inj 2020Jun24_EPA_111</t>
  </si>
  <si>
    <t>DTXSID1042285_Human__0_2_____XP1_Inj 2020Jun24_EPA_112</t>
  </si>
  <si>
    <t>DTXSID1042285_Human__0_3_____XP1_Inj 2020Jun24_EPA_113</t>
  </si>
  <si>
    <t>Midazolam_Human__120_1_____XP2_Inj 2020Jun24_EPA_023</t>
  </si>
  <si>
    <t>Midazolam_Human__120_2_____XP2_Inj 2020Jun24_EPA_024</t>
  </si>
  <si>
    <t>Midazolam_Human__120_3_____XP2_Inj 2020Jun24_EPA_025</t>
  </si>
  <si>
    <t>Midazolam_Human__60_1_____XP1_Inj 2020Jun24_EPA_026</t>
  </si>
  <si>
    <t>Midazolam_Human__60_2_____XP1_Inj 2020Jun24_EPA_027</t>
  </si>
  <si>
    <t>Midazolam_Human__60_3_____XP1_Inj 2020Jun24_EPA_028</t>
  </si>
  <si>
    <t>Midazolam_Human__30_1_____XP1_Inj 2020Jun24_EPA_029</t>
  </si>
  <si>
    <t>Midazolam_Human__30_2_____XP1_Inj 2020Jun24_EPA_030</t>
  </si>
  <si>
    <t>Midazolam_Human__30_3_____XP1_Inj 2020Jun24_EPA_031</t>
  </si>
  <si>
    <t>Midazolam_Human__15_1_____XP1_Inj 2020Jun24_EPA_032</t>
  </si>
  <si>
    <t>Midazolam_Human__15_2_____XP1_Inj 2020Jun24_EPA_033</t>
  </si>
  <si>
    <t>Midazolam_Human__15_3_____XP1_Inj 2020Jun24_EPA_034</t>
  </si>
  <si>
    <t>Midazolam_Human__0_1_____XP1_Inj 2020Jun24_EPA_035</t>
  </si>
  <si>
    <t>Midazolam_Human__0_2_____XP1_Inj 2020Jun24_EPA_036</t>
  </si>
  <si>
    <t>Midazolam_Human__0_3_____XP1_Inj 2020Jun24_EPA_037</t>
  </si>
  <si>
    <t>DTXSID6047284_Human__120_1_____XP2_Inj 2020Jun24_EPA_038</t>
  </si>
  <si>
    <t>DTXSID6047284_Human__120_2_____XP2_Inj 2020Jun24_EPA_039</t>
  </si>
  <si>
    <t>DTXSID6047284_Human__120_3_____XP2_Inj 2020Jun24_EPA_040</t>
  </si>
  <si>
    <t>DTXSID7041966_Human__120_1_____XP2_Inj 2020Jun24_EPA_076</t>
  </si>
  <si>
    <t>DTXSID7041966_Human__120_2_____XP2_Inj 2020Jun24_EPA_077</t>
  </si>
  <si>
    <t>DTXSID7041966_Human__120_3_____XP2_Inj 2020Jun24_EPA_078</t>
  </si>
  <si>
    <t>DTXSID1032484_Human__120_1_____XP2_Inj 2020Jun24_EPA_076</t>
  </si>
  <si>
    <t>DTXSID1032484_Human__120_2_____XP2_Inj 2020Jun24_EPA_077</t>
  </si>
  <si>
    <t>DTXSID1032484_Human__120_3_____XP2_Inj 2020Jun24_EPA_078</t>
  </si>
  <si>
    <t>DTXSID3047261_Human__120_1_____XP2_Inj 2020Jun24_EPA_038</t>
  </si>
  <si>
    <t>DTXSID3047261_Human__120_2_____XP2_Inj 2020Jun24_EPA_039</t>
  </si>
  <si>
    <t>DTXSID3047261_Human__120_3_____XP2_Inj 2020Jun24_EPA_040</t>
  </si>
  <si>
    <t>DTXSID9041289_Human__120_1_____XP2_Inj 2020Jun24_EPA_076</t>
  </si>
  <si>
    <t>DTXSID9041289_Human__120_2_____XP2_Inj 2020Jun24_EPA_077</t>
  </si>
  <si>
    <t>DTXSID9041289_Human__120_3_____XP2_Inj 2020Jun24_EPA_078</t>
  </si>
  <si>
    <t>DTXSID9047542_Human__120_1_____XP2_Inj 2020Jun24_EPA_114</t>
  </si>
  <si>
    <t>DTXSID9047542_Human__120_2_____XP2_Inj 2020Jun24_EPA_115</t>
  </si>
  <si>
    <t>DTXSID9047542_Human__120_3_____XP2_Inj 2020Jun24_EPA_116</t>
  </si>
  <si>
    <t>DTXSID7021156_Human__120_1_____XP2_Inj 2020Jun24_EPA_152</t>
  </si>
  <si>
    <t>DTXSID7021156_Human__120_2_____XP2_Inj 2020Jun24_EPA_153</t>
  </si>
  <si>
    <t>DTXSID7021156_Human__120_3_____XP2_Inj 2020Jun24_EPA_154</t>
  </si>
  <si>
    <t>DTXSID1042285_Human__120_1_____XP2_Inj 2020Jun24_EPA_114</t>
  </si>
  <si>
    <t>DTXSID1042285_Human__120_2_____XP2_Inj 2020Jun24_EPA_115</t>
  </si>
  <si>
    <t>DTXSID1042285_Human__120_3_____XP2_Inj 2020Jun24_EPA_116</t>
  </si>
  <si>
    <t>Midazolam_Human__120_1_____XP2_Inj 2020Jun24_EPA_038</t>
  </si>
  <si>
    <t>Midazolam_Human__120_2_____XP2_Inj 2020Jun24_EPA_039</t>
  </si>
  <si>
    <t>Midazolam_Human__120_3_____XP2_Inj 2020Jun24_EPA_040</t>
  </si>
  <si>
    <t>DTXSID6047284 - Human (Control)</t>
  </si>
  <si>
    <t>DTXSID7041966 - Human (Control)</t>
  </si>
  <si>
    <t>DTXSID3047261 - Human (Control)</t>
  </si>
  <si>
    <t>DTXSID9041289 - Human (Control)</t>
  </si>
  <si>
    <t>DTXSID9047542 - Human (Control)</t>
  </si>
  <si>
    <t>DTXSID7021156 - Human (Control)</t>
  </si>
  <si>
    <t>DTXSID1042285 - Human (Control)</t>
  </si>
  <si>
    <t>Midazolam - Human (Control)</t>
  </si>
  <si>
    <t>DTXSID1032484 - Human (Control)</t>
  </si>
  <si>
    <t>Assay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</si>
</sst>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dd\ mmm\ yyyy"/>
    <numFmt numFmtId="165" formatCode="0.0%"/>
    <numFmt numFmtId="166" formatCode="0.000000"/>
    <numFmt numFmtId="167" formatCode="0.0000"/>
    <numFmt numFmtId="168" formatCode="0.000"/>
    <numFmt numFmtId="169" formatCode="0.0"/>
    <numFmt numFmtId="170" formatCode="0.00000"/>
    <numFmt numFmtId="171" formatCode="0.000%"/>
    <numFmt numFmtId="172" formatCode="0.0000%"/>
  </numFmts>
  <fonts count="10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dashed">
        <color auto="1"/>
      </bottom>
      <diagonal/>
    </border>
  </borders>
  <cellStyleXfs count="3">
    <xf numFmtId="0" fontId="0" fillId="0" borderId="0"/>
    <xf numFmtId="0" fontId="2" fillId="0" borderId="0"/>
    <xf numFmtId="43" fontId="4" fillId="0" borderId="0" applyFont="0" applyFill="0" applyBorder="0" applyAlignment="0" applyProtection="0"/>
  </cellStyleXfs>
  <cellXfs count="71">
    <xf numFmtId="0" fontId="0" fillId="0" borderId="0" xfId="0"/>
    <xf numFmtId="0" fontId="2" fillId="0" borderId="0" xfId="1"/>
    <xf numFmtId="0" fontId="4" fillId="0" borderId="0" xfId="1" applyFont="1"/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7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165" fontId="2" fillId="2" borderId="0" xfId="1" applyNumberFormat="1" applyFill="1" applyAlignment="1">
      <alignment horizontal="center"/>
    </xf>
    <xf numFmtId="0" fontId="3" fillId="2" borderId="1" xfId="1" applyFont="1" applyFill="1" applyBorder="1" applyAlignment="1">
      <alignment horizontal="center"/>
    </xf>
    <xf numFmtId="9" fontId="2" fillId="2" borderId="1" xfId="1" applyNumberFormat="1" applyFill="1" applyBorder="1" applyAlignment="1">
      <alignment horizontal="center"/>
    </xf>
    <xf numFmtId="10" fontId="2" fillId="2" borderId="0" xfId="1" applyNumberFormat="1" applyFill="1" applyAlignment="1">
      <alignment horizontal="center"/>
    </xf>
    <xf numFmtId="0" fontId="2" fillId="2" borderId="0" xfId="1" applyFill="1" applyAlignment="1">
      <alignment horizontal="center"/>
    </xf>
    <xf numFmtId="171" fontId="2" fillId="2" borderId="0" xfId="1" applyNumberFormat="1" applyFill="1" applyAlignment="1">
      <alignment horizontal="center"/>
    </xf>
    <xf numFmtId="172" fontId="2" fillId="2" borderId="0" xfId="1" applyNumberFormat="1" applyFill="1" applyAlignment="1">
      <alignment horizontal="center"/>
    </xf>
    <xf numFmtId="0" fontId="0" fillId="0" borderId="0" xfId="0" applyAlignment="1">
      <alignment horizontal="left"/>
    </xf>
    <xf numFmtId="0" fontId="7" fillId="0" borderId="0" xfId="1" applyFont="1" applyAlignment="1">
      <alignment horizontal="center"/>
    </xf>
    <xf numFmtId="0" fontId="3" fillId="0" borderId="6" xfId="1" applyFont="1" applyBorder="1" applyAlignment="1">
      <alignment horizontal="center"/>
    </xf>
    <xf numFmtId="166" fontId="2" fillId="0" borderId="3" xfId="1" applyNumberFormat="1" applyBorder="1" applyAlignment="1">
      <alignment horizontal="center"/>
    </xf>
    <xf numFmtId="0" fontId="3" fillId="0" borderId="7" xfId="1" applyFont="1" applyBorder="1" applyAlignment="1">
      <alignment horizontal="center"/>
    </xf>
    <xf numFmtId="2" fontId="2" fillId="0" borderId="4" xfId="1" applyNumberFormat="1" applyBorder="1" applyAlignment="1">
      <alignment horizontal="center"/>
    </xf>
    <xf numFmtId="167" fontId="2" fillId="0" borderId="4" xfId="1" applyNumberFormat="1" applyBorder="1" applyAlignment="1">
      <alignment horizontal="center"/>
    </xf>
    <xf numFmtId="1" fontId="2" fillId="0" borderId="4" xfId="1" applyNumberFormat="1" applyBorder="1" applyAlignment="1">
      <alignment horizontal="center"/>
    </xf>
    <xf numFmtId="168" fontId="2" fillId="0" borderId="4" xfId="1" applyNumberForma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2" fillId="0" borderId="5" xfId="1" applyBorder="1" applyAlignment="1">
      <alignment horizontal="center"/>
    </xf>
    <xf numFmtId="167" fontId="2" fillId="0" borderId="3" xfId="1" applyNumberFormat="1" applyBorder="1" applyAlignment="1">
      <alignment horizontal="center"/>
    </xf>
    <xf numFmtId="169" fontId="2" fillId="0" borderId="4" xfId="1" applyNumberFormat="1" applyBorder="1" applyAlignment="1">
      <alignment horizontal="center"/>
    </xf>
    <xf numFmtId="170" fontId="2" fillId="0" borderId="3" xfId="1" applyNumberFormat="1" applyBorder="1" applyAlignment="1">
      <alignment horizontal="center"/>
    </xf>
    <xf numFmtId="0" fontId="4" fillId="3" borderId="0" xfId="1" applyFont="1" applyFill="1"/>
    <xf numFmtId="0" fontId="4" fillId="4" borderId="0" xfId="1" applyFont="1" applyFill="1"/>
    <xf numFmtId="0" fontId="4" fillId="3" borderId="0" xfId="1" applyFont="1" applyFill="1" applyAlignment="1">
      <alignment horizontal="center"/>
    </xf>
    <xf numFmtId="0" fontId="4" fillId="4" borderId="0" xfId="1" applyFont="1" applyFill="1" applyAlignment="1">
      <alignment horizontal="center"/>
    </xf>
    <xf numFmtId="43" fontId="4" fillId="0" borderId="0" xfId="2" applyFont="1"/>
    <xf numFmtId="43" fontId="3" fillId="0" borderId="0" xfId="2" applyFont="1"/>
    <xf numFmtId="43" fontId="4" fillId="3" borderId="0" xfId="2" applyFont="1" applyFill="1"/>
    <xf numFmtId="43" fontId="4" fillId="4" borderId="0" xfId="2" applyFont="1" applyFill="1"/>
    <xf numFmtId="43" fontId="5" fillId="4" borderId="0" xfId="2" applyFont="1" applyFill="1"/>
    <xf numFmtId="43" fontId="5" fillId="3" borderId="0" xfId="2" applyFont="1" applyFill="1"/>
    <xf numFmtId="43" fontId="2" fillId="0" borderId="0" xfId="2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9" fontId="2" fillId="2" borderId="0" xfId="1" applyNumberFormat="1" applyFill="1" applyAlignment="1">
      <alignment horizontal="center"/>
    </xf>
    <xf numFmtId="0" fontId="2" fillId="0" borderId="4" xfId="1" applyBorder="1" applyAlignment="1">
      <alignment horizontal="center"/>
    </xf>
    <xf numFmtId="43" fontId="1" fillId="0" borderId="0" xfId="2" applyFont="1"/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168" fontId="0" fillId="0" borderId="9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9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9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</cellXfs>
  <cellStyles count="3">
    <cellStyle name="Comma" xfId="2" builtinId="3"/>
    <cellStyle name="Normal" xfId="0" builtinId="0" customBuiltin="1"/>
    <cellStyle name="Normal 2" xfId="1"/>
  </cellStyles>
  <dxfs count="834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1uM'!$R$2</c:f>
          <c:strCache>
            <c:ptCount val="1"/>
            <c:pt idx="0">
              <c:v>DTXSID6047284 -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5175644028103044E-2"/>
                  <c:y val="0.5668205458486554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1uM'!$V$5:$V$19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1uM'!$W$5:$W$19</c:f>
              <c:numCache>
                <c:formatCode>General</c:formatCode>
                <c:ptCount val="15"/>
                <c:pt idx="0">
                  <c:v>4.5305143697398593</c:v>
                </c:pt>
                <c:pt idx="1">
                  <c:v>4.2401427410008168</c:v>
                </c:pt>
                <c:pt idx="2">
                  <c:v>4.5575457580903675</c:v>
                </c:pt>
                <c:pt idx="3">
                  <c:v>4.4829205727985251</c:v>
                </c:pt>
                <c:pt idx="4">
                  <c:v>4.2141598335045289</c:v>
                </c:pt>
                <c:pt idx="5">
                  <c:v>4.4966543909117274</c:v>
                </c:pt>
                <c:pt idx="6">
                  <c:v>4.5001514178277473</c:v>
                </c:pt>
                <c:pt idx="7">
                  <c:v>4.0460546991201936</c:v>
                </c:pt>
                <c:pt idx="8">
                  <c:v>4.4245580992713274</c:v>
                </c:pt>
                <c:pt idx="9">
                  <c:v>4.4389032382687805</c:v>
                </c:pt>
                <c:pt idx="10">
                  <c:v>4.2329784766168252</c:v>
                </c:pt>
                <c:pt idx="11">
                  <c:v>4.4610184057520428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11-4779-9D68-7DC21FC1F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29376"/>
        <c:axId val="416323144"/>
      </c:scatterChart>
      <c:valAx>
        <c:axId val="41632937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1uM'!$R$3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6323144"/>
        <c:crosses val="autoZero"/>
        <c:crossBetween val="midCat"/>
      </c:valAx>
      <c:valAx>
        <c:axId val="416323144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1uM'!$R$4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632937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1uM'!$R$21</c:f>
          <c:strCache>
            <c:ptCount val="1"/>
            <c:pt idx="0">
              <c:v>DTXSID7041966 -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8298204527712726E-2"/>
                  <c:y val="-0.37923392821279928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1uM'!$V$24:$V$38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1uM'!$W$24:$W$38</c:f>
              <c:numCache>
                <c:formatCode>General</c:formatCode>
                <c:ptCount val="15"/>
                <c:pt idx="0">
                  <c:v>2.8170197906337622</c:v>
                </c:pt>
                <c:pt idx="1">
                  <c:v>2.1868359577722392</c:v>
                </c:pt>
                <c:pt idx="2">
                  <c:v>1.1925862340743951</c:v>
                </c:pt>
                <c:pt idx="3">
                  <c:v>3.1035789551816997</c:v>
                </c:pt>
                <c:pt idx="4">
                  <c:v>2.8093672791263065</c:v>
                </c:pt>
                <c:pt idx="5">
                  <c:v>2.6416844104078017</c:v>
                </c:pt>
                <c:pt idx="6">
                  <c:v>4.2141489862972872</c:v>
                </c:pt>
                <c:pt idx="7">
                  <c:v>3.8443878522889698</c:v>
                </c:pt>
                <c:pt idx="8">
                  <c:v>3.3032382240791893</c:v>
                </c:pt>
                <c:pt idx="9">
                  <c:v>4.3375906969726596</c:v>
                </c:pt>
                <c:pt idx="10">
                  <c:v>4.0075320373076968</c:v>
                </c:pt>
                <c:pt idx="11">
                  <c:v>3.26580620150364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48-481B-B692-FA94064C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01768"/>
        <c:axId val="656493568"/>
      </c:scatterChart>
      <c:valAx>
        <c:axId val="65650176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1uM'!$R$22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6493568"/>
        <c:crosses val="autoZero"/>
        <c:crossBetween val="midCat"/>
      </c:valAx>
      <c:valAx>
        <c:axId val="65649356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1uM'!$R$23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650176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1uM'!$R$40</c:f>
          <c:strCache>
            <c:ptCount val="1"/>
            <c:pt idx="0">
              <c:v>DTXSID3047261 -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5175644028103044E-2"/>
                  <c:y val="0.3110932901197376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1uM'!$V$43:$V$57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1uM'!$W$43:$W$57</c:f>
              <c:numCache>
                <c:formatCode>General</c:formatCode>
                <c:ptCount val="15"/>
                <c:pt idx="0">
                  <c:v>2.727880855695008</c:v>
                </c:pt>
                <c:pt idx="1">
                  <c:v>2.8230319126846837</c:v>
                </c:pt>
                <c:pt idx="2">
                  <c:v>3.063348749830586</c:v>
                </c:pt>
                <c:pt idx="3">
                  <c:v>2.7858459729205443</c:v>
                </c:pt>
                <c:pt idx="4">
                  <c:v>2.9210365466699657</c:v>
                </c:pt>
                <c:pt idx="5">
                  <c:v>3.0443519709046489</c:v>
                </c:pt>
                <c:pt idx="6">
                  <c:v>2.8864748145375181</c:v>
                </c:pt>
                <c:pt idx="7">
                  <c:v>3.0770894603104249</c:v>
                </c:pt>
                <c:pt idx="8">
                  <c:v>2.8886141430536276</c:v>
                </c:pt>
                <c:pt idx="9">
                  <c:v>2.999891194593356</c:v>
                </c:pt>
                <c:pt idx="10">
                  <c:v>3.1436557201052686</c:v>
                </c:pt>
                <c:pt idx="11">
                  <c:v>3.4450654571476833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D2-4EC1-B828-EF5678602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355680"/>
        <c:axId val="660352728"/>
      </c:scatterChart>
      <c:valAx>
        <c:axId val="66035568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1uM'!$R$41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352728"/>
        <c:crosses val="autoZero"/>
        <c:crossBetween val="midCat"/>
      </c:valAx>
      <c:valAx>
        <c:axId val="66035272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1uM'!$R$42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35568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1uM'!$R$59</c:f>
          <c:strCache>
            <c:ptCount val="1"/>
            <c:pt idx="0">
              <c:v>DTXSID9041289 -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2053083528493365E-2"/>
                  <c:y val="-0.48909950899936983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1uM'!$V$62:$V$75</c:f>
              <c:numCache>
                <c:formatCode>General</c:formatCode>
                <c:ptCount val="14"/>
                <c:pt idx="0">
                  <c:v>120</c:v>
                </c:pt>
                <c:pt idx="1">
                  <c:v>120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'Data 1uM'!$W$62:$W$75</c:f>
              <c:numCache>
                <c:formatCode>General</c:formatCode>
                <c:ptCount val="14"/>
                <c:pt idx="0">
                  <c:v>0.85821919694771687</c:v>
                </c:pt>
                <c:pt idx="1">
                  <c:v>1.7775646168052539</c:v>
                </c:pt>
                <c:pt idx="2">
                  <c:v>3.1653278991066585</c:v>
                </c:pt>
                <c:pt idx="3">
                  <c:v>2.7217100231632236</c:v>
                </c:pt>
                <c:pt idx="4">
                  <c:v>2.4588677111523549</c:v>
                </c:pt>
                <c:pt idx="5">
                  <c:v>2.4644129462631468</c:v>
                </c:pt>
                <c:pt idx="6">
                  <c:v>3.1905458985025348</c:v>
                </c:pt>
                <c:pt idx="7">
                  <c:v>3.0593185879347309</c:v>
                </c:pt>
                <c:pt idx="8">
                  <c:v>4.0181862284635983</c:v>
                </c:pt>
                <c:pt idx="9">
                  <c:v>4.1160729904875142</c:v>
                </c:pt>
                <c:pt idx="10">
                  <c:v>3.952918255325903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E2-41D8-A0E9-E62A0C2EE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371096"/>
        <c:axId val="660363552"/>
      </c:scatterChart>
      <c:valAx>
        <c:axId val="66037109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1uM'!$R$60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363552"/>
        <c:crosses val="autoZero"/>
        <c:crossBetween val="midCat"/>
      </c:valAx>
      <c:valAx>
        <c:axId val="66036355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1uM'!$R$61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37109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1uM'!$R$78</c:f>
          <c:strCache>
            <c:ptCount val="1"/>
            <c:pt idx="0">
              <c:v>DTXSID9047542 -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40197114704924181"/>
                  <c:y val="-0.50688024155291933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1uM'!$V$81:$V$92</c:f>
              <c:numCache>
                <c:formatCode>General</c:formatCode>
                <c:ptCount val="1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'Data 1uM'!$W$81:$W$92</c:f>
              <c:numCache>
                <c:formatCode>General</c:formatCode>
                <c:ptCount val="12"/>
                <c:pt idx="0">
                  <c:v>0.87502006926869147</c:v>
                </c:pt>
                <c:pt idx="1">
                  <c:v>1.3828883469891955</c:v>
                </c:pt>
                <c:pt idx="2">
                  <c:v>0.7549230178314188</c:v>
                </c:pt>
                <c:pt idx="3">
                  <c:v>2.8259082914555855</c:v>
                </c:pt>
                <c:pt idx="4">
                  <c:v>3.0504857812959876</c:v>
                </c:pt>
                <c:pt idx="5">
                  <c:v>2.8705657517563892</c:v>
                </c:pt>
                <c:pt idx="6">
                  <c:v>3.40242096224629</c:v>
                </c:pt>
                <c:pt idx="7">
                  <c:v>3.570013806323673</c:v>
                </c:pt>
                <c:pt idx="8">
                  <c:v>3.7283791812769085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B2-4779-B27C-6C51A7ADDF3E}"/>
            </c:ext>
          </c:extLst>
        </c:ser>
        <c:ser>
          <c:idx val="1"/>
          <c:order val="1"/>
          <c:tx>
            <c:v>Deleted Points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c:spPr>
          </c:marker>
          <c:xVal>
            <c:numLit>
              <c:formatCode>General</c:formatCode>
              <c:ptCount val="3"/>
              <c:pt idx="0">
                <c:v>120</c:v>
              </c:pt>
              <c:pt idx="1">
                <c:v>120</c:v>
              </c:pt>
              <c:pt idx="2">
                <c:v>120</c:v>
              </c:pt>
            </c:numLit>
          </c:xVal>
          <c:yVal>
            <c:numLit>
              <c:formatCode>General</c:formatCode>
              <c:ptCount val="3"/>
              <c:pt idx="0">
                <c:v>-0.254</c:v>
              </c:pt>
              <c:pt idx="1">
                <c:v>-0.17199999999999999</c:v>
              </c:pt>
              <c:pt idx="2">
                <c:v>-0.49299999999999999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595-4DAC-A338-EA2384068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344200"/>
        <c:axId val="660346168"/>
      </c:scatterChart>
      <c:valAx>
        <c:axId val="66034420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1uM'!$R$79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346168"/>
        <c:crosses val="autoZero"/>
        <c:crossBetween val="midCat"/>
      </c:valAx>
      <c:valAx>
        <c:axId val="66034616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1uM'!$R$80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0344200"/>
        <c:crosses val="autoZero"/>
        <c:crossBetween val="midCat"/>
      </c:valAx>
      <c:spPr>
        <a:solidFill>
          <a:srgbClr val="FFE699"/>
        </a:solidFill>
      </c:spPr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63700234192037475"/>
          <c:y val="0.24274406332453827"/>
          <c:w val="0.23287269419191453"/>
          <c:h val="5.9680468701306798E-2"/>
        </c:manualLayout>
      </c:layout>
      <c:overlay val="1"/>
      <c:spPr>
        <a:solidFill>
          <a:schemeClr val="bg1"/>
        </a:solidFill>
      </c:spPr>
    </c:legend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1uM'!$R$97</c:f>
          <c:strCache>
            <c:ptCount val="1"/>
            <c:pt idx="0">
              <c:v>DTXSID7021156 -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4754119874359966"/>
                  <c:y val="0.33027004957713618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1uM'!$V$100:$V$114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1uM'!$W$100:$W$114</c:f>
              <c:numCache>
                <c:formatCode>General</c:formatCode>
                <c:ptCount val="15"/>
                <c:pt idx="0">
                  <c:v>3.6684907918669638</c:v>
                </c:pt>
                <c:pt idx="1">
                  <c:v>3.6263460737188549</c:v>
                </c:pt>
                <c:pt idx="2">
                  <c:v>3.7361476334044625</c:v>
                </c:pt>
                <c:pt idx="3">
                  <c:v>3.7821142160345596</c:v>
                </c:pt>
                <c:pt idx="4">
                  <c:v>3.8712212108014064</c:v>
                </c:pt>
                <c:pt idx="5">
                  <c:v>3.9522520755071362</c:v>
                </c:pt>
                <c:pt idx="6">
                  <c:v>4.0987425541522793</c:v>
                </c:pt>
                <c:pt idx="7">
                  <c:v>4.1486340336288272</c:v>
                </c:pt>
                <c:pt idx="8">
                  <c:v>4.1865157491340295</c:v>
                </c:pt>
                <c:pt idx="9">
                  <c:v>4.2340983985249752</c:v>
                </c:pt>
                <c:pt idx="10">
                  <c:v>4.1866089688960084</c:v>
                </c:pt>
                <c:pt idx="11">
                  <c:v>4.2945623252831302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B9-4314-8538-67C0CC61E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22456"/>
        <c:axId val="415724096"/>
      </c:scatterChart>
      <c:valAx>
        <c:axId val="41572245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1uM'!$R$98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15724096"/>
        <c:crosses val="autoZero"/>
        <c:crossBetween val="midCat"/>
      </c:valAx>
      <c:valAx>
        <c:axId val="41572409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1uM'!$R$99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1572245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1uM'!$R$116</c:f>
          <c:strCache>
            <c:ptCount val="1"/>
            <c:pt idx="0">
              <c:v>DTXSID1042285 -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1385622630504521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1uM'!$V$119:$V$133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1uM'!$W$119:$W$133</c:f>
              <c:numCache>
                <c:formatCode>General</c:formatCode>
                <c:ptCount val="15"/>
                <c:pt idx="0">
                  <c:v>4.4601863150609002</c:v>
                </c:pt>
                <c:pt idx="1">
                  <c:v>4.3136164035886067</c:v>
                </c:pt>
                <c:pt idx="2">
                  <c:v>4.0098805212028799</c:v>
                </c:pt>
                <c:pt idx="3">
                  <c:v>4.4365177459486098</c:v>
                </c:pt>
                <c:pt idx="4">
                  <c:v>4.3105588729147151</c:v>
                </c:pt>
                <c:pt idx="5">
                  <c:v>4.0781801068423995</c:v>
                </c:pt>
                <c:pt idx="6">
                  <c:v>4.453689151257894</c:v>
                </c:pt>
                <c:pt idx="7">
                  <c:v>4.4348839936577908</c:v>
                </c:pt>
                <c:pt idx="8">
                  <c:v>4.0454959171338469</c:v>
                </c:pt>
                <c:pt idx="9">
                  <c:v>4.4444798586732546</c:v>
                </c:pt>
                <c:pt idx="10">
                  <c:v>4.4708057093401026</c:v>
                </c:pt>
                <c:pt idx="11">
                  <c:v>4.1287613358510002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40-48F2-847F-D545CF539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16224"/>
        <c:axId val="415716552"/>
      </c:scatterChart>
      <c:valAx>
        <c:axId val="41571622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1uM'!$R$117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15716552"/>
        <c:crosses val="autoZero"/>
        <c:crossBetween val="midCat"/>
      </c:valAx>
      <c:valAx>
        <c:axId val="41571655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1uM'!$R$118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1571622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1uM'!$R$135</c:f>
          <c:strCache>
            <c:ptCount val="1"/>
            <c:pt idx="0">
              <c:v>Midazolam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8.1229508196721312E-2"/>
                  <c:y val="-0.4419752114319043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1uM'!$V$138:$V$152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1uM'!$W$138:$W$152</c:f>
              <c:numCache>
                <c:formatCode>General</c:formatCode>
                <c:ptCount val="15"/>
                <c:pt idx="0">
                  <c:v>-1.3980572856316578</c:v>
                </c:pt>
                <c:pt idx="1">
                  <c:v>-2.4289298274165012</c:v>
                </c:pt>
                <c:pt idx="2">
                  <c:v>-2.0136069434067458</c:v>
                </c:pt>
                <c:pt idx="3">
                  <c:v>0.93623929071245626</c:v>
                </c:pt>
                <c:pt idx="4">
                  <c:v>1.1527018503271367</c:v>
                </c:pt>
                <c:pt idx="5">
                  <c:v>1.1322275371651556</c:v>
                </c:pt>
                <c:pt idx="6">
                  <c:v>2.9273272603531981</c:v>
                </c:pt>
                <c:pt idx="7">
                  <c:v>2.9390661870317119</c:v>
                </c:pt>
                <c:pt idx="8">
                  <c:v>2.9583838829342355</c:v>
                </c:pt>
                <c:pt idx="9">
                  <c:v>3.6929974369282283</c:v>
                </c:pt>
                <c:pt idx="10">
                  <c:v>3.5043072761650631</c:v>
                </c:pt>
                <c:pt idx="11">
                  <c:v>3.7057406665397123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CE5-4783-B6F7-1A8DF55DD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117440"/>
        <c:axId val="663121048"/>
      </c:scatterChart>
      <c:valAx>
        <c:axId val="66311744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'Data 1uM'!$R$136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3121048"/>
        <c:crosses val="autoZero"/>
        <c:crossBetween val="midCat"/>
      </c:valAx>
      <c:valAx>
        <c:axId val="66312104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'Data 1uM'!$R$137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66311744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Control'!$R$2</c:f>
          <c:strCache>
            <c:ptCount val="1"/>
            <c:pt idx="0">
              <c:v>DTXSID6047284 -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0059550889472151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Control'!$V$5:$V$10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Control'!$W$5:$W$10</c:f>
              <c:numCache>
                <c:formatCode>General</c:formatCode>
                <c:ptCount val="6"/>
                <c:pt idx="0">
                  <c:v>4.299022954215693</c:v>
                </c:pt>
                <c:pt idx="1">
                  <c:v>3.5427292056367086</c:v>
                </c:pt>
                <c:pt idx="2">
                  <c:v>4.4775017392499077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6-41AD-9820-0A1A06CCF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18696"/>
        <c:axId val="414621976"/>
      </c:scatterChart>
      <c:valAx>
        <c:axId val="41461869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4621976"/>
        <c:crosses val="autoZero"/>
        <c:crossBetween val="midCat"/>
      </c:valAx>
      <c:valAx>
        <c:axId val="41462197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461869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Control'!$R$22</c:f>
          <c:strCache>
            <c:ptCount val="1"/>
            <c:pt idx="0">
              <c:v>DTXSID7041966 -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4796150481189853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Control'!$V$25:$V$30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Control'!$W$25:$W$30</c:f>
              <c:numCache>
                <c:formatCode>General</c:formatCode>
                <c:ptCount val="6"/>
                <c:pt idx="0">
                  <c:v>4.460068399387449</c:v>
                </c:pt>
                <c:pt idx="1">
                  <c:v>3.9427134349272412</c:v>
                </c:pt>
                <c:pt idx="2">
                  <c:v>2.7430716184525545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4-44BC-AA6B-656BBD6D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00232"/>
        <c:axId val="643691376"/>
      </c:scatterChart>
      <c:valAx>
        <c:axId val="64370023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3691376"/>
        <c:crosses val="autoZero"/>
        <c:crossBetween val="midCat"/>
      </c:valAx>
      <c:valAx>
        <c:axId val="64369137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370023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Control'!$R$42</c:f>
          <c:strCache>
            <c:ptCount val="1"/>
            <c:pt idx="0">
              <c:v>DTXSID3047261 -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4204918032786883"/>
                  <c:y val="0.3954231554389035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Control'!$V$45:$V$50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Control'!$W$45:$W$50</c:f>
              <c:numCache>
                <c:formatCode>General</c:formatCode>
                <c:ptCount val="6"/>
                <c:pt idx="0">
                  <c:v>4.910389083261399</c:v>
                </c:pt>
                <c:pt idx="1">
                  <c:v>4.7055171241706191</c:v>
                </c:pt>
                <c:pt idx="2">
                  <c:v>5.0288311911271029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0-4C4A-AF6D-CDDEAC61E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44672"/>
        <c:axId val="646545328"/>
      </c:scatterChart>
      <c:valAx>
        <c:axId val="64654467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45328"/>
        <c:crosses val="autoZero"/>
        <c:crossBetween val="midCat"/>
      </c:valAx>
      <c:valAx>
        <c:axId val="646545328"/>
        <c:scaling>
          <c:orientation val="minMax"/>
          <c:max val="6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4467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Control'!$R$62</c:f>
          <c:strCache>
            <c:ptCount val="1"/>
            <c:pt idx="0">
              <c:v>DTXSID9041289 -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7862350539515893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Control'!$V$65:$V$70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Control'!$W$65:$W$70</c:f>
              <c:numCache>
                <c:formatCode>General</c:formatCode>
                <c:ptCount val="6"/>
                <c:pt idx="0">
                  <c:v>3.8263000330314005</c:v>
                </c:pt>
                <c:pt idx="1">
                  <c:v>3.8861133460620407</c:v>
                </c:pt>
                <c:pt idx="2">
                  <c:v>4.1170034742552506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A-4AC2-AC66-34EEDA11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20072"/>
        <c:axId val="646521056"/>
      </c:scatterChart>
      <c:valAx>
        <c:axId val="64652007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21056"/>
        <c:crosses val="autoZero"/>
        <c:crossBetween val="midCat"/>
      </c:valAx>
      <c:valAx>
        <c:axId val="64652105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2007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Control'!$R$82</c:f>
          <c:strCache>
            <c:ptCount val="1"/>
            <c:pt idx="0">
              <c:v>DTXSID9047542 -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1080548264800234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Control'!$V$85:$V$90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Control'!$W$85:$W$90</c:f>
              <c:numCache>
                <c:formatCode>General</c:formatCode>
                <c:ptCount val="6"/>
                <c:pt idx="0">
                  <c:v>2.9561469024446421</c:v>
                </c:pt>
                <c:pt idx="1">
                  <c:v>3.4976390067168128</c:v>
                </c:pt>
                <c:pt idx="2">
                  <c:v>3.8637203819625054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D-4A12-BCD5-91E42DF5E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22040"/>
        <c:axId val="646523024"/>
      </c:scatterChart>
      <c:valAx>
        <c:axId val="64652204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23024"/>
        <c:crosses val="autoZero"/>
        <c:crossBetween val="midCat"/>
      </c:valAx>
      <c:valAx>
        <c:axId val="646523024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2204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Control'!$R$102</c:f>
          <c:strCache>
            <c:ptCount val="1"/>
            <c:pt idx="0">
              <c:v>DTXSID7021156 -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837112860892388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Control'!$V$105:$V$110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Control'!$W$105:$W$110</c:f>
              <c:numCache>
                <c:formatCode>General</c:formatCode>
                <c:ptCount val="6"/>
                <c:pt idx="0">
                  <c:v>3.8231902533438142</c:v>
                </c:pt>
                <c:pt idx="1">
                  <c:v>3.7682275206970992</c:v>
                </c:pt>
                <c:pt idx="2">
                  <c:v>4.3514294470959607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1-468C-9D53-AC7FB19B5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363800"/>
        <c:axId val="646360848"/>
      </c:scatterChart>
      <c:valAx>
        <c:axId val="64636380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360848"/>
        <c:crosses val="autoZero"/>
        <c:crossBetween val="midCat"/>
      </c:valAx>
      <c:valAx>
        <c:axId val="64636084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36380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Control'!$R$122</c:f>
          <c:strCache>
            <c:ptCount val="1"/>
            <c:pt idx="0">
              <c:v>DTXSID1042285 -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1uM Control'!$V$125:$V$130</c:f>
              <c:strCach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strCache>
            </c:strRef>
          </c:tx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8215485564304463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Control'!$V$125:$V$130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Control'!$W$125:$W$130</c:f>
              <c:numCache>
                <c:formatCode>General</c:formatCode>
                <c:ptCount val="6"/>
                <c:pt idx="0">
                  <c:v>4.2904928247379761</c:v>
                </c:pt>
                <c:pt idx="1">
                  <c:v>4.4770498817793634</c:v>
                </c:pt>
                <c:pt idx="2">
                  <c:v>3.1406039734624911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DE-4403-992E-8ED97BF33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18760"/>
        <c:axId val="646520072"/>
      </c:scatterChart>
      <c:valAx>
        <c:axId val="64651876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20072"/>
        <c:crosses val="autoZero"/>
        <c:crossBetween val="midCat"/>
      </c:valAx>
      <c:valAx>
        <c:axId val="64652007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651876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1uM Control'!$R$142</c:f>
          <c:strCache>
            <c:ptCount val="1"/>
            <c:pt idx="0">
              <c:v>Midazolam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4488655584718575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1uM Control'!$V$145:$V$150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1uM Control'!$W$145:$W$150</c:f>
              <c:numCache>
                <c:formatCode>General</c:formatCode>
                <c:ptCount val="6"/>
                <c:pt idx="0">
                  <c:v>3.8454791219686077</c:v>
                </c:pt>
                <c:pt idx="1">
                  <c:v>3.5376602935121206</c:v>
                </c:pt>
                <c:pt idx="2">
                  <c:v>3.6941602374676359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8-447E-8A2F-3597E8590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02528"/>
        <c:axId val="643701544"/>
      </c:scatterChart>
      <c:valAx>
        <c:axId val="64370252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3701544"/>
        <c:crosses val="autoZero"/>
        <c:crossBetween val="midCat"/>
      </c:valAx>
      <c:valAx>
        <c:axId val="643701544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370252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10uM'!$R$2</c:f>
          <c:strCache>
            <c:ptCount val="1"/>
            <c:pt idx="0">
              <c:v>DTXSID6047284 -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4204918032786883"/>
                  <c:y val="0.44786089238845145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10uM'!$V$5:$V$19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10uM'!$W$5:$W$19</c:f>
              <c:numCache>
                <c:formatCode>General</c:formatCode>
                <c:ptCount val="15"/>
                <c:pt idx="0">
                  <c:v>4.7716228922345891</c:v>
                </c:pt>
                <c:pt idx="1">
                  <c:v>4.619099927318282</c:v>
                </c:pt>
                <c:pt idx="2">
                  <c:v>4.6844494060950543</c:v>
                </c:pt>
                <c:pt idx="3">
                  <c:v>4.7074282636910141</c:v>
                </c:pt>
                <c:pt idx="4">
                  <c:v>4.6182651698742596</c:v>
                </c:pt>
                <c:pt idx="5">
                  <c:v>4.6008699436127962</c:v>
                </c:pt>
                <c:pt idx="6">
                  <c:v>4.6048107669170681</c:v>
                </c:pt>
                <c:pt idx="7">
                  <c:v>4.4139594499564216</c:v>
                </c:pt>
                <c:pt idx="8">
                  <c:v>4.6706629245226923</c:v>
                </c:pt>
                <c:pt idx="9">
                  <c:v>4.6589866889427958</c:v>
                </c:pt>
                <c:pt idx="10">
                  <c:v>4.6711989203610962</c:v>
                </c:pt>
                <c:pt idx="11">
                  <c:v>4.4683531784107959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5-449F-AA6A-25A98070E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518152"/>
        <c:axId val="416518808"/>
      </c:scatterChart>
      <c:valAx>
        <c:axId val="41651815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6518808"/>
        <c:crosses val="autoZero"/>
        <c:crossBetween val="midCat"/>
      </c:valAx>
      <c:valAx>
        <c:axId val="41651880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651815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10uM'!$R$21</c:f>
          <c:strCache>
            <c:ptCount val="1"/>
            <c:pt idx="0">
              <c:v>DTXSID7041966 -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41133882854807086"/>
                  <c:y val="0.47340023130354086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10uM'!$V$24:$V$35</c:f>
              <c:numCache>
                <c:formatCode>General</c:formatCode>
                <c:ptCount val="1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'Data 10uM'!$W$24:$W$35</c:f>
              <c:numCache>
                <c:formatCode>General</c:formatCode>
                <c:ptCount val="12"/>
                <c:pt idx="0">
                  <c:v>3.7424688610685339</c:v>
                </c:pt>
                <c:pt idx="1">
                  <c:v>3.7156839961379911</c:v>
                </c:pt>
                <c:pt idx="2">
                  <c:v>3.8430664765614471</c:v>
                </c:pt>
                <c:pt idx="3">
                  <c:v>4.0637530621972919</c:v>
                </c:pt>
                <c:pt idx="4">
                  <c:v>4.1041688415389652</c:v>
                </c:pt>
                <c:pt idx="5">
                  <c:v>4.0507345137888082</c:v>
                </c:pt>
                <c:pt idx="6">
                  <c:v>4.4483658635229375</c:v>
                </c:pt>
                <c:pt idx="7">
                  <c:v>4.3338367283652781</c:v>
                </c:pt>
                <c:pt idx="8">
                  <c:v>4.2556013515926967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2-49FC-8B69-1328A7194FF9}"/>
            </c:ext>
          </c:extLst>
        </c:ser>
        <c:ser>
          <c:idx val="1"/>
          <c:order val="1"/>
          <c:tx>
            <c:v>Deleted Points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c:spPr>
          </c:marker>
          <c:xVal>
            <c:numLit>
              <c:formatCode>General</c:formatCode>
              <c:ptCount val="3"/>
              <c:pt idx="0">
                <c:v>120</c:v>
              </c:pt>
              <c:pt idx="1">
                <c:v>120</c:v>
              </c:pt>
              <c:pt idx="2">
                <c:v>120</c:v>
              </c:pt>
            </c:numLit>
          </c:xVal>
          <c:yVal>
            <c:numLit>
              <c:formatCode>General</c:formatCode>
              <c:ptCount val="3"/>
              <c:pt idx="0">
                <c:v>4.0270000000000001</c:v>
              </c:pt>
              <c:pt idx="1">
                <c:v>3.9790000000000001</c:v>
              </c:pt>
              <c:pt idx="2">
                <c:v>4.2149999999999999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3D2-49FC-8B69-1328A719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932240"/>
        <c:axId val="645922728"/>
      </c:scatterChart>
      <c:valAx>
        <c:axId val="64593224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5922728"/>
        <c:crosses val="autoZero"/>
        <c:crossBetween val="midCat"/>
      </c:valAx>
      <c:valAx>
        <c:axId val="64592272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5932240"/>
        <c:crosses val="autoZero"/>
        <c:crossBetween val="midCat"/>
      </c:valAx>
      <c:spPr>
        <a:solidFill>
          <a:srgbClr val="FFE699"/>
        </a:solidFill>
      </c:spPr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63700234192037475"/>
          <c:y val="0.69103858059958867"/>
          <c:w val="0.23287269419191453"/>
          <c:h val="5.9680468701306798E-2"/>
        </c:manualLayout>
      </c:layout>
      <c:overlay val="1"/>
      <c:spPr>
        <a:solidFill>
          <a:schemeClr val="bg1"/>
        </a:solidFill>
      </c:spPr>
    </c:legend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10uM'!$R$40</c:f>
          <c:strCache>
            <c:ptCount val="1"/>
            <c:pt idx="0">
              <c:v>DTXSID1032484 -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5175644028103044E-2"/>
                  <c:y val="0.28139336144987154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10uM'!$V$43:$V$57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10uM'!$W$43:$W$57</c:f>
              <c:numCache>
                <c:formatCode>General</c:formatCode>
                <c:ptCount val="15"/>
                <c:pt idx="0">
                  <c:v>2.6513527965970249</c:v>
                </c:pt>
                <c:pt idx="1">
                  <c:v>2.2186166810943759</c:v>
                </c:pt>
                <c:pt idx="2">
                  <c:v>2.9673142862816078</c:v>
                </c:pt>
                <c:pt idx="3">
                  <c:v>3.4475487808216729</c:v>
                </c:pt>
                <c:pt idx="4">
                  <c:v>2.1587676134903644</c:v>
                </c:pt>
                <c:pt idx="5">
                  <c:v>3.0730570432484683</c:v>
                </c:pt>
                <c:pt idx="6">
                  <c:v>3.7583876864910777</c:v>
                </c:pt>
                <c:pt idx="7">
                  <c:v>3.7587595546571042</c:v>
                </c:pt>
                <c:pt idx="8">
                  <c:v>3.0903816090447895</c:v>
                </c:pt>
                <c:pt idx="9">
                  <c:v>4.0570571952558971</c:v>
                </c:pt>
                <c:pt idx="10">
                  <c:v>3.820793588324487</c:v>
                </c:pt>
                <c:pt idx="11">
                  <c:v>3.7493383721667031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F-402C-95F2-92BBE70E9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57264"/>
        <c:axId val="421557592"/>
      </c:scatterChart>
      <c:valAx>
        <c:axId val="42155726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1557592"/>
        <c:crosses val="autoZero"/>
        <c:crossBetween val="midCat"/>
      </c:valAx>
      <c:valAx>
        <c:axId val="42155759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155726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10uM'!$R$59</c:f>
          <c:strCache>
            <c:ptCount val="1"/>
            <c:pt idx="0">
              <c:v>DTXSID3047261 -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2053083528493365E-2"/>
                  <c:y val="0.3367075949279427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10uM'!$V$62:$V$76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10uM'!$W$62:$W$76</c:f>
              <c:numCache>
                <c:formatCode>General</c:formatCode>
                <c:ptCount val="15"/>
                <c:pt idx="0">
                  <c:v>2.9681925812994678</c:v>
                </c:pt>
                <c:pt idx="1">
                  <c:v>2.9846368249335797</c:v>
                </c:pt>
                <c:pt idx="2">
                  <c:v>3.1827977611535792</c:v>
                </c:pt>
                <c:pt idx="3">
                  <c:v>2.8947328131001147</c:v>
                </c:pt>
                <c:pt idx="4">
                  <c:v>3.1761858281260764</c:v>
                </c:pt>
                <c:pt idx="5">
                  <c:v>3.2799396425437877</c:v>
                </c:pt>
                <c:pt idx="6">
                  <c:v>2.9708692090606945</c:v>
                </c:pt>
                <c:pt idx="7">
                  <c:v>3.4701766000430152</c:v>
                </c:pt>
                <c:pt idx="8">
                  <c:v>3.4058809654999607</c:v>
                </c:pt>
                <c:pt idx="9">
                  <c:v>3.4192879480112413</c:v>
                </c:pt>
                <c:pt idx="10">
                  <c:v>3.7519184016808103</c:v>
                </c:pt>
                <c:pt idx="11">
                  <c:v>3.9592889779421991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B5-4729-B4A6-8B8BD0C02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026304"/>
        <c:axId val="648027616"/>
      </c:scatterChart>
      <c:valAx>
        <c:axId val="64802630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8027616"/>
        <c:crosses val="autoZero"/>
        <c:crossBetween val="midCat"/>
      </c:valAx>
      <c:valAx>
        <c:axId val="64802761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802630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10uM'!$R$78</c:f>
          <c:strCache>
            <c:ptCount val="1"/>
            <c:pt idx="0">
              <c:v>DTXSID9041289 -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10uM'!$V$81:$V$94</c:f>
              <c:strCache>
                <c:ptCount val="14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</c:strCache>
            </c:strRef>
          </c:tx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5175644028103044E-2"/>
                  <c:y val="0.307927063206808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10uM'!$V$81:$V$94</c:f>
              <c:numCache>
                <c:formatCode>General</c:formatCode>
                <c:ptCount val="14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'Data 10uM'!$W$81:$W$95</c:f>
              <c:numCache>
                <c:formatCode>General</c:formatCode>
                <c:ptCount val="15"/>
                <c:pt idx="0">
                  <c:v>2.7876459312328521</c:v>
                </c:pt>
                <c:pt idx="1">
                  <c:v>2.5827697866718564</c:v>
                </c:pt>
                <c:pt idx="2">
                  <c:v>2.6720942526464753</c:v>
                </c:pt>
                <c:pt idx="3">
                  <c:v>3.5137504210912627</c:v>
                </c:pt>
                <c:pt idx="4">
                  <c:v>3.0737157729379758</c:v>
                </c:pt>
                <c:pt idx="5">
                  <c:v>3.3402181801262016</c:v>
                </c:pt>
                <c:pt idx="6">
                  <c:v>3.4326971588666377</c:v>
                </c:pt>
                <c:pt idx="7">
                  <c:v>4.0052915161391489</c:v>
                </c:pt>
                <c:pt idx="8">
                  <c:v>3.5773183468986143</c:v>
                </c:pt>
                <c:pt idx="9">
                  <c:v>4.5001872444815874</c:v>
                </c:pt>
                <c:pt idx="10">
                  <c:v>3.9616811652531658</c:v>
                </c:pt>
                <c:pt idx="11">
                  <c:v>3.9375804515310007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B-4F55-80A3-1E1424DEB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070848"/>
        <c:axId val="649071504"/>
      </c:scatterChart>
      <c:valAx>
        <c:axId val="64907084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071504"/>
        <c:crosses val="autoZero"/>
        <c:crossBetween val="midCat"/>
      </c:valAx>
      <c:valAx>
        <c:axId val="649071504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07084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"DTXSID9047542 - Human"</c:f>
          <c:strCache>
            <c:ptCount val="1"/>
            <c:pt idx="0">
              <c:v>DTXSID9047542 -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5175644028103044E-2"/>
                  <c:y val="0.3384663328693411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10uM'!$V$101:$V$115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10uM'!$W$101:$W$115</c:f>
              <c:numCache>
                <c:formatCode>General</c:formatCode>
                <c:ptCount val="15"/>
                <c:pt idx="0">
                  <c:v>3.0356509245273515</c:v>
                </c:pt>
                <c:pt idx="1">
                  <c:v>2.8926047055588757</c:v>
                </c:pt>
                <c:pt idx="2">
                  <c:v>3.0578822320945127</c:v>
                </c:pt>
                <c:pt idx="3">
                  <c:v>3.2951085637822843</c:v>
                </c:pt>
                <c:pt idx="4">
                  <c:v>3.1603231427947649</c:v>
                </c:pt>
                <c:pt idx="5">
                  <c:v>3.0604351490560804</c:v>
                </c:pt>
                <c:pt idx="6">
                  <c:v>3.6370192734928235</c:v>
                </c:pt>
                <c:pt idx="7">
                  <c:v>3.3187212930041556</c:v>
                </c:pt>
                <c:pt idx="8">
                  <c:v>3.2043053931947978</c:v>
                </c:pt>
                <c:pt idx="9">
                  <c:v>3.9758765059956378</c:v>
                </c:pt>
                <c:pt idx="10">
                  <c:v>3.536299852267295</c:v>
                </c:pt>
                <c:pt idx="11">
                  <c:v>3.4458616856201298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3-440A-A42E-18389985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26976"/>
        <c:axId val="649320416"/>
      </c:scatterChart>
      <c:valAx>
        <c:axId val="64932697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320416"/>
        <c:crosses val="autoZero"/>
        <c:crossBetween val="midCat"/>
      </c:valAx>
      <c:valAx>
        <c:axId val="64932041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32697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10uM'!$R$117</c:f>
          <c:strCache>
            <c:ptCount val="1"/>
            <c:pt idx="0">
              <c:v>DTXSID7021156 -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2053083528493365E-2"/>
                  <c:y val="0.52333935830580547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10uM'!$V$120:$V$134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10uM'!$W$120:$W$134</c:f>
              <c:numCache>
                <c:formatCode>General</c:formatCode>
                <c:ptCount val="15"/>
                <c:pt idx="0">
                  <c:v>4.3518535182774869</c:v>
                </c:pt>
                <c:pt idx="1">
                  <c:v>4.1702668735673099</c:v>
                </c:pt>
                <c:pt idx="2">
                  <c:v>4.0573449032179552</c:v>
                </c:pt>
                <c:pt idx="3">
                  <c:v>4.1635477805612053</c:v>
                </c:pt>
                <c:pt idx="4">
                  <c:v>4.1252736242797239</c:v>
                </c:pt>
                <c:pt idx="5">
                  <c:v>3.9954309920470541</c:v>
                </c:pt>
                <c:pt idx="6">
                  <c:v>4.1639844354987003</c:v>
                </c:pt>
                <c:pt idx="7">
                  <c:v>4.2126271035574394</c:v>
                </c:pt>
                <c:pt idx="8">
                  <c:v>4.0507952297735059</c:v>
                </c:pt>
                <c:pt idx="9">
                  <c:v>4.1645468658466074</c:v>
                </c:pt>
                <c:pt idx="10">
                  <c:v>4.2962629531445158</c:v>
                </c:pt>
                <c:pt idx="11">
                  <c:v>4.1736994447893165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08-48B7-A328-C4DB7A6E9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75160"/>
        <c:axId val="651171552"/>
      </c:scatterChart>
      <c:valAx>
        <c:axId val="65117516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1171552"/>
        <c:crosses val="autoZero"/>
        <c:crossBetween val="midCat"/>
      </c:valAx>
      <c:valAx>
        <c:axId val="65117155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117516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10uM'!$R$136</c:f>
          <c:strCache>
            <c:ptCount val="1"/>
            <c:pt idx="0">
              <c:v>DTXSID1042285 - Human</c:v>
            </c:pt>
          </c:strCache>
        </c:strRef>
      </c:tx>
      <c:layout>
        <c:manualLayout>
          <c:xMode val="edge"/>
          <c:yMode val="edge"/>
          <c:x val="0.17208430913348946"/>
          <c:y val="3.166226912928760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1.5175644028103044E-2"/>
                  <c:y val="0.5533038317439871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10uM'!$V$139:$V$153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10uM'!$W$139:$W$153</c:f>
              <c:numCache>
                <c:formatCode>General</c:formatCode>
                <c:ptCount val="15"/>
                <c:pt idx="0">
                  <c:v>4.2416741511300149</c:v>
                </c:pt>
                <c:pt idx="1">
                  <c:v>4.527858198265525</c:v>
                </c:pt>
                <c:pt idx="2">
                  <c:v>4.3978809732144004</c:v>
                </c:pt>
                <c:pt idx="3">
                  <c:v>4.2002628947872456</c:v>
                </c:pt>
                <c:pt idx="4">
                  <c:v>4.2667063527027818</c:v>
                </c:pt>
                <c:pt idx="5">
                  <c:v>4.2217061371508109</c:v>
                </c:pt>
                <c:pt idx="6">
                  <c:v>4.2080860489455505</c:v>
                </c:pt>
                <c:pt idx="7">
                  <c:v>4.4283372687625091</c:v>
                </c:pt>
                <c:pt idx="8">
                  <c:v>4.2638246535347655</c:v>
                </c:pt>
                <c:pt idx="9">
                  <c:v>4.1935176562004726</c:v>
                </c:pt>
                <c:pt idx="10">
                  <c:v>4.3939974130254296</c:v>
                </c:pt>
                <c:pt idx="11">
                  <c:v>4.2802873622553603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D-400A-8A02-29FAE30F3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043952"/>
        <c:axId val="649044280"/>
      </c:scatterChart>
      <c:valAx>
        <c:axId val="64904395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044280"/>
        <c:crosses val="autoZero"/>
        <c:crossBetween val="midCat"/>
      </c:valAx>
      <c:valAx>
        <c:axId val="64904428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04395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10uM'!$R$155</c:f>
          <c:strCache>
            <c:ptCount val="1"/>
            <c:pt idx="0">
              <c:v>Midazolam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4246019247594051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10uM'!$V$158:$V$172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'Data 10uM'!$W$158:$W$172</c:f>
              <c:numCache>
                <c:formatCode>General</c:formatCode>
                <c:ptCount val="15"/>
                <c:pt idx="0">
                  <c:v>3.6538048293036853</c:v>
                </c:pt>
                <c:pt idx="1">
                  <c:v>3.7560338482678159</c:v>
                </c:pt>
                <c:pt idx="2">
                  <c:v>3.9678162668500545</c:v>
                </c:pt>
                <c:pt idx="3">
                  <c:v>3.6577639095015986</c:v>
                </c:pt>
                <c:pt idx="4">
                  <c:v>3.9676230283376772</c:v>
                </c:pt>
                <c:pt idx="5">
                  <c:v>4.0042675344188474</c:v>
                </c:pt>
                <c:pt idx="6">
                  <c:v>3.7984996554095414</c:v>
                </c:pt>
                <c:pt idx="7">
                  <c:v>4.0653900495684594</c:v>
                </c:pt>
                <c:pt idx="8">
                  <c:v>4.16872712873365</c:v>
                </c:pt>
                <c:pt idx="9">
                  <c:v>4.0048172685426788</c:v>
                </c:pt>
                <c:pt idx="10">
                  <c:v>4.3000414972057497</c:v>
                </c:pt>
                <c:pt idx="11">
                  <c:v>4.2496737733304331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8-4F23-92D7-FD5C6A916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178296"/>
        <c:axId val="657171408"/>
      </c:scatterChart>
      <c:valAx>
        <c:axId val="65717829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7171408"/>
        <c:crosses val="autoZero"/>
        <c:crossBetween val="midCat"/>
      </c:valAx>
      <c:valAx>
        <c:axId val="65717140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717829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control'!$R$2</c:f>
          <c:strCache>
            <c:ptCount val="1"/>
            <c:pt idx="0">
              <c:v>DTXSID6047284 -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4786089238845145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control'!$V$5:$V$10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control'!$W$5:$W$10</c:f>
              <c:numCache>
                <c:formatCode>General</c:formatCode>
                <c:ptCount val="6"/>
                <c:pt idx="0">
                  <c:v>4.7359752012186087</c:v>
                </c:pt>
                <c:pt idx="1">
                  <c:v>4.5093414413974822</c:v>
                </c:pt>
                <c:pt idx="2">
                  <c:v>4.4262267415533474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B-44CF-8B7F-275F98150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390672"/>
        <c:axId val="415398872"/>
      </c:scatterChart>
      <c:valAx>
        <c:axId val="41539067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5398872"/>
        <c:crosses val="autoZero"/>
        <c:crossBetween val="midCat"/>
      </c:valAx>
      <c:valAx>
        <c:axId val="41539887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539067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control'!$R$22</c:f>
          <c:strCache>
            <c:ptCount val="1"/>
            <c:pt idx="0">
              <c:v>DTXSID7041966 -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8178944298629336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control'!$V$25:$V$30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control'!$W$25:$W$30</c:f>
              <c:numCache>
                <c:formatCode>General</c:formatCode>
                <c:ptCount val="6"/>
                <c:pt idx="0">
                  <c:v>4.0692166694498271</c:v>
                </c:pt>
                <c:pt idx="1">
                  <c:v>3.6754729080419426</c:v>
                </c:pt>
                <c:pt idx="2">
                  <c:v>4.1553112115827355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45-42A6-B25A-33B7D1BBB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424320"/>
        <c:axId val="654424976"/>
      </c:scatterChart>
      <c:valAx>
        <c:axId val="65442432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4424976"/>
        <c:crosses val="autoZero"/>
        <c:crossBetween val="midCat"/>
      </c:valAx>
      <c:valAx>
        <c:axId val="654424976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442432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control'!$R$42</c:f>
          <c:strCache>
            <c:ptCount val="1"/>
            <c:pt idx="0">
              <c:v>DTXSID1032484 -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312138232720909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control'!$V$45:$V$50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control'!$W$45:$W$50</c:f>
              <c:numCache>
                <c:formatCode>General</c:formatCode>
                <c:ptCount val="6"/>
                <c:pt idx="0">
                  <c:v>4.0369695951017635</c:v>
                </c:pt>
                <c:pt idx="1">
                  <c:v>3.011003884655858</c:v>
                </c:pt>
                <c:pt idx="2">
                  <c:v>3.2992427565906706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0-45DD-85BC-30088482E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408904"/>
        <c:axId val="654414480"/>
      </c:scatterChart>
      <c:valAx>
        <c:axId val="65440890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4414480"/>
        <c:crosses val="autoZero"/>
        <c:crossBetween val="midCat"/>
      </c:valAx>
      <c:valAx>
        <c:axId val="65441448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440890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control'!$R$62</c:f>
          <c:strCache>
            <c:ptCount val="1"/>
            <c:pt idx="0">
              <c:v>DTXSID3047261 -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559018544813046"/>
                  <c:y val="0.44786089238845145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control'!$V$65:$V$70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control'!$W$65:$W$70</c:f>
              <c:numCache>
                <c:formatCode>General</c:formatCode>
                <c:ptCount val="6"/>
                <c:pt idx="0">
                  <c:v>5.0400913573840329</c:v>
                </c:pt>
                <c:pt idx="1">
                  <c:v>5.3645310201721852</c:v>
                </c:pt>
                <c:pt idx="2">
                  <c:v>5.9188901253653086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5-4C5D-966F-6D3DEA38C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409232"/>
        <c:axId val="654409560"/>
      </c:scatterChart>
      <c:valAx>
        <c:axId val="65440923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4409560"/>
        <c:crosses val="autoZero"/>
        <c:crossBetween val="midCat"/>
      </c:valAx>
      <c:valAx>
        <c:axId val="654409560"/>
        <c:scaling>
          <c:orientation val="minMax"/>
          <c:max val="6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440923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control'!$R$82</c:f>
          <c:strCache>
            <c:ptCount val="1"/>
            <c:pt idx="0">
              <c:v>DTXSID9041289 -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411636045494313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control'!$V$85:$V$90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control'!$W$85:$W$90</c:f>
              <c:numCache>
                <c:formatCode>General</c:formatCode>
                <c:ptCount val="6"/>
                <c:pt idx="0">
                  <c:v>4.8103560066788402</c:v>
                </c:pt>
                <c:pt idx="1">
                  <c:v>4.1677720740693411</c:v>
                </c:pt>
                <c:pt idx="2">
                  <c:v>4.2455393566777966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C-4ACB-B3FC-5EE5BABC2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179552"/>
        <c:axId val="649174632"/>
      </c:scatterChart>
      <c:valAx>
        <c:axId val="649179552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174632"/>
        <c:crosses val="autoZero"/>
        <c:crossBetween val="midCat"/>
      </c:valAx>
      <c:valAx>
        <c:axId val="64917463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9179552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control'!$R$104</c:f>
          <c:strCache>
            <c:ptCount val="1"/>
            <c:pt idx="0">
              <c:v>DTXSID9047542 -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27764362787984836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control'!$V$107:$V$112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control'!$W$107:$W$112</c:f>
              <c:numCache>
                <c:formatCode>General</c:formatCode>
                <c:ptCount val="6"/>
                <c:pt idx="0">
                  <c:v>3.7176722493565126</c:v>
                </c:pt>
                <c:pt idx="1">
                  <c:v>3.3911896765208183</c:v>
                </c:pt>
                <c:pt idx="2">
                  <c:v>2.4693447001537239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C-4B1D-A3FF-DFF991C5B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705104"/>
        <c:axId val="650712648"/>
      </c:scatterChart>
      <c:valAx>
        <c:axId val="65070510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0712648"/>
        <c:crosses val="autoZero"/>
        <c:crossBetween val="midCat"/>
      </c:valAx>
      <c:valAx>
        <c:axId val="65071264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070510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control'!$R$124</c:f>
          <c:strCache>
            <c:ptCount val="1"/>
            <c:pt idx="0">
              <c:v>DTXSID7021156 -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0939399241761448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control'!$V$127:$V$132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control'!$W$127:$W$132</c:f>
              <c:numCache>
                <c:formatCode>General</c:formatCode>
                <c:ptCount val="6"/>
                <c:pt idx="0">
                  <c:v>4.2978309538350041</c:v>
                </c:pt>
                <c:pt idx="1">
                  <c:v>4.3692929371978559</c:v>
                </c:pt>
                <c:pt idx="2">
                  <c:v>3.8482849728628472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6-4A68-9F06-F8DC873ED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37600"/>
        <c:axId val="650637928"/>
      </c:scatterChart>
      <c:valAx>
        <c:axId val="650637600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0637928"/>
        <c:crosses val="autoZero"/>
        <c:crossBetween val="midCat"/>
      </c:valAx>
      <c:valAx>
        <c:axId val="65063792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0637600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control'!$R$144</c:f>
          <c:strCache>
            <c:ptCount val="1"/>
            <c:pt idx="0">
              <c:v>DTXSID1042285 -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117156605424321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control'!$V$147:$V$152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control'!$W$147:$W$152</c:f>
              <c:numCache>
                <c:formatCode>General</c:formatCode>
                <c:ptCount val="6"/>
                <c:pt idx="0">
                  <c:v>3.8891717648688968</c:v>
                </c:pt>
                <c:pt idx="1">
                  <c:v>4.380491440538214</c:v>
                </c:pt>
                <c:pt idx="2">
                  <c:v>4.2974997779149193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A-4BAF-875F-FFAD4F481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35304"/>
        <c:axId val="650629072"/>
      </c:scatterChart>
      <c:valAx>
        <c:axId val="650635304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0629072"/>
        <c:crosses val="autoZero"/>
        <c:crossBetween val="midCat"/>
      </c:valAx>
      <c:valAx>
        <c:axId val="650629072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0635304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10uM control'!$R$164</c:f>
          <c:strCache>
            <c:ptCount val="1"/>
            <c:pt idx="0">
              <c:v>Midazolam - Human (Control)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4754119874359966"/>
                  <c:y val="0.40266987459900844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'Data 10uM control'!$V$167:$V$172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'Data 10uM control'!$W$167:$W$172</c:f>
              <c:numCache>
                <c:formatCode>General</c:formatCode>
                <c:ptCount val="6"/>
                <c:pt idx="0">
                  <c:v>3.4165589040062154</c:v>
                </c:pt>
                <c:pt idx="1">
                  <c:v>4.5808141401671154</c:v>
                </c:pt>
                <c:pt idx="2">
                  <c:v>4.3681312260450493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D0-47D4-86BA-93D9B9A04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61808"/>
        <c:axId val="658470008"/>
      </c:scatterChart>
      <c:valAx>
        <c:axId val="65846180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"Time (Mins)"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8470008"/>
        <c:crosses val="autoZero"/>
        <c:crossBetween val="midCat"/>
      </c:valAx>
      <c:valAx>
        <c:axId val="65847000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"ln Percent Remaining"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8461808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20</xdr:row>
      <xdr:rowOff>0</xdr:rowOff>
    </xdr:from>
    <xdr:to>
      <xdr:col>17</xdr:col>
      <xdr:colOff>0</xdr:colOff>
      <xdr:row>38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39</xdr:row>
      <xdr:rowOff>0</xdr:rowOff>
    </xdr:from>
    <xdr:to>
      <xdr:col>17</xdr:col>
      <xdr:colOff>0</xdr:colOff>
      <xdr:row>57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58</xdr:row>
      <xdr:rowOff>0</xdr:rowOff>
    </xdr:from>
    <xdr:to>
      <xdr:col>17</xdr:col>
      <xdr:colOff>0</xdr:colOff>
      <xdr:row>76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17</xdr:col>
      <xdr:colOff>0</xdr:colOff>
      <xdr:row>95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96</xdr:row>
      <xdr:rowOff>0</xdr:rowOff>
    </xdr:from>
    <xdr:to>
      <xdr:col>17</xdr:col>
      <xdr:colOff>0</xdr:colOff>
      <xdr:row>114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115</xdr:row>
      <xdr:rowOff>0</xdr:rowOff>
    </xdr:from>
    <xdr:to>
      <xdr:col>17</xdr:col>
      <xdr:colOff>0</xdr:colOff>
      <xdr:row>133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134</xdr:row>
      <xdr:rowOff>0</xdr:rowOff>
    </xdr:from>
    <xdr:to>
      <xdr:col>17</xdr:col>
      <xdr:colOff>0</xdr:colOff>
      <xdr:row>152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17</xdr:col>
      <xdr:colOff>0</xdr:colOff>
      <xdr:row>59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17</xdr:col>
      <xdr:colOff>0</xdr:colOff>
      <xdr:row>79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81</xdr:row>
      <xdr:rowOff>0</xdr:rowOff>
    </xdr:from>
    <xdr:to>
      <xdr:col>17</xdr:col>
      <xdr:colOff>0</xdr:colOff>
      <xdr:row>99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101</xdr:row>
      <xdr:rowOff>0</xdr:rowOff>
    </xdr:from>
    <xdr:to>
      <xdr:col>17</xdr:col>
      <xdr:colOff>0</xdr:colOff>
      <xdr:row>119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121</xdr:row>
      <xdr:rowOff>0</xdr:rowOff>
    </xdr:from>
    <xdr:to>
      <xdr:col>17</xdr:col>
      <xdr:colOff>0</xdr:colOff>
      <xdr:row>139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141</xdr:row>
      <xdr:rowOff>0</xdr:rowOff>
    </xdr:from>
    <xdr:to>
      <xdr:col>17</xdr:col>
      <xdr:colOff>0</xdr:colOff>
      <xdr:row>159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20</xdr:row>
      <xdr:rowOff>0</xdr:rowOff>
    </xdr:from>
    <xdr:to>
      <xdr:col>17</xdr:col>
      <xdr:colOff>0</xdr:colOff>
      <xdr:row>38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39</xdr:row>
      <xdr:rowOff>0</xdr:rowOff>
    </xdr:from>
    <xdr:to>
      <xdr:col>17</xdr:col>
      <xdr:colOff>0</xdr:colOff>
      <xdr:row>57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58</xdr:row>
      <xdr:rowOff>0</xdr:rowOff>
    </xdr:from>
    <xdr:to>
      <xdr:col>17</xdr:col>
      <xdr:colOff>0</xdr:colOff>
      <xdr:row>76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17</xdr:col>
      <xdr:colOff>0</xdr:colOff>
      <xdr:row>95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97</xdr:row>
      <xdr:rowOff>0</xdr:rowOff>
    </xdr:from>
    <xdr:to>
      <xdr:col>17</xdr:col>
      <xdr:colOff>0</xdr:colOff>
      <xdr:row>115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116</xdr:row>
      <xdr:rowOff>0</xdr:rowOff>
    </xdr:from>
    <xdr:to>
      <xdr:col>17</xdr:col>
      <xdr:colOff>0</xdr:colOff>
      <xdr:row>134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135</xdr:row>
      <xdr:rowOff>0</xdr:rowOff>
    </xdr:from>
    <xdr:to>
      <xdr:col>17</xdr:col>
      <xdr:colOff>0</xdr:colOff>
      <xdr:row>153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154</xdr:row>
      <xdr:rowOff>0</xdr:rowOff>
    </xdr:from>
    <xdr:to>
      <xdr:col>17</xdr:col>
      <xdr:colOff>0</xdr:colOff>
      <xdr:row>172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17</xdr:col>
      <xdr:colOff>0</xdr:colOff>
      <xdr:row>59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17</xdr:col>
      <xdr:colOff>0</xdr:colOff>
      <xdr:row>79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81</xdr:row>
      <xdr:rowOff>0</xdr:rowOff>
    </xdr:from>
    <xdr:to>
      <xdr:col>17</xdr:col>
      <xdr:colOff>0</xdr:colOff>
      <xdr:row>99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103</xdr:row>
      <xdr:rowOff>0</xdr:rowOff>
    </xdr:from>
    <xdr:to>
      <xdr:col>17</xdr:col>
      <xdr:colOff>0</xdr:colOff>
      <xdr:row>121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123</xdr:row>
      <xdr:rowOff>0</xdr:rowOff>
    </xdr:from>
    <xdr:to>
      <xdr:col>17</xdr:col>
      <xdr:colOff>0</xdr:colOff>
      <xdr:row>141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143</xdr:row>
      <xdr:rowOff>0</xdr:rowOff>
    </xdr:from>
    <xdr:to>
      <xdr:col>17</xdr:col>
      <xdr:colOff>0</xdr:colOff>
      <xdr:row>161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163</xdr:row>
      <xdr:rowOff>0</xdr:rowOff>
    </xdr:from>
    <xdr:to>
      <xdr:col>17</xdr:col>
      <xdr:colOff>0</xdr:colOff>
      <xdr:row>181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PA_HEPS_06242020_CNTRL_1u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PA_HEPS_06242020_10u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PA_HEPS_06242020_CNTRL_10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Data 1µM Control"/>
      <sheetName val="Log"/>
      <sheetName val="Criteria"/>
    </sheetNames>
    <sheetDataSet>
      <sheetData sheetId="0" refreshError="1"/>
      <sheetData sheetId="1">
        <row r="2">
          <cell r="R2" t="str">
            <v>DTXSID6047284 -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4.299022954215693</v>
          </cell>
        </row>
        <row r="6">
          <cell r="V6">
            <v>120</v>
          </cell>
          <cell r="W6">
            <v>3.5427292056367086</v>
          </cell>
        </row>
        <row r="7">
          <cell r="V7">
            <v>120</v>
          </cell>
          <cell r="W7">
            <v>4.4775017392499077</v>
          </cell>
        </row>
        <row r="8">
          <cell r="V8">
            <v>0</v>
          </cell>
          <cell r="W8">
            <v>4.6051701859880918</v>
          </cell>
        </row>
        <row r="9">
          <cell r="V9">
            <v>0</v>
          </cell>
          <cell r="W9">
            <v>4.6051701859880918</v>
          </cell>
        </row>
        <row r="10">
          <cell r="V10">
            <v>0</v>
          </cell>
          <cell r="W10">
            <v>4.6051701859880918</v>
          </cell>
        </row>
        <row r="22">
          <cell r="R22" t="str">
            <v>DTXSID7041966 - Human</v>
          </cell>
        </row>
        <row r="23">
          <cell r="R23" t="str">
            <v>Time (Mins)</v>
          </cell>
        </row>
        <row r="24">
          <cell r="R24" t="str">
            <v>ln Percent Remaining</v>
          </cell>
        </row>
        <row r="25">
          <cell r="V25">
            <v>120</v>
          </cell>
          <cell r="W25">
            <v>4.460068399387449</v>
          </cell>
        </row>
        <row r="26">
          <cell r="V26">
            <v>120</v>
          </cell>
          <cell r="W26">
            <v>3.9427134349272412</v>
          </cell>
        </row>
        <row r="27">
          <cell r="V27">
            <v>120</v>
          </cell>
          <cell r="W27">
            <v>2.7430716184525545</v>
          </cell>
        </row>
        <row r="28">
          <cell r="V28">
            <v>0</v>
          </cell>
          <cell r="W28">
            <v>4.6051701859880918</v>
          </cell>
        </row>
        <row r="29">
          <cell r="V29">
            <v>0</v>
          </cell>
          <cell r="W29">
            <v>4.6051701859880918</v>
          </cell>
        </row>
        <row r="30">
          <cell r="V30">
            <v>0</v>
          </cell>
          <cell r="W30">
            <v>4.6051701859880918</v>
          </cell>
        </row>
        <row r="42">
          <cell r="R42" t="str">
            <v>DTXSID3047261 - Human</v>
          </cell>
        </row>
        <row r="43">
          <cell r="R43" t="str">
            <v>Time (Mins)</v>
          </cell>
        </row>
        <row r="44">
          <cell r="R44" t="str">
            <v>ln Percent Remaining</v>
          </cell>
        </row>
        <row r="45">
          <cell r="V45">
            <v>120</v>
          </cell>
          <cell r="W45">
            <v>4.910389083261399</v>
          </cell>
        </row>
        <row r="46">
          <cell r="V46">
            <v>120</v>
          </cell>
          <cell r="W46">
            <v>4.7055171241706191</v>
          </cell>
        </row>
        <row r="47">
          <cell r="V47">
            <v>120</v>
          </cell>
          <cell r="W47">
            <v>5.0288311911271029</v>
          </cell>
        </row>
        <row r="48">
          <cell r="V48">
            <v>0</v>
          </cell>
          <cell r="W48">
            <v>4.6051701859880918</v>
          </cell>
        </row>
        <row r="49">
          <cell r="V49">
            <v>0</v>
          </cell>
          <cell r="W49">
            <v>4.6051701859880918</v>
          </cell>
        </row>
        <row r="50">
          <cell r="V50">
            <v>0</v>
          </cell>
          <cell r="W50">
            <v>4.6051701859880918</v>
          </cell>
        </row>
        <row r="62">
          <cell r="R62" t="str">
            <v>DTXSID9041289 - Human</v>
          </cell>
        </row>
        <row r="63">
          <cell r="R63" t="str">
            <v>Time (Mins)</v>
          </cell>
        </row>
        <row r="64">
          <cell r="R64" t="str">
            <v>ln Percent Remaining</v>
          </cell>
        </row>
        <row r="65">
          <cell r="V65">
            <v>120</v>
          </cell>
          <cell r="W65">
            <v>3.8263000330314005</v>
          </cell>
        </row>
        <row r="66">
          <cell r="V66">
            <v>120</v>
          </cell>
          <cell r="W66">
            <v>3.8861133460620407</v>
          </cell>
        </row>
        <row r="67">
          <cell r="V67">
            <v>120</v>
          </cell>
          <cell r="W67">
            <v>4.1170034742552506</v>
          </cell>
        </row>
        <row r="68">
          <cell r="V68">
            <v>0</v>
          </cell>
          <cell r="W68">
            <v>4.6051701859880918</v>
          </cell>
        </row>
        <row r="69">
          <cell r="V69">
            <v>0</v>
          </cell>
          <cell r="W69">
            <v>4.6051701859880918</v>
          </cell>
        </row>
        <row r="70">
          <cell r="V70">
            <v>0</v>
          </cell>
          <cell r="W70">
            <v>4.6051701859880918</v>
          </cell>
        </row>
        <row r="82">
          <cell r="R82" t="str">
            <v>DTXSID9047542 - Human</v>
          </cell>
        </row>
        <row r="83">
          <cell r="R83" t="str">
            <v>Time (Mins)</v>
          </cell>
        </row>
        <row r="84">
          <cell r="R84" t="str">
            <v>ln Percent Remaining</v>
          </cell>
        </row>
        <row r="85">
          <cell r="V85">
            <v>120</v>
          </cell>
          <cell r="W85">
            <v>2.9561469024446421</v>
          </cell>
        </row>
        <row r="86">
          <cell r="V86">
            <v>120</v>
          </cell>
          <cell r="W86">
            <v>3.4976390067168128</v>
          </cell>
        </row>
        <row r="87">
          <cell r="V87">
            <v>120</v>
          </cell>
          <cell r="W87">
            <v>3.8637203819625054</v>
          </cell>
        </row>
        <row r="88">
          <cell r="V88">
            <v>0</v>
          </cell>
          <cell r="W88">
            <v>4.6051701859880918</v>
          </cell>
        </row>
        <row r="89">
          <cell r="V89">
            <v>0</v>
          </cell>
          <cell r="W89">
            <v>4.6051701859880918</v>
          </cell>
        </row>
        <row r="90">
          <cell r="V90">
            <v>0</v>
          </cell>
          <cell r="W90">
            <v>4.6051701859880918</v>
          </cell>
        </row>
        <row r="102">
          <cell r="R102" t="str">
            <v>DTXSID7021156 - Human</v>
          </cell>
        </row>
        <row r="103">
          <cell r="R103" t="str">
            <v>Time (Mins)</v>
          </cell>
        </row>
        <row r="104">
          <cell r="R104" t="str">
            <v>ln Percent Remaining</v>
          </cell>
        </row>
        <row r="105">
          <cell r="V105">
            <v>120</v>
          </cell>
          <cell r="W105">
            <v>3.8231902533438142</v>
          </cell>
        </row>
        <row r="106">
          <cell r="V106">
            <v>120</v>
          </cell>
          <cell r="W106">
            <v>3.7682275206970992</v>
          </cell>
        </row>
        <row r="107">
          <cell r="V107">
            <v>120</v>
          </cell>
          <cell r="W107">
            <v>4.3514294470959607</v>
          </cell>
        </row>
        <row r="108">
          <cell r="V108">
            <v>0</v>
          </cell>
          <cell r="W108">
            <v>4.6051701859880918</v>
          </cell>
        </row>
        <row r="109">
          <cell r="V109">
            <v>0</v>
          </cell>
          <cell r="W109">
            <v>4.6051701859880918</v>
          </cell>
        </row>
        <row r="110">
          <cell r="V110">
            <v>0</v>
          </cell>
          <cell r="W110">
            <v>4.6051701859880918</v>
          </cell>
        </row>
        <row r="122">
          <cell r="R122" t="str">
            <v>DTXSID1042285 - Human</v>
          </cell>
        </row>
        <row r="123">
          <cell r="R123" t="str">
            <v>Time (Mins)</v>
          </cell>
        </row>
        <row r="124">
          <cell r="R124" t="str">
            <v>ln Percent Remaining</v>
          </cell>
        </row>
        <row r="125">
          <cell r="V125">
            <v>120</v>
          </cell>
          <cell r="W125">
            <v>4.2904928247379761</v>
          </cell>
        </row>
        <row r="126">
          <cell r="V126">
            <v>120</v>
          </cell>
          <cell r="W126">
            <v>4.4770498817793634</v>
          </cell>
        </row>
        <row r="127">
          <cell r="V127">
            <v>120</v>
          </cell>
          <cell r="W127">
            <v>3.1406039734624911</v>
          </cell>
        </row>
        <row r="128">
          <cell r="V128">
            <v>0</v>
          </cell>
          <cell r="W128">
            <v>4.6051701859880918</v>
          </cell>
        </row>
        <row r="129">
          <cell r="V129">
            <v>0</v>
          </cell>
          <cell r="W129">
            <v>4.6051701859880918</v>
          </cell>
        </row>
        <row r="130">
          <cell r="V130">
            <v>0</v>
          </cell>
          <cell r="W130">
            <v>4.6051701859880918</v>
          </cell>
        </row>
        <row r="142">
          <cell r="R142" t="str">
            <v>Midazolam - Human</v>
          </cell>
        </row>
        <row r="143">
          <cell r="R143" t="str">
            <v>Time (Mins)</v>
          </cell>
        </row>
        <row r="144">
          <cell r="R144" t="str">
            <v>ln Percent Remaining</v>
          </cell>
        </row>
        <row r="145">
          <cell r="V145">
            <v>120</v>
          </cell>
          <cell r="W145">
            <v>3.8454791219686077</v>
          </cell>
        </row>
        <row r="146">
          <cell r="V146">
            <v>120</v>
          </cell>
          <cell r="W146">
            <v>3.5376602935121206</v>
          </cell>
        </row>
        <row r="147">
          <cell r="V147">
            <v>120</v>
          </cell>
          <cell r="W147">
            <v>3.6941602374676359</v>
          </cell>
        </row>
        <row r="148">
          <cell r="V148">
            <v>0</v>
          </cell>
          <cell r="W148">
            <v>4.6051701859880918</v>
          </cell>
        </row>
        <row r="149">
          <cell r="V149">
            <v>0</v>
          </cell>
          <cell r="W149">
            <v>4.6051701859880918</v>
          </cell>
        </row>
        <row r="150">
          <cell r="V150">
            <v>0</v>
          </cell>
          <cell r="W150">
            <v>4.6051701859880918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10uM"/>
      <sheetName val="Log"/>
      <sheetName val="Criteria"/>
    </sheetNames>
    <sheetDataSet>
      <sheetData sheetId="0" refreshError="1"/>
      <sheetData sheetId="1">
        <row r="2">
          <cell r="R2" t="str">
            <v>DTXSID6047284 -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4.7716228922345891</v>
          </cell>
        </row>
        <row r="6">
          <cell r="V6">
            <v>120</v>
          </cell>
          <cell r="W6">
            <v>4.619099927318282</v>
          </cell>
        </row>
        <row r="7">
          <cell r="V7">
            <v>120</v>
          </cell>
          <cell r="W7">
            <v>4.6844494060950543</v>
          </cell>
        </row>
        <row r="8">
          <cell r="V8">
            <v>60</v>
          </cell>
          <cell r="W8">
            <v>4.7074282636910141</v>
          </cell>
        </row>
        <row r="9">
          <cell r="V9">
            <v>60</v>
          </cell>
          <cell r="W9">
            <v>4.6182651698742596</v>
          </cell>
        </row>
        <row r="10">
          <cell r="V10">
            <v>60</v>
          </cell>
          <cell r="W10">
            <v>4.6008699436127962</v>
          </cell>
        </row>
        <row r="11">
          <cell r="V11">
            <v>30</v>
          </cell>
          <cell r="W11">
            <v>4.6048107669170681</v>
          </cell>
        </row>
        <row r="12">
          <cell r="V12">
            <v>30</v>
          </cell>
          <cell r="W12">
            <v>4.4139594499564216</v>
          </cell>
        </row>
        <row r="13">
          <cell r="V13">
            <v>30</v>
          </cell>
          <cell r="W13">
            <v>4.6706629245226923</v>
          </cell>
        </row>
        <row r="14">
          <cell r="V14">
            <v>15</v>
          </cell>
          <cell r="W14">
            <v>4.6589866889427958</v>
          </cell>
        </row>
        <row r="15">
          <cell r="V15">
            <v>15</v>
          </cell>
          <cell r="W15">
            <v>4.6711989203610962</v>
          </cell>
        </row>
        <row r="16">
          <cell r="V16">
            <v>15</v>
          </cell>
          <cell r="W16">
            <v>4.4683531784107959</v>
          </cell>
        </row>
        <row r="17">
          <cell r="V17">
            <v>0</v>
          </cell>
          <cell r="W17">
            <v>4.6051701859880918</v>
          </cell>
        </row>
        <row r="18">
          <cell r="V18">
            <v>0</v>
          </cell>
          <cell r="W18">
            <v>4.6051701859880918</v>
          </cell>
        </row>
        <row r="19">
          <cell r="V19">
            <v>0</v>
          </cell>
          <cell r="W19">
            <v>4.6051701859880918</v>
          </cell>
        </row>
        <row r="21">
          <cell r="R21" t="str">
            <v>DTXSID7041966 - Human</v>
          </cell>
        </row>
        <row r="22">
          <cell r="R22" t="str">
            <v>Time (Mins)</v>
          </cell>
        </row>
        <row r="23">
          <cell r="R23" t="str">
            <v>ln Percent Remaining</v>
          </cell>
        </row>
        <row r="24">
          <cell r="V24">
            <v>60</v>
          </cell>
          <cell r="W24">
            <v>3.7424688610685339</v>
          </cell>
        </row>
        <row r="25">
          <cell r="V25">
            <v>60</v>
          </cell>
          <cell r="W25">
            <v>3.7156839961379911</v>
          </cell>
        </row>
        <row r="26">
          <cell r="V26">
            <v>60</v>
          </cell>
          <cell r="W26">
            <v>3.8430664765614471</v>
          </cell>
        </row>
        <row r="27">
          <cell r="V27">
            <v>30</v>
          </cell>
          <cell r="W27">
            <v>4.0637530621972919</v>
          </cell>
        </row>
        <row r="28">
          <cell r="V28">
            <v>30</v>
          </cell>
          <cell r="W28">
            <v>4.1041688415389652</v>
          </cell>
        </row>
        <row r="29">
          <cell r="V29">
            <v>30</v>
          </cell>
          <cell r="W29">
            <v>4.0507345137888082</v>
          </cell>
        </row>
        <row r="30">
          <cell r="V30">
            <v>15</v>
          </cell>
          <cell r="W30">
            <v>4.4483658635229375</v>
          </cell>
        </row>
        <row r="31">
          <cell r="V31">
            <v>15</v>
          </cell>
          <cell r="W31">
            <v>4.3338367283652781</v>
          </cell>
        </row>
        <row r="32">
          <cell r="V32">
            <v>15</v>
          </cell>
          <cell r="W32">
            <v>4.2556013515926967</v>
          </cell>
        </row>
        <row r="33">
          <cell r="V33">
            <v>0</v>
          </cell>
          <cell r="W33">
            <v>4.6051701859880918</v>
          </cell>
        </row>
        <row r="34">
          <cell r="V34">
            <v>0</v>
          </cell>
          <cell r="W34">
            <v>4.6051701859880918</v>
          </cell>
        </row>
        <row r="35">
          <cell r="V35">
            <v>0</v>
          </cell>
          <cell r="W35">
            <v>4.6051701859880918</v>
          </cell>
        </row>
        <row r="40">
          <cell r="R40" t="str">
            <v>DTXSID1032484 - Human</v>
          </cell>
        </row>
        <row r="41">
          <cell r="R41" t="str">
            <v>Time (Mins)</v>
          </cell>
        </row>
        <row r="42">
          <cell r="R42" t="str">
            <v>ln Percent Remaining</v>
          </cell>
        </row>
        <row r="43">
          <cell r="V43">
            <v>120</v>
          </cell>
          <cell r="W43">
            <v>2.6513527965970249</v>
          </cell>
        </row>
        <row r="44">
          <cell r="V44">
            <v>120</v>
          </cell>
          <cell r="W44">
            <v>2.2186166810943759</v>
          </cell>
        </row>
        <row r="45">
          <cell r="V45">
            <v>120</v>
          </cell>
          <cell r="W45">
            <v>2.9673142862816078</v>
          </cell>
        </row>
        <row r="46">
          <cell r="V46">
            <v>60</v>
          </cell>
          <cell r="W46">
            <v>3.4475487808216729</v>
          </cell>
        </row>
        <row r="47">
          <cell r="V47">
            <v>60</v>
          </cell>
          <cell r="W47">
            <v>2.1587676134903644</v>
          </cell>
        </row>
        <row r="48">
          <cell r="V48">
            <v>60</v>
          </cell>
          <cell r="W48">
            <v>3.0730570432484683</v>
          </cell>
        </row>
        <row r="49">
          <cell r="V49">
            <v>30</v>
          </cell>
          <cell r="W49">
            <v>3.7583876864910777</v>
          </cell>
        </row>
        <row r="50">
          <cell r="V50">
            <v>30</v>
          </cell>
          <cell r="W50">
            <v>3.7587595546571042</v>
          </cell>
        </row>
        <row r="51">
          <cell r="V51">
            <v>30</v>
          </cell>
          <cell r="W51">
            <v>3.0903816090447895</v>
          </cell>
        </row>
        <row r="52">
          <cell r="V52">
            <v>15</v>
          </cell>
          <cell r="W52">
            <v>4.0570571952558971</v>
          </cell>
        </row>
        <row r="53">
          <cell r="V53">
            <v>15</v>
          </cell>
          <cell r="W53">
            <v>3.820793588324487</v>
          </cell>
        </row>
        <row r="54">
          <cell r="V54">
            <v>15</v>
          </cell>
          <cell r="W54">
            <v>3.7493383721667031</v>
          </cell>
        </row>
        <row r="55">
          <cell r="V55">
            <v>0</v>
          </cell>
          <cell r="W55">
            <v>4.6051701859880918</v>
          </cell>
        </row>
        <row r="56">
          <cell r="V56">
            <v>0</v>
          </cell>
          <cell r="W56">
            <v>4.6051701859880918</v>
          </cell>
        </row>
        <row r="57">
          <cell r="V57">
            <v>0</v>
          </cell>
          <cell r="W57">
            <v>4.6051701859880918</v>
          </cell>
        </row>
        <row r="59">
          <cell r="R59" t="str">
            <v>DTXSID3047261 - Human</v>
          </cell>
        </row>
        <row r="60">
          <cell r="R60" t="str">
            <v>Time (Mins)</v>
          </cell>
        </row>
        <row r="61">
          <cell r="R61" t="str">
            <v>ln Percent Remaining</v>
          </cell>
        </row>
        <row r="62">
          <cell r="V62">
            <v>120</v>
          </cell>
          <cell r="W62">
            <v>2.9681925812994678</v>
          </cell>
        </row>
        <row r="63">
          <cell r="V63">
            <v>120</v>
          </cell>
          <cell r="W63">
            <v>2.9846368249335797</v>
          </cell>
        </row>
        <row r="64">
          <cell r="V64">
            <v>120</v>
          </cell>
          <cell r="W64">
            <v>3.1827977611535792</v>
          </cell>
        </row>
        <row r="65">
          <cell r="V65">
            <v>60</v>
          </cell>
          <cell r="W65">
            <v>2.8947328131001147</v>
          </cell>
        </row>
        <row r="66">
          <cell r="V66">
            <v>60</v>
          </cell>
          <cell r="W66">
            <v>3.1761858281260764</v>
          </cell>
        </row>
        <row r="67">
          <cell r="V67">
            <v>60</v>
          </cell>
          <cell r="W67">
            <v>3.2799396425437877</v>
          </cell>
        </row>
        <row r="68">
          <cell r="V68">
            <v>30</v>
          </cell>
          <cell r="W68">
            <v>2.9708692090606945</v>
          </cell>
        </row>
        <row r="69">
          <cell r="V69">
            <v>30</v>
          </cell>
          <cell r="W69">
            <v>3.4701766000430152</v>
          </cell>
        </row>
        <row r="70">
          <cell r="V70">
            <v>30</v>
          </cell>
          <cell r="W70">
            <v>3.4058809654999607</v>
          </cell>
        </row>
        <row r="71">
          <cell r="V71">
            <v>15</v>
          </cell>
          <cell r="W71">
            <v>3.4192879480112413</v>
          </cell>
        </row>
        <row r="72">
          <cell r="V72">
            <v>15</v>
          </cell>
          <cell r="W72">
            <v>3.7519184016808103</v>
          </cell>
        </row>
        <row r="73">
          <cell r="V73">
            <v>15</v>
          </cell>
          <cell r="W73">
            <v>3.9592889779421991</v>
          </cell>
        </row>
        <row r="74">
          <cell r="V74">
            <v>0</v>
          </cell>
          <cell r="W74">
            <v>4.6051701859880918</v>
          </cell>
        </row>
        <row r="75">
          <cell r="V75">
            <v>0</v>
          </cell>
          <cell r="W75">
            <v>4.6051701859880918</v>
          </cell>
        </row>
        <row r="76">
          <cell r="V76">
            <v>0</v>
          </cell>
          <cell r="W76">
            <v>4.6051701859880918</v>
          </cell>
        </row>
        <row r="78">
          <cell r="R78" t="str">
            <v>DTXSID9041289 - Human</v>
          </cell>
        </row>
        <row r="79">
          <cell r="R79" t="str">
            <v>Time (Mins)</v>
          </cell>
        </row>
        <row r="80">
          <cell r="R80" t="str">
            <v>ln Percent Remaining</v>
          </cell>
        </row>
        <row r="81">
          <cell r="V81">
            <v>120</v>
          </cell>
          <cell r="W81">
            <v>2.7876459312328521</v>
          </cell>
        </row>
        <row r="82">
          <cell r="V82">
            <v>120</v>
          </cell>
          <cell r="W82">
            <v>2.5827697866718564</v>
          </cell>
        </row>
        <row r="83">
          <cell r="V83">
            <v>120</v>
          </cell>
          <cell r="W83">
            <v>2.6720942526464753</v>
          </cell>
        </row>
        <row r="84">
          <cell r="V84">
            <v>60</v>
          </cell>
          <cell r="W84">
            <v>3.5137504210912627</v>
          </cell>
        </row>
        <row r="85">
          <cell r="V85">
            <v>60</v>
          </cell>
          <cell r="W85">
            <v>3.0737157729379758</v>
          </cell>
        </row>
        <row r="86">
          <cell r="V86">
            <v>60</v>
          </cell>
          <cell r="W86">
            <v>3.3402181801262016</v>
          </cell>
        </row>
        <row r="87">
          <cell r="V87">
            <v>30</v>
          </cell>
          <cell r="W87">
            <v>3.4326971588666377</v>
          </cell>
        </row>
        <row r="88">
          <cell r="V88">
            <v>30</v>
          </cell>
          <cell r="W88">
            <v>4.0052915161391489</v>
          </cell>
        </row>
        <row r="89">
          <cell r="V89">
            <v>30</v>
          </cell>
          <cell r="W89">
            <v>3.5773183468986143</v>
          </cell>
        </row>
        <row r="90">
          <cell r="V90">
            <v>15</v>
          </cell>
          <cell r="W90">
            <v>4.5001872444815874</v>
          </cell>
        </row>
        <row r="91">
          <cell r="V91">
            <v>15</v>
          </cell>
          <cell r="W91">
            <v>3.9616811652531658</v>
          </cell>
        </row>
        <row r="92">
          <cell r="V92">
            <v>15</v>
          </cell>
          <cell r="W92">
            <v>3.9375804515310007</v>
          </cell>
        </row>
        <row r="93">
          <cell r="V93">
            <v>0</v>
          </cell>
          <cell r="W93">
            <v>4.6051701859880918</v>
          </cell>
        </row>
        <row r="94">
          <cell r="V94">
            <v>0</v>
          </cell>
          <cell r="W94">
            <v>4.6051701859880918</v>
          </cell>
        </row>
        <row r="95">
          <cell r="V95">
            <v>0</v>
          </cell>
          <cell r="W95">
            <v>4.6051701859880918</v>
          </cell>
        </row>
        <row r="97">
          <cell r="R97" t="str">
            <v>DTXSID8034324 - Human</v>
          </cell>
        </row>
        <row r="98">
          <cell r="R98" t="str">
            <v>Time (Mins)</v>
          </cell>
        </row>
        <row r="99">
          <cell r="R99" t="str">
            <v>ln Percent Remaining</v>
          </cell>
        </row>
        <row r="100">
          <cell r="V100">
            <v>30</v>
          </cell>
          <cell r="W100">
            <v>1.3832251735286138</v>
          </cell>
        </row>
        <row r="101">
          <cell r="V101">
            <v>30</v>
          </cell>
          <cell r="W101">
            <v>1.9485303241330634</v>
          </cell>
        </row>
        <row r="102">
          <cell r="V102">
            <v>15</v>
          </cell>
          <cell r="W102">
            <v>3.5437840273065517</v>
          </cell>
        </row>
        <row r="103">
          <cell r="V103">
            <v>15</v>
          </cell>
          <cell r="W103">
            <v>5.8677095509569455E-2</v>
          </cell>
        </row>
        <row r="104">
          <cell r="V104">
            <v>15</v>
          </cell>
          <cell r="W104">
            <v>1.5867369614657987</v>
          </cell>
        </row>
        <row r="105">
          <cell r="V105">
            <v>0</v>
          </cell>
          <cell r="W105">
            <v>4.6051701859880918</v>
          </cell>
        </row>
        <row r="106">
          <cell r="V106">
            <v>0</v>
          </cell>
          <cell r="W106">
            <v>4.6051701859880918</v>
          </cell>
        </row>
        <row r="107">
          <cell r="V107">
            <v>0</v>
          </cell>
          <cell r="W107">
            <v>4.6051701859880918</v>
          </cell>
        </row>
        <row r="116">
          <cell r="R116" t="str">
            <v>DTXSID2032554 - Human</v>
          </cell>
        </row>
        <row r="117">
          <cell r="R117" t="str">
            <v>Time (Mins)</v>
          </cell>
        </row>
        <row r="118">
          <cell r="R118" t="str">
            <v>ln Percent Remaining</v>
          </cell>
        </row>
        <row r="119">
          <cell r="V119">
            <v>120</v>
          </cell>
          <cell r="W119">
            <v>-2.5864189627027971</v>
          </cell>
        </row>
        <row r="120">
          <cell r="V120">
            <v>60</v>
          </cell>
          <cell r="W120">
            <v>-2.2513597432223782</v>
          </cell>
        </row>
        <row r="121">
          <cell r="V121">
            <v>0</v>
          </cell>
          <cell r="W121">
            <v>4.6051701859880918</v>
          </cell>
        </row>
        <row r="122">
          <cell r="V122">
            <v>0</v>
          </cell>
          <cell r="W122">
            <v>4.6051701859880918</v>
          </cell>
        </row>
        <row r="123">
          <cell r="V123">
            <v>0</v>
          </cell>
          <cell r="W123">
            <v>4.6051701859880918</v>
          </cell>
        </row>
        <row r="135">
          <cell r="R135" t="str">
            <v>DTXSID9047542 - Human</v>
          </cell>
        </row>
        <row r="136">
          <cell r="R136" t="str">
            <v>Time (Mins)</v>
          </cell>
        </row>
        <row r="137">
          <cell r="R137" t="str">
            <v>ln Percent Remaining</v>
          </cell>
        </row>
        <row r="138">
          <cell r="V138">
            <v>120</v>
          </cell>
          <cell r="W138">
            <v>3.0356509245273515</v>
          </cell>
        </row>
        <row r="139">
          <cell r="V139">
            <v>120</v>
          </cell>
          <cell r="W139">
            <v>2.8926047055588757</v>
          </cell>
        </row>
        <row r="140">
          <cell r="V140">
            <v>120</v>
          </cell>
          <cell r="W140">
            <v>3.0578822320945127</v>
          </cell>
        </row>
        <row r="141">
          <cell r="V141">
            <v>60</v>
          </cell>
          <cell r="W141">
            <v>3.2951085637822843</v>
          </cell>
        </row>
        <row r="142">
          <cell r="V142">
            <v>60</v>
          </cell>
          <cell r="W142">
            <v>3.1603231427947649</v>
          </cell>
        </row>
        <row r="143">
          <cell r="V143">
            <v>60</v>
          </cell>
          <cell r="W143">
            <v>3.0604351490560804</v>
          </cell>
        </row>
        <row r="144">
          <cell r="V144">
            <v>30</v>
          </cell>
          <cell r="W144">
            <v>3.6370192734928235</v>
          </cell>
        </row>
        <row r="145">
          <cell r="V145">
            <v>30</v>
          </cell>
          <cell r="W145">
            <v>3.3187212930041556</v>
          </cell>
        </row>
        <row r="146">
          <cell r="V146">
            <v>30</v>
          </cell>
          <cell r="W146">
            <v>3.2043053931947978</v>
          </cell>
        </row>
        <row r="147">
          <cell r="V147">
            <v>15</v>
          </cell>
          <cell r="W147">
            <v>3.9758765059956378</v>
          </cell>
        </row>
        <row r="148">
          <cell r="V148">
            <v>15</v>
          </cell>
          <cell r="W148">
            <v>3.536299852267295</v>
          </cell>
        </row>
        <row r="149">
          <cell r="V149">
            <v>15</v>
          </cell>
          <cell r="W149">
            <v>3.4458616856201298</v>
          </cell>
        </row>
        <row r="150">
          <cell r="V150">
            <v>0</v>
          </cell>
          <cell r="W150">
            <v>4.6051701859880918</v>
          </cell>
        </row>
        <row r="151">
          <cell r="V151">
            <v>0</v>
          </cell>
          <cell r="W151">
            <v>4.6051701859880918</v>
          </cell>
        </row>
        <row r="152">
          <cell r="V152">
            <v>0</v>
          </cell>
          <cell r="W152">
            <v>4.6051701859880918</v>
          </cell>
        </row>
        <row r="154">
          <cell r="R154" t="str">
            <v>DTXSID7021156 - Human</v>
          </cell>
        </row>
        <row r="155">
          <cell r="R155" t="str">
            <v>Time (Mins)</v>
          </cell>
        </row>
        <row r="156">
          <cell r="R156" t="str">
            <v>ln Percent Remaining</v>
          </cell>
        </row>
        <row r="157">
          <cell r="V157">
            <v>120</v>
          </cell>
          <cell r="W157">
            <v>4.3518535182774869</v>
          </cell>
        </row>
        <row r="158">
          <cell r="V158">
            <v>120</v>
          </cell>
          <cell r="W158">
            <v>4.1702668735673099</v>
          </cell>
        </row>
        <row r="159">
          <cell r="V159">
            <v>120</v>
          </cell>
          <cell r="W159">
            <v>4.0573449032179552</v>
          </cell>
        </row>
        <row r="160">
          <cell r="V160">
            <v>60</v>
          </cell>
          <cell r="W160">
            <v>4.1635477805612053</v>
          </cell>
        </row>
        <row r="161">
          <cell r="V161">
            <v>60</v>
          </cell>
          <cell r="W161">
            <v>4.1252736242797239</v>
          </cell>
        </row>
        <row r="162">
          <cell r="V162">
            <v>60</v>
          </cell>
          <cell r="W162">
            <v>3.9954309920470541</v>
          </cell>
        </row>
        <row r="163">
          <cell r="V163">
            <v>30</v>
          </cell>
          <cell r="W163">
            <v>4.1639844354987003</v>
          </cell>
        </row>
        <row r="164">
          <cell r="V164">
            <v>30</v>
          </cell>
          <cell r="W164">
            <v>4.2126271035574394</v>
          </cell>
        </row>
        <row r="165">
          <cell r="V165">
            <v>30</v>
          </cell>
          <cell r="W165">
            <v>4.0507952297735059</v>
          </cell>
        </row>
        <row r="166">
          <cell r="V166">
            <v>15</v>
          </cell>
          <cell r="W166">
            <v>4.1645468658466074</v>
          </cell>
        </row>
        <row r="167">
          <cell r="V167">
            <v>15</v>
          </cell>
          <cell r="W167">
            <v>4.2962629531445158</v>
          </cell>
        </row>
        <row r="168">
          <cell r="V168">
            <v>15</v>
          </cell>
          <cell r="W168">
            <v>4.1736994447893165</v>
          </cell>
        </row>
        <row r="169">
          <cell r="V169">
            <v>0</v>
          </cell>
          <cell r="W169">
            <v>4.6051701859880918</v>
          </cell>
        </row>
        <row r="170">
          <cell r="V170">
            <v>0</v>
          </cell>
          <cell r="W170">
            <v>4.6051701859880918</v>
          </cell>
        </row>
        <row r="171">
          <cell r="V171">
            <v>0</v>
          </cell>
          <cell r="W171">
            <v>4.6051701859880918</v>
          </cell>
        </row>
        <row r="173">
          <cell r="R173" t="str">
            <v>DTXSID1042285 - Human</v>
          </cell>
        </row>
        <row r="174">
          <cell r="R174" t="str">
            <v>Time (Mins)</v>
          </cell>
        </row>
        <row r="175">
          <cell r="R175" t="str">
            <v>ln Percent Remaining</v>
          </cell>
        </row>
        <row r="176">
          <cell r="V176">
            <v>120</v>
          </cell>
          <cell r="W176">
            <v>4.2416741511300149</v>
          </cell>
        </row>
        <row r="177">
          <cell r="V177">
            <v>120</v>
          </cell>
          <cell r="W177">
            <v>4.527858198265525</v>
          </cell>
        </row>
        <row r="178">
          <cell r="V178">
            <v>120</v>
          </cell>
          <cell r="W178">
            <v>4.3978809732144004</v>
          </cell>
        </row>
        <row r="179">
          <cell r="V179">
            <v>60</v>
          </cell>
          <cell r="W179">
            <v>4.2002628947872456</v>
          </cell>
        </row>
        <row r="180">
          <cell r="V180">
            <v>60</v>
          </cell>
          <cell r="W180">
            <v>4.2667063527027818</v>
          </cell>
        </row>
        <row r="181">
          <cell r="V181">
            <v>60</v>
          </cell>
          <cell r="W181">
            <v>4.2217061371508109</v>
          </cell>
        </row>
        <row r="182">
          <cell r="V182">
            <v>30</v>
          </cell>
          <cell r="W182">
            <v>4.2080860489455505</v>
          </cell>
        </row>
        <row r="183">
          <cell r="V183">
            <v>30</v>
          </cell>
          <cell r="W183">
            <v>4.4283372687625091</v>
          </cell>
        </row>
        <row r="184">
          <cell r="V184">
            <v>30</v>
          </cell>
          <cell r="W184">
            <v>4.2638246535347655</v>
          </cell>
        </row>
        <row r="185">
          <cell r="V185">
            <v>15</v>
          </cell>
          <cell r="W185">
            <v>4.1935176562004726</v>
          </cell>
        </row>
        <row r="186">
          <cell r="V186">
            <v>15</v>
          </cell>
          <cell r="W186">
            <v>4.3939974130254296</v>
          </cell>
        </row>
        <row r="187">
          <cell r="V187">
            <v>15</v>
          </cell>
          <cell r="W187">
            <v>4.2802873622553603</v>
          </cell>
        </row>
        <row r="188">
          <cell r="V188">
            <v>0</v>
          </cell>
          <cell r="W188">
            <v>4.6051701859880918</v>
          </cell>
        </row>
        <row r="189">
          <cell r="V189">
            <v>0</v>
          </cell>
          <cell r="W189">
            <v>4.6051701859880918</v>
          </cell>
        </row>
        <row r="190">
          <cell r="V190">
            <v>0</v>
          </cell>
          <cell r="W190">
            <v>4.6051701859880918</v>
          </cell>
        </row>
        <row r="192">
          <cell r="R192" t="str">
            <v>Midazolam - Human</v>
          </cell>
        </row>
        <row r="193">
          <cell r="R193" t="str">
            <v>Time (Mins)</v>
          </cell>
        </row>
        <row r="194">
          <cell r="R194" t="str">
            <v>ln Percent Remaining</v>
          </cell>
        </row>
        <row r="195">
          <cell r="V195">
            <v>120</v>
          </cell>
          <cell r="W195">
            <v>3.6538048293036853</v>
          </cell>
        </row>
        <row r="196">
          <cell r="V196">
            <v>120</v>
          </cell>
          <cell r="W196">
            <v>3.7560338482678159</v>
          </cell>
        </row>
        <row r="197">
          <cell r="V197">
            <v>120</v>
          </cell>
          <cell r="W197">
            <v>3.9678162668500545</v>
          </cell>
        </row>
        <row r="198">
          <cell r="V198">
            <v>60</v>
          </cell>
          <cell r="W198">
            <v>3.6577639095015986</v>
          </cell>
        </row>
        <row r="199">
          <cell r="V199">
            <v>60</v>
          </cell>
          <cell r="W199">
            <v>3.9676230283376772</v>
          </cell>
        </row>
        <row r="200">
          <cell r="V200">
            <v>60</v>
          </cell>
          <cell r="W200">
            <v>4.0042675344188474</v>
          </cell>
        </row>
        <row r="201">
          <cell r="V201">
            <v>30</v>
          </cell>
          <cell r="W201">
            <v>3.7984996554095414</v>
          </cell>
        </row>
        <row r="202">
          <cell r="V202">
            <v>30</v>
          </cell>
          <cell r="W202">
            <v>4.0653900495684594</v>
          </cell>
        </row>
        <row r="203">
          <cell r="V203">
            <v>30</v>
          </cell>
          <cell r="W203">
            <v>4.16872712873365</v>
          </cell>
        </row>
        <row r="204">
          <cell r="V204">
            <v>15</v>
          </cell>
          <cell r="W204">
            <v>4.0048172685426788</v>
          </cell>
        </row>
        <row r="205">
          <cell r="V205">
            <v>15</v>
          </cell>
          <cell r="W205">
            <v>4.3000414972057497</v>
          </cell>
        </row>
        <row r="206">
          <cell r="V206">
            <v>15</v>
          </cell>
          <cell r="W206">
            <v>4.2496737733304331</v>
          </cell>
        </row>
        <row r="207">
          <cell r="V207">
            <v>0</v>
          </cell>
          <cell r="W207">
            <v>4.6051701859880918</v>
          </cell>
        </row>
        <row r="208">
          <cell r="V208">
            <v>0</v>
          </cell>
          <cell r="W208">
            <v>4.6051701859880918</v>
          </cell>
        </row>
        <row r="209">
          <cell r="V209">
            <v>0</v>
          </cell>
          <cell r="W209">
            <v>4.6051701859880918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Data 10µM Control"/>
      <sheetName val="Log"/>
      <sheetName val="Criteria"/>
    </sheetNames>
    <sheetDataSet>
      <sheetData sheetId="0"/>
      <sheetData sheetId="1">
        <row r="2">
          <cell r="R2" t="str">
            <v>DTXSID6047284 -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4.7359752012186087</v>
          </cell>
        </row>
        <row r="6">
          <cell r="V6">
            <v>120</v>
          </cell>
          <cell r="W6">
            <v>4.5093414413974822</v>
          </cell>
        </row>
        <row r="7">
          <cell r="V7">
            <v>120</v>
          </cell>
          <cell r="W7">
            <v>4.4262267415533474</v>
          </cell>
        </row>
        <row r="8">
          <cell r="V8">
            <v>0</v>
          </cell>
          <cell r="W8">
            <v>4.6051701859880918</v>
          </cell>
        </row>
        <row r="9">
          <cell r="V9">
            <v>0</v>
          </cell>
          <cell r="W9">
            <v>4.6051701859880918</v>
          </cell>
        </row>
        <row r="10">
          <cell r="V10">
            <v>0</v>
          </cell>
          <cell r="W10">
            <v>4.6051701859880918</v>
          </cell>
        </row>
        <row r="22">
          <cell r="R22" t="str">
            <v>DTXSID7041966 - Human</v>
          </cell>
        </row>
        <row r="23">
          <cell r="R23" t="str">
            <v>Time (Mins)</v>
          </cell>
        </row>
        <row r="24">
          <cell r="R24" t="str">
            <v>ln Percent Remaining</v>
          </cell>
        </row>
        <row r="25">
          <cell r="V25">
            <v>120</v>
          </cell>
          <cell r="W25">
            <v>4.0692166694498271</v>
          </cell>
        </row>
        <row r="26">
          <cell r="V26">
            <v>120</v>
          </cell>
          <cell r="W26">
            <v>3.6754729080419426</v>
          </cell>
        </row>
        <row r="27">
          <cell r="V27">
            <v>120</v>
          </cell>
          <cell r="W27">
            <v>4.1553112115827355</v>
          </cell>
        </row>
        <row r="28">
          <cell r="V28">
            <v>0</v>
          </cell>
          <cell r="W28">
            <v>4.6051701859880918</v>
          </cell>
        </row>
        <row r="29">
          <cell r="V29">
            <v>0</v>
          </cell>
          <cell r="W29">
            <v>4.6051701859880918</v>
          </cell>
        </row>
        <row r="30">
          <cell r="V30">
            <v>0</v>
          </cell>
          <cell r="W30">
            <v>4.6051701859880918</v>
          </cell>
        </row>
        <row r="42">
          <cell r="R42" t="str">
            <v>DTXSID1032484 - Human</v>
          </cell>
        </row>
        <row r="43">
          <cell r="R43" t="str">
            <v>Time (Mins)</v>
          </cell>
        </row>
        <row r="44">
          <cell r="R44" t="str">
            <v>ln Percent Remaining</v>
          </cell>
        </row>
        <row r="45">
          <cell r="V45">
            <v>120</v>
          </cell>
          <cell r="W45">
            <v>4.0369695951017635</v>
          </cell>
        </row>
        <row r="46">
          <cell r="V46">
            <v>120</v>
          </cell>
          <cell r="W46">
            <v>3.011003884655858</v>
          </cell>
        </row>
        <row r="47">
          <cell r="V47">
            <v>120</v>
          </cell>
          <cell r="W47">
            <v>3.2992427565906706</v>
          </cell>
        </row>
        <row r="48">
          <cell r="V48">
            <v>0</v>
          </cell>
          <cell r="W48">
            <v>4.6051701859880918</v>
          </cell>
        </row>
        <row r="49">
          <cell r="V49">
            <v>0</v>
          </cell>
          <cell r="W49">
            <v>4.6051701859880918</v>
          </cell>
        </row>
        <row r="50">
          <cell r="V50">
            <v>0</v>
          </cell>
          <cell r="W50">
            <v>4.6051701859880918</v>
          </cell>
        </row>
        <row r="62">
          <cell r="R62" t="str">
            <v>DTXSID3047261 - Human</v>
          </cell>
        </row>
        <row r="63">
          <cell r="R63" t="str">
            <v>Time (Mins)</v>
          </cell>
        </row>
        <row r="64">
          <cell r="R64" t="str">
            <v>ln Percent Remaining</v>
          </cell>
        </row>
        <row r="65">
          <cell r="V65">
            <v>120</v>
          </cell>
          <cell r="W65">
            <v>5.0400913573840329</v>
          </cell>
        </row>
        <row r="66">
          <cell r="V66">
            <v>120</v>
          </cell>
          <cell r="W66">
            <v>5.3645310201721852</v>
          </cell>
        </row>
        <row r="67">
          <cell r="V67">
            <v>120</v>
          </cell>
          <cell r="W67">
            <v>5.9188901253653086</v>
          </cell>
        </row>
        <row r="68">
          <cell r="V68">
            <v>0</v>
          </cell>
          <cell r="W68">
            <v>4.6051701859880918</v>
          </cell>
        </row>
        <row r="69">
          <cell r="V69">
            <v>0</v>
          </cell>
          <cell r="W69">
            <v>4.6051701859880918</v>
          </cell>
        </row>
        <row r="70">
          <cell r="V70">
            <v>0</v>
          </cell>
          <cell r="W70">
            <v>4.6051701859880918</v>
          </cell>
        </row>
        <row r="82">
          <cell r="R82" t="str">
            <v>DTXSID9041289 - Human</v>
          </cell>
        </row>
        <row r="83">
          <cell r="R83" t="str">
            <v>Time (Mins)</v>
          </cell>
        </row>
        <row r="84">
          <cell r="R84" t="str">
            <v>ln Percent Remaining</v>
          </cell>
        </row>
        <row r="85">
          <cell r="V85">
            <v>120</v>
          </cell>
          <cell r="W85">
            <v>4.8103560066788402</v>
          </cell>
        </row>
        <row r="86">
          <cell r="V86">
            <v>120</v>
          </cell>
          <cell r="W86">
            <v>4.1677720740693411</v>
          </cell>
        </row>
        <row r="87">
          <cell r="V87">
            <v>120</v>
          </cell>
          <cell r="W87">
            <v>4.2455393566777966</v>
          </cell>
        </row>
        <row r="88">
          <cell r="V88">
            <v>0</v>
          </cell>
          <cell r="W88">
            <v>4.6051701859880918</v>
          </cell>
        </row>
        <row r="89">
          <cell r="V89">
            <v>0</v>
          </cell>
          <cell r="W89">
            <v>4.6051701859880918</v>
          </cell>
        </row>
        <row r="90">
          <cell r="V90">
            <v>0</v>
          </cell>
          <cell r="W90">
            <v>4.6051701859880918</v>
          </cell>
        </row>
        <row r="102">
          <cell r="R102" t="str">
            <v>DTXSID8034324 - Human</v>
          </cell>
        </row>
        <row r="103">
          <cell r="R103" t="str">
            <v>Time (Mins)</v>
          </cell>
        </row>
        <row r="104">
          <cell r="R104" t="str">
            <v>ln Percent Remaining</v>
          </cell>
        </row>
        <row r="105">
          <cell r="V105">
            <v>120</v>
          </cell>
          <cell r="W105">
            <v>1.8845491631694606</v>
          </cell>
        </row>
        <row r="106">
          <cell r="V106">
            <v>120</v>
          </cell>
          <cell r="W106">
            <v>-0.66744987550793267</v>
          </cell>
        </row>
        <row r="107">
          <cell r="V107">
            <v>0</v>
          </cell>
          <cell r="W107">
            <v>4.6051701859880918</v>
          </cell>
        </row>
        <row r="108">
          <cell r="V108">
            <v>0</v>
          </cell>
          <cell r="W108">
            <v>4.6051701859880918</v>
          </cell>
        </row>
        <row r="109">
          <cell r="V109">
            <v>0</v>
          </cell>
          <cell r="W109">
            <v>4.6051701859880918</v>
          </cell>
        </row>
        <row r="122">
          <cell r="R122" t="str">
            <v>DTXSID2032554 - Human</v>
          </cell>
        </row>
        <row r="123">
          <cell r="R123" t="str">
            <v>Time (Mins)</v>
          </cell>
        </row>
        <row r="124">
          <cell r="R124" t="str">
            <v>ln Percent Remaining</v>
          </cell>
        </row>
        <row r="125">
          <cell r="V125">
            <v>120</v>
          </cell>
          <cell r="W125">
            <v>2.8833648591610825</v>
          </cell>
        </row>
        <row r="126">
          <cell r="V126">
            <v>120</v>
          </cell>
          <cell r="W126">
            <v>1.2131302307962835</v>
          </cell>
        </row>
        <row r="127">
          <cell r="V127">
            <v>120</v>
          </cell>
          <cell r="W127">
            <v>0.42325128710784227</v>
          </cell>
        </row>
        <row r="128">
          <cell r="V128">
            <v>0</v>
          </cell>
          <cell r="W128">
            <v>4.6051701859880918</v>
          </cell>
        </row>
        <row r="129">
          <cell r="V129">
            <v>0</v>
          </cell>
          <cell r="W129">
            <v>4.6051701859880918</v>
          </cell>
        </row>
        <row r="130">
          <cell r="V130">
            <v>0</v>
          </cell>
          <cell r="W130">
            <v>4.6051701859880918</v>
          </cell>
        </row>
        <row r="142">
          <cell r="R142" t="str">
            <v>DTXSID9047542 - Human</v>
          </cell>
        </row>
        <row r="143">
          <cell r="R143" t="str">
            <v>Time (Mins)</v>
          </cell>
        </row>
        <row r="144">
          <cell r="R144" t="str">
            <v>ln Percent Remaining</v>
          </cell>
        </row>
        <row r="145">
          <cell r="V145">
            <v>120</v>
          </cell>
          <cell r="W145">
            <v>3.7176722493565126</v>
          </cell>
        </row>
        <row r="146">
          <cell r="V146">
            <v>120</v>
          </cell>
          <cell r="W146">
            <v>3.3911896765208183</v>
          </cell>
        </row>
        <row r="147">
          <cell r="V147">
            <v>120</v>
          </cell>
          <cell r="W147">
            <v>2.4693447001537239</v>
          </cell>
        </row>
        <row r="148">
          <cell r="V148">
            <v>0</v>
          </cell>
          <cell r="W148">
            <v>4.6051701859880918</v>
          </cell>
        </row>
        <row r="149">
          <cell r="V149">
            <v>0</v>
          </cell>
          <cell r="W149">
            <v>4.6051701859880918</v>
          </cell>
        </row>
        <row r="150">
          <cell r="V150">
            <v>0</v>
          </cell>
          <cell r="W150">
            <v>4.6051701859880918</v>
          </cell>
        </row>
        <row r="162">
          <cell r="R162" t="str">
            <v>DTXSID7021156 - Human</v>
          </cell>
        </row>
        <row r="163">
          <cell r="R163" t="str">
            <v>Time (Mins)</v>
          </cell>
        </row>
        <row r="164">
          <cell r="R164" t="str">
            <v>ln Percent Remaining</v>
          </cell>
        </row>
        <row r="165">
          <cell r="V165">
            <v>120</v>
          </cell>
          <cell r="W165">
            <v>4.2978309538350041</v>
          </cell>
        </row>
        <row r="166">
          <cell r="V166">
            <v>120</v>
          </cell>
          <cell r="W166">
            <v>4.3692929371978559</v>
          </cell>
        </row>
        <row r="167">
          <cell r="V167">
            <v>120</v>
          </cell>
          <cell r="W167">
            <v>3.8482849728628472</v>
          </cell>
        </row>
        <row r="168">
          <cell r="V168">
            <v>0</v>
          </cell>
          <cell r="W168">
            <v>4.6051701859880918</v>
          </cell>
        </row>
        <row r="169">
          <cell r="V169">
            <v>0</v>
          </cell>
          <cell r="W169">
            <v>4.6051701859880918</v>
          </cell>
        </row>
        <row r="170">
          <cell r="V170">
            <v>0</v>
          </cell>
          <cell r="W170">
            <v>4.6051701859880918</v>
          </cell>
        </row>
        <row r="182">
          <cell r="R182" t="str">
            <v>DTXSID1042285 - Human</v>
          </cell>
        </row>
        <row r="183">
          <cell r="R183" t="str">
            <v>Time (Mins)</v>
          </cell>
        </row>
        <row r="184">
          <cell r="R184" t="str">
            <v>ln Percent Remaining</v>
          </cell>
        </row>
        <row r="185">
          <cell r="V185">
            <v>120</v>
          </cell>
          <cell r="W185">
            <v>3.8891717648688968</v>
          </cell>
        </row>
        <row r="186">
          <cell r="V186">
            <v>120</v>
          </cell>
          <cell r="W186">
            <v>4.380491440538214</v>
          </cell>
        </row>
        <row r="187">
          <cell r="V187">
            <v>120</v>
          </cell>
          <cell r="W187">
            <v>4.2974997779149193</v>
          </cell>
        </row>
        <row r="188">
          <cell r="V188">
            <v>0</v>
          </cell>
          <cell r="W188">
            <v>4.6051701859880918</v>
          </cell>
        </row>
        <row r="189">
          <cell r="V189">
            <v>0</v>
          </cell>
          <cell r="W189">
            <v>4.6051701859880918</v>
          </cell>
        </row>
        <row r="190">
          <cell r="V190">
            <v>0</v>
          </cell>
          <cell r="W190">
            <v>4.6051701859880918</v>
          </cell>
        </row>
        <row r="202">
          <cell r="R202" t="str">
            <v>Midazolam - Human</v>
          </cell>
        </row>
        <row r="203">
          <cell r="R203" t="str">
            <v>Time (Mins)</v>
          </cell>
        </row>
        <row r="204">
          <cell r="R204" t="str">
            <v>ln Percent Remaining</v>
          </cell>
        </row>
        <row r="205">
          <cell r="V205">
            <v>120</v>
          </cell>
          <cell r="W205">
            <v>3.4165589040062154</v>
          </cell>
        </row>
        <row r="206">
          <cell r="V206">
            <v>120</v>
          </cell>
          <cell r="W206">
            <v>4.5808141401671154</v>
          </cell>
        </row>
        <row r="207">
          <cell r="V207">
            <v>120</v>
          </cell>
          <cell r="W207">
            <v>4.3681312260450493</v>
          </cell>
        </row>
        <row r="208">
          <cell r="V208">
            <v>0</v>
          </cell>
          <cell r="W208">
            <v>4.6051701859880918</v>
          </cell>
        </row>
        <row r="209">
          <cell r="V209">
            <v>0</v>
          </cell>
          <cell r="W209">
            <v>4.6051701859880918</v>
          </cell>
        </row>
        <row r="210">
          <cell r="V210">
            <v>0</v>
          </cell>
          <cell r="W210">
            <v>4.6051701859880918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tabSelected="1" workbookViewId="0">
      <selection activeCell="I28" sqref="I28"/>
    </sheetView>
  </sheetViews>
  <sheetFormatPr defaultRowHeight="15" x14ac:dyDescent="0.25"/>
  <cols>
    <col min="1" max="1" width="15.85546875" style="4" bestFit="1" customWidth="1"/>
    <col min="2" max="2" width="9.42578125" style="4" bestFit="1" customWidth="1"/>
    <col min="3" max="3" width="22.28515625" style="4" customWidth="1"/>
    <col min="4" max="4" width="17.85546875" style="4" customWidth="1"/>
    <col min="5" max="5" width="24.140625" style="4" customWidth="1"/>
    <col min="6" max="6" width="24" style="18" customWidth="1"/>
    <col min="7" max="7" width="18" customWidth="1"/>
    <col min="8" max="8" width="15.85546875" customWidth="1"/>
    <col min="11" max="11" width="15.85546875" bestFit="1" customWidth="1"/>
  </cols>
  <sheetData>
    <row r="1" spans="1:8" ht="15.75" customHeight="1" x14ac:dyDescent="0.25">
      <c r="A1" s="44"/>
      <c r="B1" s="44"/>
      <c r="C1" s="4" t="s">
        <v>180</v>
      </c>
    </row>
    <row r="2" spans="1:8" x14ac:dyDescent="0.25">
      <c r="A2" s="44"/>
      <c r="B2" s="44"/>
      <c r="C2" s="3">
        <v>44012.434918981482</v>
      </c>
    </row>
    <row r="3" spans="1:8" ht="15.75" thickBot="1" x14ac:dyDescent="0.3"/>
    <row r="4" spans="1:8" ht="15.75" thickTop="1" x14ac:dyDescent="0.25">
      <c r="A4" s="45" t="s">
        <v>33</v>
      </c>
      <c r="B4" s="45" t="s">
        <v>35</v>
      </c>
      <c r="C4" s="46" t="s">
        <v>181</v>
      </c>
      <c r="D4" s="46" t="s">
        <v>36</v>
      </c>
      <c r="E4" s="46" t="s">
        <v>37</v>
      </c>
      <c r="F4" s="46" t="s">
        <v>38</v>
      </c>
      <c r="G4" s="46" t="s">
        <v>182</v>
      </c>
      <c r="H4" s="45" t="s">
        <v>39</v>
      </c>
    </row>
    <row r="5" spans="1:8" ht="31.5" customHeight="1" thickBot="1" x14ac:dyDescent="0.3">
      <c r="A5" s="47"/>
      <c r="B5" s="47"/>
      <c r="C5" s="48"/>
      <c r="D5" s="48"/>
      <c r="E5" s="48"/>
      <c r="F5" s="48"/>
      <c r="G5" s="48"/>
      <c r="H5" s="47"/>
    </row>
    <row r="6" spans="1:8" s="43" customFormat="1" ht="15.75" thickTop="1" x14ac:dyDescent="0.25">
      <c r="A6" s="56" t="str">
        <f>'Data 1uM'!B2</f>
        <v>DTXSID6047284</v>
      </c>
      <c r="B6" s="56" t="s">
        <v>57</v>
      </c>
      <c r="C6" s="57">
        <v>1</v>
      </c>
      <c r="D6" s="58">
        <v>0.94260776668599111</v>
      </c>
      <c r="E6" s="56" t="s">
        <v>58</v>
      </c>
      <c r="F6" s="57">
        <v>85.857742640305332</v>
      </c>
      <c r="G6" s="57">
        <v>65.401150117381931</v>
      </c>
      <c r="H6" s="56" t="str">
        <f>'Data 1uM'!AA33</f>
        <v xml:space="preserve"> </v>
      </c>
    </row>
    <row r="7" spans="1:8" s="43" customFormat="1" x14ac:dyDescent="0.25">
      <c r="A7" s="59" t="str">
        <f>'Data 1uM'!B21</f>
        <v>DTXSID7041966</v>
      </c>
      <c r="B7" s="59" t="s">
        <v>57</v>
      </c>
      <c r="C7" s="60">
        <v>1</v>
      </c>
      <c r="D7" s="60">
        <v>40.548137834453868</v>
      </c>
      <c r="E7" s="60">
        <v>34.18885391925329</v>
      </c>
      <c r="F7" s="61">
        <v>9.6431687822982877</v>
      </c>
      <c r="G7" s="60">
        <v>51.195455040483125</v>
      </c>
      <c r="H7" s="59" t="str">
        <f>'Data 1uM'!AA52</f>
        <v xml:space="preserve"> </v>
      </c>
    </row>
    <row r="8" spans="1:8" s="43" customFormat="1" x14ac:dyDescent="0.25">
      <c r="A8" s="59" t="str">
        <f>'Data 1uM'!B40</f>
        <v>DTXSID3047261</v>
      </c>
      <c r="B8" s="59" t="s">
        <v>57</v>
      </c>
      <c r="C8" s="60">
        <v>1</v>
      </c>
      <c r="D8" s="60">
        <v>19.614880837711624</v>
      </c>
      <c r="E8" s="60">
        <v>70.675645322024963</v>
      </c>
      <c r="F8" s="60">
        <v>17.842440054900809</v>
      </c>
      <c r="G8" s="60">
        <v>133.00066947191252</v>
      </c>
      <c r="H8" s="59" t="str">
        <f>'Data 1uM'!AA71</f>
        <v xml:space="preserve"> </v>
      </c>
    </row>
    <row r="9" spans="1:8" s="43" customFormat="1" x14ac:dyDescent="0.25">
      <c r="A9" s="59" t="str">
        <f>'Data 1uM'!B59</f>
        <v>DTXSID9041289</v>
      </c>
      <c r="B9" s="59" t="s">
        <v>57</v>
      </c>
      <c r="C9" s="60">
        <v>1</v>
      </c>
      <c r="D9" s="60">
        <v>52.245361571479734</v>
      </c>
      <c r="E9" s="60">
        <v>26.534305044922036</v>
      </c>
      <c r="F9" s="61">
        <v>2.608875560487343</v>
      </c>
      <c r="G9" s="60">
        <v>51.996211186526672</v>
      </c>
      <c r="H9" s="59"/>
    </row>
    <row r="10" spans="1:8" s="43" customFormat="1" x14ac:dyDescent="0.25">
      <c r="A10" s="59" t="str">
        <f>'Data 1uM'!B78</f>
        <v>DTXSID9047542</v>
      </c>
      <c r="B10" s="59" t="s">
        <v>57</v>
      </c>
      <c r="C10" s="60">
        <v>1</v>
      </c>
      <c r="D10" s="60">
        <v>118.02993399870327</v>
      </c>
      <c r="E10" s="60">
        <v>11.74527777957684</v>
      </c>
      <c r="F10" s="62">
        <v>0.742932679490235</v>
      </c>
      <c r="G10" s="60">
        <v>33.301128727871507</v>
      </c>
      <c r="H10" s="59" t="str">
        <f>'Data 1uM'!AA109</f>
        <v xml:space="preserve"> </v>
      </c>
    </row>
    <row r="11" spans="1:8" s="43" customFormat="1" x14ac:dyDescent="0.25">
      <c r="A11" s="59" t="str">
        <f>'Data 1uM'!B97</f>
        <v>DTXSID7021156</v>
      </c>
      <c r="B11" s="59" t="s">
        <v>57</v>
      </c>
      <c r="C11" s="60">
        <v>1</v>
      </c>
      <c r="D11" s="60">
        <v>13.944948221024092</v>
      </c>
      <c r="E11" s="60">
        <v>99.411940377795361</v>
      </c>
      <c r="F11" s="60">
        <v>39.568034904798829</v>
      </c>
      <c r="G11" s="60">
        <v>55.54748859147751</v>
      </c>
      <c r="H11" s="59" t="str">
        <f>'Data 1uM'!AA128</f>
        <v xml:space="preserve"> </v>
      </c>
    </row>
    <row r="12" spans="1:8" s="43" customFormat="1" x14ac:dyDescent="0.25">
      <c r="A12" s="63" t="str">
        <f>'Data 1uM'!B116</f>
        <v>DTXSID1042285</v>
      </c>
      <c r="B12" s="63" t="s">
        <v>57</v>
      </c>
      <c r="C12" s="64">
        <v>1</v>
      </c>
      <c r="D12" s="65">
        <v>4.1389129096704602</v>
      </c>
      <c r="E12" s="66">
        <v>334.94166013516508</v>
      </c>
      <c r="F12" s="64">
        <v>72.118029919237401</v>
      </c>
      <c r="G12" s="64">
        <v>61.365005261134662</v>
      </c>
      <c r="H12" s="63"/>
    </row>
    <row r="13" spans="1:8" s="43" customFormat="1" x14ac:dyDescent="0.25">
      <c r="A13" s="53" t="s">
        <v>61</v>
      </c>
      <c r="B13" s="53" t="s">
        <v>57</v>
      </c>
      <c r="C13" s="53">
        <v>10</v>
      </c>
      <c r="D13" s="52">
        <v>0</v>
      </c>
      <c r="E13" s="53" t="s">
        <v>58</v>
      </c>
      <c r="F13" s="55">
        <v>109.25471417446697</v>
      </c>
      <c r="G13" s="52">
        <v>96.150610752336931</v>
      </c>
      <c r="H13" s="53"/>
    </row>
    <row r="14" spans="1:8" s="43" customFormat="1" x14ac:dyDescent="0.25">
      <c r="A14" s="53" t="s">
        <v>78</v>
      </c>
      <c r="B14" s="53" t="s">
        <v>57</v>
      </c>
      <c r="C14" s="53">
        <v>10</v>
      </c>
      <c r="D14" s="54">
        <v>27.799816272705844</v>
      </c>
      <c r="E14" s="55">
        <v>49.867033203416142</v>
      </c>
      <c r="F14" s="52">
        <v>59.089805642287018</v>
      </c>
      <c r="G14" s="52">
        <v>53.91674531210154</v>
      </c>
      <c r="H14" s="53"/>
    </row>
    <row r="15" spans="1:8" s="43" customFormat="1" x14ac:dyDescent="0.25">
      <c r="A15" s="53" t="s">
        <v>207</v>
      </c>
      <c r="B15" s="53" t="s">
        <v>57</v>
      </c>
      <c r="C15" s="53">
        <v>10</v>
      </c>
      <c r="D15" s="52">
        <v>30.491829531282697</v>
      </c>
      <c r="E15" s="52">
        <v>45.464453344711238</v>
      </c>
      <c r="F15" s="52">
        <v>14.269147416585277</v>
      </c>
      <c r="G15" s="52">
        <v>34.684762942843157</v>
      </c>
      <c r="H15" s="53"/>
    </row>
    <row r="16" spans="1:8" s="43" customFormat="1" x14ac:dyDescent="0.25">
      <c r="A16" s="53" t="s">
        <v>95</v>
      </c>
      <c r="B16" s="53" t="s">
        <v>57</v>
      </c>
      <c r="C16" s="53">
        <v>10</v>
      </c>
      <c r="D16" s="52">
        <v>20.58383887006876</v>
      </c>
      <c r="E16" s="52">
        <v>67.348679217253306</v>
      </c>
      <c r="F16" s="52">
        <v>21.116721252292759</v>
      </c>
      <c r="G16" s="52">
        <v>246.72457830252083</v>
      </c>
      <c r="H16" s="53"/>
    </row>
    <row r="17" spans="1:8" s="43" customFormat="1" x14ac:dyDescent="0.25">
      <c r="A17" s="53" t="s">
        <v>112</v>
      </c>
      <c r="B17" s="53" t="s">
        <v>57</v>
      </c>
      <c r="C17" s="53">
        <v>10</v>
      </c>
      <c r="D17" s="52">
        <v>30.13389132379708</v>
      </c>
      <c r="E17" s="52">
        <v>46.004491959693169</v>
      </c>
      <c r="F17" s="52">
        <v>14.648907382949572</v>
      </c>
      <c r="G17" s="52">
        <v>85.713381155035975</v>
      </c>
      <c r="H17" s="53"/>
    </row>
    <row r="18" spans="1:8" s="43" customFormat="1" x14ac:dyDescent="0.25">
      <c r="A18" s="53" t="s">
        <v>129</v>
      </c>
      <c r="B18" s="53" t="s">
        <v>57</v>
      </c>
      <c r="C18" s="53">
        <v>10</v>
      </c>
      <c r="D18" s="52">
        <v>21.195663949793222</v>
      </c>
      <c r="E18" s="52">
        <v>65.404620699952872</v>
      </c>
      <c r="F18" s="52">
        <v>20.045732759446839</v>
      </c>
      <c r="G18" s="52">
        <v>27.561473632321182</v>
      </c>
      <c r="H18" s="53"/>
    </row>
    <row r="19" spans="1:8" s="43" customFormat="1" x14ac:dyDescent="0.25">
      <c r="A19" s="53" t="s">
        <v>146</v>
      </c>
      <c r="B19" s="53" t="s">
        <v>57</v>
      </c>
      <c r="C19" s="53">
        <v>10</v>
      </c>
      <c r="D19" s="54">
        <v>4.4015312200906758</v>
      </c>
      <c r="E19" s="55">
        <v>314.95729367820582</v>
      </c>
      <c r="F19" s="52">
        <v>66.725172312573733</v>
      </c>
      <c r="G19" s="52">
        <v>66.480136418398175</v>
      </c>
      <c r="H19" s="53"/>
    </row>
    <row r="20" spans="1:8" s="43" customFormat="1" ht="15.75" thickBot="1" x14ac:dyDescent="0.3">
      <c r="A20" s="53" t="s">
        <v>163</v>
      </c>
      <c r="B20" s="53" t="s">
        <v>57</v>
      </c>
      <c r="C20" s="53">
        <v>10</v>
      </c>
      <c r="D20" s="54">
        <v>1.7296027893418182</v>
      </c>
      <c r="E20" s="53" t="s">
        <v>58</v>
      </c>
      <c r="F20" s="52">
        <v>81.120902155220804</v>
      </c>
      <c r="G20" s="52">
        <v>67.421143427592696</v>
      </c>
      <c r="H20" s="53"/>
    </row>
    <row r="21" spans="1:8" s="43" customFormat="1" ht="15.75" thickTop="1" x14ac:dyDescent="0.25">
      <c r="A21" s="56" t="str">
        <f>'Data 1uM'!B135</f>
        <v>Midazolam</v>
      </c>
      <c r="B21" s="56" t="s">
        <v>57</v>
      </c>
      <c r="C21" s="56">
        <v>1</v>
      </c>
      <c r="D21" s="70">
        <f>'Data 1uM'!AA146</f>
        <v>108.95466818616414</v>
      </c>
      <c r="E21" s="57">
        <f>'Data 1uM'!AA145</f>
        <v>12.723588481323395</v>
      </c>
      <c r="F21" s="58">
        <f>AVERAGE('Data 1uM'!G138:G140)</f>
        <v>0.15623795010860939</v>
      </c>
      <c r="G21" s="57">
        <v>40.459751288324092</v>
      </c>
      <c r="H21" s="56" t="s">
        <v>382</v>
      </c>
    </row>
    <row r="22" spans="1:8" s="43" customFormat="1" ht="15.75" thickBot="1" x14ac:dyDescent="0.3">
      <c r="A22" s="67" t="s">
        <v>16</v>
      </c>
      <c r="B22" s="67" t="s">
        <v>57</v>
      </c>
      <c r="C22" s="67">
        <v>10</v>
      </c>
      <c r="D22" s="68">
        <v>11.189204879329219</v>
      </c>
      <c r="E22" s="69">
        <v>123.8956991198643</v>
      </c>
      <c r="F22" s="68">
        <v>44.756236931127155</v>
      </c>
      <c r="G22" s="68">
        <v>68.984758461667582</v>
      </c>
      <c r="H22" s="67" t="s">
        <v>382</v>
      </c>
    </row>
    <row r="23" spans="1:8" ht="15.75" thickTop="1" x14ac:dyDescent="0.25"/>
  </sheetData>
  <mergeCells count="9">
    <mergeCell ref="D4:D5"/>
    <mergeCell ref="E4:E5"/>
    <mergeCell ref="F4:F5"/>
    <mergeCell ref="G4:G5"/>
    <mergeCell ref="H4:H5"/>
    <mergeCell ref="A1:B2"/>
    <mergeCell ref="A4:A5"/>
    <mergeCell ref="B4:B5"/>
    <mergeCell ref="C4:C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52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63.85546875" style="1" bestFit="1" customWidth="1"/>
    <col min="2" max="2" width="15.28515625" style="1" bestFit="1" customWidth="1"/>
    <col min="3" max="3" width="16.5703125" style="1" bestFit="1" customWidth="1"/>
    <col min="4" max="4" width="10.42578125" style="42" bestFit="1" customWidth="1"/>
    <col min="5" max="5" width="10.7109375" style="42" bestFit="1" customWidth="1"/>
    <col min="6" max="6" width="8.7109375" style="42" customWidth="1"/>
    <col min="7" max="7" width="12.5703125" style="42" bestFit="1" customWidth="1"/>
    <col min="8" max="8" width="11.7109375" style="42" bestFit="1" customWidth="1"/>
    <col min="9" max="9" width="14.85546875" style="42" bestFit="1" customWidth="1"/>
    <col min="10" max="10" width="8.7109375" style="8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8" bestFit="1" customWidth="1"/>
    <col min="27" max="29" width="21" style="8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36" t="s">
        <v>3</v>
      </c>
      <c r="E1" s="36" t="s">
        <v>4</v>
      </c>
      <c r="F1" s="36" t="s">
        <v>5</v>
      </c>
      <c r="G1" s="37" t="s">
        <v>40</v>
      </c>
      <c r="H1" s="37" t="s">
        <v>41</v>
      </c>
      <c r="I1" s="37" t="s">
        <v>42</v>
      </c>
      <c r="J1" s="7"/>
      <c r="K1" s="5"/>
      <c r="R1" s="6" t="s">
        <v>44</v>
      </c>
      <c r="Z1" s="19" t="s">
        <v>43</v>
      </c>
    </row>
    <row r="2" spans="1:30" ht="16.5" thickTop="1" thickBot="1" x14ac:dyDescent="0.3">
      <c r="A2" s="32" t="s">
        <v>6</v>
      </c>
      <c r="B2" s="32" t="s">
        <v>61</v>
      </c>
      <c r="C2" s="32" t="s">
        <v>7</v>
      </c>
      <c r="D2" s="38">
        <v>3.556</v>
      </c>
      <c r="E2" s="38">
        <v>37229.300999999999</v>
      </c>
      <c r="F2" s="38">
        <v>9.5516199999999999E-5</v>
      </c>
      <c r="G2" s="38"/>
      <c r="H2" s="38"/>
      <c r="I2" s="38"/>
      <c r="J2" s="34"/>
      <c r="K2" s="32"/>
      <c r="L2" s="32"/>
      <c r="M2" s="32"/>
      <c r="N2" s="32"/>
      <c r="O2" s="32"/>
      <c r="P2" s="32"/>
      <c r="Q2" s="32"/>
      <c r="R2" s="32" t="s">
        <v>62</v>
      </c>
      <c r="S2" s="32"/>
      <c r="T2" s="32">
        <v>1</v>
      </c>
      <c r="U2" s="32"/>
      <c r="V2" s="32"/>
      <c r="W2" s="32"/>
      <c r="X2" s="32"/>
      <c r="Y2" s="32"/>
      <c r="Z2" s="9" t="s">
        <v>45</v>
      </c>
      <c r="AA2" s="9" t="s">
        <v>47</v>
      </c>
      <c r="AB2" s="9" t="s">
        <v>48</v>
      </c>
      <c r="AC2" s="9" t="s">
        <v>49</v>
      </c>
      <c r="AD2" s="9" t="s">
        <v>50</v>
      </c>
    </row>
    <row r="3" spans="1:30" ht="15.75" thickTop="1" x14ac:dyDescent="0.25">
      <c r="A3" s="33" t="s">
        <v>8</v>
      </c>
      <c r="B3" s="33" t="s">
        <v>61</v>
      </c>
      <c r="C3" s="33" t="s">
        <v>7</v>
      </c>
      <c r="D3" s="39">
        <v>3.085</v>
      </c>
      <c r="E3" s="39">
        <v>37141.370999999999</v>
      </c>
      <c r="F3" s="39">
        <v>8.3060999999999996E-5</v>
      </c>
      <c r="G3" s="39"/>
      <c r="H3" s="39"/>
      <c r="I3" s="39"/>
      <c r="J3" s="35"/>
      <c r="K3" s="33"/>
      <c r="L3" s="33"/>
      <c r="M3" s="33"/>
      <c r="N3" s="33"/>
      <c r="O3" s="33"/>
      <c r="P3" s="33"/>
      <c r="Q3" s="33"/>
      <c r="R3" s="33" t="s">
        <v>45</v>
      </c>
      <c r="S3" s="33"/>
      <c r="T3" s="33">
        <v>5</v>
      </c>
      <c r="U3" s="33"/>
      <c r="V3" s="33"/>
      <c r="W3" s="33"/>
      <c r="X3" s="33"/>
      <c r="Y3" s="33"/>
      <c r="Z3" s="10">
        <f>$H$5</f>
        <v>120</v>
      </c>
      <c r="AA3" s="11">
        <f>IF(ISTEXT($I$5),TEXT($G$5/100,"0.00%"),$G$5 / 100)</f>
        <v>0.92806285552004597</v>
      </c>
      <c r="AB3" s="11">
        <f>IF(ISTEXT($I$6),TEXT($G$6/100,"0.00%"),$G$6 / 100)</f>
        <v>0.69417759892117115</v>
      </c>
      <c r="AC3" s="11">
        <f>IF(ISTEXT($I$7),TEXT($G$7/100,"0.00%"),$G$7 / 100)</f>
        <v>0.95349182476794292</v>
      </c>
      <c r="AD3" s="11">
        <f>IFERROR(AVERAGE($AA$3:$AC$3),"")</f>
        <v>0.85857742640305335</v>
      </c>
    </row>
    <row r="4" spans="1:30" x14ac:dyDescent="0.25">
      <c r="A4" s="32" t="s">
        <v>9</v>
      </c>
      <c r="B4" s="32" t="s">
        <v>61</v>
      </c>
      <c r="C4" s="32" t="s">
        <v>7</v>
      </c>
      <c r="D4" s="38">
        <v>3.823</v>
      </c>
      <c r="E4" s="38">
        <v>36262.148000000001</v>
      </c>
      <c r="F4" s="38">
        <v>1.0542700000000001E-4</v>
      </c>
      <c r="G4" s="38"/>
      <c r="H4" s="38"/>
      <c r="I4" s="38"/>
      <c r="J4" s="34"/>
      <c r="K4" s="32"/>
      <c r="L4" s="32"/>
      <c r="M4" s="32"/>
      <c r="N4" s="32"/>
      <c r="O4" s="32"/>
      <c r="P4" s="32"/>
      <c r="Q4" s="32"/>
      <c r="R4" s="32" t="s">
        <v>46</v>
      </c>
      <c r="S4" s="32"/>
      <c r="T4" s="32">
        <v>19</v>
      </c>
      <c r="U4" s="32"/>
      <c r="V4" s="32"/>
      <c r="W4" s="32"/>
      <c r="X4" s="32"/>
      <c r="Y4" s="32"/>
      <c r="Z4" s="10">
        <f>$H$8</f>
        <v>60</v>
      </c>
      <c r="AA4" s="11">
        <f>IF(ISTEXT($I$8),TEXT($G$8/100,"0.00%"),$G$8 / 100)</f>
        <v>0.8849274513681884</v>
      </c>
      <c r="AB4" s="11">
        <f>IF(ISTEXT($I$9),TEXT($G$9/100,"0.00%"),$G$9 / 100)</f>
        <v>0.6763731538610871</v>
      </c>
      <c r="AC4" s="11">
        <f>IF(ISTEXT($I$10),TEXT($G$10/100,"0.00%"),$G$10 / 100)</f>
        <v>0.89716472391973046</v>
      </c>
      <c r="AD4" s="11">
        <f>IFERROR(AVERAGE($AA$4:$AC$4),"")</f>
        <v>0.81948844304966872</v>
      </c>
    </row>
    <row r="5" spans="1:30" x14ac:dyDescent="0.25">
      <c r="A5" s="33" t="s">
        <v>63</v>
      </c>
      <c r="B5" s="33" t="s">
        <v>61</v>
      </c>
      <c r="C5" s="33" t="s">
        <v>7</v>
      </c>
      <c r="D5" s="39">
        <v>15600.99</v>
      </c>
      <c r="E5" s="39">
        <v>31164.973000000002</v>
      </c>
      <c r="F5" s="39">
        <v>0.50059372800000002</v>
      </c>
      <c r="G5" s="39">
        <f>($F$5 -  AVERAGE($F$2,$F$3,$F$4) ) / ($F$17 -  AVERAGE($F$2,$F$3,$F$4) ) * 100</f>
        <v>92.806285552004596</v>
      </c>
      <c r="H5" s="39">
        <v>120</v>
      </c>
      <c r="I5" s="40">
        <f>LN($G$5)</f>
        <v>4.5305143697398593</v>
      </c>
      <c r="J5" s="35"/>
      <c r="K5" s="33"/>
      <c r="L5" s="33"/>
      <c r="M5" s="33"/>
      <c r="N5" s="33"/>
      <c r="O5" s="33"/>
      <c r="P5" s="33"/>
      <c r="Q5" s="33"/>
      <c r="R5" s="33"/>
      <c r="S5" s="33"/>
      <c r="T5" s="33"/>
      <c r="U5" s="33">
        <f>IF(ISTEXT($I$5),"",1)</f>
        <v>1</v>
      </c>
      <c r="V5" s="33">
        <f t="shared" ref="V5:V19" si="0">IFERROR(INDEX($H$5:$H$19,SMALL($U$5:$U$19,ROW(W1)),1),"")</f>
        <v>120</v>
      </c>
      <c r="W5" s="33">
        <f t="shared" ref="W5:W19" si="1">IFERROR(INDEX($I$5:$I$19,SMALL($U$5:$U$19,ROW(I1)),1),"")</f>
        <v>4.5305143697398593</v>
      </c>
      <c r="X5" s="33"/>
      <c r="Y5" s="33"/>
      <c r="Z5" s="10">
        <f>$H$11</f>
        <v>30</v>
      </c>
      <c r="AA5" s="11">
        <f>IF(ISTEXT($I$11),TEXT($G$11/100,"0.00%"),$G$11 / 100)</f>
        <v>0.90030762530982966</v>
      </c>
      <c r="AB5" s="11">
        <f>IF(ISTEXT($I$12),TEXT($G$12/100,"0.00%"),$G$12 / 100)</f>
        <v>0.5717145292794158</v>
      </c>
      <c r="AC5" s="11">
        <f>IF(ISTEXT($I$13),TEXT($G$13/100,"0.00%"),$G$13 / 100)</f>
        <v>0.83475911004509418</v>
      </c>
      <c r="AD5" s="11">
        <f>IFERROR(AVERAGE($AA$5:$AC$5),"")</f>
        <v>0.7689270882114464</v>
      </c>
    </row>
    <row r="6" spans="1:30" x14ac:dyDescent="0.25">
      <c r="A6" s="32" t="s">
        <v>64</v>
      </c>
      <c r="B6" s="32" t="s">
        <v>61</v>
      </c>
      <c r="C6" s="32" t="s">
        <v>7</v>
      </c>
      <c r="D6" s="38">
        <v>17753.386999999999</v>
      </c>
      <c r="E6" s="38">
        <v>31034.988000000001</v>
      </c>
      <c r="F6" s="38">
        <v>0.57204426799999997</v>
      </c>
      <c r="G6" s="38">
        <f>($F$6 -  AVERAGE($F$2,$F$3,$F$4) ) / ($F$18 -  AVERAGE($F$2,$F$3,$F$4) ) * 100</f>
        <v>69.417759892117118</v>
      </c>
      <c r="H6" s="38">
        <v>120</v>
      </c>
      <c r="I6" s="41">
        <f>LN($G$6)</f>
        <v>4.2401427410008168</v>
      </c>
      <c r="J6" s="34"/>
      <c r="K6" s="32"/>
      <c r="L6" s="32"/>
      <c r="M6" s="32"/>
      <c r="N6" s="32"/>
      <c r="O6" s="32"/>
      <c r="P6" s="32"/>
      <c r="Q6" s="32"/>
      <c r="R6" s="32"/>
      <c r="S6" s="32"/>
      <c r="T6" s="32"/>
      <c r="U6" s="32">
        <f>IF(ISTEXT($I$6),"",2)</f>
        <v>2</v>
      </c>
      <c r="V6" s="32">
        <f t="shared" si="0"/>
        <v>120</v>
      </c>
      <c r="W6" s="32">
        <f t="shared" si="1"/>
        <v>4.2401427410008168</v>
      </c>
      <c r="X6" s="32"/>
      <c r="Y6" s="32"/>
      <c r="Z6" s="10">
        <f>$H$14</f>
        <v>15</v>
      </c>
      <c r="AA6" s="11">
        <f>IF(ISTEXT($I$14),TEXT($G$14/100,"0.00%"),$G$14 / 100)</f>
        <v>0.84682014730706368</v>
      </c>
      <c r="AB6" s="11">
        <f>IF(ISTEXT($I$15),TEXT($G$15/100,"0.00%"),$G$15 / 100)</f>
        <v>0.68922209952273894</v>
      </c>
      <c r="AC6" s="11">
        <f>IF(ISTEXT($I$16),TEXT($G$16/100,"0.00%"),$G$16 / 100)</f>
        <v>0.86575633338574054</v>
      </c>
      <c r="AD6" s="11">
        <f>IFERROR(AVERAGE($AA$6:$AC$6),"")</f>
        <v>0.80059952673851431</v>
      </c>
    </row>
    <row r="7" spans="1:30" ht="15.75" thickBot="1" x14ac:dyDescent="0.3">
      <c r="A7" s="33" t="s">
        <v>65</v>
      </c>
      <c r="B7" s="33" t="s">
        <v>61</v>
      </c>
      <c r="C7" s="33" t="s">
        <v>7</v>
      </c>
      <c r="D7" s="39">
        <v>14960.651</v>
      </c>
      <c r="E7" s="39">
        <v>30469.103999999999</v>
      </c>
      <c r="F7" s="39">
        <v>0.49101053300000003</v>
      </c>
      <c r="G7" s="39">
        <f>($F$7 -  AVERAGE($F$2,$F$3,$F$4) ) / ($F$19 -  AVERAGE($F$2,$F$3,$F$4) ) * 100</f>
        <v>95.349182476794297</v>
      </c>
      <c r="H7" s="39">
        <v>120</v>
      </c>
      <c r="I7" s="40">
        <f>LN($G$7)</f>
        <v>4.5575457580903675</v>
      </c>
      <c r="J7" s="35"/>
      <c r="K7" s="33"/>
      <c r="L7" s="33"/>
      <c r="M7" s="33"/>
      <c r="N7" s="33"/>
      <c r="O7" s="33"/>
      <c r="P7" s="33"/>
      <c r="Q7" s="33"/>
      <c r="R7" s="33"/>
      <c r="S7" s="33"/>
      <c r="T7" s="33"/>
      <c r="U7" s="33">
        <f>IF(ISTEXT($I$7),"",3)</f>
        <v>3</v>
      </c>
      <c r="V7" s="33">
        <f t="shared" si="0"/>
        <v>120</v>
      </c>
      <c r="W7" s="33">
        <f t="shared" si="1"/>
        <v>4.5575457580903675</v>
      </c>
      <c r="X7" s="33"/>
      <c r="Y7" s="33"/>
      <c r="Z7" s="12">
        <f>$H$17</f>
        <v>0</v>
      </c>
      <c r="AA7" s="13">
        <f>IF(ISTEXT($I$17),TEXT($G$17/100,"0.00%"),$G$17 / 100)</f>
        <v>1</v>
      </c>
      <c r="AB7" s="13">
        <f>IF(ISTEXT($I$18),TEXT($G$18/100,"0.00%"),$G$18 / 100)</f>
        <v>1</v>
      </c>
      <c r="AC7" s="13">
        <f>IF(ISTEXT($I$19),TEXT($G$19/100,"0.00%"),$G$19 / 100)</f>
        <v>1</v>
      </c>
      <c r="AD7" s="13">
        <f>IFERROR(AVERAGE($AA$7:$AC$7),"")</f>
        <v>1</v>
      </c>
    </row>
    <row r="8" spans="1:30" ht="16.5" thickTop="1" thickBot="1" x14ac:dyDescent="0.3">
      <c r="A8" s="32" t="s">
        <v>66</v>
      </c>
      <c r="B8" s="32" t="s">
        <v>61</v>
      </c>
      <c r="C8" s="32" t="s">
        <v>7</v>
      </c>
      <c r="D8" s="38">
        <v>14857.368</v>
      </c>
      <c r="E8" s="38">
        <v>31125.919999999998</v>
      </c>
      <c r="F8" s="38">
        <v>0.47733104799999998</v>
      </c>
      <c r="G8" s="38">
        <f>($F$8 -  AVERAGE($F$2,$F$3,$F$4) ) / ($F$17 -  AVERAGE($F$2,$F$3,$F$4) ) * 100</f>
        <v>88.49274513681884</v>
      </c>
      <c r="H8" s="38">
        <v>60</v>
      </c>
      <c r="I8" s="41">
        <f>LN($G$8)</f>
        <v>4.4829205727985251</v>
      </c>
      <c r="J8" s="34"/>
      <c r="K8" s="32"/>
      <c r="L8" s="32"/>
      <c r="M8" s="32"/>
      <c r="N8" s="32"/>
      <c r="O8" s="32"/>
      <c r="P8" s="32"/>
      <c r="Q8" s="32"/>
      <c r="R8" s="32"/>
      <c r="S8" s="32"/>
      <c r="T8" s="32"/>
      <c r="U8" s="32">
        <f>IF(ISTEXT($I$8),"",4)</f>
        <v>4</v>
      </c>
      <c r="V8" s="32">
        <f t="shared" si="0"/>
        <v>60</v>
      </c>
      <c r="W8" s="32">
        <f t="shared" si="1"/>
        <v>4.4829205727985251</v>
      </c>
      <c r="X8" s="32"/>
      <c r="Y8" s="32"/>
    </row>
    <row r="9" spans="1:30" x14ac:dyDescent="0.25">
      <c r="A9" s="33" t="s">
        <v>67</v>
      </c>
      <c r="B9" s="33" t="s">
        <v>61</v>
      </c>
      <c r="C9" s="33" t="s">
        <v>7</v>
      </c>
      <c r="D9" s="39">
        <v>18421.888999999999</v>
      </c>
      <c r="E9" s="39">
        <v>33051.171999999999</v>
      </c>
      <c r="F9" s="39">
        <v>0.55737475800000003</v>
      </c>
      <c r="G9" s="39">
        <f>($F$9 -  AVERAGE($F$2,$F$3,$F$4) ) / ($F$18 -  AVERAGE($F$2,$F$3,$F$4) ) * 100</f>
        <v>67.63731538610871</v>
      </c>
      <c r="H9" s="39">
        <v>60</v>
      </c>
      <c r="I9" s="40">
        <f>LN($G$9)</f>
        <v>4.2141598335045289</v>
      </c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3">
        <f>IF(ISTEXT($I$9),"",5)</f>
        <v>5</v>
      </c>
      <c r="V9" s="33">
        <f t="shared" si="0"/>
        <v>60</v>
      </c>
      <c r="W9" s="33">
        <f t="shared" si="1"/>
        <v>4.2141598335045289</v>
      </c>
      <c r="X9" s="33"/>
      <c r="Y9" s="33"/>
      <c r="Z9" s="20" t="s">
        <v>51</v>
      </c>
      <c r="AA9" s="21">
        <f>IFERROR(SLOPE($W$5:$W$19,$V$5:$V$19),"")</f>
        <v>-4.7130388334299555E-4</v>
      </c>
    </row>
    <row r="10" spans="1:30" x14ac:dyDescent="0.25">
      <c r="A10" s="32" t="s">
        <v>68</v>
      </c>
      <c r="B10" s="32" t="s">
        <v>61</v>
      </c>
      <c r="C10" s="32" t="s">
        <v>7</v>
      </c>
      <c r="D10" s="38">
        <v>14557.718000000001</v>
      </c>
      <c r="E10" s="38">
        <v>31509.537</v>
      </c>
      <c r="F10" s="38">
        <v>0.462009899</v>
      </c>
      <c r="G10" s="38">
        <f>($F$10 -  AVERAGE($F$2,$F$3,$F$4) ) / ($F$19 -  AVERAGE($F$2,$F$3,$F$4) ) * 100</f>
        <v>89.716472391973042</v>
      </c>
      <c r="H10" s="38">
        <v>60</v>
      </c>
      <c r="I10" s="41">
        <f>LN($G$10)</f>
        <v>4.4966543909117274</v>
      </c>
      <c r="J10" s="34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>
        <f>IF(ISTEXT($I$10),"",6)</f>
        <v>6</v>
      </c>
      <c r="V10" s="32">
        <f t="shared" si="0"/>
        <v>60</v>
      </c>
      <c r="W10" s="32">
        <f t="shared" si="1"/>
        <v>4.4966543909117274</v>
      </c>
      <c r="X10" s="32"/>
      <c r="Y10" s="32"/>
      <c r="Z10" s="22" t="s">
        <v>52</v>
      </c>
      <c r="AA10" s="23">
        <f>IFERROR(INTERCEPT($W$5:$W$19,$V$5:$V$19),"")</f>
        <v>4.4506161788082359</v>
      </c>
    </row>
    <row r="11" spans="1:30" ht="17.25" x14ac:dyDescent="0.25">
      <c r="A11" s="33" t="s">
        <v>69</v>
      </c>
      <c r="B11" s="33" t="s">
        <v>61</v>
      </c>
      <c r="C11" s="33" t="s">
        <v>7</v>
      </c>
      <c r="D11" s="39">
        <v>15725.848</v>
      </c>
      <c r="E11" s="39">
        <v>32382.666000000001</v>
      </c>
      <c r="F11" s="39">
        <v>0.48562548900000002</v>
      </c>
      <c r="G11" s="39">
        <f>($F$11 -  AVERAGE($F$2,$F$3,$F$4) ) / ($F$17 -  AVERAGE($F$2,$F$3,$F$4) ) * 100</f>
        <v>90.030762530982969</v>
      </c>
      <c r="H11" s="39">
        <v>30</v>
      </c>
      <c r="I11" s="40">
        <f>LN($G$11)</f>
        <v>4.5001514178277473</v>
      </c>
      <c r="J11" s="35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>
        <f>IF(ISTEXT($I$11),"",7)</f>
        <v>7</v>
      </c>
      <c r="V11" s="33">
        <f t="shared" si="0"/>
        <v>30</v>
      </c>
      <c r="W11" s="33">
        <f t="shared" si="1"/>
        <v>4.5001514178277473</v>
      </c>
      <c r="X11" s="33"/>
      <c r="Y11" s="33"/>
      <c r="Z11" s="22" t="s">
        <v>53</v>
      </c>
      <c r="AA11" s="24">
        <f>IFERROR(CORREL($W$5:$W$19,$V$5:$V$19)^2,"")</f>
        <v>1.4974150497146737E-2</v>
      </c>
    </row>
    <row r="12" spans="1:30" ht="18" x14ac:dyDescent="0.35">
      <c r="A12" s="32" t="s">
        <v>70</v>
      </c>
      <c r="B12" s="32" t="s">
        <v>61</v>
      </c>
      <c r="C12" s="32" t="s">
        <v>7</v>
      </c>
      <c r="D12" s="38">
        <v>15172.06</v>
      </c>
      <c r="E12" s="38">
        <v>32202.596000000001</v>
      </c>
      <c r="F12" s="38">
        <v>0.47114400299999998</v>
      </c>
      <c r="G12" s="38">
        <f>($F$12 -  AVERAGE($F$2,$F$3,$F$4) ) / ($F$18 -  AVERAGE($F$2,$F$3,$F$4) ) * 100</f>
        <v>57.17145292794158</v>
      </c>
      <c r="H12" s="38">
        <v>30</v>
      </c>
      <c r="I12" s="41">
        <f>LN($G$12)</f>
        <v>4.0460546991201936</v>
      </c>
      <c r="J12" s="34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>
        <f>IF(ISTEXT($I$12),"",8)</f>
        <v>8</v>
      </c>
      <c r="V12" s="32">
        <f t="shared" si="0"/>
        <v>30</v>
      </c>
      <c r="W12" s="32">
        <f t="shared" si="1"/>
        <v>4.0460546991201936</v>
      </c>
      <c r="X12" s="32"/>
      <c r="Y12" s="32"/>
      <c r="Z12" s="22" t="s">
        <v>54</v>
      </c>
      <c r="AA12" s="25">
        <f>IF(AA9&gt;0,"",IFERROR(LN(2) /ABS(AA9),0))</f>
        <v>1470.7011867659519</v>
      </c>
    </row>
    <row r="13" spans="1:30" ht="18.75" x14ac:dyDescent="0.35">
      <c r="A13" s="33" t="s">
        <v>71</v>
      </c>
      <c r="B13" s="33" t="s">
        <v>61</v>
      </c>
      <c r="C13" s="33" t="s">
        <v>7</v>
      </c>
      <c r="D13" s="39">
        <v>14411.073</v>
      </c>
      <c r="E13" s="39">
        <v>33523.504000000001</v>
      </c>
      <c r="F13" s="39">
        <v>0.42987967500000002</v>
      </c>
      <c r="G13" s="39">
        <f>($F$13 -  AVERAGE($F$2,$F$3,$F$4) ) / ($F$19 -  AVERAGE($F$2,$F$3,$F$4) ) * 100</f>
        <v>83.475911004509413</v>
      </c>
      <c r="H13" s="39">
        <v>30</v>
      </c>
      <c r="I13" s="40">
        <f>LN($G$13)</f>
        <v>4.4245580992713274</v>
      </c>
      <c r="J13" s="35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>
        <f>IF(ISTEXT($I$13),"",9)</f>
        <v>9</v>
      </c>
      <c r="V13" s="33">
        <f t="shared" si="0"/>
        <v>30</v>
      </c>
      <c r="W13" s="33">
        <f t="shared" si="1"/>
        <v>4.4245580992713274</v>
      </c>
      <c r="X13" s="33"/>
      <c r="Y13" s="33"/>
      <c r="Z13" s="22" t="s">
        <v>55</v>
      </c>
      <c r="AA13" s="26">
        <f>IF(AA9&gt;0,0,IFERROR(ABS(AA9 * 1000 / 0.5),0))</f>
        <v>0.94260776668599111</v>
      </c>
    </row>
    <row r="14" spans="1:30" ht="15.75" thickBot="1" x14ac:dyDescent="0.3">
      <c r="A14" s="32" t="s">
        <v>72</v>
      </c>
      <c r="B14" s="32" t="s">
        <v>61</v>
      </c>
      <c r="C14" s="32" t="s">
        <v>7</v>
      </c>
      <c r="D14" s="38">
        <v>16544.998</v>
      </c>
      <c r="E14" s="38">
        <v>36220.934000000001</v>
      </c>
      <c r="F14" s="38">
        <v>0.45677999400000002</v>
      </c>
      <c r="G14" s="38">
        <f>($F$14 -  AVERAGE($F$2,$F$3,$F$4) ) / ($F$17 -  AVERAGE($F$2,$F$3,$F$4) ) * 100</f>
        <v>84.682014730706371</v>
      </c>
      <c r="H14" s="38">
        <v>15</v>
      </c>
      <c r="I14" s="41">
        <f>LN($G$14)</f>
        <v>4.4389032382687805</v>
      </c>
      <c r="J14" s="34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>
        <f>IF(ISTEXT($I$14),"",10)</f>
        <v>10</v>
      </c>
      <c r="V14" s="32">
        <f t="shared" si="0"/>
        <v>15</v>
      </c>
      <c r="W14" s="32">
        <f t="shared" si="1"/>
        <v>4.4389032382687805</v>
      </c>
      <c r="X14" s="32"/>
      <c r="Y14" s="32"/>
      <c r="Z14" s="27" t="s">
        <v>39</v>
      </c>
      <c r="AA14" s="28" t="s">
        <v>56</v>
      </c>
    </row>
    <row r="15" spans="1:30" x14ac:dyDescent="0.25">
      <c r="A15" s="33" t="s">
        <v>73</v>
      </c>
      <c r="B15" s="33" t="s">
        <v>61</v>
      </c>
      <c r="C15" s="33" t="s">
        <v>7</v>
      </c>
      <c r="D15" s="39">
        <v>17864.186000000002</v>
      </c>
      <c r="E15" s="39">
        <v>31453.173999999999</v>
      </c>
      <c r="F15" s="39">
        <v>0.56796131299999997</v>
      </c>
      <c r="G15" s="39">
        <f>($F$15 -  AVERAGE($F$2,$F$3,$F$4) ) / ($F$18 -  AVERAGE($F$2,$F$3,$F$4) ) * 100</f>
        <v>68.922209952273889</v>
      </c>
      <c r="H15" s="39">
        <v>15</v>
      </c>
      <c r="I15" s="40">
        <f>LN($G$15)</f>
        <v>4.2329784766168252</v>
      </c>
      <c r="J15" s="35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>
        <f>IF(ISTEXT($I$15),"",11)</f>
        <v>11</v>
      </c>
      <c r="V15" s="33">
        <f t="shared" si="0"/>
        <v>15</v>
      </c>
      <c r="W15" s="33">
        <f t="shared" si="1"/>
        <v>4.2329784766168252</v>
      </c>
      <c r="X15" s="33"/>
      <c r="Y15" s="33"/>
    </row>
    <row r="16" spans="1:30" x14ac:dyDescent="0.25">
      <c r="A16" s="32" t="s">
        <v>74</v>
      </c>
      <c r="B16" s="32" t="s">
        <v>61</v>
      </c>
      <c r="C16" s="32" t="s">
        <v>7</v>
      </c>
      <c r="D16" s="38">
        <v>15548.234</v>
      </c>
      <c r="E16" s="38">
        <v>34874.105000000003</v>
      </c>
      <c r="F16" s="38">
        <v>0.44583894000000002</v>
      </c>
      <c r="G16" s="38">
        <f>($F$16 -  AVERAGE($F$2,$F$3,$F$4) ) / ($F$19 -  AVERAGE($F$2,$F$3,$F$4) ) * 100</f>
        <v>86.57563333857405</v>
      </c>
      <c r="H16" s="38">
        <v>15</v>
      </c>
      <c r="I16" s="41">
        <f>LN($G$16)</f>
        <v>4.4610184057520428</v>
      </c>
      <c r="J16" s="34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>
        <f>IF(ISTEXT($I$16),"",12)</f>
        <v>12</v>
      </c>
      <c r="V16" s="32">
        <f t="shared" si="0"/>
        <v>15</v>
      </c>
      <c r="W16" s="32">
        <f t="shared" si="1"/>
        <v>4.4610184057520428</v>
      </c>
      <c r="X16" s="32"/>
      <c r="Y16" s="32"/>
    </row>
    <row r="17" spans="1:30" x14ac:dyDescent="0.25">
      <c r="A17" s="33" t="s">
        <v>75</v>
      </c>
      <c r="B17" s="33" t="s">
        <v>61</v>
      </c>
      <c r="C17" s="33" t="s">
        <v>7</v>
      </c>
      <c r="D17" s="39">
        <v>15384.56</v>
      </c>
      <c r="E17" s="39">
        <v>28522.197</v>
      </c>
      <c r="F17" s="39">
        <v>0.53938902399999999</v>
      </c>
      <c r="G17" s="39">
        <f>($F$17 -  AVERAGE($F$2,$F$3,$F$4) ) / ($F$17 -  AVERAGE($F$2,$F$3,$F$4) ) * 100</f>
        <v>100</v>
      </c>
      <c r="H17" s="39">
        <v>0</v>
      </c>
      <c r="I17" s="40">
        <f>LN($G$17)</f>
        <v>4.6051701859880918</v>
      </c>
      <c r="J17" s="35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>
        <f>IF(ISTEXT($I$17),"",13)</f>
        <v>13</v>
      </c>
      <c r="V17" s="33">
        <f t="shared" si="0"/>
        <v>0</v>
      </c>
      <c r="W17" s="33">
        <f t="shared" si="1"/>
        <v>4.6051701859880918</v>
      </c>
      <c r="X17" s="33"/>
      <c r="Y17" s="33"/>
    </row>
    <row r="18" spans="1:30" x14ac:dyDescent="0.25">
      <c r="A18" s="32" t="s">
        <v>76</v>
      </c>
      <c r="B18" s="32" t="s">
        <v>61</v>
      </c>
      <c r="C18" s="32" t="s">
        <v>7</v>
      </c>
      <c r="D18" s="38">
        <v>24672.868999999999</v>
      </c>
      <c r="E18" s="38">
        <v>29942.123</v>
      </c>
      <c r="F18" s="38">
        <v>0.82401869100000003</v>
      </c>
      <c r="G18" s="38">
        <f>($F$18 -  AVERAGE($F$2,$F$3,$F$4) ) / ($F$18 -  AVERAGE($F$2,$F$3,$F$4) ) * 100</f>
        <v>100</v>
      </c>
      <c r="H18" s="38">
        <v>0</v>
      </c>
      <c r="I18" s="41">
        <f>LN($G$18)</f>
        <v>4.6051701859880918</v>
      </c>
      <c r="J18" s="34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>
        <f>IF(ISTEXT($I$18),"",14)</f>
        <v>14</v>
      </c>
      <c r="V18" s="32">
        <f t="shared" si="0"/>
        <v>0</v>
      </c>
      <c r="W18" s="32">
        <f t="shared" si="1"/>
        <v>4.6051701859880918</v>
      </c>
      <c r="X18" s="32"/>
      <c r="Y18" s="32"/>
    </row>
    <row r="19" spans="1:30" x14ac:dyDescent="0.25">
      <c r="A19" s="33" t="s">
        <v>77</v>
      </c>
      <c r="B19" s="33" t="s">
        <v>61</v>
      </c>
      <c r="C19" s="33" t="s">
        <v>7</v>
      </c>
      <c r="D19" s="39">
        <v>16579.226999999999</v>
      </c>
      <c r="E19" s="39">
        <v>32195.437999999998</v>
      </c>
      <c r="F19" s="39">
        <v>0.51495578399999997</v>
      </c>
      <c r="G19" s="39">
        <f>($F$19 -  AVERAGE($F$2,$F$3,$F$4) ) / ($F$19 -  AVERAGE($F$2,$F$3,$F$4) ) * 100</f>
        <v>100</v>
      </c>
      <c r="H19" s="39">
        <v>0</v>
      </c>
      <c r="I19" s="40">
        <f>LN($G$19)</f>
        <v>4.6051701859880918</v>
      </c>
      <c r="J19" s="35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>
        <f>IF(ISTEXT($I$19),"",15)</f>
        <v>15</v>
      </c>
      <c r="V19" s="33">
        <f t="shared" si="0"/>
        <v>0</v>
      </c>
      <c r="W19" s="33">
        <f t="shared" si="1"/>
        <v>4.6051701859880918</v>
      </c>
      <c r="X19" s="33"/>
      <c r="Y19" s="33"/>
    </row>
    <row r="20" spans="1:30" ht="15.75" thickBot="1" x14ac:dyDescent="0.3">
      <c r="A20" s="32"/>
      <c r="B20" s="32"/>
      <c r="C20" s="32"/>
      <c r="D20" s="38"/>
      <c r="E20" s="38"/>
      <c r="F20" s="38"/>
      <c r="G20" s="38"/>
      <c r="H20" s="38"/>
      <c r="I20" s="38"/>
      <c r="J20" s="34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</row>
    <row r="21" spans="1:30" ht="16.5" thickTop="1" thickBot="1" x14ac:dyDescent="0.3">
      <c r="A21" s="33" t="s">
        <v>6</v>
      </c>
      <c r="B21" s="33" t="s">
        <v>78</v>
      </c>
      <c r="C21" s="33" t="s">
        <v>10</v>
      </c>
      <c r="D21" s="39">
        <v>1</v>
      </c>
      <c r="E21" s="39">
        <v>37229.300999999999</v>
      </c>
      <c r="F21" s="39">
        <v>2.6860563404077881E-5</v>
      </c>
      <c r="G21" s="39"/>
      <c r="H21" s="39"/>
      <c r="I21" s="39"/>
      <c r="J21" s="35"/>
      <c r="K21" s="33"/>
      <c r="L21" s="33"/>
      <c r="M21" s="33"/>
      <c r="N21" s="33"/>
      <c r="O21" s="33"/>
      <c r="P21" s="33"/>
      <c r="Q21" s="33"/>
      <c r="R21" s="33" t="s">
        <v>79</v>
      </c>
      <c r="S21" s="33"/>
      <c r="T21" s="33">
        <v>2</v>
      </c>
      <c r="U21" s="33"/>
      <c r="V21" s="33"/>
      <c r="W21" s="33"/>
      <c r="X21" s="33"/>
      <c r="Y21" s="33"/>
      <c r="Z21" s="9" t="s">
        <v>45</v>
      </c>
      <c r="AA21" s="9" t="s">
        <v>47</v>
      </c>
      <c r="AB21" s="9" t="s">
        <v>48</v>
      </c>
      <c r="AC21" s="9" t="s">
        <v>49</v>
      </c>
      <c r="AD21" s="9" t="s">
        <v>50</v>
      </c>
    </row>
    <row r="22" spans="1:30" ht="15.75" thickTop="1" x14ac:dyDescent="0.25">
      <c r="A22" s="32" t="s">
        <v>8</v>
      </c>
      <c r="B22" s="32" t="s">
        <v>78</v>
      </c>
      <c r="C22" s="32" t="s">
        <v>10</v>
      </c>
      <c r="D22" s="38">
        <v>1</v>
      </c>
      <c r="E22" s="38">
        <v>37141.370999999999</v>
      </c>
      <c r="F22" s="38">
        <v>2.6924154199908239E-5</v>
      </c>
      <c r="G22" s="38"/>
      <c r="H22" s="38"/>
      <c r="I22" s="38"/>
      <c r="J22" s="34"/>
      <c r="K22" s="32"/>
      <c r="L22" s="32"/>
      <c r="M22" s="32"/>
      <c r="N22" s="32"/>
      <c r="O22" s="32"/>
      <c r="P22" s="32"/>
      <c r="Q22" s="32"/>
      <c r="R22" s="32" t="s">
        <v>45</v>
      </c>
      <c r="S22" s="32"/>
      <c r="T22" s="32">
        <v>24</v>
      </c>
      <c r="U22" s="32"/>
      <c r="V22" s="32"/>
      <c r="W22" s="32"/>
      <c r="X22" s="32"/>
      <c r="Y22" s="32"/>
      <c r="Z22" s="10">
        <f>$H$24</f>
        <v>120</v>
      </c>
      <c r="AA22" s="11">
        <f>IF(ISTEXT($I$24),TEXT($G$24/100,"0.00%"),$G$24 / 100)</f>
        <v>0.16726926573714337</v>
      </c>
      <c r="AB22" s="14">
        <f>IF(ISTEXT($I$25),TEXT($G$25/100,"0.00%"),$G$25 / 100)</f>
        <v>8.9069864018939474E-2</v>
      </c>
      <c r="AC22" s="14">
        <f>IF(ISTEXT($I$26),TEXT($G$26/100,"0.00%"),$G$26 / 100)</f>
        <v>3.2955933712865808E-2</v>
      </c>
      <c r="AD22" s="14">
        <f>IFERROR(AVERAGE($AA$22:$AC$22),"")</f>
        <v>9.6431687822982892E-2</v>
      </c>
    </row>
    <row r="23" spans="1:30" x14ac:dyDescent="0.25">
      <c r="A23" s="33" t="s">
        <v>9</v>
      </c>
      <c r="B23" s="33" t="s">
        <v>78</v>
      </c>
      <c r="C23" s="33" t="s">
        <v>10</v>
      </c>
      <c r="D23" s="39">
        <v>1.419</v>
      </c>
      <c r="E23" s="39">
        <v>36262.148000000001</v>
      </c>
      <c r="F23" s="39">
        <v>3.9131699999999997E-5</v>
      </c>
      <c r="G23" s="39"/>
      <c r="H23" s="39"/>
      <c r="I23" s="39"/>
      <c r="J23" s="35"/>
      <c r="K23" s="33"/>
      <c r="L23" s="33"/>
      <c r="M23" s="33"/>
      <c r="N23" s="33"/>
      <c r="O23" s="33"/>
      <c r="P23" s="33"/>
      <c r="Q23" s="33"/>
      <c r="R23" s="33" t="s">
        <v>46</v>
      </c>
      <c r="S23" s="33"/>
      <c r="T23" s="33">
        <v>38</v>
      </c>
      <c r="U23" s="33"/>
      <c r="V23" s="33"/>
      <c r="W23" s="33"/>
      <c r="X23" s="33"/>
      <c r="Y23" s="33"/>
      <c r="Z23" s="10">
        <f>$H$27</f>
        <v>60</v>
      </c>
      <c r="AA23" s="11">
        <f>IF(ISTEXT($I$27),TEXT($G$27/100,"0.00%"),$G$27 / 100)</f>
        <v>0.22277539089850307</v>
      </c>
      <c r="AB23" s="11">
        <f>IF(ISTEXT($I$28),TEXT($G$28/100,"0.00%"),$G$28 / 100)</f>
        <v>0.16599412100889877</v>
      </c>
      <c r="AC23" s="11">
        <f>IF(ISTEXT($I$29),TEXT($G$29/100,"0.00%"),$G$29 / 100)</f>
        <v>0.1403682748430336</v>
      </c>
      <c r="AD23" s="11">
        <f>IFERROR(AVERAGE($AA$23:$AC$23),"")</f>
        <v>0.17637926225014514</v>
      </c>
    </row>
    <row r="24" spans="1:30" x14ac:dyDescent="0.25">
      <c r="A24" s="32" t="s">
        <v>80</v>
      </c>
      <c r="B24" s="32" t="s">
        <v>78</v>
      </c>
      <c r="C24" s="32" t="s">
        <v>10</v>
      </c>
      <c r="D24" s="38">
        <v>612.30600000000004</v>
      </c>
      <c r="E24" s="38">
        <v>28991.491999999998</v>
      </c>
      <c r="F24" s="38">
        <v>2.1120196000000001E-2</v>
      </c>
      <c r="G24" s="38">
        <f>($F$24 -  AVERAGE($F$21,$F$22,$F$23) ) / ($F$36 -  AVERAGE($F$21,$F$22,$F$23) ) * 100</f>
        <v>16.726926573714337</v>
      </c>
      <c r="H24" s="38">
        <v>120</v>
      </c>
      <c r="I24" s="41">
        <f>LN($G$24)</f>
        <v>2.8170197906337622</v>
      </c>
      <c r="J24" s="34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>
        <f>IF(ISTEXT($I$24),"",1)</f>
        <v>1</v>
      </c>
      <c r="V24" s="32">
        <f t="shared" ref="V24:V38" si="2">IFERROR(INDEX($H$24:$H$38,SMALL($U$24:$U$38,ROW(W1)),1),"")</f>
        <v>120</v>
      </c>
      <c r="W24" s="32">
        <f t="shared" ref="W24:W38" si="3">IFERROR(INDEX($I$24:$I$38,SMALL($U$24:$U$38,ROW(I1)),1),"")</f>
        <v>2.8170197906337622</v>
      </c>
      <c r="X24" s="32"/>
      <c r="Y24" s="32"/>
      <c r="Z24" s="10">
        <f>$H$30</f>
        <v>30</v>
      </c>
      <c r="AA24" s="11">
        <f>IF(ISTEXT($I$30),TEXT($G$30/100,"0.00%"),$G$30 / 100)</f>
        <v>0.67636581714110577</v>
      </c>
      <c r="AB24" s="11">
        <f>IF(ISTEXT($I$31),TEXT($G$31/100,"0.00%"),$G$31 / 100)</f>
        <v>0.46730069888348419</v>
      </c>
      <c r="AC24" s="11">
        <f>IF(ISTEXT($I$32),TEXT($G$32/100,"0.00%"),$G$32 / 100)</f>
        <v>0.27200578027282607</v>
      </c>
      <c r="AD24" s="11">
        <f>IFERROR(AVERAGE($AA$24:$AC$24),"")</f>
        <v>0.47189076543247205</v>
      </c>
    </row>
    <row r="25" spans="1:30" x14ac:dyDescent="0.25">
      <c r="A25" s="33" t="s">
        <v>81</v>
      </c>
      <c r="B25" s="33" t="s">
        <v>78</v>
      </c>
      <c r="C25" s="33" t="s">
        <v>10</v>
      </c>
      <c r="D25" s="39">
        <v>474.14100000000002</v>
      </c>
      <c r="E25" s="39">
        <v>25349.657999999999</v>
      </c>
      <c r="F25" s="39">
        <v>1.8704038999999999E-2</v>
      </c>
      <c r="G25" s="39">
        <f>($F$25 -  AVERAGE($F$21,$F$22,$F$23) ) / ($F$37 -  AVERAGE($F$21,$F$22,$F$23) ) * 100</f>
        <v>8.9069864018939473</v>
      </c>
      <c r="H25" s="39">
        <v>120</v>
      </c>
      <c r="I25" s="40">
        <f>LN($G$25)</f>
        <v>2.1868359577722392</v>
      </c>
      <c r="J25" s="35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>
        <f>IF(ISTEXT($I$25),"",2)</f>
        <v>2</v>
      </c>
      <c r="V25" s="33">
        <f t="shared" si="2"/>
        <v>120</v>
      </c>
      <c r="W25" s="33">
        <f t="shared" si="3"/>
        <v>2.1868359577722392</v>
      </c>
      <c r="X25" s="33"/>
      <c r="Y25" s="33"/>
      <c r="Z25" s="10">
        <f>$H$33</f>
        <v>15</v>
      </c>
      <c r="AA25" s="11">
        <f>IF(ISTEXT($I$33),TEXT($G$33/100,"0.00%"),$G$33 / 100)</f>
        <v>0.76522950086560571</v>
      </c>
      <c r="AB25" s="11">
        <f>IF(ISTEXT($I$34),TEXT($G$34/100,"0.00%"),$G$34 / 100)</f>
        <v>0.55010937951618555</v>
      </c>
      <c r="AC25" s="11">
        <f>IF(ISTEXT($I$35),TEXT($G$35/100,"0.00%"),$G$35 / 100)</f>
        <v>0.26201225945979861</v>
      </c>
      <c r="AD25" s="11">
        <f>IFERROR(AVERAGE($AA$25:$AC$25),"")</f>
        <v>0.52578371328052997</v>
      </c>
    </row>
    <row r="26" spans="1:30" ht="15.75" thickBot="1" x14ac:dyDescent="0.3">
      <c r="A26" s="32" t="s">
        <v>82</v>
      </c>
      <c r="B26" s="32" t="s">
        <v>78</v>
      </c>
      <c r="C26" s="32" t="s">
        <v>10</v>
      </c>
      <c r="D26" s="38">
        <v>254.22900000000001</v>
      </c>
      <c r="E26" s="38">
        <v>26485.511999999999</v>
      </c>
      <c r="F26" s="38">
        <v>9.5987950000000002E-3</v>
      </c>
      <c r="G26" s="38">
        <f>($F$26 -  AVERAGE($F$21,$F$22,$F$23) ) / ($F$38 -  AVERAGE($F$21,$F$22,$F$23) ) * 100</f>
        <v>3.2955933712865808</v>
      </c>
      <c r="H26" s="38">
        <v>120</v>
      </c>
      <c r="I26" s="41">
        <f>LN($G$26)</f>
        <v>1.1925862340743951</v>
      </c>
      <c r="J26" s="34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>
        <f>IF(ISTEXT($I$26),"",3)</f>
        <v>3</v>
      </c>
      <c r="V26" s="32">
        <f t="shared" si="2"/>
        <v>120</v>
      </c>
      <c r="W26" s="32">
        <f t="shared" si="3"/>
        <v>1.1925862340743951</v>
      </c>
      <c r="X26" s="32"/>
      <c r="Y26" s="32"/>
      <c r="Z26" s="12">
        <f>$H$36</f>
        <v>0</v>
      </c>
      <c r="AA26" s="13">
        <f>IF(ISTEXT($I$36),TEXT($G$36/100,"0.00%"),$G$36 / 100)</f>
        <v>1</v>
      </c>
      <c r="AB26" s="13">
        <f>IF(ISTEXT($I$37),TEXT($G$37/100,"0.00%"),$G$37 / 100)</f>
        <v>1</v>
      </c>
      <c r="AC26" s="13">
        <f>IF(ISTEXT($I$38),TEXT($G$38/100,"0.00%"),$G$38 / 100)</f>
        <v>1</v>
      </c>
      <c r="AD26" s="13">
        <f>IFERROR(AVERAGE($AA$26:$AC$26),"")</f>
        <v>1</v>
      </c>
    </row>
    <row r="27" spans="1:30" ht="16.5" thickTop="1" thickBot="1" x14ac:dyDescent="0.3">
      <c r="A27" s="33" t="s">
        <v>83</v>
      </c>
      <c r="B27" s="33" t="s">
        <v>78</v>
      </c>
      <c r="C27" s="33" t="s">
        <v>10</v>
      </c>
      <c r="D27" s="39">
        <v>721.26400000000001</v>
      </c>
      <c r="E27" s="39">
        <v>25650.98</v>
      </c>
      <c r="F27" s="39">
        <v>2.8118379999999998E-2</v>
      </c>
      <c r="G27" s="39">
        <f>($F$27 -  AVERAGE($F$21,$F$22,$F$23) ) / ($F$36 -  AVERAGE($F$21,$F$22,$F$23) ) * 100</f>
        <v>22.277539089850308</v>
      </c>
      <c r="H27" s="39">
        <v>60</v>
      </c>
      <c r="I27" s="40">
        <f>LN($G$27)</f>
        <v>3.1035789551816997</v>
      </c>
      <c r="J27" s="35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>
        <f>IF(ISTEXT($I$27),"",4)</f>
        <v>4</v>
      </c>
      <c r="V27" s="33">
        <f t="shared" si="2"/>
        <v>60</v>
      </c>
      <c r="W27" s="33">
        <f t="shared" si="3"/>
        <v>3.1035789551816997</v>
      </c>
      <c r="X27" s="33"/>
      <c r="Y27" s="33"/>
    </row>
    <row r="28" spans="1:30" x14ac:dyDescent="0.25">
      <c r="A28" s="32" t="s">
        <v>84</v>
      </c>
      <c r="B28" s="32" t="s">
        <v>78</v>
      </c>
      <c r="C28" s="32" t="s">
        <v>10</v>
      </c>
      <c r="D28" s="38">
        <v>1014.366</v>
      </c>
      <c r="E28" s="38">
        <v>29122.641</v>
      </c>
      <c r="F28" s="38">
        <v>3.4830838000000003E-2</v>
      </c>
      <c r="G28" s="38">
        <f>($F$28 -  AVERAGE($F$21,$F$22,$F$23) ) / ($F$37 -  AVERAGE($F$21,$F$22,$F$23) ) * 100</f>
        <v>16.599412100889875</v>
      </c>
      <c r="H28" s="38">
        <v>60</v>
      </c>
      <c r="I28" s="41">
        <f>LN($G$28)</f>
        <v>2.8093672791263065</v>
      </c>
      <c r="J28" s="34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>
        <f>IF(ISTEXT($I$28),"",5)</f>
        <v>5</v>
      </c>
      <c r="V28" s="32">
        <f t="shared" si="2"/>
        <v>60</v>
      </c>
      <c r="W28" s="32">
        <f t="shared" si="3"/>
        <v>2.8093672791263065</v>
      </c>
      <c r="X28" s="32"/>
      <c r="Y28" s="32"/>
      <c r="Z28" s="20" t="s">
        <v>51</v>
      </c>
      <c r="AA28" s="29">
        <f>IFERROR(SLOPE($W$24:$W$38,$V$24:$V$38),"")</f>
        <v>-2.0274068917226933E-2</v>
      </c>
    </row>
    <row r="29" spans="1:30" x14ac:dyDescent="0.25">
      <c r="A29" s="33" t="s">
        <v>85</v>
      </c>
      <c r="B29" s="33" t="s">
        <v>78</v>
      </c>
      <c r="C29" s="33" t="s">
        <v>10</v>
      </c>
      <c r="D29" s="39">
        <v>1104.0309999999999</v>
      </c>
      <c r="E29" s="39">
        <v>27070.91</v>
      </c>
      <c r="F29" s="39">
        <v>4.0782929000000002E-2</v>
      </c>
      <c r="G29" s="39">
        <f>($F$29 -  AVERAGE($F$21,$F$22,$F$23) ) / ($F$38 -  AVERAGE($F$21,$F$22,$F$23) ) * 100</f>
        <v>14.036827484303361</v>
      </c>
      <c r="H29" s="39">
        <v>60</v>
      </c>
      <c r="I29" s="40">
        <f>LN($G$29)</f>
        <v>2.6416844104078017</v>
      </c>
      <c r="J29" s="35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>
        <f>IF(ISTEXT($I$29),"",6)</f>
        <v>6</v>
      </c>
      <c r="V29" s="33">
        <f t="shared" si="2"/>
        <v>60</v>
      </c>
      <c r="W29" s="33">
        <f t="shared" si="3"/>
        <v>2.6416844104078017</v>
      </c>
      <c r="X29" s="33"/>
      <c r="Y29" s="33"/>
      <c r="Z29" s="22" t="s">
        <v>52</v>
      </c>
      <c r="AA29" s="23">
        <f>IFERROR(INTERCEPT($W$24:$W$38,$V$24:$V$38),"")</f>
        <v>4.3482855801825409</v>
      </c>
    </row>
    <row r="30" spans="1:30" ht="17.25" x14ac:dyDescent="0.25">
      <c r="A30" s="32" t="s">
        <v>86</v>
      </c>
      <c r="B30" s="32" t="s">
        <v>78</v>
      </c>
      <c r="C30" s="32" t="s">
        <v>10</v>
      </c>
      <c r="D30" s="38">
        <v>2636.1190000000001</v>
      </c>
      <c r="E30" s="38">
        <v>30901.616999999998</v>
      </c>
      <c r="F30" s="38">
        <v>8.530683E-2</v>
      </c>
      <c r="G30" s="38">
        <f>($F$30 -  AVERAGE($F$21,$F$22,$F$23) ) / ($F$36 -  AVERAGE($F$21,$F$22,$F$23) ) * 100</f>
        <v>67.636581714110577</v>
      </c>
      <c r="H30" s="38">
        <v>30</v>
      </c>
      <c r="I30" s="41">
        <f>LN($G$30)</f>
        <v>4.2141489862972872</v>
      </c>
      <c r="J30" s="34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>
        <f>IF(ISTEXT($I$30),"",7)</f>
        <v>7</v>
      </c>
      <c r="V30" s="32">
        <f t="shared" si="2"/>
        <v>30</v>
      </c>
      <c r="W30" s="32">
        <f t="shared" si="3"/>
        <v>4.2141489862972872</v>
      </c>
      <c r="X30" s="32"/>
      <c r="Y30" s="32"/>
      <c r="Z30" s="22" t="s">
        <v>53</v>
      </c>
      <c r="AA30" s="26">
        <f>IFERROR(CORREL($W$24:$W$38,$V$24:$V$38)^2,"")</f>
        <v>0.78321428993884701</v>
      </c>
    </row>
    <row r="31" spans="1:30" ht="18" x14ac:dyDescent="0.35">
      <c r="A31" s="33" t="s">
        <v>87</v>
      </c>
      <c r="B31" s="33" t="s">
        <v>78</v>
      </c>
      <c r="C31" s="33" t="s">
        <v>10</v>
      </c>
      <c r="D31" s="39">
        <v>2437.6480000000001</v>
      </c>
      <c r="E31" s="39">
        <v>24874.388999999999</v>
      </c>
      <c r="F31" s="39">
        <v>9.7998307000000007E-2</v>
      </c>
      <c r="G31" s="39">
        <f>($F$31 -  AVERAGE($F$21,$F$22,$F$23) ) / ($F$37 -  AVERAGE($F$21,$F$22,$F$23) ) * 100</f>
        <v>46.730069888348417</v>
      </c>
      <c r="H31" s="39">
        <v>30</v>
      </c>
      <c r="I31" s="40">
        <f>LN($G$31)</f>
        <v>3.8443878522889698</v>
      </c>
      <c r="J31" s="35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>
        <f>IF(ISTEXT($I$31),"",8)</f>
        <v>8</v>
      </c>
      <c r="V31" s="33">
        <f t="shared" si="2"/>
        <v>30</v>
      </c>
      <c r="W31" s="33">
        <f t="shared" si="3"/>
        <v>3.8443878522889698</v>
      </c>
      <c r="X31" s="33"/>
      <c r="Y31" s="33"/>
      <c r="Z31" s="22" t="s">
        <v>54</v>
      </c>
      <c r="AA31" s="30">
        <f>IF(AA28&gt;0,"",IFERROR(LN(2) /ABS(AA28),0))</f>
        <v>34.18885391925329</v>
      </c>
    </row>
    <row r="32" spans="1:30" ht="18.75" x14ac:dyDescent="0.35">
      <c r="A32" s="32" t="s">
        <v>88</v>
      </c>
      <c r="B32" s="32" t="s">
        <v>78</v>
      </c>
      <c r="C32" s="32" t="s">
        <v>10</v>
      </c>
      <c r="D32" s="38">
        <v>2210.7669999999998</v>
      </c>
      <c r="E32" s="38">
        <v>27984.338</v>
      </c>
      <c r="F32" s="38">
        <v>7.9000154000000003E-2</v>
      </c>
      <c r="G32" s="38">
        <f>($F$32 -  AVERAGE($F$21,$F$22,$F$23) ) / ($F$38 -  AVERAGE($F$21,$F$22,$F$23) ) * 100</f>
        <v>27.200578027282607</v>
      </c>
      <c r="H32" s="38">
        <v>30</v>
      </c>
      <c r="I32" s="41">
        <f>LN($G$32)</f>
        <v>3.3032382240791893</v>
      </c>
      <c r="J32" s="34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>
        <f>IF(ISTEXT($I$32),"",9)</f>
        <v>9</v>
      </c>
      <c r="V32" s="32">
        <f t="shared" si="2"/>
        <v>30</v>
      </c>
      <c r="W32" s="32">
        <f t="shared" si="3"/>
        <v>3.3032382240791893</v>
      </c>
      <c r="X32" s="32"/>
      <c r="Y32" s="32"/>
      <c r="Z32" s="22" t="s">
        <v>55</v>
      </c>
      <c r="AA32" s="30">
        <f>IF(AA28&gt;0,0,IFERROR(ABS(AA28 * 1000 / 0.5),0))</f>
        <v>40.548137834453868</v>
      </c>
    </row>
    <row r="33" spans="1:30" ht="15.75" thickBot="1" x14ac:dyDescent="0.3">
      <c r="A33" s="33" t="s">
        <v>89</v>
      </c>
      <c r="B33" s="33" t="s">
        <v>78</v>
      </c>
      <c r="C33" s="33" t="s">
        <v>10</v>
      </c>
      <c r="D33" s="39">
        <v>2679.451</v>
      </c>
      <c r="E33" s="39">
        <v>27763.248</v>
      </c>
      <c r="F33" s="39">
        <v>9.6510717999999995E-2</v>
      </c>
      <c r="G33" s="39">
        <f>($F$33 -  AVERAGE($F$21,$F$22,$F$23) ) / ($F$36 -  AVERAGE($F$21,$F$22,$F$23) ) * 100</f>
        <v>76.52295008656057</v>
      </c>
      <c r="H33" s="39">
        <v>15</v>
      </c>
      <c r="I33" s="40">
        <f>LN($G$33)</f>
        <v>4.3375906969726596</v>
      </c>
      <c r="J33" s="35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>
        <f>IF(ISTEXT($I$33),"",10)</f>
        <v>10</v>
      </c>
      <c r="V33" s="33">
        <f t="shared" si="2"/>
        <v>15</v>
      </c>
      <c r="W33" s="33">
        <f t="shared" si="3"/>
        <v>4.3375906969726596</v>
      </c>
      <c r="X33" s="33"/>
      <c r="Y33" s="33"/>
      <c r="Z33" s="27" t="s">
        <v>39</v>
      </c>
      <c r="AA33" s="28" t="s">
        <v>56</v>
      </c>
    </row>
    <row r="34" spans="1:30" x14ac:dyDescent="0.25">
      <c r="A34" s="32" t="s">
        <v>90</v>
      </c>
      <c r="B34" s="32" t="s">
        <v>78</v>
      </c>
      <c r="C34" s="32" t="s">
        <v>10</v>
      </c>
      <c r="D34" s="38">
        <v>3357.2779999999998</v>
      </c>
      <c r="E34" s="38">
        <v>29102.934000000001</v>
      </c>
      <c r="F34" s="38">
        <v>0.115358747</v>
      </c>
      <c r="G34" s="38">
        <f>($F$34 -  AVERAGE($F$21,$F$22,$F$23) ) / ($F$37 -  AVERAGE($F$21,$F$22,$F$23) ) * 100</f>
        <v>55.010937951618558</v>
      </c>
      <c r="H34" s="38">
        <v>15</v>
      </c>
      <c r="I34" s="41">
        <f>LN($G$34)</f>
        <v>4.0075320373076968</v>
      </c>
      <c r="J34" s="34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>
        <f>IF(ISTEXT($I$34),"",11)</f>
        <v>11</v>
      </c>
      <c r="V34" s="32">
        <f t="shared" si="2"/>
        <v>15</v>
      </c>
      <c r="W34" s="32">
        <f t="shared" si="3"/>
        <v>4.0075320373076968</v>
      </c>
      <c r="X34" s="32"/>
      <c r="Y34" s="32"/>
    </row>
    <row r="35" spans="1:30" x14ac:dyDescent="0.25">
      <c r="A35" s="33" t="s">
        <v>91</v>
      </c>
      <c r="B35" s="33" t="s">
        <v>78</v>
      </c>
      <c r="C35" s="33" t="s">
        <v>10</v>
      </c>
      <c r="D35" s="39">
        <v>2144.38</v>
      </c>
      <c r="E35" s="39">
        <v>28178.886999999999</v>
      </c>
      <c r="F35" s="39">
        <v>7.6098817999999999E-2</v>
      </c>
      <c r="G35" s="39">
        <f>($F$35 -  AVERAGE($F$21,$F$22,$F$23) ) / ($F$38 -  AVERAGE($F$21,$F$22,$F$23) ) * 100</f>
        <v>26.201225945979861</v>
      </c>
      <c r="H35" s="39">
        <v>15</v>
      </c>
      <c r="I35" s="40">
        <f>LN($G$35)</f>
        <v>3.26580620150364</v>
      </c>
      <c r="J35" s="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>
        <f>IF(ISTEXT($I$35),"",12)</f>
        <v>12</v>
      </c>
      <c r="V35" s="33">
        <f t="shared" si="2"/>
        <v>15</v>
      </c>
      <c r="W35" s="33">
        <f t="shared" si="3"/>
        <v>3.26580620150364</v>
      </c>
      <c r="X35" s="33"/>
      <c r="Y35" s="33"/>
    </row>
    <row r="36" spans="1:30" x14ac:dyDescent="0.25">
      <c r="A36" s="32" t="s">
        <v>92</v>
      </c>
      <c r="B36" s="32" t="s">
        <v>78</v>
      </c>
      <c r="C36" s="32" t="s">
        <v>10</v>
      </c>
      <c r="D36" s="38">
        <v>3577.3910000000001</v>
      </c>
      <c r="E36" s="38">
        <v>28367.123</v>
      </c>
      <c r="F36" s="38">
        <v>0.12611046300000001</v>
      </c>
      <c r="G36" s="38">
        <f>($F$36 -  AVERAGE($F$21,$F$22,$F$23) ) / ($F$36 -  AVERAGE($F$21,$F$22,$F$23) ) * 100</f>
        <v>100</v>
      </c>
      <c r="H36" s="38">
        <v>0</v>
      </c>
      <c r="I36" s="41">
        <f>LN($G$36)</f>
        <v>4.6051701859880918</v>
      </c>
      <c r="J36" s="34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>
        <f>IF(ISTEXT($I$36),"",13)</f>
        <v>13</v>
      </c>
      <c r="V36" s="32">
        <f t="shared" si="2"/>
        <v>0</v>
      </c>
      <c r="W36" s="32">
        <f t="shared" si="3"/>
        <v>4.6051701859880918</v>
      </c>
      <c r="X36" s="32"/>
      <c r="Y36" s="32"/>
    </row>
    <row r="37" spans="1:30" x14ac:dyDescent="0.25">
      <c r="A37" s="33" t="s">
        <v>93</v>
      </c>
      <c r="B37" s="33" t="s">
        <v>78</v>
      </c>
      <c r="C37" s="33" t="s">
        <v>10</v>
      </c>
      <c r="D37" s="39">
        <v>6198.4170000000004</v>
      </c>
      <c r="E37" s="39">
        <v>29561.861000000001</v>
      </c>
      <c r="F37" s="39">
        <v>0.20967614300000001</v>
      </c>
      <c r="G37" s="39">
        <f>($F$37 -  AVERAGE($F$21,$F$22,$F$23) ) / ($F$37 -  AVERAGE($F$21,$F$22,$F$23) ) * 100</f>
        <v>100</v>
      </c>
      <c r="H37" s="39">
        <v>0</v>
      </c>
      <c r="I37" s="40">
        <f>LN($G$37)</f>
        <v>4.6051701859880918</v>
      </c>
      <c r="J37" s="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>
        <f>IF(ISTEXT($I$37),"",14)</f>
        <v>14</v>
      </c>
      <c r="V37" s="33">
        <f t="shared" si="2"/>
        <v>0</v>
      </c>
      <c r="W37" s="33">
        <f t="shared" si="3"/>
        <v>4.6051701859880918</v>
      </c>
      <c r="X37" s="33"/>
      <c r="Y37" s="33"/>
    </row>
    <row r="38" spans="1:30" x14ac:dyDescent="0.25">
      <c r="A38" s="32" t="s">
        <v>94</v>
      </c>
      <c r="B38" s="32" t="s">
        <v>78</v>
      </c>
      <c r="C38" s="32" t="s">
        <v>10</v>
      </c>
      <c r="D38" s="38">
        <v>7360.6409999999996</v>
      </c>
      <c r="E38" s="38">
        <v>25350.690999999999</v>
      </c>
      <c r="F38" s="38">
        <v>0.290352677</v>
      </c>
      <c r="G38" s="38">
        <f>($F$38 -  AVERAGE($F$21,$F$22,$F$23) ) / ($F$38 -  AVERAGE($F$21,$F$22,$F$23) ) * 100</f>
        <v>100</v>
      </c>
      <c r="H38" s="38">
        <v>0</v>
      </c>
      <c r="I38" s="41">
        <f>LN($G$38)</f>
        <v>4.6051701859880918</v>
      </c>
      <c r="J38" s="34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>
        <f>IF(ISTEXT($I$38),"",15)</f>
        <v>15</v>
      </c>
      <c r="V38" s="32">
        <f t="shared" si="2"/>
        <v>0</v>
      </c>
      <c r="W38" s="32">
        <f t="shared" si="3"/>
        <v>4.6051701859880918</v>
      </c>
      <c r="X38" s="32"/>
      <c r="Y38" s="32"/>
    </row>
    <row r="39" spans="1:30" ht="15.75" thickBot="1" x14ac:dyDescent="0.3">
      <c r="A39" s="33"/>
      <c r="B39" s="33"/>
      <c r="C39" s="33"/>
      <c r="D39" s="39"/>
      <c r="E39" s="39"/>
      <c r="F39" s="39"/>
      <c r="G39" s="39"/>
      <c r="H39" s="39"/>
      <c r="I39" s="39"/>
      <c r="J39" s="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</row>
    <row r="40" spans="1:30" ht="16.5" thickTop="1" thickBot="1" x14ac:dyDescent="0.3">
      <c r="A40" s="32" t="s">
        <v>6</v>
      </c>
      <c r="B40" s="32" t="s">
        <v>95</v>
      </c>
      <c r="C40" s="32" t="s">
        <v>11</v>
      </c>
      <c r="D40" s="38">
        <v>1.1140000000000001</v>
      </c>
      <c r="E40" s="38">
        <v>37229.300999999999</v>
      </c>
      <c r="F40" s="38">
        <v>2.9922700000000001E-5</v>
      </c>
      <c r="G40" s="38"/>
      <c r="H40" s="38"/>
      <c r="I40" s="38"/>
      <c r="J40" s="34"/>
      <c r="K40" s="32"/>
      <c r="L40" s="32"/>
      <c r="M40" s="32"/>
      <c r="N40" s="32"/>
      <c r="O40" s="32"/>
      <c r="P40" s="32"/>
      <c r="Q40" s="32"/>
      <c r="R40" s="32" t="s">
        <v>96</v>
      </c>
      <c r="S40" s="32"/>
      <c r="T40" s="32">
        <v>3</v>
      </c>
      <c r="U40" s="32"/>
      <c r="V40" s="32"/>
      <c r="W40" s="32"/>
      <c r="X40" s="32"/>
      <c r="Y40" s="32"/>
      <c r="Z40" s="9" t="s">
        <v>45</v>
      </c>
      <c r="AA40" s="9" t="s">
        <v>47</v>
      </c>
      <c r="AB40" s="9" t="s">
        <v>48</v>
      </c>
      <c r="AC40" s="9" t="s">
        <v>49</v>
      </c>
      <c r="AD40" s="9" t="s">
        <v>50</v>
      </c>
    </row>
    <row r="41" spans="1:30" ht="15.75" thickTop="1" x14ac:dyDescent="0.25">
      <c r="A41" s="33" t="s">
        <v>8</v>
      </c>
      <c r="B41" s="33" t="s">
        <v>95</v>
      </c>
      <c r="C41" s="33" t="s">
        <v>11</v>
      </c>
      <c r="D41" s="39">
        <v>1</v>
      </c>
      <c r="E41" s="39">
        <v>37141.370999999999</v>
      </c>
      <c r="F41" s="39">
        <v>2.6924154199908239E-5</v>
      </c>
      <c r="G41" s="39"/>
      <c r="H41" s="39"/>
      <c r="I41" s="39"/>
      <c r="J41" s="35"/>
      <c r="K41" s="33"/>
      <c r="L41" s="33"/>
      <c r="M41" s="33"/>
      <c r="N41" s="33"/>
      <c r="O41" s="33"/>
      <c r="P41" s="33"/>
      <c r="Q41" s="33"/>
      <c r="R41" s="33" t="s">
        <v>45</v>
      </c>
      <c r="S41" s="33"/>
      <c r="T41" s="33">
        <v>43</v>
      </c>
      <c r="U41" s="33"/>
      <c r="V41" s="33"/>
      <c r="W41" s="33"/>
      <c r="X41" s="33"/>
      <c r="Y41" s="33"/>
      <c r="Z41" s="10">
        <f>$H$43</f>
        <v>120</v>
      </c>
      <c r="AA41" s="11">
        <f>IF(ISTEXT($I$43),TEXT($G$43/100,"0.00%"),$G$43 / 100)</f>
        <v>0.15300428823647613</v>
      </c>
      <c r="AB41" s="11">
        <f>IF(ISTEXT($I$44),TEXT($G$44/100,"0.00%"),$G$44 / 100)</f>
        <v>0.16827793807045702</v>
      </c>
      <c r="AC41" s="11">
        <f>IF(ISTEXT($I$45),TEXT($G$45/100,"0.00%"),$G$45 / 100)</f>
        <v>0.21399097534009118</v>
      </c>
      <c r="AD41" s="11">
        <f>IFERROR(AVERAGE($AA$41:$AC$41),"")</f>
        <v>0.1784244005490081</v>
      </c>
    </row>
    <row r="42" spans="1:30" x14ac:dyDescent="0.25">
      <c r="A42" s="32" t="s">
        <v>9</v>
      </c>
      <c r="B42" s="32" t="s">
        <v>95</v>
      </c>
      <c r="C42" s="32" t="s">
        <v>11</v>
      </c>
      <c r="D42" s="38">
        <v>1</v>
      </c>
      <c r="E42" s="38">
        <v>36262.148000000001</v>
      </c>
      <c r="F42" s="38">
        <v>2.757696537998797E-5</v>
      </c>
      <c r="G42" s="38"/>
      <c r="H42" s="38"/>
      <c r="I42" s="38"/>
      <c r="J42" s="34"/>
      <c r="K42" s="32"/>
      <c r="L42" s="32"/>
      <c r="M42" s="32"/>
      <c r="N42" s="32"/>
      <c r="O42" s="32"/>
      <c r="P42" s="32"/>
      <c r="Q42" s="32"/>
      <c r="R42" s="32" t="s">
        <v>46</v>
      </c>
      <c r="S42" s="32"/>
      <c r="T42" s="32">
        <v>57</v>
      </c>
      <c r="U42" s="32"/>
      <c r="V42" s="32"/>
      <c r="W42" s="32"/>
      <c r="X42" s="32"/>
      <c r="Y42" s="32"/>
      <c r="Z42" s="10">
        <f>$H$46</f>
        <v>60</v>
      </c>
      <c r="AA42" s="11">
        <f>IF(ISTEXT($I$46),TEXT($G$46/100,"0.00%"),$G$46 / 100)</f>
        <v>0.1621352828250246</v>
      </c>
      <c r="AB42" s="11">
        <f>IF(ISTEXT($I$47),TEXT($G$47/100,"0.00%"),$G$47 / 100)</f>
        <v>0.18560516333611063</v>
      </c>
      <c r="AC42" s="11">
        <f>IF(ISTEXT($I$48),TEXT($G$48/100,"0.00%"),$G$48 / 100)</f>
        <v>0.20996420501907237</v>
      </c>
      <c r="AD42" s="11">
        <f>IFERROR(AVERAGE($AA$42:$AC$42),"")</f>
        <v>0.1859015503934025</v>
      </c>
    </row>
    <row r="43" spans="1:30" x14ac:dyDescent="0.25">
      <c r="A43" s="33" t="s">
        <v>97</v>
      </c>
      <c r="B43" s="33" t="s">
        <v>95</v>
      </c>
      <c r="C43" s="33" t="s">
        <v>11</v>
      </c>
      <c r="D43" s="39">
        <v>483.80799999999999</v>
      </c>
      <c r="E43" s="39">
        <v>31164.973000000002</v>
      </c>
      <c r="F43" s="39">
        <v>1.5524095E-2</v>
      </c>
      <c r="G43" s="39">
        <f>($F$43 -  AVERAGE($F$40,$F$41,$F$42) ) / ($F$55 -  AVERAGE($F$40,$F$41,$F$42) ) * 100</f>
        <v>15.300428823647612</v>
      </c>
      <c r="H43" s="39">
        <v>120</v>
      </c>
      <c r="I43" s="40">
        <f>LN($G$43)</f>
        <v>2.727880855695008</v>
      </c>
      <c r="J43" s="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>
        <f>IF(ISTEXT($I$43),"",1)</f>
        <v>1</v>
      </c>
      <c r="V43" s="33">
        <f t="shared" ref="V43:V57" si="4">IFERROR(INDEX($H$43:$H$57,SMALL($U$43:$U$57,ROW(W1)),1),"")</f>
        <v>120</v>
      </c>
      <c r="W43" s="33">
        <f t="shared" ref="W43:W57" si="5">IFERROR(INDEX($I$43:$I$57,SMALL($U$43:$U$57,ROW(I1)),1),"")</f>
        <v>2.727880855695008</v>
      </c>
      <c r="X43" s="33"/>
      <c r="Y43" s="33"/>
      <c r="Z43" s="10">
        <f>$H$49</f>
        <v>30</v>
      </c>
      <c r="AA43" s="11">
        <f>IF(ISTEXT($I$49),TEXT($G$49/100,"0.00%"),$G$49 / 100)</f>
        <v>0.17929991517686147</v>
      </c>
      <c r="AB43" s="11">
        <f>IF(ISTEXT($I$50),TEXT($G$50/100,"0.00%"),$G$50 / 100)</f>
        <v>0.21695165773432451</v>
      </c>
      <c r="AC43" s="11">
        <f>IF(ISTEXT($I$51),TEXT($G$51/100,"0.00%"),$G$51 / 100)</f>
        <v>0.17968390719441973</v>
      </c>
      <c r="AD43" s="11">
        <f>IFERROR(AVERAGE($AA$43:$AC$43),"")</f>
        <v>0.19197849336853523</v>
      </c>
    </row>
    <row r="44" spans="1:30" x14ac:dyDescent="0.25">
      <c r="A44" s="32" t="s">
        <v>98</v>
      </c>
      <c r="B44" s="32" t="s">
        <v>95</v>
      </c>
      <c r="C44" s="32" t="s">
        <v>11</v>
      </c>
      <c r="D44" s="38">
        <v>483.08199999999999</v>
      </c>
      <c r="E44" s="38">
        <v>31034.988000000001</v>
      </c>
      <c r="F44" s="38">
        <v>1.5565722000000001E-2</v>
      </c>
      <c r="G44" s="38">
        <f>($F$44 -  AVERAGE($F$40,$F$41,$F$42) ) / ($F$56 -  AVERAGE($F$40,$F$41,$F$42) ) * 100</f>
        <v>16.827793807045701</v>
      </c>
      <c r="H44" s="38">
        <v>120</v>
      </c>
      <c r="I44" s="41">
        <f>LN($G$44)</f>
        <v>2.8230319126846837</v>
      </c>
      <c r="J44" s="34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>
        <f>IF(ISTEXT($I$44),"",2)</f>
        <v>2</v>
      </c>
      <c r="V44" s="32">
        <f t="shared" si="4"/>
        <v>120</v>
      </c>
      <c r="W44" s="32">
        <f t="shared" si="5"/>
        <v>2.8230319126846837</v>
      </c>
      <c r="X44" s="32"/>
      <c r="Y44" s="32"/>
      <c r="Z44" s="10">
        <f>$H$52</f>
        <v>15</v>
      </c>
      <c r="AA44" s="11">
        <f>IF(ISTEXT($I$52),TEXT($G$52/100,"0.00%"),$G$52 / 100)</f>
        <v>0.20083351627063248</v>
      </c>
      <c r="AB44" s="11">
        <f>IF(ISTEXT($I$53),TEXT($G$53/100,"0.00%"),$G$53 / 100)</f>
        <v>0.23188482700989102</v>
      </c>
      <c r="AC44" s="11">
        <f>IF(ISTEXT($I$54),TEXT($G$54/100,"0.00%"),$G$54 / 100)</f>
        <v>0.31345335155751614</v>
      </c>
      <c r="AD44" s="11">
        <f>IFERROR(AVERAGE($AA$44:$AC$44),"")</f>
        <v>0.24872389827934657</v>
      </c>
    </row>
    <row r="45" spans="1:30" ht="15.75" thickBot="1" x14ac:dyDescent="0.3">
      <c r="A45" s="33" t="s">
        <v>99</v>
      </c>
      <c r="B45" s="33" t="s">
        <v>95</v>
      </c>
      <c r="C45" s="33" t="s">
        <v>11</v>
      </c>
      <c r="D45" s="39">
        <v>505.77</v>
      </c>
      <c r="E45" s="39">
        <v>30469.103999999999</v>
      </c>
      <c r="F45" s="39">
        <v>1.6599438000000001E-2</v>
      </c>
      <c r="G45" s="39">
        <f>($F$45 -  AVERAGE($F$40,$F$41,$F$42) ) / ($F$57 -  AVERAGE($F$40,$F$41,$F$42) ) * 100</f>
        <v>21.399097534009119</v>
      </c>
      <c r="H45" s="39">
        <v>120</v>
      </c>
      <c r="I45" s="40">
        <f>LN($G$45)</f>
        <v>3.063348749830586</v>
      </c>
      <c r="J45" s="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>
        <f>IF(ISTEXT($I$45),"",3)</f>
        <v>3</v>
      </c>
      <c r="V45" s="33">
        <f t="shared" si="4"/>
        <v>120</v>
      </c>
      <c r="W45" s="33">
        <f t="shared" si="5"/>
        <v>3.063348749830586</v>
      </c>
      <c r="X45" s="33"/>
      <c r="Y45" s="33"/>
      <c r="Z45" s="12">
        <f>$H$55</f>
        <v>0</v>
      </c>
      <c r="AA45" s="13">
        <f>IF(ISTEXT($I$55),TEXT($G$55/100,"0.00%"),$G$55 / 100)</f>
        <v>1</v>
      </c>
      <c r="AB45" s="13">
        <f>IF(ISTEXT($I$56),TEXT($G$56/100,"0.00%"),$G$56 / 100)</f>
        <v>1</v>
      </c>
      <c r="AC45" s="13">
        <f>IF(ISTEXT($I$57),TEXT($G$57/100,"0.00%"),$G$57 / 100)</f>
        <v>1</v>
      </c>
      <c r="AD45" s="13">
        <f>IFERROR(AVERAGE($AA$45:$AC$45),"")</f>
        <v>1</v>
      </c>
    </row>
    <row r="46" spans="1:30" ht="16.5" thickTop="1" thickBot="1" x14ac:dyDescent="0.3">
      <c r="A46" s="32" t="s">
        <v>100</v>
      </c>
      <c r="B46" s="32" t="s">
        <v>95</v>
      </c>
      <c r="C46" s="32" t="s">
        <v>11</v>
      </c>
      <c r="D46" s="38">
        <v>511.98599999999999</v>
      </c>
      <c r="E46" s="38">
        <v>31125.919999999998</v>
      </c>
      <c r="F46" s="38">
        <v>1.6448863000000001E-2</v>
      </c>
      <c r="G46" s="38">
        <f>($F$46 -  AVERAGE($F$40,$F$41,$F$42) ) / ($F$55 -  AVERAGE($F$40,$F$41,$F$42) ) * 100</f>
        <v>16.213528282502459</v>
      </c>
      <c r="H46" s="38">
        <v>60</v>
      </c>
      <c r="I46" s="41">
        <f>LN($G$46)</f>
        <v>2.7858459729205443</v>
      </c>
      <c r="J46" s="34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>
        <f>IF(ISTEXT($I$46),"",4)</f>
        <v>4</v>
      </c>
      <c r="V46" s="32">
        <f t="shared" si="4"/>
        <v>60</v>
      </c>
      <c r="W46" s="32">
        <f t="shared" si="5"/>
        <v>2.7858459729205443</v>
      </c>
      <c r="X46" s="32"/>
      <c r="Y46" s="32"/>
    </row>
    <row r="47" spans="1:30" x14ac:dyDescent="0.25">
      <c r="A47" s="33" t="s">
        <v>101</v>
      </c>
      <c r="B47" s="33" t="s">
        <v>95</v>
      </c>
      <c r="C47" s="33" t="s">
        <v>11</v>
      </c>
      <c r="D47" s="39">
        <v>567.34299999999996</v>
      </c>
      <c r="E47" s="39">
        <v>33051.171999999999</v>
      </c>
      <c r="F47" s="39">
        <v>1.7165593999999999E-2</v>
      </c>
      <c r="G47" s="39">
        <f>($F$47 -  AVERAGE($F$40,$F$41,$F$42) ) / ($F$56 -  AVERAGE($F$40,$F$41,$F$42) ) * 100</f>
        <v>18.560516333611062</v>
      </c>
      <c r="H47" s="39">
        <v>60</v>
      </c>
      <c r="I47" s="40">
        <f>LN($G$47)</f>
        <v>2.9210365466699657</v>
      </c>
      <c r="J47" s="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>
        <f>IF(ISTEXT($I$47),"",5)</f>
        <v>5</v>
      </c>
      <c r="V47" s="33">
        <f t="shared" si="4"/>
        <v>60</v>
      </c>
      <c r="W47" s="33">
        <f t="shared" si="5"/>
        <v>2.9210365466699657</v>
      </c>
      <c r="X47" s="33"/>
      <c r="Y47" s="33"/>
      <c r="Z47" s="20" t="s">
        <v>51</v>
      </c>
      <c r="AA47" s="31">
        <f>IFERROR(SLOPE($W$43:$W$57,$V$43:$V$57),"")</f>
        <v>-9.8074404188558117E-3</v>
      </c>
    </row>
    <row r="48" spans="1:30" x14ac:dyDescent="0.25">
      <c r="A48" s="32" t="s">
        <v>102</v>
      </c>
      <c r="B48" s="32" t="s">
        <v>95</v>
      </c>
      <c r="C48" s="32" t="s">
        <v>11</v>
      </c>
      <c r="D48" s="38">
        <v>513.21500000000003</v>
      </c>
      <c r="E48" s="38">
        <v>31509.537</v>
      </c>
      <c r="F48" s="38">
        <v>1.6287607999999999E-2</v>
      </c>
      <c r="G48" s="38">
        <f>($F$48 -  AVERAGE($F$40,$F$41,$F$42) ) / ($F$57 -  AVERAGE($F$40,$F$41,$F$42) ) * 100</f>
        <v>20.996420501907238</v>
      </c>
      <c r="H48" s="38">
        <v>60</v>
      </c>
      <c r="I48" s="41">
        <f>LN($G$48)</f>
        <v>3.0443519709046489</v>
      </c>
      <c r="J48" s="34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>
        <f>IF(ISTEXT($I$48),"",6)</f>
        <v>6</v>
      </c>
      <c r="V48" s="32">
        <f t="shared" si="4"/>
        <v>60</v>
      </c>
      <c r="W48" s="32">
        <f t="shared" si="5"/>
        <v>3.0443519709046489</v>
      </c>
      <c r="X48" s="32"/>
      <c r="Y48" s="32"/>
      <c r="Z48" s="22" t="s">
        <v>52</v>
      </c>
      <c r="AA48" s="23">
        <f>IFERROR(INTERCEPT($W$43:$W$57,$V$43:$V$57),"")</f>
        <v>3.7494546426096846</v>
      </c>
    </row>
    <row r="49" spans="1:30" ht="17.25" x14ac:dyDescent="0.25">
      <c r="A49" s="33" t="s">
        <v>103</v>
      </c>
      <c r="B49" s="33" t="s">
        <v>95</v>
      </c>
      <c r="C49" s="33" t="s">
        <v>11</v>
      </c>
      <c r="D49" s="39">
        <v>588.952</v>
      </c>
      <c r="E49" s="39">
        <v>32382.666000000001</v>
      </c>
      <c r="F49" s="39">
        <v>1.8187261E-2</v>
      </c>
      <c r="G49" s="39">
        <f>($F$49 -  AVERAGE($F$40,$F$41,$F$42) ) / ($F$55 -  AVERAGE($F$40,$F$41,$F$42) ) * 100</f>
        <v>17.929991517686148</v>
      </c>
      <c r="H49" s="39">
        <v>30</v>
      </c>
      <c r="I49" s="40">
        <f>LN($G$49)</f>
        <v>2.8864748145375181</v>
      </c>
      <c r="J49" s="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>
        <f>IF(ISTEXT($I$49),"",7)</f>
        <v>7</v>
      </c>
      <c r="V49" s="33">
        <f t="shared" si="4"/>
        <v>30</v>
      </c>
      <c r="W49" s="33">
        <f t="shared" si="5"/>
        <v>2.8864748145375181</v>
      </c>
      <c r="X49" s="33"/>
      <c r="Y49" s="33"/>
      <c r="Z49" s="22" t="s">
        <v>53</v>
      </c>
      <c r="AA49" s="26">
        <f>IFERROR(CORREL($W$43:$W$57,$V$43:$V$57)^2,"")</f>
        <v>0.38651589687575932</v>
      </c>
    </row>
    <row r="50" spans="1:30" ht="18" x14ac:dyDescent="0.35">
      <c r="A50" s="32" t="s">
        <v>104</v>
      </c>
      <c r="B50" s="32" t="s">
        <v>95</v>
      </c>
      <c r="C50" s="32" t="s">
        <v>11</v>
      </c>
      <c r="D50" s="38">
        <v>645.98099999999999</v>
      </c>
      <c r="E50" s="38">
        <v>32202.596000000001</v>
      </c>
      <c r="F50" s="38">
        <v>2.0059904999999999E-2</v>
      </c>
      <c r="G50" s="38">
        <f>($F$50 -  AVERAGE($F$40,$F$41,$F$42) ) / ($F$56 -  AVERAGE($F$40,$F$41,$F$42) ) * 100</f>
        <v>21.69516577343245</v>
      </c>
      <c r="H50" s="38">
        <v>30</v>
      </c>
      <c r="I50" s="41">
        <f>LN($G$50)</f>
        <v>3.0770894603104249</v>
      </c>
      <c r="J50" s="34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>
        <f>IF(ISTEXT($I$50),"",8)</f>
        <v>8</v>
      </c>
      <c r="V50" s="32">
        <f t="shared" si="4"/>
        <v>30</v>
      </c>
      <c r="W50" s="32">
        <f t="shared" si="5"/>
        <v>3.0770894603104249</v>
      </c>
      <c r="X50" s="32"/>
      <c r="Y50" s="32"/>
      <c r="Z50" s="22" t="s">
        <v>54</v>
      </c>
      <c r="AA50" s="30">
        <f>IF(AA47&gt;0,"",IFERROR(LN(2) /ABS(AA47),0))</f>
        <v>70.675645322024963</v>
      </c>
    </row>
    <row r="51" spans="1:30" ht="18.75" x14ac:dyDescent="0.35">
      <c r="A51" s="33" t="s">
        <v>105</v>
      </c>
      <c r="B51" s="33" t="s">
        <v>95</v>
      </c>
      <c r="C51" s="33" t="s">
        <v>11</v>
      </c>
      <c r="D51" s="39">
        <v>467.40899999999999</v>
      </c>
      <c r="E51" s="39">
        <v>33523.504000000001</v>
      </c>
      <c r="F51" s="39">
        <v>1.3942725E-2</v>
      </c>
      <c r="G51" s="39">
        <f>($F$51 -  AVERAGE($F$40,$F$41,$F$42) ) / ($F$57 -  AVERAGE($F$40,$F$41,$F$42) ) * 100</f>
        <v>17.968390719441974</v>
      </c>
      <c r="H51" s="39">
        <v>30</v>
      </c>
      <c r="I51" s="40">
        <f>LN($G$51)</f>
        <v>2.8886141430536276</v>
      </c>
      <c r="J51" s="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>
        <f>IF(ISTEXT($I$51),"",9)</f>
        <v>9</v>
      </c>
      <c r="V51" s="33">
        <f t="shared" si="4"/>
        <v>30</v>
      </c>
      <c r="W51" s="33">
        <f t="shared" si="5"/>
        <v>2.8886141430536276</v>
      </c>
      <c r="X51" s="33"/>
      <c r="Y51" s="33"/>
      <c r="Z51" s="22" t="s">
        <v>55</v>
      </c>
      <c r="AA51" s="30">
        <f>IF(AA47&gt;0,0,IFERROR(ABS(AA47 * 1000 / 0.5),0))</f>
        <v>19.614880837711624</v>
      </c>
    </row>
    <row r="52" spans="1:30" ht="15.75" thickBot="1" x14ac:dyDescent="0.3">
      <c r="A52" s="32" t="s">
        <v>106</v>
      </c>
      <c r="B52" s="32" t="s">
        <v>95</v>
      </c>
      <c r="C52" s="32" t="s">
        <v>11</v>
      </c>
      <c r="D52" s="38">
        <v>737.75300000000004</v>
      </c>
      <c r="E52" s="38">
        <v>36220.934000000001</v>
      </c>
      <c r="F52" s="38">
        <v>2.0368139E-2</v>
      </c>
      <c r="G52" s="38">
        <f>($F$52 -  AVERAGE($F$40,$F$41,$F$42) ) / ($F$55 -  AVERAGE($F$40,$F$41,$F$42) ) * 100</f>
        <v>20.083351627063248</v>
      </c>
      <c r="H52" s="38">
        <v>15</v>
      </c>
      <c r="I52" s="41">
        <f>LN($G$52)</f>
        <v>2.999891194593356</v>
      </c>
      <c r="J52" s="34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>
        <f>IF(ISTEXT($I$52),"",10)</f>
        <v>10</v>
      </c>
      <c r="V52" s="32">
        <f t="shared" si="4"/>
        <v>15</v>
      </c>
      <c r="W52" s="32">
        <f t="shared" si="5"/>
        <v>2.999891194593356</v>
      </c>
      <c r="X52" s="32"/>
      <c r="Y52" s="32"/>
      <c r="Z52" s="27" t="s">
        <v>39</v>
      </c>
      <c r="AA52" s="28" t="s">
        <v>56</v>
      </c>
    </row>
    <row r="53" spans="1:30" x14ac:dyDescent="0.25">
      <c r="A53" s="33" t="s">
        <v>107</v>
      </c>
      <c r="B53" s="33" t="s">
        <v>95</v>
      </c>
      <c r="C53" s="33" t="s">
        <v>11</v>
      </c>
      <c r="D53" s="39">
        <v>674.31600000000003</v>
      </c>
      <c r="E53" s="39">
        <v>31453.173999999999</v>
      </c>
      <c r="F53" s="39">
        <v>2.1438727000000001E-2</v>
      </c>
      <c r="G53" s="39">
        <f>($F$53 -  AVERAGE($F$40,$F$41,$F$42) ) / ($F$56 -  AVERAGE($F$40,$F$41,$F$42) ) * 100</f>
        <v>23.188482700989102</v>
      </c>
      <c r="H53" s="39">
        <v>15</v>
      </c>
      <c r="I53" s="40">
        <f>LN($G$53)</f>
        <v>3.1436557201052686</v>
      </c>
      <c r="J53" s="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>
        <f>IF(ISTEXT($I$53),"",11)</f>
        <v>11</v>
      </c>
      <c r="V53" s="33">
        <f t="shared" si="4"/>
        <v>15</v>
      </c>
      <c r="W53" s="33">
        <f t="shared" si="5"/>
        <v>3.1436557201052686</v>
      </c>
      <c r="X53" s="33"/>
      <c r="Y53" s="33"/>
    </row>
    <row r="54" spans="1:30" x14ac:dyDescent="0.25">
      <c r="A54" s="32" t="s">
        <v>108</v>
      </c>
      <c r="B54" s="32" t="s">
        <v>95</v>
      </c>
      <c r="C54" s="32" t="s">
        <v>11</v>
      </c>
      <c r="D54" s="38">
        <v>847.50099999999998</v>
      </c>
      <c r="E54" s="38">
        <v>34874.105000000003</v>
      </c>
      <c r="F54" s="38">
        <v>2.4301728000000002E-2</v>
      </c>
      <c r="G54" s="38">
        <f>($F$54 -  AVERAGE($F$40,$F$41,$F$42) ) / ($F$57 -  AVERAGE($F$40,$F$41,$F$42) ) * 100</f>
        <v>31.345335155751613</v>
      </c>
      <c r="H54" s="38">
        <v>15</v>
      </c>
      <c r="I54" s="41">
        <f>LN($G$54)</f>
        <v>3.4450654571476833</v>
      </c>
      <c r="J54" s="34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>
        <f>IF(ISTEXT($I$54),"",12)</f>
        <v>12</v>
      </c>
      <c r="V54" s="32">
        <f t="shared" si="4"/>
        <v>15</v>
      </c>
      <c r="W54" s="32">
        <f t="shared" si="5"/>
        <v>3.4450654571476833</v>
      </c>
      <c r="X54" s="32"/>
      <c r="Y54" s="32"/>
    </row>
    <row r="55" spans="1:30" x14ac:dyDescent="0.25">
      <c r="A55" s="33" t="s">
        <v>109</v>
      </c>
      <c r="B55" s="33" t="s">
        <v>95</v>
      </c>
      <c r="C55" s="33" t="s">
        <v>11</v>
      </c>
      <c r="D55" s="39">
        <v>2889.471</v>
      </c>
      <c r="E55" s="39">
        <v>28522.197</v>
      </c>
      <c r="F55" s="39">
        <v>0.101306046</v>
      </c>
      <c r="G55" s="39">
        <f>($F$55 -  AVERAGE($F$40,$F$41,$F$42) ) / ($F$55 -  AVERAGE($F$40,$F$41,$F$42) ) * 100</f>
        <v>100</v>
      </c>
      <c r="H55" s="39">
        <v>0</v>
      </c>
      <c r="I55" s="40">
        <f>LN($G$55)</f>
        <v>4.6051701859880918</v>
      </c>
      <c r="J55" s="35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>
        <f>IF(ISTEXT($I$55),"",13)</f>
        <v>13</v>
      </c>
      <c r="V55" s="33">
        <f t="shared" si="4"/>
        <v>0</v>
      </c>
      <c r="W55" s="33">
        <f t="shared" si="5"/>
        <v>4.6051701859880918</v>
      </c>
      <c r="X55" s="33"/>
      <c r="Y55" s="33"/>
    </row>
    <row r="56" spans="1:30" x14ac:dyDescent="0.25">
      <c r="A56" s="32" t="s">
        <v>110</v>
      </c>
      <c r="B56" s="32" t="s">
        <v>95</v>
      </c>
      <c r="C56" s="32" t="s">
        <v>11</v>
      </c>
      <c r="D56" s="38">
        <v>2765.4839999999999</v>
      </c>
      <c r="E56" s="38">
        <v>29942.123</v>
      </c>
      <c r="F56" s="38">
        <v>9.2360986000000006E-2</v>
      </c>
      <c r="G56" s="38">
        <f>($F$56 -  AVERAGE($F$40,$F$41,$F$42) ) / ($F$56 -  AVERAGE($F$40,$F$41,$F$42) ) * 100</f>
        <v>100</v>
      </c>
      <c r="H56" s="38">
        <v>0</v>
      </c>
      <c r="I56" s="41">
        <f>LN($G$56)</f>
        <v>4.6051701859880918</v>
      </c>
      <c r="J56" s="34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>
        <f>IF(ISTEXT($I$56),"",14)</f>
        <v>14</v>
      </c>
      <c r="V56" s="32">
        <f t="shared" si="4"/>
        <v>0</v>
      </c>
      <c r="W56" s="32">
        <f t="shared" si="5"/>
        <v>4.6051701859880918</v>
      </c>
      <c r="X56" s="32"/>
      <c r="Y56" s="32"/>
    </row>
    <row r="57" spans="1:30" x14ac:dyDescent="0.25">
      <c r="A57" s="33" t="s">
        <v>111</v>
      </c>
      <c r="B57" s="33" t="s">
        <v>95</v>
      </c>
      <c r="C57" s="33" t="s">
        <v>11</v>
      </c>
      <c r="D57" s="39">
        <v>2494.096</v>
      </c>
      <c r="E57" s="39">
        <v>32195.437999999998</v>
      </c>
      <c r="F57" s="39">
        <v>7.7467373000000006E-2</v>
      </c>
      <c r="G57" s="39">
        <f>($F$57 -  AVERAGE($F$40,$F$41,$F$42) ) / ($F$57 -  AVERAGE($F$40,$F$41,$F$42) ) * 100</f>
        <v>100</v>
      </c>
      <c r="H57" s="39">
        <v>0</v>
      </c>
      <c r="I57" s="40">
        <f>LN($G$57)</f>
        <v>4.6051701859880918</v>
      </c>
      <c r="J57" s="35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>
        <f>IF(ISTEXT($I$57),"",15)</f>
        <v>15</v>
      </c>
      <c r="V57" s="33">
        <f t="shared" si="4"/>
        <v>0</v>
      </c>
      <c r="W57" s="33">
        <f t="shared" si="5"/>
        <v>4.6051701859880918</v>
      </c>
      <c r="X57" s="33"/>
      <c r="Y57" s="33"/>
    </row>
    <row r="58" spans="1:30" ht="15.75" thickBot="1" x14ac:dyDescent="0.3">
      <c r="A58" s="32"/>
      <c r="B58" s="32"/>
      <c r="C58" s="32"/>
      <c r="D58" s="38"/>
      <c r="E58" s="38"/>
      <c r="F58" s="38"/>
      <c r="G58" s="38"/>
      <c r="H58" s="38"/>
      <c r="I58" s="38"/>
      <c r="J58" s="34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</row>
    <row r="59" spans="1:30" ht="16.5" thickTop="1" thickBot="1" x14ac:dyDescent="0.3">
      <c r="A59" s="33" t="s">
        <v>6</v>
      </c>
      <c r="B59" s="33" t="s">
        <v>112</v>
      </c>
      <c r="C59" s="33" t="s">
        <v>12</v>
      </c>
      <c r="D59" s="39">
        <v>63.58</v>
      </c>
      <c r="E59" s="39">
        <v>37229.300999999999</v>
      </c>
      <c r="F59" s="39">
        <v>1.707795E-3</v>
      </c>
      <c r="G59" s="39"/>
      <c r="H59" s="39"/>
      <c r="I59" s="39"/>
      <c r="J59" s="35"/>
      <c r="K59" s="33"/>
      <c r="L59" s="33"/>
      <c r="M59" s="33"/>
      <c r="N59" s="33"/>
      <c r="O59" s="33"/>
      <c r="P59" s="33"/>
      <c r="Q59" s="33"/>
      <c r="R59" s="33" t="s">
        <v>113</v>
      </c>
      <c r="S59" s="33"/>
      <c r="T59" s="33">
        <v>4</v>
      </c>
      <c r="U59" s="33"/>
      <c r="V59" s="33"/>
      <c r="W59" s="33"/>
      <c r="X59" s="33"/>
      <c r="Y59" s="33"/>
      <c r="Z59" s="9" t="s">
        <v>45</v>
      </c>
      <c r="AA59" s="9" t="s">
        <v>47</v>
      </c>
      <c r="AB59" s="9" t="s">
        <v>48</v>
      </c>
      <c r="AC59" s="9" t="s">
        <v>49</v>
      </c>
      <c r="AD59" s="9" t="s">
        <v>50</v>
      </c>
    </row>
    <row r="60" spans="1:30" ht="15.75" thickTop="1" x14ac:dyDescent="0.25">
      <c r="A60" s="32" t="s">
        <v>8</v>
      </c>
      <c r="B60" s="32" t="s">
        <v>112</v>
      </c>
      <c r="C60" s="32" t="s">
        <v>12</v>
      </c>
      <c r="D60" s="38">
        <v>36.292000000000002</v>
      </c>
      <c r="E60" s="38">
        <v>37141.370999999999</v>
      </c>
      <c r="F60" s="38">
        <v>9.7713100000000001E-4</v>
      </c>
      <c r="G60" s="38"/>
      <c r="H60" s="38"/>
      <c r="I60" s="38"/>
      <c r="J60" s="34"/>
      <c r="K60" s="32"/>
      <c r="L60" s="32"/>
      <c r="M60" s="32"/>
      <c r="N60" s="32"/>
      <c r="O60" s="32"/>
      <c r="P60" s="32"/>
      <c r="Q60" s="32"/>
      <c r="R60" s="32" t="s">
        <v>45</v>
      </c>
      <c r="S60" s="32"/>
      <c r="T60" s="32">
        <v>62</v>
      </c>
      <c r="U60" s="32"/>
      <c r="V60" s="32"/>
      <c r="W60" s="32"/>
      <c r="X60" s="32"/>
      <c r="Y60" s="32"/>
      <c r="Z60" s="10">
        <f>$H$62</f>
        <v>120</v>
      </c>
      <c r="AA60" s="15" t="str">
        <f>IF(ISTEXT($I$62),TEXT($G$62/100,"0.00%"),$G$62 / 100)</f>
        <v>-0.45%</v>
      </c>
      <c r="AB60" s="14">
        <f>IF(ISTEXT($I$63),TEXT($G$63/100,"0.00%"),$G$63 / 100)</f>
        <v>2.3589561148040297E-2</v>
      </c>
      <c r="AC60" s="14">
        <f>IF(ISTEXT($I$64),TEXT($G$64/100,"0.00%"),$G$64 / 100)</f>
        <v>5.9154325169150465E-2</v>
      </c>
      <c r="AD60" s="14">
        <f>IFERROR(AVERAGE($AA$60:$AC$60),"")</f>
        <v>4.1371943158595381E-2</v>
      </c>
    </row>
    <row r="61" spans="1:30" x14ac:dyDescent="0.25">
      <c r="A61" s="33" t="s">
        <v>9</v>
      </c>
      <c r="B61" s="33" t="s">
        <v>112</v>
      </c>
      <c r="C61" s="33" t="s">
        <v>12</v>
      </c>
      <c r="D61" s="39">
        <v>41.997</v>
      </c>
      <c r="E61" s="39">
        <v>36262.148000000001</v>
      </c>
      <c r="F61" s="39">
        <v>1.1581499999999999E-3</v>
      </c>
      <c r="G61" s="39"/>
      <c r="H61" s="39"/>
      <c r="I61" s="39"/>
      <c r="J61" s="35"/>
      <c r="K61" s="33"/>
      <c r="L61" s="33"/>
      <c r="M61" s="33"/>
      <c r="N61" s="33"/>
      <c r="O61" s="33"/>
      <c r="P61" s="33"/>
      <c r="Q61" s="33"/>
      <c r="R61" s="33" t="s">
        <v>46</v>
      </c>
      <c r="S61" s="33"/>
      <c r="T61" s="33">
        <v>76</v>
      </c>
      <c r="U61" s="33"/>
      <c r="V61" s="33"/>
      <c r="W61" s="33"/>
      <c r="X61" s="33"/>
      <c r="Y61" s="33"/>
      <c r="Z61" s="10">
        <f>$H$65</f>
        <v>60</v>
      </c>
      <c r="AA61" s="11">
        <f>IF(ISTEXT($I$65),TEXT($G$65/100,"0.00%"),$G$65 / 100)</f>
        <v>0.23696512824457627</v>
      </c>
      <c r="AB61" s="11">
        <f>IF(ISTEXT($I$66),TEXT($G$66/100,"0.00%"),$G$66 / 100)</f>
        <v>0.15206303155266113</v>
      </c>
      <c r="AC61" s="11">
        <f>IF(ISTEXT($I$67),TEXT($G$67/100,"0.00%"),$G$67 / 100)</f>
        <v>0.11691565812820087</v>
      </c>
      <c r="AD61" s="11">
        <f>IFERROR(AVERAGE($AA$61:$AC$61),"")</f>
        <v>0.16864793930847943</v>
      </c>
    </row>
    <row r="62" spans="1:30" x14ac:dyDescent="0.25">
      <c r="A62" s="32" t="s">
        <v>114</v>
      </c>
      <c r="B62" s="32" t="s">
        <v>112</v>
      </c>
      <c r="C62" s="32" t="s">
        <v>12</v>
      </c>
      <c r="D62" s="38">
        <v>30.059000000000001</v>
      </c>
      <c r="E62" s="38">
        <v>28991.491999999998</v>
      </c>
      <c r="F62" s="38">
        <v>1.0368210000000001E-3</v>
      </c>
      <c r="G62" s="38">
        <f>($F$62 -  AVERAGE($F$59,$F$60,$F$61) ) / ($F$74 -  AVERAGE($F$59,$F$60,$F$61) ) * 100</f>
        <v>-0.44776195025704785</v>
      </c>
      <c r="H62" s="38">
        <v>120</v>
      </c>
      <c r="I62" s="38" t="str">
        <f>TEXT("","0.00")</f>
        <v/>
      </c>
      <c r="J62" s="34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 t="str">
        <f>IF(ISTEXT($I$62),"",1)</f>
        <v/>
      </c>
      <c r="V62" s="32">
        <f t="shared" ref="V62:V76" si="6">IFERROR(INDEX($H$62:$H$76,SMALL($U$62:$U$76,ROW(W1)),1),"")</f>
        <v>120</v>
      </c>
      <c r="W62" s="32">
        <f t="shared" ref="W62:W76" si="7">IFERROR(INDEX($I$62:$I$76,SMALL($U$62:$U$76,ROW(I1)),1),"")</f>
        <v>0.85821919694771687</v>
      </c>
      <c r="X62" s="32"/>
      <c r="Y62" s="32"/>
      <c r="Z62" s="10">
        <f>$H$68</f>
        <v>30</v>
      </c>
      <c r="AA62" s="11">
        <f>IF(ISTEXT($I$68),TEXT($G$68/100,"0.00%"),$G$68 / 100)</f>
        <v>0.11756578382464761</v>
      </c>
      <c r="AB62" s="11">
        <f>IF(ISTEXT($I$69),TEXT($G$69/100,"0.00%"),$G$69 / 100)</f>
        <v>0.24301690078961838</v>
      </c>
      <c r="AC62" s="11">
        <f>IF(ISTEXT($I$70),TEXT($G$70/100,"0.00%"),$G$70 / 100)</f>
        <v>0.21313029257560812</v>
      </c>
      <c r="AD62" s="11">
        <f>IFERROR(AVERAGE($AA$62:$AC$62),"")</f>
        <v>0.19123765906329138</v>
      </c>
    </row>
    <row r="63" spans="1:30" x14ac:dyDescent="0.25">
      <c r="A63" s="33" t="s">
        <v>115</v>
      </c>
      <c r="B63" s="33" t="s">
        <v>112</v>
      </c>
      <c r="C63" s="33" t="s">
        <v>12</v>
      </c>
      <c r="D63" s="39">
        <v>83.926000000000002</v>
      </c>
      <c r="E63" s="39">
        <v>25349.657999999999</v>
      </c>
      <c r="F63" s="39">
        <v>3.310735E-3</v>
      </c>
      <c r="G63" s="39">
        <f>($F$63 -  AVERAGE($F$59,$F$60,$F$61) ) / ($F$75 -  AVERAGE($F$59,$F$60,$F$61) ) * 100</f>
        <v>2.3589561148040299</v>
      </c>
      <c r="H63" s="39">
        <v>120</v>
      </c>
      <c r="I63" s="40">
        <f>LN($G$63)</f>
        <v>0.85821919694771687</v>
      </c>
      <c r="J63" s="35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>
        <f>IF(ISTEXT($I$63),"",2)</f>
        <v>2</v>
      </c>
      <c r="V63" s="33">
        <f t="shared" si="6"/>
        <v>120</v>
      </c>
      <c r="W63" s="33">
        <f t="shared" si="7"/>
        <v>1.7775646168052539</v>
      </c>
      <c r="X63" s="33"/>
      <c r="Y63" s="33"/>
      <c r="Z63" s="10">
        <f>$H$71</f>
        <v>15</v>
      </c>
      <c r="AA63" s="11">
        <f>IF(ISTEXT($I$71),TEXT($G$71/100,"0.00%"),$G$71 / 100)</f>
        <v>0.55600168312967369</v>
      </c>
      <c r="AB63" s="11">
        <f>IF(ISTEXT($I$72),TEXT($G$72/100,"0.00%"),$G$72 / 100)</f>
        <v>0.61317972578709823</v>
      </c>
      <c r="AC63" s="11">
        <f>IF(ISTEXT($I$73),TEXT($G$73/100,"0.00%"),$G$73 / 100)</f>
        <v>0.52087148857330345</v>
      </c>
      <c r="AD63" s="11">
        <f>IFERROR(AVERAGE($AA$63:$AC$63),"")</f>
        <v>0.5633509658300252</v>
      </c>
    </row>
    <row r="64" spans="1:30" ht="15.75" thickBot="1" x14ac:dyDescent="0.3">
      <c r="A64" s="32" t="s">
        <v>116</v>
      </c>
      <c r="B64" s="32" t="s">
        <v>112</v>
      </c>
      <c r="C64" s="32" t="s">
        <v>12</v>
      </c>
      <c r="D64" s="38">
        <v>125.789</v>
      </c>
      <c r="E64" s="38">
        <v>26485.511999999999</v>
      </c>
      <c r="F64" s="38">
        <v>4.7493509999999997E-3</v>
      </c>
      <c r="G64" s="38">
        <f>($F$64 -  AVERAGE($F$59,$F$60,$F$61) ) / ($F$76 -  AVERAGE($F$59,$F$60,$F$61) ) * 100</f>
        <v>5.9154325169150468</v>
      </c>
      <c r="H64" s="38">
        <v>120</v>
      </c>
      <c r="I64" s="41">
        <f>LN($G$64)</f>
        <v>1.7775646168052539</v>
      </c>
      <c r="J64" s="34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>
        <f>IF(ISTEXT($I$64),"",3)</f>
        <v>3</v>
      </c>
      <c r="V64" s="32">
        <f t="shared" si="6"/>
        <v>60</v>
      </c>
      <c r="W64" s="32">
        <f t="shared" si="7"/>
        <v>3.1653278991066585</v>
      </c>
      <c r="X64" s="32"/>
      <c r="Y64" s="32"/>
      <c r="Z64" s="12">
        <f>$H$74</f>
        <v>0</v>
      </c>
      <c r="AA64" s="13">
        <f>IF(ISTEXT($I$74),TEXT($G$74/100,"0.00%"),$G$74 / 100)</f>
        <v>1</v>
      </c>
      <c r="AB64" s="13">
        <f>IF(ISTEXT($I$75),TEXT($G$75/100,"0.00%"),$G$75 / 100)</f>
        <v>1</v>
      </c>
      <c r="AC64" s="13">
        <f>IF(ISTEXT($I$76),TEXT($G$76/100,"0.00%"),$G$76 / 100)</f>
        <v>1</v>
      </c>
      <c r="AD64" s="13">
        <f>IFERROR(AVERAGE($AA$64:$AC$64),"")</f>
        <v>1</v>
      </c>
    </row>
    <row r="65" spans="1:30" ht="16.5" thickTop="1" thickBot="1" x14ac:dyDescent="0.3">
      <c r="A65" s="33" t="s">
        <v>117</v>
      </c>
      <c r="B65" s="33" t="s">
        <v>112</v>
      </c>
      <c r="C65" s="33" t="s">
        <v>12</v>
      </c>
      <c r="D65" s="39">
        <v>364.36799999999999</v>
      </c>
      <c r="E65" s="39">
        <v>25650.98</v>
      </c>
      <c r="F65" s="39">
        <v>1.4204837E-2</v>
      </c>
      <c r="G65" s="39">
        <f>($F$65 -  AVERAGE($F$59,$F$60,$F$61) ) / ($F$74 -  AVERAGE($F$59,$F$60,$F$61) ) * 100</f>
        <v>23.696512824457628</v>
      </c>
      <c r="H65" s="39">
        <v>60</v>
      </c>
      <c r="I65" s="40">
        <f>LN($G$65)</f>
        <v>3.1653278991066585</v>
      </c>
      <c r="J65" s="35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>
        <f>IF(ISTEXT($I$65),"",4)</f>
        <v>4</v>
      </c>
      <c r="V65" s="33">
        <f t="shared" si="6"/>
        <v>60</v>
      </c>
      <c r="W65" s="33">
        <f t="shared" si="7"/>
        <v>2.7217100231632236</v>
      </c>
      <c r="X65" s="33"/>
      <c r="Y65" s="33"/>
    </row>
    <row r="66" spans="1:30" x14ac:dyDescent="0.25">
      <c r="A66" s="32" t="s">
        <v>118</v>
      </c>
      <c r="B66" s="32" t="s">
        <v>112</v>
      </c>
      <c r="C66" s="32" t="s">
        <v>12</v>
      </c>
      <c r="D66" s="38">
        <v>418.34500000000003</v>
      </c>
      <c r="E66" s="38">
        <v>29122.641</v>
      </c>
      <c r="F66" s="38">
        <v>1.436494E-2</v>
      </c>
      <c r="G66" s="38">
        <f>($F$66 -  AVERAGE($F$59,$F$60,$F$61) ) / ($F$75 -  AVERAGE($F$59,$F$60,$F$61) ) * 100</f>
        <v>15.206303155266113</v>
      </c>
      <c r="H66" s="38">
        <v>60</v>
      </c>
      <c r="I66" s="41">
        <f>LN($G$66)</f>
        <v>2.7217100231632236</v>
      </c>
      <c r="J66" s="34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>
        <f>IF(ISTEXT($I$66),"",5)</f>
        <v>5</v>
      </c>
      <c r="V66" s="32">
        <f t="shared" si="6"/>
        <v>60</v>
      </c>
      <c r="W66" s="32">
        <f t="shared" si="7"/>
        <v>2.4588677111523549</v>
      </c>
      <c r="X66" s="32"/>
      <c r="Y66" s="32"/>
      <c r="Z66" s="20" t="s">
        <v>51</v>
      </c>
      <c r="AA66" s="29">
        <f>IFERROR(SLOPE($W$62:$W$76,$V$62:$V$76),"")</f>
        <v>-2.6122680785739868E-2</v>
      </c>
    </row>
    <row r="67" spans="1:30" x14ac:dyDescent="0.25">
      <c r="A67" s="33" t="s">
        <v>119</v>
      </c>
      <c r="B67" s="33" t="s">
        <v>112</v>
      </c>
      <c r="C67" s="33" t="s">
        <v>12</v>
      </c>
      <c r="D67" s="39">
        <v>220.249</v>
      </c>
      <c r="E67" s="39">
        <v>27070.91</v>
      </c>
      <c r="F67" s="39">
        <v>8.1360029999999993E-3</v>
      </c>
      <c r="G67" s="39">
        <f>($F$67 -  AVERAGE($F$59,$F$60,$F$61) ) / ($F$76 -  AVERAGE($F$59,$F$60,$F$61) ) * 100</f>
        <v>11.691565812820087</v>
      </c>
      <c r="H67" s="39">
        <v>60</v>
      </c>
      <c r="I67" s="40">
        <f>LN($G$67)</f>
        <v>2.4588677111523549</v>
      </c>
      <c r="J67" s="35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>
        <f>IF(ISTEXT($I$67),"",6)</f>
        <v>6</v>
      </c>
      <c r="V67" s="33">
        <f t="shared" si="6"/>
        <v>30</v>
      </c>
      <c r="W67" s="33">
        <f t="shared" si="7"/>
        <v>2.4644129462631468</v>
      </c>
      <c r="X67" s="33"/>
      <c r="Y67" s="33"/>
      <c r="Z67" s="22" t="s">
        <v>52</v>
      </c>
      <c r="AA67" s="23">
        <f>IFERROR(INTERCEPT($W$62:$W$76,$V$62:$V$76),"")</f>
        <v>4.2926244820144674</v>
      </c>
    </row>
    <row r="68" spans="1:30" ht="17.25" x14ac:dyDescent="0.25">
      <c r="A68" s="32" t="s">
        <v>120</v>
      </c>
      <c r="B68" s="32" t="s">
        <v>112</v>
      </c>
      <c r="C68" s="32" t="s">
        <v>12</v>
      </c>
      <c r="D68" s="38">
        <v>237.72399999999999</v>
      </c>
      <c r="E68" s="38">
        <v>30901.616999999998</v>
      </c>
      <c r="F68" s="38">
        <v>7.6929310000000001E-3</v>
      </c>
      <c r="G68" s="38">
        <f>($F$68 -  AVERAGE($F$59,$F$60,$F$61) ) / ($F$74 -  AVERAGE($F$59,$F$60,$F$61) ) * 100</f>
        <v>11.756578382464761</v>
      </c>
      <c r="H68" s="38">
        <v>30</v>
      </c>
      <c r="I68" s="41">
        <f>LN($G$68)</f>
        <v>2.4644129462631468</v>
      </c>
      <c r="J68" s="34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>
        <f>IF(ISTEXT($I$68),"",7)</f>
        <v>7</v>
      </c>
      <c r="V68" s="32">
        <f t="shared" si="6"/>
        <v>30</v>
      </c>
      <c r="W68" s="32">
        <f t="shared" si="7"/>
        <v>3.1905458985025348</v>
      </c>
      <c r="X68" s="32"/>
      <c r="Y68" s="32"/>
      <c r="Z68" s="22" t="s">
        <v>53</v>
      </c>
      <c r="AA68" s="26">
        <f>IFERROR(CORREL($W$62:$W$76,$V$62:$V$76)^2,"")</f>
        <v>0.851858280699751</v>
      </c>
    </row>
    <row r="69" spans="1:30" ht="18" x14ac:dyDescent="0.35">
      <c r="A69" s="33" t="s">
        <v>121</v>
      </c>
      <c r="B69" s="33" t="s">
        <v>112</v>
      </c>
      <c r="C69" s="33" t="s">
        <v>12</v>
      </c>
      <c r="D69" s="39">
        <v>551.98400000000004</v>
      </c>
      <c r="E69" s="39">
        <v>24874.388999999999</v>
      </c>
      <c r="F69" s="39">
        <v>2.2190857000000001E-2</v>
      </c>
      <c r="G69" s="39">
        <f>($F$69 -  AVERAGE($F$59,$F$60,$F$61) ) / ($F$75 -  AVERAGE($F$59,$F$60,$F$61) ) * 100</f>
        <v>24.301690078961837</v>
      </c>
      <c r="H69" s="39">
        <v>30</v>
      </c>
      <c r="I69" s="40">
        <f>LN($G$69)</f>
        <v>3.1905458985025348</v>
      </c>
      <c r="J69" s="35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>
        <f>IF(ISTEXT($I$69),"",8)</f>
        <v>8</v>
      </c>
      <c r="V69" s="33">
        <f t="shared" si="6"/>
        <v>30</v>
      </c>
      <c r="W69" s="33">
        <f t="shared" si="7"/>
        <v>3.0593185879347309</v>
      </c>
      <c r="X69" s="33"/>
      <c r="Y69" s="33"/>
      <c r="Z69" s="22" t="s">
        <v>54</v>
      </c>
      <c r="AA69" s="30">
        <f>IF(AA66&gt;0,"",IFERROR(LN(2) /ABS(AA66),0))</f>
        <v>26.534305044922036</v>
      </c>
    </row>
    <row r="70" spans="1:30" ht="18.75" x14ac:dyDescent="0.35">
      <c r="A70" s="32" t="s">
        <v>122</v>
      </c>
      <c r="B70" s="32" t="s">
        <v>112</v>
      </c>
      <c r="C70" s="32" t="s">
        <v>12</v>
      </c>
      <c r="D70" s="38">
        <v>385.54700000000003</v>
      </c>
      <c r="E70" s="38">
        <v>27984.338</v>
      </c>
      <c r="F70" s="38">
        <v>1.3777242E-2</v>
      </c>
      <c r="G70" s="38">
        <f>($F$70 -  AVERAGE($F$59,$F$60,$F$61) ) / ($F$76 -  AVERAGE($F$59,$F$60,$F$61) ) * 100</f>
        <v>21.31302925756081</v>
      </c>
      <c r="H70" s="38">
        <v>30</v>
      </c>
      <c r="I70" s="41">
        <f>LN($G$70)</f>
        <v>3.0593185879347309</v>
      </c>
      <c r="J70" s="34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>
        <f>IF(ISTEXT($I$70),"",9)</f>
        <v>9</v>
      </c>
      <c r="V70" s="32">
        <f t="shared" si="6"/>
        <v>15</v>
      </c>
      <c r="W70" s="32">
        <f t="shared" si="7"/>
        <v>4.0181862284635983</v>
      </c>
      <c r="X70" s="32"/>
      <c r="Y70" s="32"/>
      <c r="Z70" s="22" t="s">
        <v>55</v>
      </c>
      <c r="AA70" s="30">
        <f>IF(AA66&gt;0,0,IFERROR(ABS(AA66 * 1000 / 0.5),0))</f>
        <v>52.245361571479734</v>
      </c>
    </row>
    <row r="71" spans="1:30" ht="15.75" thickBot="1" x14ac:dyDescent="0.3">
      <c r="A71" s="33" t="s">
        <v>123</v>
      </c>
      <c r="B71" s="33" t="s">
        <v>112</v>
      </c>
      <c r="C71" s="33" t="s">
        <v>12</v>
      </c>
      <c r="D71" s="39">
        <v>877.45</v>
      </c>
      <c r="E71" s="39">
        <v>27763.248</v>
      </c>
      <c r="F71" s="39">
        <v>3.1604732000000003E-2</v>
      </c>
      <c r="G71" s="39">
        <f>($F$71 -  AVERAGE($F$59,$F$60,$F$61) ) / ($F$74 -  AVERAGE($F$59,$F$60,$F$61) ) * 100</f>
        <v>55.600168312967369</v>
      </c>
      <c r="H71" s="39">
        <v>15</v>
      </c>
      <c r="I71" s="40">
        <f>LN($G$71)</f>
        <v>4.0181862284635983</v>
      </c>
      <c r="J71" s="35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>
        <f>IF(ISTEXT($I$71),"",10)</f>
        <v>10</v>
      </c>
      <c r="V71" s="33">
        <f t="shared" si="6"/>
        <v>15</v>
      </c>
      <c r="W71" s="33">
        <f t="shared" si="7"/>
        <v>4.1160729904875142</v>
      </c>
      <c r="X71" s="33"/>
      <c r="Y71" s="33"/>
      <c r="Z71" s="27" t="s">
        <v>39</v>
      </c>
      <c r="AA71" s="28" t="s">
        <v>56</v>
      </c>
    </row>
    <row r="72" spans="1:30" x14ac:dyDescent="0.25">
      <c r="A72" s="32" t="s">
        <v>124</v>
      </c>
      <c r="B72" s="32" t="s">
        <v>112</v>
      </c>
      <c r="C72" s="32" t="s">
        <v>12</v>
      </c>
      <c r="D72" s="38">
        <v>1572.742</v>
      </c>
      <c r="E72" s="38">
        <v>29102.934000000001</v>
      </c>
      <c r="F72" s="38">
        <v>5.4040668E-2</v>
      </c>
      <c r="G72" s="38">
        <f>($F$72 -  AVERAGE($F$59,$F$60,$F$61) ) / ($F$75 -  AVERAGE($F$59,$F$60,$F$61) ) * 100</f>
        <v>61.317972578709821</v>
      </c>
      <c r="H72" s="38">
        <v>15</v>
      </c>
      <c r="I72" s="41">
        <f>LN($G$72)</f>
        <v>4.1160729904875142</v>
      </c>
      <c r="J72" s="34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>
        <f>IF(ISTEXT($I$72),"",11)</f>
        <v>11</v>
      </c>
      <c r="V72" s="32">
        <f t="shared" si="6"/>
        <v>15</v>
      </c>
      <c r="W72" s="32">
        <f t="shared" si="7"/>
        <v>3.952918255325903</v>
      </c>
      <c r="X72" s="32"/>
      <c r="Y72" s="32"/>
    </row>
    <row r="73" spans="1:30" x14ac:dyDescent="0.25">
      <c r="A73" s="33" t="s">
        <v>125</v>
      </c>
      <c r="B73" s="33" t="s">
        <v>112</v>
      </c>
      <c r="C73" s="33" t="s">
        <v>12</v>
      </c>
      <c r="D73" s="39">
        <v>896.67100000000005</v>
      </c>
      <c r="E73" s="39">
        <v>28178.886999999999</v>
      </c>
      <c r="F73" s="39">
        <v>3.1820668000000003E-2</v>
      </c>
      <c r="G73" s="39">
        <f>($F$73 -  AVERAGE($F$59,$F$60,$F$61) ) / ($F$76 -  AVERAGE($F$59,$F$60,$F$61) ) * 100</f>
        <v>52.087148857330348</v>
      </c>
      <c r="H73" s="39">
        <v>15</v>
      </c>
      <c r="I73" s="40">
        <f>LN($G$73)</f>
        <v>3.952918255325903</v>
      </c>
      <c r="J73" s="35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>
        <f>IF(ISTEXT($I$73),"",12)</f>
        <v>12</v>
      </c>
      <c r="V73" s="33">
        <f t="shared" si="6"/>
        <v>0</v>
      </c>
      <c r="W73" s="33">
        <f t="shared" si="7"/>
        <v>4.6051701859880918</v>
      </c>
      <c r="X73" s="33"/>
      <c r="Y73" s="33"/>
    </row>
    <row r="74" spans="1:30" x14ac:dyDescent="0.25">
      <c r="A74" s="32" t="s">
        <v>126</v>
      </c>
      <c r="B74" s="32" t="s">
        <v>112</v>
      </c>
      <c r="C74" s="32" t="s">
        <v>12</v>
      </c>
      <c r="D74" s="38">
        <v>1583.45</v>
      </c>
      <c r="E74" s="38">
        <v>28367.123</v>
      </c>
      <c r="F74" s="38">
        <v>5.5819900999999998E-2</v>
      </c>
      <c r="G74" s="38">
        <f>($F$74 -  AVERAGE($F$59,$F$60,$F$61) ) / ($F$74 -  AVERAGE($F$59,$F$60,$F$61) ) * 100</f>
        <v>100</v>
      </c>
      <c r="H74" s="38">
        <v>0</v>
      </c>
      <c r="I74" s="41">
        <f>LN($G$74)</f>
        <v>4.6051701859880918</v>
      </c>
      <c r="J74" s="34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>
        <f>IF(ISTEXT($I$74),"",13)</f>
        <v>13</v>
      </c>
      <c r="V74" s="32">
        <f t="shared" si="6"/>
        <v>0</v>
      </c>
      <c r="W74" s="32">
        <f t="shared" si="7"/>
        <v>4.6051701859880918</v>
      </c>
      <c r="X74" s="32"/>
      <c r="Y74" s="32"/>
    </row>
    <row r="75" spans="1:30" x14ac:dyDescent="0.25">
      <c r="A75" s="33" t="s">
        <v>127</v>
      </c>
      <c r="B75" s="33" t="s">
        <v>112</v>
      </c>
      <c r="C75" s="33" t="s">
        <v>12</v>
      </c>
      <c r="D75" s="39">
        <v>2581.4520000000002</v>
      </c>
      <c r="E75" s="39">
        <v>29561.861000000001</v>
      </c>
      <c r="F75" s="39">
        <v>8.7323731000000002E-2</v>
      </c>
      <c r="G75" s="39">
        <f>($F$75 -  AVERAGE($F$59,$F$60,$F$61) ) / ($F$75 -  AVERAGE($F$59,$F$60,$F$61) ) * 100</f>
        <v>100</v>
      </c>
      <c r="H75" s="39">
        <v>0</v>
      </c>
      <c r="I75" s="40">
        <f>LN($G$75)</f>
        <v>4.6051701859880918</v>
      </c>
      <c r="J75" s="35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>
        <f>IF(ISTEXT($I$75),"",14)</f>
        <v>14</v>
      </c>
      <c r="V75" s="33">
        <f t="shared" si="6"/>
        <v>0</v>
      </c>
      <c r="W75" s="33">
        <f t="shared" si="7"/>
        <v>4.6051701859880918</v>
      </c>
      <c r="X75" s="33"/>
      <c r="Y75" s="33"/>
    </row>
    <row r="76" spans="1:30" x14ac:dyDescent="0.25">
      <c r="A76" s="32" t="s">
        <v>128</v>
      </c>
      <c r="B76" s="32" t="s">
        <v>112</v>
      </c>
      <c r="C76" s="32" t="s">
        <v>12</v>
      </c>
      <c r="D76" s="38">
        <v>1518.8320000000001</v>
      </c>
      <c r="E76" s="38">
        <v>25350.690999999999</v>
      </c>
      <c r="F76" s="38">
        <v>5.9912844E-2</v>
      </c>
      <c r="G76" s="38">
        <f>($F$76 -  AVERAGE($F$59,$F$60,$F$61) ) / ($F$76 -  AVERAGE($F$59,$F$60,$F$61) ) * 100</f>
        <v>100</v>
      </c>
      <c r="H76" s="38">
        <v>0</v>
      </c>
      <c r="I76" s="41">
        <f>LN($G$76)</f>
        <v>4.6051701859880918</v>
      </c>
      <c r="J76" s="34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>
        <f>IF(ISTEXT($I$76),"",15)</f>
        <v>15</v>
      </c>
      <c r="V76" s="32" t="str">
        <f t="shared" si="6"/>
        <v/>
      </c>
      <c r="W76" s="32" t="str">
        <f t="shared" si="7"/>
        <v/>
      </c>
      <c r="X76" s="32"/>
      <c r="Y76" s="32"/>
    </row>
    <row r="77" spans="1:30" ht="15.75" thickBot="1" x14ac:dyDescent="0.3">
      <c r="A77" s="33"/>
      <c r="B77" s="33"/>
      <c r="C77" s="33"/>
      <c r="D77" s="39"/>
      <c r="E77" s="39"/>
      <c r="F77" s="39"/>
      <c r="G77" s="39"/>
      <c r="H77" s="39"/>
      <c r="I77" s="39"/>
      <c r="J77" s="35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</row>
    <row r="78" spans="1:30" ht="16.5" thickTop="1" thickBot="1" x14ac:dyDescent="0.3">
      <c r="A78" s="32" t="s">
        <v>6</v>
      </c>
      <c r="B78" s="32" t="s">
        <v>129</v>
      </c>
      <c r="C78" s="32" t="s">
        <v>13</v>
      </c>
      <c r="D78" s="38">
        <v>1.429</v>
      </c>
      <c r="E78" s="38">
        <v>37229.300999999999</v>
      </c>
      <c r="F78" s="38">
        <v>3.8383700000000003E-5</v>
      </c>
      <c r="G78" s="38"/>
      <c r="H78" s="38"/>
      <c r="I78" s="38"/>
      <c r="J78" s="34"/>
      <c r="K78" s="32"/>
      <c r="L78" s="32"/>
      <c r="M78" s="32"/>
      <c r="N78" s="32"/>
      <c r="O78" s="32"/>
      <c r="P78" s="32"/>
      <c r="Q78" s="32"/>
      <c r="R78" s="32" t="s">
        <v>130</v>
      </c>
      <c r="S78" s="32"/>
      <c r="T78" s="32">
        <v>5</v>
      </c>
      <c r="U78" s="32"/>
      <c r="V78" s="32"/>
      <c r="W78" s="32"/>
      <c r="X78" s="32"/>
      <c r="Y78" s="32"/>
      <c r="Z78" s="9" t="s">
        <v>45</v>
      </c>
      <c r="AA78" s="9" t="s">
        <v>47</v>
      </c>
      <c r="AB78" s="9" t="s">
        <v>48</v>
      </c>
      <c r="AC78" s="9" t="s">
        <v>49</v>
      </c>
      <c r="AD78" s="9" t="s">
        <v>50</v>
      </c>
    </row>
    <row r="79" spans="1:30" ht="15.75" thickTop="1" x14ac:dyDescent="0.25">
      <c r="A79" s="33" t="s">
        <v>8</v>
      </c>
      <c r="B79" s="33" t="s">
        <v>129</v>
      </c>
      <c r="C79" s="33" t="s">
        <v>13</v>
      </c>
      <c r="D79" s="39">
        <v>1</v>
      </c>
      <c r="E79" s="39">
        <v>37141.370999999999</v>
      </c>
      <c r="F79" s="39">
        <v>2.6924154199908239E-5</v>
      </c>
      <c r="G79" s="39"/>
      <c r="H79" s="39"/>
      <c r="I79" s="39"/>
      <c r="J79" s="35"/>
      <c r="K79" s="33"/>
      <c r="L79" s="33"/>
      <c r="M79" s="33"/>
      <c r="N79" s="33"/>
      <c r="O79" s="33"/>
      <c r="P79" s="33"/>
      <c r="Q79" s="33"/>
      <c r="R79" s="33" t="s">
        <v>45</v>
      </c>
      <c r="S79" s="33"/>
      <c r="T79" s="33">
        <v>81</v>
      </c>
      <c r="U79" s="33"/>
      <c r="V79" s="33"/>
      <c r="W79" s="33"/>
      <c r="X79" s="33"/>
      <c r="Y79" s="33"/>
      <c r="Z79" s="10">
        <f>$H$81</f>
        <v>120</v>
      </c>
      <c r="AA79" s="16" t="str">
        <f>IF(ISTEXT($I$81),TEXT($G$81/100,"0.00%"),$G$81 / 100)</f>
        <v>0.78%</v>
      </c>
      <c r="AB79" s="16" t="str">
        <f>IF(ISTEXT($I$82),TEXT($G$82/100,"0.00%"),$G$82 / 100)</f>
        <v>0.84%</v>
      </c>
      <c r="AC79" s="16" t="str">
        <f>IF(ISTEXT($I$83),TEXT($G$83/100,"0.00%"),$G$83 / 100)</f>
        <v>0.61%</v>
      </c>
      <c r="AD79" s="16" t="str">
        <f>IFERROR(AVERAGE($AA$79:$AC$79),"")</f>
        <v/>
      </c>
    </row>
    <row r="80" spans="1:30" x14ac:dyDescent="0.25">
      <c r="A80" s="32" t="s">
        <v>9</v>
      </c>
      <c r="B80" s="32" t="s">
        <v>129</v>
      </c>
      <c r="C80" s="32" t="s">
        <v>13</v>
      </c>
      <c r="D80" s="38">
        <v>1.151</v>
      </c>
      <c r="E80" s="38">
        <v>36262.148000000001</v>
      </c>
      <c r="F80" s="38">
        <v>3.17411E-5</v>
      </c>
      <c r="G80" s="38"/>
      <c r="H80" s="38"/>
      <c r="I80" s="38"/>
      <c r="J80" s="34"/>
      <c r="K80" s="32"/>
      <c r="L80" s="32"/>
      <c r="M80" s="32"/>
      <c r="N80" s="32"/>
      <c r="O80" s="32"/>
      <c r="P80" s="32"/>
      <c r="Q80" s="32"/>
      <c r="R80" s="32" t="s">
        <v>46</v>
      </c>
      <c r="S80" s="32"/>
      <c r="T80" s="32">
        <v>95</v>
      </c>
      <c r="U80" s="32"/>
      <c r="V80" s="32"/>
      <c r="W80" s="32"/>
      <c r="X80" s="32"/>
      <c r="Y80" s="32"/>
      <c r="Z80" s="10">
        <f>$H$84</f>
        <v>60</v>
      </c>
      <c r="AA80" s="14">
        <f>IF(ISTEXT($I$84),TEXT($G$84/100,"0.00%"),$G$84 / 100)</f>
        <v>2.3989234381230372E-2</v>
      </c>
      <c r="AB80" s="14">
        <f>IF(ISTEXT($I$85),TEXT($G$85/100,"0.00%"),$G$85 / 100)</f>
        <v>3.9863991190221923E-2</v>
      </c>
      <c r="AC80" s="14">
        <f>IF(ISTEXT($I$86),TEXT($G$86/100,"0.00%"),$G$86 / 100)</f>
        <v>2.1274477415105533E-2</v>
      </c>
      <c r="AD80" s="14">
        <f>IFERROR(AVERAGE($AA$80:$AC$80),"")</f>
        <v>2.8375900995519274E-2</v>
      </c>
    </row>
    <row r="81" spans="1:30" x14ac:dyDescent="0.25">
      <c r="A81" s="33" t="s">
        <v>131</v>
      </c>
      <c r="B81" s="33" t="s">
        <v>129</v>
      </c>
      <c r="C81" s="33" t="s">
        <v>13</v>
      </c>
      <c r="D81" s="39">
        <v>222.00399999999999</v>
      </c>
      <c r="E81" s="39">
        <v>24997.645</v>
      </c>
      <c r="F81" s="39">
        <v>8.8809969999999998E-3</v>
      </c>
      <c r="G81" s="39">
        <f>($F$81 -  AVERAGE($F$78,$F$79,$F$80) ) / ($F$93 -  AVERAGE($F$78,$F$79,$F$80) ) * 100</f>
        <v>0.77590793634020239</v>
      </c>
      <c r="H81" s="39">
        <v>120</v>
      </c>
      <c r="I81" s="40" t="str">
        <f>TEXT(LN($G$81),"0.000")</f>
        <v>-0.254</v>
      </c>
      <c r="J81" s="35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 t="str">
        <f>IF(ISTEXT($I$81),"",1)</f>
        <v/>
      </c>
      <c r="V81" s="33">
        <f t="shared" ref="V81:V95" si="8">IFERROR(INDEX($H$81:$H$95,SMALL($U$81:$U$95,ROW(W1)),1),"")</f>
        <v>60</v>
      </c>
      <c r="W81" s="33">
        <f t="shared" ref="W81:W95" si="9">IFERROR(INDEX($I$81:$I$95,SMALL($U$81:$U$95,ROW(I1)),1),"")</f>
        <v>0.87502006926869147</v>
      </c>
      <c r="X81" s="33"/>
      <c r="Y81" s="33"/>
      <c r="Z81" s="10">
        <f>$H$87</f>
        <v>30</v>
      </c>
      <c r="AA81" s="11">
        <f>IF(ISTEXT($I$87),TEXT($G$87/100,"0.00%"),$G$87 / 100)</f>
        <v>0.16876266595543118</v>
      </c>
      <c r="AB81" s="11">
        <f>IF(ISTEXT($I$88),TEXT($G$88/100,"0.00%"),$G$88 / 100)</f>
        <v>0.21125604353758992</v>
      </c>
      <c r="AC81" s="11">
        <f>IF(ISTEXT($I$89),TEXT($G$89/100,"0.00%"),$G$89 / 100)</f>
        <v>0.17646999196978452</v>
      </c>
      <c r="AD81" s="11">
        <f>IFERROR(AVERAGE($AA$81:$AC$81),"")</f>
        <v>0.18549623382093519</v>
      </c>
    </row>
    <row r="82" spans="1:30" x14ac:dyDescent="0.25">
      <c r="A82" s="32" t="s">
        <v>132</v>
      </c>
      <c r="B82" s="32" t="s">
        <v>129</v>
      </c>
      <c r="C82" s="32" t="s">
        <v>13</v>
      </c>
      <c r="D82" s="38">
        <v>246.36799999999999</v>
      </c>
      <c r="E82" s="38">
        <v>25428.812999999998</v>
      </c>
      <c r="F82" s="38">
        <v>9.6885370000000005E-3</v>
      </c>
      <c r="G82" s="38">
        <f>($F$82 -  AVERAGE($F$78,$F$79,$F$80) ) / ($F$94 -  AVERAGE($F$78,$F$79,$F$80) ) * 100</f>
        <v>0.84196652901687252</v>
      </c>
      <c r="H82" s="38">
        <v>120</v>
      </c>
      <c r="I82" s="41" t="str">
        <f>TEXT(LN($G$82),"0.000")</f>
        <v>-0.172</v>
      </c>
      <c r="J82" s="34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 t="str">
        <f>IF(ISTEXT($I$82),"",2)</f>
        <v/>
      </c>
      <c r="V82" s="32">
        <f t="shared" si="8"/>
        <v>60</v>
      </c>
      <c r="W82" s="32">
        <f t="shared" si="9"/>
        <v>1.3828883469891955</v>
      </c>
      <c r="X82" s="32"/>
      <c r="Y82" s="32"/>
      <c r="Z82" s="10">
        <f>$H$90</f>
        <v>15</v>
      </c>
      <c r="AA82" s="11">
        <f>IF(ISTEXT($I$90),TEXT($G$90/100,"0.00%"),$G$90 / 100)</f>
        <v>0.30036729883927948</v>
      </c>
      <c r="AB82" s="11">
        <f>IF(ISTEXT($I$91),TEXT($G$91/100,"0.00%"),$G$91 / 100)</f>
        <v>0.35517083508594299</v>
      </c>
      <c r="AC82" s="11">
        <f>IF(ISTEXT($I$92),TEXT($G$92/100,"0.00%"),$G$92 / 100)</f>
        <v>0.41611608602209155</v>
      </c>
      <c r="AD82" s="11">
        <f>IFERROR(AVERAGE($AA$82:$AC$82),"")</f>
        <v>0.35721807331577132</v>
      </c>
    </row>
    <row r="83" spans="1:30" ht="15.75" thickBot="1" x14ac:dyDescent="0.3">
      <c r="A83" s="33" t="s">
        <v>133</v>
      </c>
      <c r="B83" s="33" t="s">
        <v>129</v>
      </c>
      <c r="C83" s="33" t="s">
        <v>13</v>
      </c>
      <c r="D83" s="39">
        <v>140.96299999999999</v>
      </c>
      <c r="E83" s="39">
        <v>25225.690999999999</v>
      </c>
      <c r="F83" s="39">
        <v>5.5880729999999998E-3</v>
      </c>
      <c r="G83" s="39">
        <f>($F$83 -  AVERAGE($F$78,$F$79,$F$80) ) / ($F$95 -  AVERAGE($F$78,$F$79,$F$80) ) * 100</f>
        <v>0.61092357311362999</v>
      </c>
      <c r="H83" s="39">
        <v>120</v>
      </c>
      <c r="I83" s="40" t="str">
        <f>TEXT(LN($G$83),"0.000")</f>
        <v>-0.493</v>
      </c>
      <c r="J83" s="35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 t="str">
        <f>IF(ISTEXT($I$83),"",3)</f>
        <v/>
      </c>
      <c r="V83" s="33">
        <f t="shared" si="8"/>
        <v>60</v>
      </c>
      <c r="W83" s="33">
        <f t="shared" si="9"/>
        <v>0.7549230178314188</v>
      </c>
      <c r="X83" s="33"/>
      <c r="Y83" s="33"/>
      <c r="Z83" s="12">
        <f>$H$93</f>
        <v>0</v>
      </c>
      <c r="AA83" s="13">
        <f>IF(ISTEXT($I$93),TEXT($G$93/100,"0.00%"),$G$93 / 100)</f>
        <v>1</v>
      </c>
      <c r="AB83" s="13">
        <f>IF(ISTEXT($I$94),TEXT($G$94/100,"0.00%"),$G$94 / 100)</f>
        <v>1</v>
      </c>
      <c r="AC83" s="13">
        <f>IF(ISTEXT($I$95),TEXT($G$95/100,"0.00%"),$G$95 / 100)</f>
        <v>1</v>
      </c>
      <c r="AD83" s="13">
        <f>IFERROR(AVERAGE($AA$83:$AC$83),"")</f>
        <v>1</v>
      </c>
    </row>
    <row r="84" spans="1:30" ht="16.5" thickTop="1" thickBot="1" x14ac:dyDescent="0.3">
      <c r="A84" s="32" t="s">
        <v>134</v>
      </c>
      <c r="B84" s="32" t="s">
        <v>129</v>
      </c>
      <c r="C84" s="32" t="s">
        <v>13</v>
      </c>
      <c r="D84" s="38">
        <v>674.21</v>
      </c>
      <c r="E84" s="38">
        <v>24614.945</v>
      </c>
      <c r="F84" s="38">
        <v>2.7390270000000001E-2</v>
      </c>
      <c r="G84" s="38">
        <f>($F$84 -  AVERAGE($F$78,$F$79,$F$80) ) / ($F$93 -  AVERAGE($F$78,$F$79,$F$80) ) * 100</f>
        <v>2.3989234381230373</v>
      </c>
      <c r="H84" s="38">
        <v>60</v>
      </c>
      <c r="I84" s="41">
        <f>LN($G$84)</f>
        <v>0.87502006926869147</v>
      </c>
      <c r="J84" s="34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>
        <f>IF(ISTEXT($I$84),"",4)</f>
        <v>4</v>
      </c>
      <c r="V84" s="32">
        <f t="shared" si="8"/>
        <v>30</v>
      </c>
      <c r="W84" s="32">
        <f t="shared" si="9"/>
        <v>2.8259082914555855</v>
      </c>
      <c r="X84" s="32"/>
      <c r="Y84" s="32"/>
    </row>
    <row r="85" spans="1:30" x14ac:dyDescent="0.25">
      <c r="A85" s="33" t="s">
        <v>135</v>
      </c>
      <c r="B85" s="33" t="s">
        <v>129</v>
      </c>
      <c r="C85" s="33" t="s">
        <v>13</v>
      </c>
      <c r="D85" s="39">
        <v>1114.825</v>
      </c>
      <c r="E85" s="39">
        <v>24367.326000000001</v>
      </c>
      <c r="F85" s="39">
        <v>4.5750814000000001E-2</v>
      </c>
      <c r="G85" s="39">
        <f>($F$85 -  AVERAGE($F$78,$F$79,$F$80) ) / ($F$94 -  AVERAGE($F$78,$F$79,$F$80) ) * 100</f>
        <v>3.9863991190221921</v>
      </c>
      <c r="H85" s="39">
        <v>60</v>
      </c>
      <c r="I85" s="40">
        <f>LN($G$85)</f>
        <v>1.3828883469891955</v>
      </c>
      <c r="J85" s="35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>
        <f>IF(ISTEXT($I$85),"",5)</f>
        <v>5</v>
      </c>
      <c r="V85" s="33">
        <f t="shared" si="8"/>
        <v>30</v>
      </c>
      <c r="W85" s="33">
        <f t="shared" si="9"/>
        <v>3.0504857812959876</v>
      </c>
      <c r="X85" s="33"/>
      <c r="Y85" s="33"/>
      <c r="Z85" s="20" t="s">
        <v>51</v>
      </c>
      <c r="AA85" s="29">
        <f>IFERROR(SLOPE($W$81:$W$95,$V$81:$V$95),"")</f>
        <v>-5.9014966999351638E-2</v>
      </c>
    </row>
    <row r="86" spans="1:30" x14ac:dyDescent="0.25">
      <c r="A86" s="32" t="s">
        <v>136</v>
      </c>
      <c r="B86" s="32" t="s">
        <v>129</v>
      </c>
      <c r="C86" s="32" t="s">
        <v>13</v>
      </c>
      <c r="D86" s="38">
        <v>443.17200000000003</v>
      </c>
      <c r="E86" s="38">
        <v>22868.312999999998</v>
      </c>
      <c r="F86" s="38">
        <v>1.9379304999999999E-2</v>
      </c>
      <c r="G86" s="38">
        <f>($F$86 -  AVERAGE($F$78,$F$79,$F$80) ) / ($F$95 -  AVERAGE($F$78,$F$79,$F$80) ) * 100</f>
        <v>2.1274477415105535</v>
      </c>
      <c r="H86" s="38">
        <v>60</v>
      </c>
      <c r="I86" s="41">
        <f>LN($G$86)</f>
        <v>0.7549230178314188</v>
      </c>
      <c r="J86" s="34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>
        <f>IF(ISTEXT($I$86),"",6)</f>
        <v>6</v>
      </c>
      <c r="V86" s="32">
        <f t="shared" si="8"/>
        <v>30</v>
      </c>
      <c r="W86" s="32">
        <f t="shared" si="9"/>
        <v>2.8705657517563892</v>
      </c>
      <c r="X86" s="32"/>
      <c r="Y86" s="32"/>
      <c r="Z86" s="22" t="s">
        <v>52</v>
      </c>
      <c r="AA86" s="23">
        <f>IFERROR(INTERCEPT($W$81:$W$95,$V$81:$V$95),"")</f>
        <v>4.5721525309336819</v>
      </c>
    </row>
    <row r="87" spans="1:30" ht="17.25" x14ac:dyDescent="0.25">
      <c r="A87" s="33" t="s">
        <v>137</v>
      </c>
      <c r="B87" s="33" t="s">
        <v>129</v>
      </c>
      <c r="C87" s="33" t="s">
        <v>13</v>
      </c>
      <c r="D87" s="39">
        <v>5117.9480000000003</v>
      </c>
      <c r="E87" s="39">
        <v>26587.641</v>
      </c>
      <c r="F87" s="39">
        <v>0.19249349700000001</v>
      </c>
      <c r="G87" s="39">
        <f>($F$87 -  AVERAGE($F$78,$F$79,$F$80) ) / ($F$93 -  AVERAGE($F$78,$F$79,$F$80) ) * 100</f>
        <v>16.876266595543118</v>
      </c>
      <c r="H87" s="39">
        <v>30</v>
      </c>
      <c r="I87" s="40">
        <f>LN($G$87)</f>
        <v>2.8259082914555855</v>
      </c>
      <c r="J87" s="35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>
        <f>IF(ISTEXT($I$87),"",7)</f>
        <v>7</v>
      </c>
      <c r="V87" s="33">
        <f t="shared" si="8"/>
        <v>15</v>
      </c>
      <c r="W87" s="33">
        <f t="shared" si="9"/>
        <v>3.40242096224629</v>
      </c>
      <c r="X87" s="33"/>
      <c r="Y87" s="33"/>
      <c r="Z87" s="22" t="s">
        <v>53</v>
      </c>
      <c r="AA87" s="26">
        <f>IFERROR(CORREL($W$81:$W$95,$V$81:$V$95)^2,"")</f>
        <v>0.9813352912248805</v>
      </c>
    </row>
    <row r="88" spans="1:30" ht="18" x14ac:dyDescent="0.35">
      <c r="A88" s="32" t="s">
        <v>138</v>
      </c>
      <c r="B88" s="32" t="s">
        <v>129</v>
      </c>
      <c r="C88" s="32" t="s">
        <v>13</v>
      </c>
      <c r="D88" s="38">
        <v>6111.3940000000002</v>
      </c>
      <c r="E88" s="38">
        <v>25221</v>
      </c>
      <c r="F88" s="38">
        <v>0.24231370699999999</v>
      </c>
      <c r="G88" s="38">
        <f>($F$88 -  AVERAGE($F$78,$F$79,$F$80) ) / ($F$94 -  AVERAGE($F$78,$F$79,$F$80) ) * 100</f>
        <v>21.125604353758991</v>
      </c>
      <c r="H88" s="38">
        <v>30</v>
      </c>
      <c r="I88" s="41">
        <f>LN($G$88)</f>
        <v>3.0504857812959876</v>
      </c>
      <c r="J88" s="34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>
        <f>IF(ISTEXT($I$88),"",8)</f>
        <v>8</v>
      </c>
      <c r="V88" s="32">
        <f t="shared" si="8"/>
        <v>15</v>
      </c>
      <c r="W88" s="32">
        <f t="shared" si="9"/>
        <v>3.570013806323673</v>
      </c>
      <c r="X88" s="32"/>
      <c r="Y88" s="32"/>
      <c r="Z88" s="22" t="s">
        <v>54</v>
      </c>
      <c r="AA88" s="30">
        <f>IF(AA85&gt;0,"",IFERROR(LN(2) /ABS(AA85),0))</f>
        <v>11.74527777957684</v>
      </c>
    </row>
    <row r="89" spans="1:30" ht="18.75" x14ac:dyDescent="0.35">
      <c r="A89" s="33" t="s">
        <v>139</v>
      </c>
      <c r="B89" s="33" t="s">
        <v>129</v>
      </c>
      <c r="C89" s="33" t="s">
        <v>13</v>
      </c>
      <c r="D89" s="39">
        <v>4380.9960000000001</v>
      </c>
      <c r="E89" s="39">
        <v>27293.594000000001</v>
      </c>
      <c r="F89" s="39">
        <v>0.160513709</v>
      </c>
      <c r="G89" s="39">
        <f>($F$89 -  AVERAGE($F$78,$F$79,$F$80) ) / ($F$95 -  AVERAGE($F$78,$F$79,$F$80) ) * 100</f>
        <v>17.646999196978452</v>
      </c>
      <c r="H89" s="39">
        <v>30</v>
      </c>
      <c r="I89" s="40">
        <f>LN($G$89)</f>
        <v>2.8705657517563892</v>
      </c>
      <c r="J89" s="35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>
        <f>IF(ISTEXT($I$89),"",9)</f>
        <v>9</v>
      </c>
      <c r="V89" s="33">
        <f t="shared" si="8"/>
        <v>15</v>
      </c>
      <c r="W89" s="33">
        <f t="shared" si="9"/>
        <v>3.7283791812769085</v>
      </c>
      <c r="X89" s="33"/>
      <c r="Y89" s="33"/>
      <c r="Z89" s="22" t="s">
        <v>55</v>
      </c>
      <c r="AA89" s="30">
        <f>IF(AA85&gt;0,0,IFERROR(ABS(AA85 * 1000 / 0.5),0))</f>
        <v>118.02993399870327</v>
      </c>
    </row>
    <row r="90" spans="1:30" ht="15.75" thickBot="1" x14ac:dyDescent="0.3">
      <c r="A90" s="32" t="s">
        <v>140</v>
      </c>
      <c r="B90" s="32" t="s">
        <v>129</v>
      </c>
      <c r="C90" s="32" t="s">
        <v>13</v>
      </c>
      <c r="D90" s="38">
        <v>8664.7440000000006</v>
      </c>
      <c r="E90" s="38">
        <v>25292.710999999999</v>
      </c>
      <c r="F90" s="38">
        <v>0.34257869800000001</v>
      </c>
      <c r="G90" s="38">
        <f>($F$90 -  AVERAGE($F$78,$F$79,$F$80) ) / ($F$93 -  AVERAGE($F$78,$F$79,$F$80) ) * 100</f>
        <v>30.036729883927947</v>
      </c>
      <c r="H90" s="38">
        <v>15</v>
      </c>
      <c r="I90" s="41">
        <f>LN($G$90)</f>
        <v>3.40242096224629</v>
      </c>
      <c r="J90" s="34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>
        <f>IF(ISTEXT($I$90),"",10)</f>
        <v>10</v>
      </c>
      <c r="V90" s="32">
        <f t="shared" si="8"/>
        <v>0</v>
      </c>
      <c r="W90" s="32">
        <f t="shared" si="9"/>
        <v>4.6051701859880918</v>
      </c>
      <c r="X90" s="32"/>
      <c r="Y90" s="32"/>
      <c r="Z90" s="27" t="s">
        <v>39</v>
      </c>
      <c r="AA90" s="28" t="s">
        <v>60</v>
      </c>
    </row>
    <row r="91" spans="1:30" x14ac:dyDescent="0.25">
      <c r="A91" s="33" t="s">
        <v>141</v>
      </c>
      <c r="B91" s="33" t="s">
        <v>129</v>
      </c>
      <c r="C91" s="33" t="s">
        <v>13</v>
      </c>
      <c r="D91" s="39">
        <v>11585.164000000001</v>
      </c>
      <c r="E91" s="39">
        <v>28439.342000000001</v>
      </c>
      <c r="F91" s="39">
        <v>0.40736399600000001</v>
      </c>
      <c r="G91" s="39">
        <f>($F$91 -  AVERAGE($F$78,$F$79,$F$80) ) / ($F$94 -  AVERAGE($F$78,$F$79,$F$80) ) * 100</f>
        <v>35.517083508594297</v>
      </c>
      <c r="H91" s="39">
        <v>15</v>
      </c>
      <c r="I91" s="40">
        <f>LN($G$91)</f>
        <v>3.570013806323673</v>
      </c>
      <c r="J91" s="35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>
        <f>IF(ISTEXT($I$91),"",11)</f>
        <v>11</v>
      </c>
      <c r="V91" s="33">
        <f t="shared" si="8"/>
        <v>0</v>
      </c>
      <c r="W91" s="33">
        <f t="shared" si="9"/>
        <v>4.6051701859880918</v>
      </c>
      <c r="X91" s="33"/>
      <c r="Y91" s="33"/>
    </row>
    <row r="92" spans="1:30" x14ac:dyDescent="0.25">
      <c r="A92" s="32" t="s">
        <v>142</v>
      </c>
      <c r="B92" s="32" t="s">
        <v>129</v>
      </c>
      <c r="C92" s="32" t="s">
        <v>13</v>
      </c>
      <c r="D92" s="38">
        <v>9631.5529999999999</v>
      </c>
      <c r="E92" s="38">
        <v>25450.186000000002</v>
      </c>
      <c r="F92" s="38">
        <v>0.37844725400000001</v>
      </c>
      <c r="G92" s="38">
        <f>($F$92 -  AVERAGE($F$78,$F$79,$F$80) ) / ($F$95 -  AVERAGE($F$78,$F$79,$F$80) ) * 100</f>
        <v>41.611608602209152</v>
      </c>
      <c r="H92" s="38">
        <v>15</v>
      </c>
      <c r="I92" s="41">
        <f>LN($G$92)</f>
        <v>3.7283791812769085</v>
      </c>
      <c r="J92" s="34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>
        <f>IF(ISTEXT($I$92),"",12)</f>
        <v>12</v>
      </c>
      <c r="V92" s="32">
        <f t="shared" si="8"/>
        <v>0</v>
      </c>
      <c r="W92" s="32">
        <f t="shared" si="9"/>
        <v>4.6051701859880918</v>
      </c>
      <c r="X92" s="32"/>
      <c r="Y92" s="32"/>
    </row>
    <row r="93" spans="1:30" x14ac:dyDescent="0.25">
      <c r="A93" s="33" t="s">
        <v>143</v>
      </c>
      <c r="B93" s="33" t="s">
        <v>129</v>
      </c>
      <c r="C93" s="33" t="s">
        <v>13</v>
      </c>
      <c r="D93" s="39">
        <v>31291.467000000001</v>
      </c>
      <c r="E93" s="39">
        <v>27437.65</v>
      </c>
      <c r="F93" s="39">
        <v>1.1404572550000001</v>
      </c>
      <c r="G93" s="39">
        <f>($F$93 -  AVERAGE($F$78,$F$79,$F$80) ) / ($F$93 -  AVERAGE($F$78,$F$79,$F$80) ) * 100</f>
        <v>100</v>
      </c>
      <c r="H93" s="39">
        <v>0</v>
      </c>
      <c r="I93" s="40">
        <f>LN($G$93)</f>
        <v>4.6051701859880918</v>
      </c>
      <c r="J93" s="35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>
        <f>IF(ISTEXT($I$93),"",13)</f>
        <v>13</v>
      </c>
      <c r="V93" s="33" t="str">
        <f t="shared" si="8"/>
        <v/>
      </c>
      <c r="W93" s="33" t="str">
        <f t="shared" si="9"/>
        <v/>
      </c>
      <c r="X93" s="33"/>
      <c r="Y93" s="33"/>
    </row>
    <row r="94" spans="1:30" x14ac:dyDescent="0.25">
      <c r="A94" s="32" t="s">
        <v>144</v>
      </c>
      <c r="B94" s="32" t="s">
        <v>129</v>
      </c>
      <c r="C94" s="32" t="s">
        <v>13</v>
      </c>
      <c r="D94" s="38">
        <v>30387.261999999999</v>
      </c>
      <c r="E94" s="38">
        <v>26495.276999999998</v>
      </c>
      <c r="F94" s="38">
        <v>1.1468935389999999</v>
      </c>
      <c r="G94" s="38">
        <f>($F$94 -  AVERAGE($F$78,$F$79,$F$80) ) / ($F$94 -  AVERAGE($F$78,$F$79,$F$80) ) * 100</f>
        <v>100</v>
      </c>
      <c r="H94" s="38">
        <v>0</v>
      </c>
      <c r="I94" s="41">
        <f>LN($G$94)</f>
        <v>4.6051701859880918</v>
      </c>
      <c r="J94" s="34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>
        <f>IF(ISTEXT($I$94),"",14)</f>
        <v>14</v>
      </c>
      <c r="V94" s="32" t="str">
        <f t="shared" si="8"/>
        <v/>
      </c>
      <c r="W94" s="32" t="str">
        <f t="shared" si="9"/>
        <v/>
      </c>
      <c r="X94" s="32"/>
      <c r="Y94" s="32"/>
    </row>
    <row r="95" spans="1:30" x14ac:dyDescent="0.25">
      <c r="A95" s="33" t="s">
        <v>145</v>
      </c>
      <c r="B95" s="33" t="s">
        <v>129</v>
      </c>
      <c r="C95" s="33" t="s">
        <v>13</v>
      </c>
      <c r="D95" s="39">
        <v>23757.048999999999</v>
      </c>
      <c r="E95" s="39">
        <v>26123.016</v>
      </c>
      <c r="F95" s="39">
        <v>0.90942979199999996</v>
      </c>
      <c r="G95" s="39">
        <f>($F$95 -  AVERAGE($F$78,$F$79,$F$80) ) / ($F$95 -  AVERAGE($F$78,$F$79,$F$80) ) * 100</f>
        <v>100</v>
      </c>
      <c r="H95" s="39">
        <v>0</v>
      </c>
      <c r="I95" s="40">
        <f>LN($G$95)</f>
        <v>4.6051701859880918</v>
      </c>
      <c r="J95" s="35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>
        <f>IF(ISTEXT($I$95),"",15)</f>
        <v>15</v>
      </c>
      <c r="V95" s="33" t="str">
        <f t="shared" si="8"/>
        <v/>
      </c>
      <c r="W95" s="33" t="str">
        <f t="shared" si="9"/>
        <v/>
      </c>
      <c r="X95" s="33"/>
      <c r="Y95" s="33"/>
    </row>
    <row r="96" spans="1:30" ht="15.75" thickBot="1" x14ac:dyDescent="0.3">
      <c r="A96" s="32"/>
      <c r="B96" s="32"/>
      <c r="C96" s="32"/>
      <c r="D96" s="38"/>
      <c r="E96" s="38"/>
      <c r="F96" s="38"/>
      <c r="G96" s="38"/>
      <c r="H96" s="38"/>
      <c r="I96" s="38"/>
      <c r="J96" s="34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</row>
    <row r="97" spans="1:30" ht="16.5" thickTop="1" thickBot="1" x14ac:dyDescent="0.3">
      <c r="A97" s="33" t="s">
        <v>6</v>
      </c>
      <c r="B97" s="33" t="s">
        <v>146</v>
      </c>
      <c r="C97" s="33" t="s">
        <v>14</v>
      </c>
      <c r="D97" s="39">
        <v>1</v>
      </c>
      <c r="E97" s="39">
        <v>37229.300999999999</v>
      </c>
      <c r="F97" s="39">
        <v>2.6860563404077881E-5</v>
      </c>
      <c r="G97" s="39"/>
      <c r="H97" s="39"/>
      <c r="I97" s="39"/>
      <c r="J97" s="35"/>
      <c r="K97" s="33"/>
      <c r="L97" s="33"/>
      <c r="M97" s="33"/>
      <c r="N97" s="33"/>
      <c r="O97" s="33"/>
      <c r="P97" s="33"/>
      <c r="Q97" s="33"/>
      <c r="R97" s="33" t="s">
        <v>147</v>
      </c>
      <c r="S97" s="33"/>
      <c r="T97" s="33">
        <v>6</v>
      </c>
      <c r="U97" s="33"/>
      <c r="V97" s="33"/>
      <c r="W97" s="33"/>
      <c r="X97" s="33"/>
      <c r="Y97" s="33"/>
      <c r="Z97" s="9" t="s">
        <v>45</v>
      </c>
      <c r="AA97" s="9" t="s">
        <v>47</v>
      </c>
      <c r="AB97" s="9" t="s">
        <v>48</v>
      </c>
      <c r="AC97" s="9" t="s">
        <v>49</v>
      </c>
      <c r="AD97" s="9" t="s">
        <v>50</v>
      </c>
    </row>
    <row r="98" spans="1:30" ht="15.75" thickTop="1" x14ac:dyDescent="0.25">
      <c r="A98" s="32" t="s">
        <v>8</v>
      </c>
      <c r="B98" s="32" t="s">
        <v>146</v>
      </c>
      <c r="C98" s="32" t="s">
        <v>14</v>
      </c>
      <c r="D98" s="38">
        <v>1.4930000000000001</v>
      </c>
      <c r="E98" s="38">
        <v>37141.370999999999</v>
      </c>
      <c r="F98" s="38">
        <v>4.0197800000000003E-5</v>
      </c>
      <c r="G98" s="38"/>
      <c r="H98" s="38"/>
      <c r="I98" s="38"/>
      <c r="J98" s="34"/>
      <c r="K98" s="32"/>
      <c r="L98" s="32"/>
      <c r="M98" s="32"/>
      <c r="N98" s="32"/>
      <c r="O98" s="32"/>
      <c r="P98" s="32"/>
      <c r="Q98" s="32"/>
      <c r="R98" s="32" t="s">
        <v>45</v>
      </c>
      <c r="S98" s="32"/>
      <c r="T98" s="32">
        <v>100</v>
      </c>
      <c r="U98" s="32"/>
      <c r="V98" s="32"/>
      <c r="W98" s="32"/>
      <c r="X98" s="32"/>
      <c r="Y98" s="32"/>
      <c r="Z98" s="10">
        <f>$H$100</f>
        <v>120</v>
      </c>
      <c r="AA98" s="11">
        <f>IF(ISTEXT($I$100),TEXT($G$100/100,"0.00%"),$G$100 / 100)</f>
        <v>0.39192711244476458</v>
      </c>
      <c r="AB98" s="11">
        <f>IF(ISTEXT($I$101),TEXT($G$101/100,"0.00%"),$G$101 / 100)</f>
        <v>0.37575268214306384</v>
      </c>
      <c r="AC98" s="11">
        <f>IF(ISTEXT($I$102),TEXT($G$102/100,"0.00%"),$G$102 / 100)</f>
        <v>0.41936125255613665</v>
      </c>
      <c r="AD98" s="11">
        <f>IFERROR(AVERAGE($AA$98:$AC$98),"")</f>
        <v>0.39568034904798832</v>
      </c>
    </row>
    <row r="99" spans="1:30" x14ac:dyDescent="0.25">
      <c r="A99" s="33" t="s">
        <v>9</v>
      </c>
      <c r="B99" s="33" t="s">
        <v>146</v>
      </c>
      <c r="C99" s="33" t="s">
        <v>14</v>
      </c>
      <c r="D99" s="39">
        <v>2.0790000000000002</v>
      </c>
      <c r="E99" s="39">
        <v>36262.148000000001</v>
      </c>
      <c r="F99" s="39">
        <v>5.73325E-5</v>
      </c>
      <c r="G99" s="39"/>
      <c r="H99" s="39"/>
      <c r="I99" s="39"/>
      <c r="J99" s="35"/>
      <c r="K99" s="33"/>
      <c r="L99" s="33"/>
      <c r="M99" s="33"/>
      <c r="N99" s="33"/>
      <c r="O99" s="33"/>
      <c r="P99" s="33"/>
      <c r="Q99" s="33"/>
      <c r="R99" s="33" t="s">
        <v>46</v>
      </c>
      <c r="S99" s="33"/>
      <c r="T99" s="33">
        <v>114</v>
      </c>
      <c r="U99" s="33"/>
      <c r="V99" s="33"/>
      <c r="W99" s="33"/>
      <c r="X99" s="33"/>
      <c r="Y99" s="33"/>
      <c r="Z99" s="10">
        <f>$H$103</f>
        <v>60</v>
      </c>
      <c r="AA99" s="11">
        <f>IF(ISTEXT($I$103),TEXT($G$103/100,"0.00%"),$G$103 / 100)</f>
        <v>0.43908776309500896</v>
      </c>
      <c r="AB99" s="11">
        <f>IF(ISTEXT($I$104),TEXT($G$104/100,"0.00%"),$G$104 / 100)</f>
        <v>0.48000969604681659</v>
      </c>
      <c r="AC99" s="11">
        <f>IF(ISTEXT($I$105),TEXT($G$105/100,"0.00%"),$G$105 / 100)</f>
        <v>0.52052461005400807</v>
      </c>
      <c r="AD99" s="11">
        <f>IFERROR(AVERAGE($AA$99:$AC$99),"")</f>
        <v>0.47987402306527782</v>
      </c>
    </row>
    <row r="100" spans="1:30" x14ac:dyDescent="0.25">
      <c r="A100" s="32" t="s">
        <v>148</v>
      </c>
      <c r="B100" s="32" t="s">
        <v>146</v>
      </c>
      <c r="C100" s="32" t="s">
        <v>14</v>
      </c>
      <c r="D100" s="38">
        <v>11667.214</v>
      </c>
      <c r="E100" s="38">
        <v>25578.460999999999</v>
      </c>
      <c r="F100" s="38">
        <v>0.45613432300000001</v>
      </c>
      <c r="G100" s="38">
        <f>($F$100 -  AVERAGE($F$97,$F$98,$F$99) ) / ($F$112 -  AVERAGE($F$97,$F$98,$F$99) ) * 100</f>
        <v>39.192711244476456</v>
      </c>
      <c r="H100" s="38">
        <v>120</v>
      </c>
      <c r="I100" s="41">
        <f>LN($G$100)</f>
        <v>3.6684907918669638</v>
      </c>
      <c r="J100" s="34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>
        <f>IF(ISTEXT($I$100),"",1)</f>
        <v>1</v>
      </c>
      <c r="V100" s="32">
        <f t="shared" ref="V100:V114" si="10">IFERROR(INDEX($H$100:$H$114,SMALL($U$100:$U$114,ROW(W1)),1),"")</f>
        <v>120</v>
      </c>
      <c r="W100" s="32">
        <f t="shared" ref="W100:W114" si="11">IFERROR(INDEX($I$100:$I$114,SMALL($U$100:$U$114,ROW(I1)),1),"")</f>
        <v>3.6684907918669638</v>
      </c>
      <c r="X100" s="32"/>
      <c r="Y100" s="32"/>
      <c r="Z100" s="10">
        <f>$H$106</f>
        <v>30</v>
      </c>
      <c r="AA100" s="11">
        <f>IF(ISTEXT($I$106),TEXT($G$106/100,"0.00%"),$G$106 / 100)</f>
        <v>0.60264460637411654</v>
      </c>
      <c r="AB100" s="11">
        <f>IF(ISTEXT($I$107),TEXT($G$107/100,"0.00%"),$G$107 / 100)</f>
        <v>0.63347410739603349</v>
      </c>
      <c r="AC100" s="11">
        <f>IF(ISTEXT($I$108),TEXT($G$108/100,"0.00%"),$G$108 / 100)</f>
        <v>0.65793151287266172</v>
      </c>
      <c r="AD100" s="11">
        <f>IFERROR(AVERAGE($AA$100:$AC$100),"")</f>
        <v>0.63135007554760392</v>
      </c>
    </row>
    <row r="101" spans="1:30" x14ac:dyDescent="0.25">
      <c r="A101" s="33" t="s">
        <v>149</v>
      </c>
      <c r="B101" s="33" t="s">
        <v>146</v>
      </c>
      <c r="C101" s="33" t="s">
        <v>14</v>
      </c>
      <c r="D101" s="39">
        <v>12478.85</v>
      </c>
      <c r="E101" s="39">
        <v>26231.266</v>
      </c>
      <c r="F101" s="39">
        <v>0.47572427499999997</v>
      </c>
      <c r="G101" s="39">
        <f>($F$101 -  AVERAGE($F$97,$F$98,$F$99) ) / ($F$113 -  AVERAGE($F$97,$F$98,$F$99) ) * 100</f>
        <v>37.575268214306384</v>
      </c>
      <c r="H101" s="39">
        <v>120</v>
      </c>
      <c r="I101" s="40">
        <f>LN($G$101)</f>
        <v>3.6263460737188549</v>
      </c>
      <c r="J101" s="35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>
        <f>IF(ISTEXT($I$101),"",2)</f>
        <v>2</v>
      </c>
      <c r="V101" s="33">
        <f t="shared" si="10"/>
        <v>120</v>
      </c>
      <c r="W101" s="33">
        <f t="shared" si="11"/>
        <v>3.6263460737188549</v>
      </c>
      <c r="X101" s="33"/>
      <c r="Y101" s="33"/>
      <c r="Z101" s="10">
        <f>$H$109</f>
        <v>15</v>
      </c>
      <c r="AA101" s="11">
        <f>IF(ISTEXT($I$109),TEXT($G$109/100,"0.00%"),$G$109 / 100)</f>
        <v>0.68999440683279301</v>
      </c>
      <c r="AB101" s="11">
        <f>IF(ISTEXT($I$110),TEXT($G$110/100,"0.00%"),$G$110 / 100)</f>
        <v>0.65799284795046642</v>
      </c>
      <c r="AC101" s="11">
        <f>IF(ISTEXT($I$111),TEXT($G$111/100,"0.00%"),$G$111 / 100)</f>
        <v>0.7330012581153339</v>
      </c>
      <c r="AD101" s="11">
        <f>IFERROR(AVERAGE($AA$101:$AC$101),"")</f>
        <v>0.69366283763286452</v>
      </c>
    </row>
    <row r="102" spans="1:30" ht="15.75" thickBot="1" x14ac:dyDescent="0.3">
      <c r="A102" s="32" t="s">
        <v>150</v>
      </c>
      <c r="B102" s="32" t="s">
        <v>146</v>
      </c>
      <c r="C102" s="32" t="s">
        <v>14</v>
      </c>
      <c r="D102" s="38">
        <v>9609.6820000000007</v>
      </c>
      <c r="E102" s="38">
        <v>25462.561000000002</v>
      </c>
      <c r="F102" s="38">
        <v>0.37740437799999998</v>
      </c>
      <c r="G102" s="38">
        <f>($F$102 -  AVERAGE($F$97,$F$98,$F$99) ) / ($F$114 -  AVERAGE($F$97,$F$98,$F$99) ) * 100</f>
        <v>41.936125255613668</v>
      </c>
      <c r="H102" s="38">
        <v>120</v>
      </c>
      <c r="I102" s="41">
        <f>LN($G$102)</f>
        <v>3.7361476334044625</v>
      </c>
      <c r="J102" s="34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>
        <f>IF(ISTEXT($I$102),"",3)</f>
        <v>3</v>
      </c>
      <c r="V102" s="32">
        <f t="shared" si="10"/>
        <v>120</v>
      </c>
      <c r="W102" s="32">
        <f t="shared" si="11"/>
        <v>3.7361476334044625</v>
      </c>
      <c r="X102" s="32"/>
      <c r="Y102" s="32"/>
      <c r="Z102" s="12">
        <f>$H$112</f>
        <v>0</v>
      </c>
      <c r="AA102" s="13">
        <f>IF(ISTEXT($I$112),TEXT($G$112/100,"0.00%"),$G$112 / 100)</f>
        <v>1</v>
      </c>
      <c r="AB102" s="13">
        <f>IF(ISTEXT($I$113),TEXT($G$113/100,"0.00%"),$G$113 / 100)</f>
        <v>1</v>
      </c>
      <c r="AC102" s="13">
        <f>IF(ISTEXT($I$114),TEXT($G$114/100,"0.00%"),$G$114 / 100)</f>
        <v>1</v>
      </c>
      <c r="AD102" s="13">
        <f>IFERROR(AVERAGE($AA$102:$AC$102),"")</f>
        <v>1</v>
      </c>
    </row>
    <row r="103" spans="1:30" ht="16.5" thickTop="1" thickBot="1" x14ac:dyDescent="0.3">
      <c r="A103" s="33" t="s">
        <v>151</v>
      </c>
      <c r="B103" s="33" t="s">
        <v>146</v>
      </c>
      <c r="C103" s="33" t="s">
        <v>14</v>
      </c>
      <c r="D103" s="39">
        <v>12635.346</v>
      </c>
      <c r="E103" s="39">
        <v>24725.928</v>
      </c>
      <c r="F103" s="39">
        <v>0.511016048</v>
      </c>
      <c r="G103" s="39">
        <f>($F$103 -  AVERAGE($F$97,$F$98,$F$99) ) / ($F$112 -  AVERAGE($F$97,$F$98,$F$99) ) * 100</f>
        <v>43.908776309500894</v>
      </c>
      <c r="H103" s="39">
        <v>60</v>
      </c>
      <c r="I103" s="40">
        <f>LN($G$103)</f>
        <v>3.7821142160345596</v>
      </c>
      <c r="J103" s="35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>
        <f>IF(ISTEXT($I$103),"",4)</f>
        <v>4</v>
      </c>
      <c r="V103" s="33">
        <f t="shared" si="10"/>
        <v>60</v>
      </c>
      <c r="W103" s="33">
        <f t="shared" si="11"/>
        <v>3.7821142160345596</v>
      </c>
      <c r="X103" s="33"/>
      <c r="Y103" s="33"/>
    </row>
    <row r="104" spans="1:30" x14ac:dyDescent="0.25">
      <c r="A104" s="32" t="s">
        <v>152</v>
      </c>
      <c r="B104" s="32" t="s">
        <v>146</v>
      </c>
      <c r="C104" s="32" t="s">
        <v>14</v>
      </c>
      <c r="D104" s="38">
        <v>17422.256000000001</v>
      </c>
      <c r="E104" s="38">
        <v>28668.791000000001</v>
      </c>
      <c r="F104" s="38">
        <v>0.60770808200000004</v>
      </c>
      <c r="G104" s="38">
        <f>($F$104 -  AVERAGE($F$97,$F$98,$F$99) ) / ($F$113 -  AVERAGE($F$97,$F$98,$F$99) ) * 100</f>
        <v>48.000969604681657</v>
      </c>
      <c r="H104" s="38">
        <v>60</v>
      </c>
      <c r="I104" s="41">
        <f>LN($G$104)</f>
        <v>3.8712212108014064</v>
      </c>
      <c r="J104" s="34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>
        <f>IF(ISTEXT($I$104),"",5)</f>
        <v>5</v>
      </c>
      <c r="V104" s="32">
        <f t="shared" si="10"/>
        <v>60</v>
      </c>
      <c r="W104" s="32">
        <f t="shared" si="11"/>
        <v>3.8712212108014064</v>
      </c>
      <c r="X104" s="32"/>
      <c r="Y104" s="32"/>
      <c r="Z104" s="20" t="s">
        <v>51</v>
      </c>
      <c r="AA104" s="31">
        <f>IFERROR(SLOPE($W$100:$W$114,$V$100:$V$114),"")</f>
        <v>-6.9724741105120459E-3</v>
      </c>
    </row>
    <row r="105" spans="1:30" x14ac:dyDescent="0.25">
      <c r="A105" s="33" t="s">
        <v>153</v>
      </c>
      <c r="B105" s="33" t="s">
        <v>146</v>
      </c>
      <c r="C105" s="33" t="s">
        <v>14</v>
      </c>
      <c r="D105" s="39">
        <v>11341.728999999999</v>
      </c>
      <c r="E105" s="39">
        <v>24211.886999999999</v>
      </c>
      <c r="F105" s="39">
        <v>0.46843639199999998</v>
      </c>
      <c r="G105" s="39">
        <f>($F$105 -  AVERAGE($F$97,$F$98,$F$99) ) / ($F$114 -  AVERAGE($F$97,$F$98,$F$99) ) * 100</f>
        <v>52.052461005400808</v>
      </c>
      <c r="H105" s="39">
        <v>60</v>
      </c>
      <c r="I105" s="40">
        <f>LN($G$105)</f>
        <v>3.9522520755071362</v>
      </c>
      <c r="J105" s="35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>
        <f>IF(ISTEXT($I$105),"",6)</f>
        <v>6</v>
      </c>
      <c r="V105" s="33">
        <f t="shared" si="10"/>
        <v>60</v>
      </c>
      <c r="W105" s="33">
        <f t="shared" si="11"/>
        <v>3.9522520755071362</v>
      </c>
      <c r="X105" s="33"/>
      <c r="Y105" s="33"/>
      <c r="Z105" s="22" t="s">
        <v>52</v>
      </c>
      <c r="AA105" s="23">
        <f>IFERROR(INTERCEPT($W$100:$W$114,$V$100:$V$114),"")</f>
        <v>4.4205109742341691</v>
      </c>
    </row>
    <row r="106" spans="1:30" ht="17.25" x14ac:dyDescent="0.25">
      <c r="A106" s="32" t="s">
        <v>154</v>
      </c>
      <c r="B106" s="32" t="s">
        <v>146</v>
      </c>
      <c r="C106" s="32" t="s">
        <v>14</v>
      </c>
      <c r="D106" s="38">
        <v>18592.798999999999</v>
      </c>
      <c r="E106" s="38">
        <v>26510.008000000002</v>
      </c>
      <c r="F106" s="38">
        <v>0.70135018400000004</v>
      </c>
      <c r="G106" s="38">
        <f>($F$106 -  AVERAGE($F$97,$F$98,$F$99) ) / ($F$112 -  AVERAGE($F$97,$F$98,$F$99) ) * 100</f>
        <v>60.264460637411652</v>
      </c>
      <c r="H106" s="38">
        <v>30</v>
      </c>
      <c r="I106" s="41">
        <f>LN($G$106)</f>
        <v>4.0987425541522793</v>
      </c>
      <c r="J106" s="34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>
        <f>IF(ISTEXT($I$106),"",7)</f>
        <v>7</v>
      </c>
      <c r="V106" s="32">
        <f t="shared" si="10"/>
        <v>30</v>
      </c>
      <c r="W106" s="32">
        <f t="shared" si="11"/>
        <v>4.0987425541522793</v>
      </c>
      <c r="X106" s="32"/>
      <c r="Y106" s="32"/>
      <c r="Z106" s="22" t="s">
        <v>53</v>
      </c>
      <c r="AA106" s="26">
        <f>IFERROR(CORREL($W$100:$W$114,$V$100:$V$114)^2,"")</f>
        <v>0.84344535901142592</v>
      </c>
    </row>
    <row r="107" spans="1:30" ht="18" x14ac:dyDescent="0.35">
      <c r="A107" s="33" t="s">
        <v>155</v>
      </c>
      <c r="B107" s="33" t="s">
        <v>146</v>
      </c>
      <c r="C107" s="33" t="s">
        <v>14</v>
      </c>
      <c r="D107" s="39">
        <v>19354.615000000002</v>
      </c>
      <c r="E107" s="39">
        <v>24133.363000000001</v>
      </c>
      <c r="F107" s="39">
        <v>0.80198582399999996</v>
      </c>
      <c r="G107" s="39">
        <f>($F$107 -  AVERAGE($F$97,$F$98,$F$99) ) / ($F$113 -  AVERAGE($F$97,$F$98,$F$99) ) * 100</f>
        <v>63.347410739603347</v>
      </c>
      <c r="H107" s="39">
        <v>30</v>
      </c>
      <c r="I107" s="40">
        <f>LN($G$107)</f>
        <v>4.1486340336288272</v>
      </c>
      <c r="J107" s="35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>
        <f>IF(ISTEXT($I$107),"",8)</f>
        <v>8</v>
      </c>
      <c r="V107" s="33">
        <f t="shared" si="10"/>
        <v>30</v>
      </c>
      <c r="W107" s="33">
        <f t="shared" si="11"/>
        <v>4.1486340336288272</v>
      </c>
      <c r="X107" s="33"/>
      <c r="Y107" s="33"/>
      <c r="Z107" s="22" t="s">
        <v>54</v>
      </c>
      <c r="AA107" s="30">
        <f>IF(AA104&gt;0,"",IFERROR(LN(2) /ABS(AA104),0))</f>
        <v>99.411940377795361</v>
      </c>
    </row>
    <row r="108" spans="1:30" ht="18.75" x14ac:dyDescent="0.35">
      <c r="A108" s="32" t="s">
        <v>156</v>
      </c>
      <c r="B108" s="32" t="s">
        <v>146</v>
      </c>
      <c r="C108" s="32" t="s">
        <v>14</v>
      </c>
      <c r="D108" s="38">
        <v>17767.896000000001</v>
      </c>
      <c r="E108" s="38">
        <v>30009.17</v>
      </c>
      <c r="F108" s="38">
        <v>0.59208221999999999</v>
      </c>
      <c r="G108" s="38">
        <f>($F$108 -  AVERAGE($F$97,$F$98,$F$99) ) / ($F$114 -  AVERAGE($F$97,$F$98,$F$99) ) * 100</f>
        <v>65.79315128726617</v>
      </c>
      <c r="H108" s="38">
        <v>30</v>
      </c>
      <c r="I108" s="41">
        <f>LN($G$108)</f>
        <v>4.1865157491340295</v>
      </c>
      <c r="J108" s="34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>
        <f>IF(ISTEXT($I$108),"",9)</f>
        <v>9</v>
      </c>
      <c r="V108" s="32">
        <f t="shared" si="10"/>
        <v>30</v>
      </c>
      <c r="W108" s="32">
        <f t="shared" si="11"/>
        <v>4.1865157491340295</v>
      </c>
      <c r="X108" s="32"/>
      <c r="Y108" s="32"/>
      <c r="Z108" s="22" t="s">
        <v>55</v>
      </c>
      <c r="AA108" s="30">
        <f>IF(AA104&gt;0,0,IFERROR(ABS(AA104 * 1000 / 0.5),0))</f>
        <v>13.944948221024092</v>
      </c>
    </row>
    <row r="109" spans="1:30" ht="15.75" thickBot="1" x14ac:dyDescent="0.3">
      <c r="A109" s="33" t="s">
        <v>157</v>
      </c>
      <c r="B109" s="33" t="s">
        <v>146</v>
      </c>
      <c r="C109" s="33" t="s">
        <v>14</v>
      </c>
      <c r="D109" s="39">
        <v>21164.300999999999</v>
      </c>
      <c r="E109" s="39">
        <v>26356.513999999999</v>
      </c>
      <c r="F109" s="39">
        <v>0.80300076899999995</v>
      </c>
      <c r="G109" s="39">
        <f>($F$109 -  AVERAGE($F$97,$F$98,$F$99) ) / ($F$112 -  AVERAGE($F$97,$F$98,$F$99) ) * 100</f>
        <v>68.999440683279303</v>
      </c>
      <c r="H109" s="39">
        <v>15</v>
      </c>
      <c r="I109" s="40">
        <f>LN($G$109)</f>
        <v>4.2340983985249752</v>
      </c>
      <c r="J109" s="35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>
        <f>IF(ISTEXT($I$109),"",10)</f>
        <v>10</v>
      </c>
      <c r="V109" s="33">
        <f t="shared" si="10"/>
        <v>15</v>
      </c>
      <c r="W109" s="33">
        <f t="shared" si="11"/>
        <v>4.2340983985249752</v>
      </c>
      <c r="X109" s="33"/>
      <c r="Y109" s="33"/>
      <c r="Z109" s="27" t="s">
        <v>39</v>
      </c>
      <c r="AA109" s="28" t="s">
        <v>56</v>
      </c>
    </row>
    <row r="110" spans="1:30" x14ac:dyDescent="0.25">
      <c r="A110" s="32" t="s">
        <v>158</v>
      </c>
      <c r="B110" s="32" t="s">
        <v>146</v>
      </c>
      <c r="C110" s="32" t="s">
        <v>14</v>
      </c>
      <c r="D110" s="38">
        <v>23099.006000000001</v>
      </c>
      <c r="E110" s="38">
        <v>27729.059000000001</v>
      </c>
      <c r="F110" s="38">
        <v>0.83302523900000003</v>
      </c>
      <c r="G110" s="38">
        <f>($F$110 -  AVERAGE($F$97,$F$98,$F$99) ) / ($F$113 -  AVERAGE($F$97,$F$98,$F$99) ) * 100</f>
        <v>65.799284795046646</v>
      </c>
      <c r="H110" s="38">
        <v>15</v>
      </c>
      <c r="I110" s="41">
        <f>LN($G$110)</f>
        <v>4.1866089688960084</v>
      </c>
      <c r="J110" s="34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>
        <f>IF(ISTEXT($I$110),"",11)</f>
        <v>11</v>
      </c>
      <c r="V110" s="32">
        <f t="shared" si="10"/>
        <v>15</v>
      </c>
      <c r="W110" s="32">
        <f t="shared" si="11"/>
        <v>4.1866089688960084</v>
      </c>
      <c r="X110" s="32"/>
      <c r="Y110" s="32"/>
    </row>
    <row r="111" spans="1:30" x14ac:dyDescent="0.25">
      <c r="A111" s="33" t="s">
        <v>159</v>
      </c>
      <c r="B111" s="33" t="s">
        <v>146</v>
      </c>
      <c r="C111" s="33" t="s">
        <v>14</v>
      </c>
      <c r="D111" s="39">
        <v>18313.666000000001</v>
      </c>
      <c r="E111" s="39">
        <v>27763.381000000001</v>
      </c>
      <c r="F111" s="39">
        <v>0.65963385399999996</v>
      </c>
      <c r="G111" s="39">
        <f>($F$111 -  AVERAGE($F$97,$F$98,$F$99) ) / ($F$114 -  AVERAGE($F$97,$F$98,$F$99) ) * 100</f>
        <v>73.300125811533391</v>
      </c>
      <c r="H111" s="39">
        <v>15</v>
      </c>
      <c r="I111" s="40">
        <f>LN($G$111)</f>
        <v>4.2945623252831302</v>
      </c>
      <c r="J111" s="35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>
        <f>IF(ISTEXT($I$111),"",12)</f>
        <v>12</v>
      </c>
      <c r="V111" s="33">
        <f t="shared" si="10"/>
        <v>15</v>
      </c>
      <c r="W111" s="33">
        <f t="shared" si="11"/>
        <v>4.2945623252831302</v>
      </c>
      <c r="X111" s="33"/>
      <c r="Y111" s="33"/>
    </row>
    <row r="112" spans="1:30" x14ac:dyDescent="0.25">
      <c r="A112" s="32" t="s">
        <v>160</v>
      </c>
      <c r="B112" s="32" t="s">
        <v>146</v>
      </c>
      <c r="C112" s="32" t="s">
        <v>14</v>
      </c>
      <c r="D112" s="38">
        <v>26639.951000000001</v>
      </c>
      <c r="E112" s="38">
        <v>22891.275000000001</v>
      </c>
      <c r="F112" s="38">
        <v>1.1637600349999999</v>
      </c>
      <c r="G112" s="38">
        <f>($F$112 -  AVERAGE($F$97,$F$98,$F$99) ) / ($F$112 -  AVERAGE($F$97,$F$98,$F$99) ) * 100</f>
        <v>100</v>
      </c>
      <c r="H112" s="38">
        <v>0</v>
      </c>
      <c r="I112" s="41">
        <f>LN($G$112)</f>
        <v>4.6051701859880918</v>
      </c>
      <c r="J112" s="34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>
        <f>IF(ISTEXT($I$112),"",13)</f>
        <v>13</v>
      </c>
      <c r="V112" s="32">
        <f t="shared" si="10"/>
        <v>0</v>
      </c>
      <c r="W112" s="32">
        <f t="shared" si="11"/>
        <v>4.6051701859880918</v>
      </c>
      <c r="X112" s="32"/>
      <c r="Y112" s="32"/>
    </row>
    <row r="113" spans="1:30" x14ac:dyDescent="0.25">
      <c r="A113" s="33" t="s">
        <v>161</v>
      </c>
      <c r="B113" s="33" t="s">
        <v>146</v>
      </c>
      <c r="C113" s="33" t="s">
        <v>14</v>
      </c>
      <c r="D113" s="39">
        <v>32766.955000000002</v>
      </c>
      <c r="E113" s="39">
        <v>25882.516</v>
      </c>
      <c r="F113" s="39">
        <v>1.2659880130000001</v>
      </c>
      <c r="G113" s="39">
        <f>($F$113 -  AVERAGE($F$97,$F$98,$F$99) ) / ($F$113 -  AVERAGE($F$97,$F$98,$F$99) ) * 100</f>
        <v>100</v>
      </c>
      <c r="H113" s="39">
        <v>0</v>
      </c>
      <c r="I113" s="40">
        <f>LN($G$113)</f>
        <v>4.6051701859880918</v>
      </c>
      <c r="J113" s="35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>
        <f>IF(ISTEXT($I$113),"",14)</f>
        <v>14</v>
      </c>
      <c r="V113" s="33">
        <f t="shared" si="10"/>
        <v>0</v>
      </c>
      <c r="W113" s="33">
        <f t="shared" si="11"/>
        <v>4.6051701859880918</v>
      </c>
      <c r="X113" s="33"/>
      <c r="Y113" s="33"/>
    </row>
    <row r="114" spans="1:30" x14ac:dyDescent="0.25">
      <c r="A114" s="32" t="s">
        <v>162</v>
      </c>
      <c r="B114" s="32" t="s">
        <v>146</v>
      </c>
      <c r="C114" s="32" t="s">
        <v>14</v>
      </c>
      <c r="D114" s="38">
        <v>24933.855</v>
      </c>
      <c r="E114" s="38">
        <v>27707.574000000001</v>
      </c>
      <c r="F114" s="38">
        <v>0.899893112</v>
      </c>
      <c r="G114" s="38">
        <f>($F$114 -  AVERAGE($F$97,$F$98,$F$99) ) / ($F$114 -  AVERAGE($F$97,$F$98,$F$99) ) * 100</f>
        <v>100</v>
      </c>
      <c r="H114" s="38">
        <v>0</v>
      </c>
      <c r="I114" s="41">
        <f>LN($G$114)</f>
        <v>4.6051701859880918</v>
      </c>
      <c r="J114" s="34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>
        <f>IF(ISTEXT($I$114),"",15)</f>
        <v>15</v>
      </c>
      <c r="V114" s="32">
        <f t="shared" si="10"/>
        <v>0</v>
      </c>
      <c r="W114" s="32">
        <f t="shared" si="11"/>
        <v>4.6051701859880918</v>
      </c>
      <c r="X114" s="32"/>
      <c r="Y114" s="32"/>
    </row>
    <row r="115" spans="1:30" ht="15.75" thickBot="1" x14ac:dyDescent="0.3">
      <c r="A115" s="33"/>
      <c r="B115" s="33"/>
      <c r="C115" s="33"/>
      <c r="D115" s="39"/>
      <c r="E115" s="39"/>
      <c r="F115" s="39"/>
      <c r="G115" s="39"/>
      <c r="H115" s="39"/>
      <c r="I115" s="39"/>
      <c r="J115" s="35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30" ht="16.5" thickTop="1" thickBot="1" x14ac:dyDescent="0.3">
      <c r="A116" s="32" t="s">
        <v>6</v>
      </c>
      <c r="B116" s="32" t="s">
        <v>163</v>
      </c>
      <c r="C116" s="32" t="s">
        <v>15</v>
      </c>
      <c r="D116" s="38">
        <v>1</v>
      </c>
      <c r="E116" s="38">
        <v>37229.300999999999</v>
      </c>
      <c r="F116" s="38">
        <v>2.6860563404077881E-5</v>
      </c>
      <c r="G116" s="38"/>
      <c r="H116" s="38"/>
      <c r="I116" s="38"/>
      <c r="J116" s="34"/>
      <c r="K116" s="32"/>
      <c r="L116" s="32"/>
      <c r="M116" s="32"/>
      <c r="N116" s="32"/>
      <c r="O116" s="32"/>
      <c r="P116" s="32"/>
      <c r="Q116" s="32"/>
      <c r="R116" s="32" t="s">
        <v>164</v>
      </c>
      <c r="S116" s="32"/>
      <c r="T116" s="32">
        <v>7</v>
      </c>
      <c r="U116" s="32"/>
      <c r="V116" s="32"/>
      <c r="W116" s="32"/>
      <c r="X116" s="32"/>
      <c r="Y116" s="32"/>
      <c r="Z116" s="9" t="s">
        <v>45</v>
      </c>
      <c r="AA116" s="9" t="s">
        <v>47</v>
      </c>
      <c r="AB116" s="9" t="s">
        <v>48</v>
      </c>
      <c r="AC116" s="9" t="s">
        <v>49</v>
      </c>
      <c r="AD116" s="9" t="s">
        <v>50</v>
      </c>
    </row>
    <row r="117" spans="1:30" ht="15.75" thickTop="1" x14ac:dyDescent="0.25">
      <c r="A117" s="33" t="s">
        <v>8</v>
      </c>
      <c r="B117" s="33" t="s">
        <v>163</v>
      </c>
      <c r="C117" s="33" t="s">
        <v>15</v>
      </c>
      <c r="D117" s="39">
        <v>2.5590000000000002</v>
      </c>
      <c r="E117" s="39">
        <v>37141.370999999999</v>
      </c>
      <c r="F117" s="39">
        <v>6.8898899999999999E-5</v>
      </c>
      <c r="G117" s="39"/>
      <c r="H117" s="39"/>
      <c r="I117" s="39"/>
      <c r="J117" s="35"/>
      <c r="K117" s="33"/>
      <c r="L117" s="33"/>
      <c r="M117" s="33"/>
      <c r="N117" s="33"/>
      <c r="O117" s="33"/>
      <c r="P117" s="33"/>
      <c r="Q117" s="33"/>
      <c r="R117" s="33" t="s">
        <v>45</v>
      </c>
      <c r="S117" s="33"/>
      <c r="T117" s="33">
        <v>119</v>
      </c>
      <c r="U117" s="33"/>
      <c r="V117" s="33"/>
      <c r="W117" s="33"/>
      <c r="X117" s="33"/>
      <c r="Y117" s="33"/>
      <c r="Z117" s="10">
        <f>$H$119</f>
        <v>120</v>
      </c>
      <c r="AA117" s="11">
        <f>IF(ISTEXT($I$119),TEXT($G$119/100,"0.00%"),$G$119 / 100)</f>
        <v>0.86503624523080558</v>
      </c>
      <c r="AB117" s="11">
        <f>IF(ISTEXT($I$120),TEXT($G$120/100,"0.00%"),$G$120 / 100)</f>
        <v>0.74710183159327526</v>
      </c>
      <c r="AC117" s="11">
        <f>IF(ISTEXT($I$121),TEXT($G$121/100,"0.00%"),$G$121 / 100)</f>
        <v>0.55140282075304115</v>
      </c>
      <c r="AD117" s="11">
        <f>IFERROR(AVERAGE($AA$117:$AC$117),"")</f>
        <v>0.72118029919237392</v>
      </c>
    </row>
    <row r="118" spans="1:30" x14ac:dyDescent="0.25">
      <c r="A118" s="32" t="s">
        <v>9</v>
      </c>
      <c r="B118" s="32" t="s">
        <v>163</v>
      </c>
      <c r="C118" s="32" t="s">
        <v>15</v>
      </c>
      <c r="D118" s="38">
        <v>1.5329999999999999</v>
      </c>
      <c r="E118" s="38">
        <v>36262.148000000001</v>
      </c>
      <c r="F118" s="38">
        <v>4.2275499999999999E-5</v>
      </c>
      <c r="G118" s="38"/>
      <c r="H118" s="38"/>
      <c r="I118" s="38"/>
      <c r="J118" s="34"/>
      <c r="K118" s="32"/>
      <c r="L118" s="32"/>
      <c r="M118" s="32"/>
      <c r="N118" s="32"/>
      <c r="O118" s="32"/>
      <c r="P118" s="32"/>
      <c r="Q118" s="32"/>
      <c r="R118" s="32" t="s">
        <v>46</v>
      </c>
      <c r="S118" s="32"/>
      <c r="T118" s="32">
        <v>133</v>
      </c>
      <c r="U118" s="32"/>
      <c r="V118" s="32"/>
      <c r="W118" s="32"/>
      <c r="X118" s="32"/>
      <c r="Y118" s="32"/>
      <c r="Z118" s="10">
        <f>$H$122</f>
        <v>60</v>
      </c>
      <c r="AA118" s="11">
        <f>IF(ISTEXT($I$122),TEXT($G$122/100,"0.00%"),$G$122 / 100)</f>
        <v>0.84480247188052493</v>
      </c>
      <c r="AB118" s="11">
        <f>IF(ISTEXT($I$123),TEXT($G$123/100,"0.00%"),$G$123 / 100)</f>
        <v>0.74482103340869865</v>
      </c>
      <c r="AC118" s="11">
        <f>IF(ISTEXT($I$124),TEXT($G$124/100,"0.00%"),$G$124 / 100)</f>
        <v>0.59037929299836289</v>
      </c>
      <c r="AD118" s="11">
        <f>IFERROR(AVERAGE($AA$118:$AC$118),"")</f>
        <v>0.72666759942919545</v>
      </c>
    </row>
    <row r="119" spans="1:30" x14ac:dyDescent="0.25">
      <c r="A119" s="33" t="s">
        <v>165</v>
      </c>
      <c r="B119" s="33" t="s">
        <v>163</v>
      </c>
      <c r="C119" s="33" t="s">
        <v>15</v>
      </c>
      <c r="D119" s="39">
        <v>15356.694</v>
      </c>
      <c r="E119" s="39">
        <v>24997.645</v>
      </c>
      <c r="F119" s="39">
        <v>0.61432562999999996</v>
      </c>
      <c r="G119" s="39">
        <f>($F$119 -  AVERAGE($F$116,$F$117,$F$118) ) / ($F$131 -  AVERAGE($F$116,$F$117,$F$118) ) * 100</f>
        <v>86.50362452308056</v>
      </c>
      <c r="H119" s="39">
        <v>120</v>
      </c>
      <c r="I119" s="40">
        <f>LN($G$119)</f>
        <v>4.4601863150609002</v>
      </c>
      <c r="J119" s="35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>
        <f>IF(ISTEXT($I$119),"",1)</f>
        <v>1</v>
      </c>
      <c r="V119" s="33">
        <f t="shared" ref="V119:V133" si="12">IFERROR(INDEX($H$119:$H$133,SMALL($U$119:$U$133,ROW(W1)),1),"")</f>
        <v>120</v>
      </c>
      <c r="W119" s="33">
        <f t="shared" ref="W119:W133" si="13">IFERROR(INDEX($I$119:$I$133,SMALL($U$119:$U$133,ROW(I1)),1),"")</f>
        <v>4.4601863150609002</v>
      </c>
      <c r="X119" s="33"/>
      <c r="Y119" s="33"/>
      <c r="Z119" s="10">
        <f>$H$125</f>
        <v>30</v>
      </c>
      <c r="AA119" s="11">
        <f>IF(ISTEXT($I$125),TEXT($G$125/100,"0.00%"),$G$125 / 100)</f>
        <v>0.85943418151949713</v>
      </c>
      <c r="AB119" s="11">
        <f>IF(ISTEXT($I$126),TEXT($G$126/100,"0.00%"),$G$126 / 100)</f>
        <v>0.84342340074385991</v>
      </c>
      <c r="AC119" s="11">
        <f>IF(ISTEXT($I$127),TEXT($G$127/100,"0.00%"),$G$127 / 100)</f>
        <v>0.57139515473780234</v>
      </c>
      <c r="AD119" s="11">
        <f>IFERROR(AVERAGE($AA$119:$AC$119),"")</f>
        <v>0.75808424566705312</v>
      </c>
    </row>
    <row r="120" spans="1:30" x14ac:dyDescent="0.25">
      <c r="A120" s="32" t="s">
        <v>166</v>
      </c>
      <c r="B120" s="32" t="s">
        <v>163</v>
      </c>
      <c r="C120" s="32" t="s">
        <v>15</v>
      </c>
      <c r="D120" s="38">
        <v>12565.374</v>
      </c>
      <c r="E120" s="38">
        <v>25428.812999999998</v>
      </c>
      <c r="F120" s="38">
        <v>0.49413922700000001</v>
      </c>
      <c r="G120" s="38">
        <f>($F$120 -  AVERAGE($F$116,$F$117,$F$118) ) / ($F$132 -  AVERAGE($F$116,$F$117,$F$118) ) * 100</f>
        <v>74.710183159327528</v>
      </c>
      <c r="H120" s="38">
        <v>120</v>
      </c>
      <c r="I120" s="41">
        <f>LN($G$120)</f>
        <v>4.3136164035886067</v>
      </c>
      <c r="J120" s="34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>
        <f>IF(ISTEXT($I$120),"",2)</f>
        <v>2</v>
      </c>
      <c r="V120" s="32">
        <f t="shared" si="12"/>
        <v>120</v>
      </c>
      <c r="W120" s="32">
        <f t="shared" si="13"/>
        <v>4.3136164035886067</v>
      </c>
      <c r="X120" s="32"/>
      <c r="Y120" s="32"/>
      <c r="Z120" s="10">
        <f>$H$128</f>
        <v>15</v>
      </c>
      <c r="AA120" s="11">
        <f>IF(ISTEXT($I$128),TEXT($G$128/100,"0.00%"),$G$128 / 100)</f>
        <v>0.85155573383113359</v>
      </c>
      <c r="AB120" s="11">
        <f>IF(ISTEXT($I$129),TEXT($G$129/100,"0.00%"),$G$129 / 100)</f>
        <v>0.87427135503284925</v>
      </c>
      <c r="AC120" s="11">
        <f>IF(ISTEXT($I$130),TEXT($G$130/100,"0.00%"),$G$130 / 100)</f>
        <v>0.6210095305052149</v>
      </c>
      <c r="AD120" s="11">
        <f>IFERROR(AVERAGE($AA$120:$AC$120),"")</f>
        <v>0.78227887312306599</v>
      </c>
    </row>
    <row r="121" spans="1:30" ht="15.75" thickBot="1" x14ac:dyDescent="0.3">
      <c r="A121" s="33" t="s">
        <v>167</v>
      </c>
      <c r="B121" s="33" t="s">
        <v>163</v>
      </c>
      <c r="C121" s="33" t="s">
        <v>15</v>
      </c>
      <c r="D121" s="39">
        <v>18137.471000000001</v>
      </c>
      <c r="E121" s="39">
        <v>25225.690999999999</v>
      </c>
      <c r="F121" s="39">
        <v>0.71900789600000004</v>
      </c>
      <c r="G121" s="39">
        <f>($F$121 -  AVERAGE($F$116,$F$117,$F$118) ) / ($F$133 -  AVERAGE($F$116,$F$117,$F$118) ) * 100</f>
        <v>55.140282075304114</v>
      </c>
      <c r="H121" s="39">
        <v>120</v>
      </c>
      <c r="I121" s="40">
        <f>LN($G$121)</f>
        <v>4.0098805212028799</v>
      </c>
      <c r="J121" s="35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>
        <f>IF(ISTEXT($I$121),"",3)</f>
        <v>3</v>
      </c>
      <c r="V121" s="33">
        <f t="shared" si="12"/>
        <v>120</v>
      </c>
      <c r="W121" s="33">
        <f t="shared" si="13"/>
        <v>4.0098805212028799</v>
      </c>
      <c r="X121" s="33"/>
      <c r="Y121" s="33"/>
      <c r="Z121" s="12">
        <f>$H$131</f>
        <v>0</v>
      </c>
      <c r="AA121" s="13">
        <f>IF(ISTEXT($I$131),TEXT($G$131/100,"0.00%"),$G$131 / 100)</f>
        <v>1</v>
      </c>
      <c r="AB121" s="13">
        <f>IF(ISTEXT($I$132),TEXT($G$132/100,"0.00%"),$G$132 / 100)</f>
        <v>1</v>
      </c>
      <c r="AC121" s="13">
        <f>IF(ISTEXT($I$133),TEXT($G$133/100,"0.00%"),$G$133 / 100)</f>
        <v>1</v>
      </c>
      <c r="AD121" s="13">
        <f>IFERROR(AVERAGE($AA$121:$AC$121),"")</f>
        <v>1</v>
      </c>
    </row>
    <row r="122" spans="1:30" ht="16.5" thickTop="1" thickBot="1" x14ac:dyDescent="0.3">
      <c r="A122" s="32" t="s">
        <v>168</v>
      </c>
      <c r="B122" s="32" t="s">
        <v>163</v>
      </c>
      <c r="C122" s="32" t="s">
        <v>15</v>
      </c>
      <c r="D122" s="38">
        <v>14767.914000000001</v>
      </c>
      <c r="E122" s="38">
        <v>24614.945</v>
      </c>
      <c r="F122" s="38">
        <v>0.59995722100000004</v>
      </c>
      <c r="G122" s="38">
        <f>($F$122 -  AVERAGE($F$116,$F$117,$F$118) ) / ($F$131 -  AVERAGE($F$116,$F$117,$F$118) ) * 100</f>
        <v>84.480247188052488</v>
      </c>
      <c r="H122" s="38">
        <v>60</v>
      </c>
      <c r="I122" s="41">
        <f>LN($G$122)</f>
        <v>4.4365177459486098</v>
      </c>
      <c r="J122" s="34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>
        <f>IF(ISTEXT($I$122),"",4)</f>
        <v>4</v>
      </c>
      <c r="V122" s="32">
        <f t="shared" si="12"/>
        <v>60</v>
      </c>
      <c r="W122" s="32">
        <f t="shared" si="13"/>
        <v>4.4365177459486098</v>
      </c>
      <c r="X122" s="32"/>
      <c r="Y122" s="32"/>
    </row>
    <row r="123" spans="1:30" x14ac:dyDescent="0.25">
      <c r="A123" s="33" t="s">
        <v>169</v>
      </c>
      <c r="B123" s="33" t="s">
        <v>163</v>
      </c>
      <c r="C123" s="33" t="s">
        <v>15</v>
      </c>
      <c r="D123" s="39">
        <v>12004.096</v>
      </c>
      <c r="E123" s="39">
        <v>24367.326000000001</v>
      </c>
      <c r="F123" s="39">
        <v>0.49263082899999999</v>
      </c>
      <c r="G123" s="39">
        <f>($F$123 -  AVERAGE($F$116,$F$117,$F$118) ) / ($F$132 -  AVERAGE($F$116,$F$117,$F$118) ) * 100</f>
        <v>74.48210334086987</v>
      </c>
      <c r="H123" s="39">
        <v>60</v>
      </c>
      <c r="I123" s="40">
        <f>LN($G$123)</f>
        <v>4.3105588729147151</v>
      </c>
      <c r="J123" s="35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>
        <f>IF(ISTEXT($I$123),"",5)</f>
        <v>5</v>
      </c>
      <c r="V123" s="33">
        <f t="shared" si="12"/>
        <v>60</v>
      </c>
      <c r="W123" s="33">
        <f t="shared" si="13"/>
        <v>4.3105588729147151</v>
      </c>
      <c r="X123" s="33"/>
      <c r="Y123" s="33"/>
      <c r="Z123" s="20" t="s">
        <v>51</v>
      </c>
      <c r="AA123" s="31">
        <f>IFERROR(SLOPE($W$119:$W$133,$V$119:$V$133),"")</f>
        <v>-2.0694564548352301E-3</v>
      </c>
    </row>
    <row r="124" spans="1:30" x14ac:dyDescent="0.25">
      <c r="A124" s="32" t="s">
        <v>170</v>
      </c>
      <c r="B124" s="32" t="s">
        <v>163</v>
      </c>
      <c r="C124" s="32" t="s">
        <v>15</v>
      </c>
      <c r="D124" s="38">
        <v>17604.678</v>
      </c>
      <c r="E124" s="38">
        <v>22868.312999999998</v>
      </c>
      <c r="F124" s="38">
        <v>0.76982845200000005</v>
      </c>
      <c r="G124" s="38">
        <f>($F$124 -  AVERAGE($F$116,$F$117,$F$118) ) / ($F$133 -  AVERAGE($F$116,$F$117,$F$118) ) * 100</f>
        <v>59.037929299836293</v>
      </c>
      <c r="H124" s="38">
        <v>60</v>
      </c>
      <c r="I124" s="41">
        <f>LN($G$124)</f>
        <v>4.0781801068423995</v>
      </c>
      <c r="J124" s="34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>
        <f>IF(ISTEXT($I$124),"",6)</f>
        <v>6</v>
      </c>
      <c r="V124" s="32">
        <f t="shared" si="12"/>
        <v>60</v>
      </c>
      <c r="W124" s="32">
        <f t="shared" si="13"/>
        <v>4.0781801068423995</v>
      </c>
      <c r="X124" s="32"/>
      <c r="Y124" s="32"/>
      <c r="Z124" s="22" t="s">
        <v>52</v>
      </c>
      <c r="AA124" s="23">
        <f>IFERROR(INTERCEPT($W$119:$W$133,$V$119:$V$133),"")</f>
        <v>4.4532966397633373</v>
      </c>
    </row>
    <row r="125" spans="1:30" ht="17.25" x14ac:dyDescent="0.25">
      <c r="A125" s="33" t="s">
        <v>171</v>
      </c>
      <c r="B125" s="33" t="s">
        <v>163</v>
      </c>
      <c r="C125" s="33" t="s">
        <v>15</v>
      </c>
      <c r="D125" s="39">
        <v>16227.7</v>
      </c>
      <c r="E125" s="39">
        <v>26587.641</v>
      </c>
      <c r="F125" s="39">
        <v>0.61034749200000005</v>
      </c>
      <c r="G125" s="39">
        <f>($F$125 -  AVERAGE($F$116,$F$117,$F$118) ) / ($F$131 -  AVERAGE($F$116,$F$117,$F$118) ) * 100</f>
        <v>85.943418151949714</v>
      </c>
      <c r="H125" s="39">
        <v>30</v>
      </c>
      <c r="I125" s="40">
        <f>LN($G$125)</f>
        <v>4.453689151257894</v>
      </c>
      <c r="J125" s="35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>
        <f>IF(ISTEXT($I$125),"",7)</f>
        <v>7</v>
      </c>
      <c r="V125" s="33">
        <f t="shared" si="12"/>
        <v>30</v>
      </c>
      <c r="W125" s="33">
        <f t="shared" si="13"/>
        <v>4.453689151257894</v>
      </c>
      <c r="X125" s="33"/>
      <c r="Y125" s="33"/>
      <c r="Z125" s="22" t="s">
        <v>53</v>
      </c>
      <c r="AA125" s="26">
        <f>IFERROR(CORREL($W$119:$W$133,$V$119:$V$133)^2,"")</f>
        <v>0.19631735256431185</v>
      </c>
    </row>
    <row r="126" spans="1:30" ht="18" x14ac:dyDescent="0.35">
      <c r="A126" s="32" t="s">
        <v>172</v>
      </c>
      <c r="B126" s="32" t="s">
        <v>163</v>
      </c>
      <c r="C126" s="32" t="s">
        <v>15</v>
      </c>
      <c r="D126" s="38">
        <v>14069.312</v>
      </c>
      <c r="E126" s="38">
        <v>25221</v>
      </c>
      <c r="F126" s="38">
        <v>0.55784116399999994</v>
      </c>
      <c r="G126" s="38">
        <f>($F$126 -  AVERAGE($F$116,$F$117,$F$118) ) / ($F$132 -  AVERAGE($F$116,$F$117,$F$118) ) * 100</f>
        <v>84.342340074385987</v>
      </c>
      <c r="H126" s="38">
        <v>30</v>
      </c>
      <c r="I126" s="41">
        <f>LN($G$126)</f>
        <v>4.4348839936577908</v>
      </c>
      <c r="J126" s="34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>
        <f>IF(ISTEXT($I$126),"",8)</f>
        <v>8</v>
      </c>
      <c r="V126" s="32">
        <f t="shared" si="12"/>
        <v>30</v>
      </c>
      <c r="W126" s="32">
        <f t="shared" si="13"/>
        <v>4.4348839936577908</v>
      </c>
      <c r="X126" s="32"/>
      <c r="Y126" s="32"/>
      <c r="Z126" s="22" t="s">
        <v>54</v>
      </c>
      <c r="AA126" s="25">
        <f>IF(AA123&gt;0,"",IFERROR(LN(2) /ABS(AA123),0))</f>
        <v>334.94166013516508</v>
      </c>
    </row>
    <row r="127" spans="1:30" ht="18.75" x14ac:dyDescent="0.35">
      <c r="A127" s="33" t="s">
        <v>173</v>
      </c>
      <c r="B127" s="33" t="s">
        <v>163</v>
      </c>
      <c r="C127" s="33" t="s">
        <v>15</v>
      </c>
      <c r="D127" s="39">
        <v>20335.787</v>
      </c>
      <c r="E127" s="39">
        <v>27293.594000000001</v>
      </c>
      <c r="F127" s="39">
        <v>0.74507545600000002</v>
      </c>
      <c r="G127" s="39">
        <f>($F$127 -  AVERAGE($F$116,$F$117,$F$118) ) / ($F$133 -  AVERAGE($F$116,$F$117,$F$118) ) * 100</f>
        <v>57.139515473780236</v>
      </c>
      <c r="H127" s="39">
        <v>30</v>
      </c>
      <c r="I127" s="40">
        <f>LN($G$127)</f>
        <v>4.0454959171338469</v>
      </c>
      <c r="J127" s="35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>
        <f>IF(ISTEXT($I$127),"",9)</f>
        <v>9</v>
      </c>
      <c r="V127" s="33">
        <f t="shared" si="12"/>
        <v>30</v>
      </c>
      <c r="W127" s="33">
        <f t="shared" si="13"/>
        <v>4.0454959171338469</v>
      </c>
      <c r="X127" s="33"/>
      <c r="Y127" s="33"/>
      <c r="Z127" s="22" t="s">
        <v>55</v>
      </c>
      <c r="AA127" s="23">
        <f>IF(AA123&gt;0,0,IFERROR(ABS(AA123 * 1000 / 0.5),0))</f>
        <v>4.1389129096704602</v>
      </c>
    </row>
    <row r="128" spans="1:30" ht="15.75" thickBot="1" x14ac:dyDescent="0.3">
      <c r="A128" s="32" t="s">
        <v>174</v>
      </c>
      <c r="B128" s="32" t="s">
        <v>163</v>
      </c>
      <c r="C128" s="32" t="s">
        <v>15</v>
      </c>
      <c r="D128" s="38">
        <v>15295.839</v>
      </c>
      <c r="E128" s="38">
        <v>25292.710999999999</v>
      </c>
      <c r="F128" s="38">
        <v>0.60475284799999995</v>
      </c>
      <c r="G128" s="38">
        <f>($F$128 -  AVERAGE($F$116,$F$117,$F$118) ) / ($F$131 -  AVERAGE($F$116,$F$117,$F$118) ) * 100</f>
        <v>85.155573383113364</v>
      </c>
      <c r="H128" s="38">
        <v>15</v>
      </c>
      <c r="I128" s="41">
        <f>LN($G$128)</f>
        <v>4.4444798586732546</v>
      </c>
      <c r="J128" s="34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>
        <f>IF(ISTEXT($I$128),"",10)</f>
        <v>10</v>
      </c>
      <c r="V128" s="32">
        <f t="shared" si="12"/>
        <v>15</v>
      </c>
      <c r="W128" s="32">
        <f t="shared" si="13"/>
        <v>4.4444798586732546</v>
      </c>
      <c r="X128" s="32"/>
      <c r="Y128" s="32"/>
      <c r="Z128" s="27" t="s">
        <v>39</v>
      </c>
      <c r="AA128" s="28" t="s">
        <v>56</v>
      </c>
    </row>
    <row r="129" spans="1:30" x14ac:dyDescent="0.25">
      <c r="A129" s="33" t="s">
        <v>175</v>
      </c>
      <c r="B129" s="33" t="s">
        <v>163</v>
      </c>
      <c r="C129" s="33" t="s">
        <v>15</v>
      </c>
      <c r="D129" s="39">
        <v>16444.831999999999</v>
      </c>
      <c r="E129" s="39">
        <v>28439.342000000001</v>
      </c>
      <c r="F129" s="39">
        <v>0.57824235199999996</v>
      </c>
      <c r="G129" s="39">
        <f>($F$129 -  AVERAGE($F$116,$F$117,$F$118) ) / ($F$132 -  AVERAGE($F$116,$F$117,$F$118) ) * 100</f>
        <v>87.42713550328493</v>
      </c>
      <c r="H129" s="39">
        <v>15</v>
      </c>
      <c r="I129" s="40">
        <f>LN($G$129)</f>
        <v>4.4708057093401026</v>
      </c>
      <c r="J129" s="35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>
        <f>IF(ISTEXT($I$129),"",11)</f>
        <v>11</v>
      </c>
      <c r="V129" s="33">
        <f t="shared" si="12"/>
        <v>15</v>
      </c>
      <c r="W129" s="33">
        <f t="shared" si="13"/>
        <v>4.4708057093401026</v>
      </c>
      <c r="X129" s="33"/>
      <c r="Y129" s="33"/>
    </row>
    <row r="130" spans="1:30" x14ac:dyDescent="0.25">
      <c r="A130" s="32" t="s">
        <v>176</v>
      </c>
      <c r="B130" s="32" t="s">
        <v>163</v>
      </c>
      <c r="C130" s="32" t="s">
        <v>15</v>
      </c>
      <c r="D130" s="38">
        <v>20608.708999999999</v>
      </c>
      <c r="E130" s="38">
        <v>25450.186000000002</v>
      </c>
      <c r="F130" s="38">
        <v>0.80976653799999998</v>
      </c>
      <c r="G130" s="38">
        <f>($F$130 -  AVERAGE($F$116,$F$117,$F$118) ) / ($F$133 -  AVERAGE($F$116,$F$117,$F$118) ) * 100</f>
        <v>62.10095305052149</v>
      </c>
      <c r="H130" s="38">
        <v>15</v>
      </c>
      <c r="I130" s="41">
        <f>LN($G$130)</f>
        <v>4.1287613358510002</v>
      </c>
      <c r="J130" s="34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>
        <f>IF(ISTEXT($I$130),"",12)</f>
        <v>12</v>
      </c>
      <c r="V130" s="32">
        <f t="shared" si="12"/>
        <v>15</v>
      </c>
      <c r="W130" s="32">
        <f t="shared" si="13"/>
        <v>4.1287613358510002</v>
      </c>
      <c r="X130" s="32"/>
      <c r="Y130" s="32"/>
    </row>
    <row r="131" spans="1:30" x14ac:dyDescent="0.25">
      <c r="A131" s="33" t="s">
        <v>177</v>
      </c>
      <c r="B131" s="33" t="s">
        <v>163</v>
      </c>
      <c r="C131" s="33" t="s">
        <v>15</v>
      </c>
      <c r="D131" s="39">
        <v>19485.289000000001</v>
      </c>
      <c r="E131" s="39">
        <v>27437.65</v>
      </c>
      <c r="F131" s="39">
        <v>0.71016610400000002</v>
      </c>
      <c r="G131" s="39">
        <f>($F$131 -  AVERAGE($F$116,$F$117,$F$118) ) / ($F$131 -  AVERAGE($F$116,$F$117,$F$118) ) * 100</f>
        <v>100</v>
      </c>
      <c r="H131" s="39">
        <v>0</v>
      </c>
      <c r="I131" s="40">
        <f>LN($G$131)</f>
        <v>4.6051701859880918</v>
      </c>
      <c r="J131" s="35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>
        <f>IF(ISTEXT($I$131),"",13)</f>
        <v>13</v>
      </c>
      <c r="V131" s="33">
        <f t="shared" si="12"/>
        <v>0</v>
      </c>
      <c r="W131" s="33">
        <f t="shared" si="13"/>
        <v>4.6051701859880918</v>
      </c>
      <c r="X131" s="33"/>
      <c r="Y131" s="33"/>
    </row>
    <row r="132" spans="1:30" x14ac:dyDescent="0.25">
      <c r="A132" s="32" t="s">
        <v>178</v>
      </c>
      <c r="B132" s="32" t="s">
        <v>163</v>
      </c>
      <c r="C132" s="32" t="s">
        <v>15</v>
      </c>
      <c r="D132" s="38">
        <v>17523.778999999999</v>
      </c>
      <c r="E132" s="38">
        <v>26495.276999999998</v>
      </c>
      <c r="F132" s="38">
        <v>0.66139255699999999</v>
      </c>
      <c r="G132" s="38">
        <f>($F$132 -  AVERAGE($F$116,$F$117,$F$118) ) / ($F$132 -  AVERAGE($F$116,$F$117,$F$118) ) * 100</f>
        <v>100</v>
      </c>
      <c r="H132" s="38">
        <v>0</v>
      </c>
      <c r="I132" s="41">
        <f>LN($G$132)</f>
        <v>4.6051701859880918</v>
      </c>
      <c r="J132" s="34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>
        <f>IF(ISTEXT($I$132),"",14)</f>
        <v>14</v>
      </c>
      <c r="V132" s="32">
        <f t="shared" si="12"/>
        <v>0</v>
      </c>
      <c r="W132" s="32">
        <f t="shared" si="13"/>
        <v>4.6051701859880918</v>
      </c>
      <c r="X132" s="32"/>
      <c r="Y132" s="32"/>
    </row>
    <row r="133" spans="1:30" x14ac:dyDescent="0.25">
      <c r="A133" s="33" t="s">
        <v>179</v>
      </c>
      <c r="B133" s="33" t="s">
        <v>163</v>
      </c>
      <c r="C133" s="33" t="s">
        <v>15</v>
      </c>
      <c r="D133" s="39">
        <v>34062.421999999999</v>
      </c>
      <c r="E133" s="39">
        <v>26123.016</v>
      </c>
      <c r="F133" s="39">
        <v>1.3039237889999999</v>
      </c>
      <c r="G133" s="39">
        <f>($F$133 -  AVERAGE($F$116,$F$117,$F$118) ) / ($F$133 -  AVERAGE($F$116,$F$117,$F$118) ) * 100</f>
        <v>100</v>
      </c>
      <c r="H133" s="39">
        <v>0</v>
      </c>
      <c r="I133" s="40">
        <f>LN($G$133)</f>
        <v>4.6051701859880918</v>
      </c>
      <c r="J133" s="35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>
        <f>IF(ISTEXT($I$133),"",15)</f>
        <v>15</v>
      </c>
      <c r="V133" s="33">
        <f t="shared" si="12"/>
        <v>0</v>
      </c>
      <c r="W133" s="33">
        <f t="shared" si="13"/>
        <v>4.6051701859880918</v>
      </c>
      <c r="X133" s="33"/>
      <c r="Y133" s="33"/>
    </row>
    <row r="134" spans="1:30" ht="15.75" thickBot="1" x14ac:dyDescent="0.3">
      <c r="A134" s="32"/>
      <c r="B134" s="32"/>
      <c r="C134" s="32"/>
      <c r="D134" s="38"/>
      <c r="E134" s="38"/>
      <c r="F134" s="38"/>
      <c r="G134" s="38"/>
      <c r="H134" s="38"/>
      <c r="I134" s="38"/>
      <c r="J134" s="34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</row>
    <row r="135" spans="1:30" ht="16.5" thickTop="1" thickBot="1" x14ac:dyDescent="0.3">
      <c r="A135" s="33" t="s">
        <v>6</v>
      </c>
      <c r="B135" s="33" t="s">
        <v>16</v>
      </c>
      <c r="C135" s="33" t="s">
        <v>17</v>
      </c>
      <c r="D135" s="39">
        <v>1</v>
      </c>
      <c r="E135" s="39">
        <v>37229.300999999999</v>
      </c>
      <c r="F135" s="39">
        <v>2.6860563404077881E-5</v>
      </c>
      <c r="G135" s="39"/>
      <c r="H135" s="39"/>
      <c r="I135" s="39"/>
      <c r="J135" s="35"/>
      <c r="K135" s="33"/>
      <c r="L135" s="33"/>
      <c r="M135" s="33"/>
      <c r="N135" s="33"/>
      <c r="O135" s="33"/>
      <c r="P135" s="33"/>
      <c r="Q135" s="33"/>
      <c r="R135" s="33" t="s">
        <v>59</v>
      </c>
      <c r="S135" s="33"/>
      <c r="T135" s="33">
        <v>8</v>
      </c>
      <c r="U135" s="33"/>
      <c r="V135" s="33"/>
      <c r="W135" s="33"/>
      <c r="X135" s="33"/>
      <c r="Y135" s="33"/>
      <c r="Z135" s="9" t="s">
        <v>45</v>
      </c>
      <c r="AA135" s="9" t="s">
        <v>47</v>
      </c>
      <c r="AB135" s="9" t="s">
        <v>48</v>
      </c>
      <c r="AC135" s="9" t="s">
        <v>49</v>
      </c>
      <c r="AD135" s="9" t="s">
        <v>50</v>
      </c>
    </row>
    <row r="136" spans="1:30" ht="15.75" thickTop="1" x14ac:dyDescent="0.25">
      <c r="A136" s="32" t="s">
        <v>8</v>
      </c>
      <c r="B136" s="32" t="s">
        <v>16</v>
      </c>
      <c r="C136" s="32" t="s">
        <v>17</v>
      </c>
      <c r="D136" s="38">
        <v>1</v>
      </c>
      <c r="E136" s="38">
        <v>37141.370999999999</v>
      </c>
      <c r="F136" s="38">
        <v>2.6924154199908239E-5</v>
      </c>
      <c r="G136" s="38"/>
      <c r="H136" s="38"/>
      <c r="I136" s="38"/>
      <c r="J136" s="34"/>
      <c r="K136" s="32"/>
      <c r="L136" s="32"/>
      <c r="M136" s="32"/>
      <c r="N136" s="32"/>
      <c r="O136" s="32"/>
      <c r="P136" s="32"/>
      <c r="Q136" s="32"/>
      <c r="R136" s="32" t="s">
        <v>45</v>
      </c>
      <c r="S136" s="32"/>
      <c r="T136" s="32">
        <v>138</v>
      </c>
      <c r="U136" s="32"/>
      <c r="V136" s="32"/>
      <c r="W136" s="32"/>
      <c r="X136" s="32"/>
      <c r="Y136" s="32"/>
      <c r="Z136" s="10">
        <f>$H$138</f>
        <v>120</v>
      </c>
      <c r="AA136" s="16">
        <f>IF(ISTEXT($I$138),TEXT($G$138/100,"0.00%"),$G$138 / 100)</f>
        <v>2.4707649705376024E-3</v>
      </c>
      <c r="AB136" s="17">
        <f>IF(ISTEXT($I$139),TEXT($G$139/100,"0.00%"),$G$139 / 100)</f>
        <v>8.8131097617871995E-4</v>
      </c>
      <c r="AC136" s="16">
        <f>IF(ISTEXT($I$140),TEXT($G$140/100,"0.00%"),$G$140 / 100)</f>
        <v>1.3350625565419589E-3</v>
      </c>
      <c r="AD136" s="16">
        <f>IFERROR(AVERAGE($AA$136:$AC$136),"")</f>
        <v>1.5623795010860936E-3</v>
      </c>
    </row>
    <row r="137" spans="1:30" x14ac:dyDescent="0.25">
      <c r="A137" s="33" t="s">
        <v>9</v>
      </c>
      <c r="B137" s="33" t="s">
        <v>16</v>
      </c>
      <c r="C137" s="33" t="s">
        <v>17</v>
      </c>
      <c r="D137" s="39">
        <v>1.5289999999999999</v>
      </c>
      <c r="E137" s="39">
        <v>36262.148000000001</v>
      </c>
      <c r="F137" s="39">
        <v>4.2165200000000001E-5</v>
      </c>
      <c r="G137" s="39"/>
      <c r="H137" s="39"/>
      <c r="I137" s="39"/>
      <c r="J137" s="35"/>
      <c r="K137" s="33"/>
      <c r="L137" s="33"/>
      <c r="M137" s="33"/>
      <c r="N137" s="33"/>
      <c r="O137" s="33"/>
      <c r="P137" s="33"/>
      <c r="Q137" s="33"/>
      <c r="R137" s="33" t="s">
        <v>46</v>
      </c>
      <c r="S137" s="33"/>
      <c r="T137" s="33">
        <v>152</v>
      </c>
      <c r="U137" s="33"/>
      <c r="V137" s="33"/>
      <c r="W137" s="33"/>
      <c r="X137" s="33"/>
      <c r="Y137" s="33"/>
      <c r="Z137" s="10">
        <f>$H$141</f>
        <v>60</v>
      </c>
      <c r="AA137" s="14">
        <f>IF(ISTEXT($I$141),TEXT($G$141/100,"0.00%"),$G$141 / 100)</f>
        <v>2.5503721525861497E-2</v>
      </c>
      <c r="AB137" s="14">
        <f>IF(ISTEXT($I$142),TEXT($G$142/100,"0.00%"),$G$142 / 100)</f>
        <v>3.1667374120212817E-2</v>
      </c>
      <c r="AC137" s="14">
        <f>IF(ISTEXT($I$143),TEXT($G$143/100,"0.00%"),$G$143 / 100)</f>
        <v>3.1025598759378888E-2</v>
      </c>
      <c r="AD137" s="14">
        <f>IFERROR(AVERAGE($AA$137:$AC$137),"")</f>
        <v>2.9398898135151064E-2</v>
      </c>
    </row>
    <row r="138" spans="1:30" x14ac:dyDescent="0.25">
      <c r="A138" s="32" t="s">
        <v>21</v>
      </c>
      <c r="B138" s="32" t="s">
        <v>16</v>
      </c>
      <c r="C138" s="32" t="s">
        <v>17</v>
      </c>
      <c r="D138" s="38">
        <v>154.08099999999999</v>
      </c>
      <c r="E138" s="38">
        <v>31164.973000000002</v>
      </c>
      <c r="F138" s="38">
        <v>4.9440439999999999E-3</v>
      </c>
      <c r="G138" s="38">
        <f>($F$138 -  AVERAGE($F$135,$F$136,$F$137) ) / ($F$150 -  AVERAGE($F$135,$F$136,$F$137) ) * 100</f>
        <v>0.24707649705376025</v>
      </c>
      <c r="H138" s="38">
        <v>120</v>
      </c>
      <c r="I138" s="41">
        <f>LN($G$138)</f>
        <v>-1.3980572856316578</v>
      </c>
      <c r="J138" s="34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>
        <f>IF(ISTEXT($I$138),"",1)</f>
        <v>1</v>
      </c>
      <c r="V138" s="32">
        <f t="shared" ref="V138:V152" si="14">IFERROR(INDEX($H$138:$H$152,SMALL($U$138:$U$152,ROW(W1)),1),"")</f>
        <v>120</v>
      </c>
      <c r="W138" s="32">
        <f t="shared" ref="W138:W152" si="15">IFERROR(INDEX($I$138:$I$152,SMALL($U$138:$U$152,ROW(I1)),1),"")</f>
        <v>-1.3980572856316578</v>
      </c>
      <c r="X138" s="32"/>
      <c r="Y138" s="32"/>
      <c r="Z138" s="10">
        <f>$H$144</f>
        <v>30</v>
      </c>
      <c r="AA138" s="11">
        <f>IF(ISTEXT($I$144),TEXT($G$144/100,"0.00%"),$G$144 / 100)</f>
        <v>0.1867764324736248</v>
      </c>
      <c r="AB138" s="11">
        <f>IF(ISTEXT($I$145),TEXT($G$145/100,"0.00%"),$G$145 / 100)</f>
        <v>0.18898190694467917</v>
      </c>
      <c r="AC138" s="11">
        <f>IF(ISTEXT($I$146),TEXT($G$146/100,"0.00%"),$G$146 / 100)</f>
        <v>0.19266809161996265</v>
      </c>
      <c r="AD138" s="11">
        <f>IFERROR(AVERAGE($AA$138:$AC$138),"")</f>
        <v>0.18947547701275555</v>
      </c>
    </row>
    <row r="139" spans="1:30" x14ac:dyDescent="0.25">
      <c r="A139" s="33" t="s">
        <v>22</v>
      </c>
      <c r="B139" s="33" t="s">
        <v>16</v>
      </c>
      <c r="C139" s="33" t="s">
        <v>17</v>
      </c>
      <c r="D139" s="39">
        <v>74.081000000000003</v>
      </c>
      <c r="E139" s="39">
        <v>31034.988000000001</v>
      </c>
      <c r="F139" s="39">
        <v>2.3870160000000001E-3</v>
      </c>
      <c r="G139" s="39">
        <f>($F$139 -  AVERAGE($F$135,$F$136,$F$137) ) / ($F$151 -  AVERAGE($F$135,$F$136,$F$137) ) * 100</f>
        <v>8.8131097617871995E-2</v>
      </c>
      <c r="H139" s="39">
        <v>120</v>
      </c>
      <c r="I139" s="40">
        <f>LN($G$139)</f>
        <v>-2.4289298274165012</v>
      </c>
      <c r="J139" s="35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>
        <f>IF(ISTEXT($I$139),"",2)</f>
        <v>2</v>
      </c>
      <c r="V139" s="33">
        <f t="shared" si="14"/>
        <v>120</v>
      </c>
      <c r="W139" s="33">
        <f t="shared" si="15"/>
        <v>-2.4289298274165012</v>
      </c>
      <c r="X139" s="33"/>
      <c r="Y139" s="33"/>
      <c r="Z139" s="10">
        <f>$H$147</f>
        <v>15</v>
      </c>
      <c r="AA139" s="11">
        <f>IF(ISTEXT($I$147),TEXT($G$147/100,"0.00%"),$G$147 / 100)</f>
        <v>0.40165058934246239</v>
      </c>
      <c r="AB139" s="11">
        <f>IF(ISTEXT($I$148),TEXT($G$148/100,"0.00%"),$G$148 / 100)</f>
        <v>0.33258396986464367</v>
      </c>
      <c r="AC139" s="11">
        <f>IF(ISTEXT($I$149),TEXT($G$149/100,"0.00%"),$G$149 / 100)</f>
        <v>0.4068016659955962</v>
      </c>
      <c r="AD139" s="11">
        <f>IFERROR(AVERAGE($AA$139:$AC$139),"")</f>
        <v>0.38034540840090075</v>
      </c>
    </row>
    <row r="140" spans="1:30" ht="15.75" thickBot="1" x14ac:dyDescent="0.3">
      <c r="A140" s="32" t="s">
        <v>23</v>
      </c>
      <c r="B140" s="32" t="s">
        <v>16</v>
      </c>
      <c r="C140" s="32" t="s">
        <v>17</v>
      </c>
      <c r="D140" s="38">
        <v>95.061000000000007</v>
      </c>
      <c r="E140" s="38">
        <v>30469.103999999999</v>
      </c>
      <c r="F140" s="38">
        <v>3.119915E-3</v>
      </c>
      <c r="G140" s="38">
        <f>($F$140 -  AVERAGE($F$135,$F$136,$F$137) ) / ($F$152 -  AVERAGE($F$135,$F$136,$F$137) ) * 100</f>
        <v>0.13350625565419588</v>
      </c>
      <c r="H140" s="38">
        <v>120</v>
      </c>
      <c r="I140" s="41">
        <f>LN($G$140)</f>
        <v>-2.0136069434067458</v>
      </c>
      <c r="J140" s="34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>
        <f>IF(ISTEXT($I$140),"",3)</f>
        <v>3</v>
      </c>
      <c r="V140" s="32">
        <f t="shared" si="14"/>
        <v>120</v>
      </c>
      <c r="W140" s="32">
        <f t="shared" si="15"/>
        <v>-2.0136069434067458</v>
      </c>
      <c r="X140" s="32"/>
      <c r="Y140" s="32"/>
      <c r="Z140" s="12">
        <f>$H$150</f>
        <v>0</v>
      </c>
      <c r="AA140" s="13">
        <f>IF(ISTEXT($I$150),TEXT($G$150/100,"0.00%"),$G$150 / 100)</f>
        <v>1</v>
      </c>
      <c r="AB140" s="13">
        <f>IF(ISTEXT($I$151),TEXT($G$151/100,"0.00%"),$G$151 / 100)</f>
        <v>1</v>
      </c>
      <c r="AC140" s="13">
        <f>IF(ISTEXT($I$152),TEXT($G$152/100,"0.00%"),$G$152 / 100)</f>
        <v>1</v>
      </c>
      <c r="AD140" s="13">
        <f>IFERROR(AVERAGE($AA$140:$AC$140),"")</f>
        <v>1</v>
      </c>
    </row>
    <row r="141" spans="1:30" ht="16.5" thickTop="1" thickBot="1" x14ac:dyDescent="0.3">
      <c r="A141" s="33" t="s">
        <v>30</v>
      </c>
      <c r="B141" s="33" t="s">
        <v>16</v>
      </c>
      <c r="C141" s="33" t="s">
        <v>17</v>
      </c>
      <c r="D141" s="39">
        <v>1579.181</v>
      </c>
      <c r="E141" s="39">
        <v>31125.919999999998</v>
      </c>
      <c r="F141" s="39">
        <v>5.0735239000000001E-2</v>
      </c>
      <c r="G141" s="39">
        <f>($F$141 -  AVERAGE($F$135,$F$136,$F$137) ) / ($F$150 -  AVERAGE($F$135,$F$136,$F$137) ) * 100</f>
        <v>2.5503721525861498</v>
      </c>
      <c r="H141" s="39">
        <v>60</v>
      </c>
      <c r="I141" s="40">
        <f>LN($G$141)</f>
        <v>0.93623929071245626</v>
      </c>
      <c r="J141" s="35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>
        <f>IF(ISTEXT($I$141),"",4)</f>
        <v>4</v>
      </c>
      <c r="V141" s="33">
        <f t="shared" si="14"/>
        <v>60</v>
      </c>
      <c r="W141" s="33">
        <f t="shared" si="15"/>
        <v>0.93623929071245626</v>
      </c>
      <c r="X141" s="33"/>
      <c r="Y141" s="33"/>
    </row>
    <row r="142" spans="1:30" x14ac:dyDescent="0.25">
      <c r="A142" s="32" t="s">
        <v>31</v>
      </c>
      <c r="B142" s="32" t="s">
        <v>16</v>
      </c>
      <c r="C142" s="32" t="s">
        <v>17</v>
      </c>
      <c r="D142" s="38">
        <v>2797.8910000000001</v>
      </c>
      <c r="E142" s="38">
        <v>33051.171999999999</v>
      </c>
      <c r="F142" s="38">
        <v>8.4653306999999997E-2</v>
      </c>
      <c r="G142" s="38">
        <f>($F$142 -  AVERAGE($F$135,$F$136,$F$137) ) / ($F$151 -  AVERAGE($F$135,$F$136,$F$137) ) * 100</f>
        <v>3.1667374120212819</v>
      </c>
      <c r="H142" s="38">
        <v>60</v>
      </c>
      <c r="I142" s="41">
        <f>LN($G$142)</f>
        <v>1.1527018503271367</v>
      </c>
      <c r="J142" s="34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>
        <f>IF(ISTEXT($I$142),"",5)</f>
        <v>5</v>
      </c>
      <c r="V142" s="32">
        <f t="shared" si="14"/>
        <v>60</v>
      </c>
      <c r="W142" s="32">
        <f t="shared" si="15"/>
        <v>1.1527018503271367</v>
      </c>
      <c r="X142" s="32"/>
      <c r="Y142" s="32"/>
      <c r="Z142" s="20" t="s">
        <v>51</v>
      </c>
      <c r="AA142" s="29">
        <f>IFERROR(SLOPE($W$138:$W$152,$V$138:$V$152),"")</f>
        <v>-5.4477334093082072E-2</v>
      </c>
    </row>
    <row r="143" spans="1:30" x14ac:dyDescent="0.25">
      <c r="A143" s="33" t="s">
        <v>32</v>
      </c>
      <c r="B143" s="33" t="s">
        <v>16</v>
      </c>
      <c r="C143" s="33" t="s">
        <v>17</v>
      </c>
      <c r="D143" s="39">
        <v>2262.152</v>
      </c>
      <c r="E143" s="39">
        <v>31509.537</v>
      </c>
      <c r="F143" s="39">
        <v>7.1792613000000005E-2</v>
      </c>
      <c r="G143" s="39">
        <f>($F$143 -  AVERAGE($F$135,$F$136,$F$137) ) / ($F$152 -  AVERAGE($F$135,$F$136,$F$137) ) * 100</f>
        <v>3.1025598759378887</v>
      </c>
      <c r="H143" s="39">
        <v>60</v>
      </c>
      <c r="I143" s="40">
        <f>LN($G$143)</f>
        <v>1.1322275371651556</v>
      </c>
      <c r="J143" s="35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>
        <f>IF(ISTEXT($I$143),"",6)</f>
        <v>6</v>
      </c>
      <c r="V143" s="33">
        <f t="shared" si="14"/>
        <v>60</v>
      </c>
      <c r="W143" s="33">
        <f t="shared" si="15"/>
        <v>1.1322275371651556</v>
      </c>
      <c r="X143" s="33"/>
      <c r="Y143" s="33"/>
      <c r="Z143" s="22" t="s">
        <v>52</v>
      </c>
      <c r="AA143" s="23">
        <f>IFERROR(INTERCEPT($W$138:$W$152,$V$138:$V$152),"")</f>
        <v>4.5130738934997785</v>
      </c>
    </row>
    <row r="144" spans="1:30" ht="17.25" x14ac:dyDescent="0.25">
      <c r="A144" s="32" t="s">
        <v>27</v>
      </c>
      <c r="B144" s="32" t="s">
        <v>16</v>
      </c>
      <c r="C144" s="32" t="s">
        <v>17</v>
      </c>
      <c r="D144" s="38">
        <v>12025.534</v>
      </c>
      <c r="E144" s="38">
        <v>32382.666000000001</v>
      </c>
      <c r="F144" s="38">
        <v>0.37135713300000001</v>
      </c>
      <c r="G144" s="38">
        <f>($F$144 -  AVERAGE($F$135,$F$136,$F$137) ) / ($F$150 -  AVERAGE($F$135,$F$136,$F$137) ) * 100</f>
        <v>18.677643247362479</v>
      </c>
      <c r="H144" s="38">
        <v>30</v>
      </c>
      <c r="I144" s="41">
        <f>LN($G$144)</f>
        <v>2.9273272603531981</v>
      </c>
      <c r="J144" s="34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>
        <f>IF(ISTEXT($I$144),"",7)</f>
        <v>7</v>
      </c>
      <c r="V144" s="32">
        <f t="shared" si="14"/>
        <v>30</v>
      </c>
      <c r="W144" s="32">
        <f t="shared" si="15"/>
        <v>2.9273272603531981</v>
      </c>
      <c r="X144" s="32"/>
      <c r="Y144" s="32"/>
      <c r="Z144" s="22" t="s">
        <v>53</v>
      </c>
      <c r="AA144" s="26">
        <f>IFERROR(CORREL($W$138:$W$152,$V$138:$V$152)^2,"")</f>
        <v>0.99076907374953493</v>
      </c>
    </row>
    <row r="145" spans="1:27" ht="18" x14ac:dyDescent="0.35">
      <c r="A145" s="33" t="s">
        <v>28</v>
      </c>
      <c r="B145" s="33" t="s">
        <v>16</v>
      </c>
      <c r="C145" s="33" t="s">
        <v>17</v>
      </c>
      <c r="D145" s="39">
        <v>16263.214</v>
      </c>
      <c r="E145" s="39">
        <v>32202.596000000001</v>
      </c>
      <c r="F145" s="39">
        <v>0.50502804199999995</v>
      </c>
      <c r="G145" s="39">
        <f>($F$145 -  AVERAGE($F$135,$F$136,$F$137) ) / ($F$151 -  AVERAGE($F$135,$F$136,$F$137) ) * 100</f>
        <v>18.898190694467917</v>
      </c>
      <c r="H145" s="39">
        <v>30</v>
      </c>
      <c r="I145" s="40">
        <f>LN($G$145)</f>
        <v>2.9390661870317119</v>
      </c>
      <c r="J145" s="35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>
        <f>IF(ISTEXT($I$145),"",8)</f>
        <v>8</v>
      </c>
      <c r="V145" s="33">
        <f t="shared" si="14"/>
        <v>30</v>
      </c>
      <c r="W145" s="33">
        <f t="shared" si="15"/>
        <v>2.9390661870317119</v>
      </c>
      <c r="X145" s="33"/>
      <c r="Y145" s="33"/>
      <c r="Z145" s="22" t="s">
        <v>54</v>
      </c>
      <c r="AA145" s="30">
        <f>IF(AA142&gt;0,"",IFERROR(LN(2) /ABS(AA142),0))</f>
        <v>12.723588481323395</v>
      </c>
    </row>
    <row r="146" spans="1:27" ht="18.75" x14ac:dyDescent="0.35">
      <c r="A146" s="32" t="s">
        <v>29</v>
      </c>
      <c r="B146" s="32" t="s">
        <v>16</v>
      </c>
      <c r="C146" s="32" t="s">
        <v>17</v>
      </c>
      <c r="D146" s="38">
        <v>14940.200999999999</v>
      </c>
      <c r="E146" s="38">
        <v>33523.504000000001</v>
      </c>
      <c r="F146" s="38">
        <v>0.44566346600000001</v>
      </c>
      <c r="G146" s="38">
        <f>($F$146 -  AVERAGE($F$135,$F$136,$F$137) ) / ($F$152 -  AVERAGE($F$135,$F$136,$F$137) ) * 100</f>
        <v>19.266809161996264</v>
      </c>
      <c r="H146" s="38">
        <v>30</v>
      </c>
      <c r="I146" s="41">
        <f>LN($G$146)</f>
        <v>2.9583838829342355</v>
      </c>
      <c r="J146" s="34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>
        <f>IF(ISTEXT($I$146),"",9)</f>
        <v>9</v>
      </c>
      <c r="V146" s="32">
        <f t="shared" si="14"/>
        <v>30</v>
      </c>
      <c r="W146" s="32">
        <f t="shared" si="15"/>
        <v>2.9583838829342355</v>
      </c>
      <c r="X146" s="32"/>
      <c r="Y146" s="32"/>
      <c r="Z146" s="22" t="s">
        <v>55</v>
      </c>
      <c r="AA146" s="25">
        <f>IF(AA142&gt;0,0,IFERROR(ABS(AA142 * 1000 / 0.5),0))</f>
        <v>108.95466818616414</v>
      </c>
    </row>
    <row r="147" spans="1:27" ht="15.75" thickBot="1" x14ac:dyDescent="0.3">
      <c r="A147" s="33" t="s">
        <v>24</v>
      </c>
      <c r="B147" s="33" t="s">
        <v>16</v>
      </c>
      <c r="C147" s="33" t="s">
        <v>17</v>
      </c>
      <c r="D147" s="39">
        <v>28923.958999999999</v>
      </c>
      <c r="E147" s="39">
        <v>36220.934000000001</v>
      </c>
      <c r="F147" s="39">
        <v>0.79854260499999996</v>
      </c>
      <c r="G147" s="39">
        <f>($F$147 -  AVERAGE($F$135,$F$136,$F$137) ) / ($F$150 -  AVERAGE($F$135,$F$136,$F$137) ) * 100</f>
        <v>40.16505893424624</v>
      </c>
      <c r="H147" s="39">
        <v>15</v>
      </c>
      <c r="I147" s="40">
        <f>LN($G$147)</f>
        <v>3.6929974369282283</v>
      </c>
      <c r="J147" s="35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>
        <f>IF(ISTEXT($I$147),"",10)</f>
        <v>10</v>
      </c>
      <c r="V147" s="33">
        <f t="shared" si="14"/>
        <v>15</v>
      </c>
      <c r="W147" s="33">
        <f t="shared" si="15"/>
        <v>3.6929974369282283</v>
      </c>
      <c r="X147" s="33"/>
      <c r="Y147" s="33"/>
      <c r="Z147" s="27" t="s">
        <v>39</v>
      </c>
      <c r="AA147" s="28" t="s">
        <v>34</v>
      </c>
    </row>
    <row r="148" spans="1:27" x14ac:dyDescent="0.25">
      <c r="A148" s="32" t="s">
        <v>25</v>
      </c>
      <c r="B148" s="32" t="s">
        <v>16</v>
      </c>
      <c r="C148" s="32" t="s">
        <v>17</v>
      </c>
      <c r="D148" s="38">
        <v>27954.335999999999</v>
      </c>
      <c r="E148" s="38">
        <v>31453.173999999999</v>
      </c>
      <c r="F148" s="38">
        <v>0.888760416</v>
      </c>
      <c r="G148" s="38">
        <f>($F$148 -  AVERAGE($F$135,$F$136,$F$137) ) / ($F$151 -  AVERAGE($F$135,$F$136,$F$137) ) * 100</f>
        <v>33.258396986464369</v>
      </c>
      <c r="H148" s="38">
        <v>15</v>
      </c>
      <c r="I148" s="41">
        <f>LN($G$148)</f>
        <v>3.5043072761650631</v>
      </c>
      <c r="J148" s="34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>
        <f>IF(ISTEXT($I$148),"",11)</f>
        <v>11</v>
      </c>
      <c r="V148" s="32">
        <f t="shared" si="14"/>
        <v>15</v>
      </c>
      <c r="W148" s="32">
        <f t="shared" si="15"/>
        <v>3.5043072761650631</v>
      </c>
      <c r="X148" s="32"/>
      <c r="Y148" s="32"/>
    </row>
    <row r="149" spans="1:27" x14ac:dyDescent="0.25">
      <c r="A149" s="33" t="s">
        <v>26</v>
      </c>
      <c r="B149" s="33" t="s">
        <v>16</v>
      </c>
      <c r="C149" s="33" t="s">
        <v>17</v>
      </c>
      <c r="D149" s="39">
        <v>32814.563000000002</v>
      </c>
      <c r="E149" s="39">
        <v>34874.105000000003</v>
      </c>
      <c r="F149" s="39">
        <v>0.94094351700000001</v>
      </c>
      <c r="G149" s="39">
        <f>($F$149 -  AVERAGE($F$135,$F$136,$F$137) ) / ($F$152 -  AVERAGE($F$135,$F$136,$F$137) ) * 100</f>
        <v>40.68016659955962</v>
      </c>
      <c r="H149" s="39">
        <v>15</v>
      </c>
      <c r="I149" s="40">
        <f>LN($G$149)</f>
        <v>3.7057406665397123</v>
      </c>
      <c r="J149" s="35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>
        <f>IF(ISTEXT($I$149),"",12)</f>
        <v>12</v>
      </c>
      <c r="V149" s="33">
        <f t="shared" si="14"/>
        <v>15</v>
      </c>
      <c r="W149" s="33">
        <f t="shared" si="15"/>
        <v>3.7057406665397123</v>
      </c>
      <c r="X149" s="33"/>
      <c r="Y149" s="33"/>
    </row>
    <row r="150" spans="1:27" x14ac:dyDescent="0.25">
      <c r="A150" s="32" t="s">
        <v>18</v>
      </c>
      <c r="B150" s="32" t="s">
        <v>16</v>
      </c>
      <c r="C150" s="32" t="s">
        <v>17</v>
      </c>
      <c r="D150" s="38">
        <v>56705.116999999998</v>
      </c>
      <c r="E150" s="38">
        <v>28522.197</v>
      </c>
      <c r="F150" s="38">
        <v>1.9881048079999999</v>
      </c>
      <c r="G150" s="38">
        <f>($F$150 -  AVERAGE($F$135,$F$136,$F$137) ) / ($F$150 -  AVERAGE($F$135,$F$136,$F$137) ) * 100</f>
        <v>100</v>
      </c>
      <c r="H150" s="38">
        <v>0</v>
      </c>
      <c r="I150" s="41">
        <f>LN($G$150)</f>
        <v>4.6051701859880918</v>
      </c>
      <c r="J150" s="34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>
        <f>IF(ISTEXT($I$150),"",13)</f>
        <v>13</v>
      </c>
      <c r="V150" s="32">
        <f t="shared" si="14"/>
        <v>0</v>
      </c>
      <c r="W150" s="32">
        <f t="shared" si="15"/>
        <v>4.6051701859880918</v>
      </c>
      <c r="X150" s="32"/>
      <c r="Y150" s="32"/>
    </row>
    <row r="151" spans="1:27" x14ac:dyDescent="0.25">
      <c r="A151" s="33" t="s">
        <v>19</v>
      </c>
      <c r="B151" s="33" t="s">
        <v>16</v>
      </c>
      <c r="C151" s="33" t="s">
        <v>17</v>
      </c>
      <c r="D151" s="39">
        <v>80012.077999999994</v>
      </c>
      <c r="E151" s="39">
        <v>29942.123</v>
      </c>
      <c r="F151" s="39">
        <v>2.6722246119999999</v>
      </c>
      <c r="G151" s="39">
        <f>($F$151 -  AVERAGE($F$135,$F$136,$F$137) ) / ($F$151 -  AVERAGE($F$135,$F$136,$F$137) ) * 100</f>
        <v>100</v>
      </c>
      <c r="H151" s="39">
        <v>0</v>
      </c>
      <c r="I151" s="40">
        <f>LN($G$151)</f>
        <v>4.6051701859880918</v>
      </c>
      <c r="J151" s="35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>
        <f>IF(ISTEXT($I$151),"",14)</f>
        <v>14</v>
      </c>
      <c r="V151" s="33">
        <f t="shared" si="14"/>
        <v>0</v>
      </c>
      <c r="W151" s="33">
        <f t="shared" si="15"/>
        <v>4.6051701859880918</v>
      </c>
      <c r="X151" s="33"/>
      <c r="Y151" s="33"/>
    </row>
    <row r="152" spans="1:27" x14ac:dyDescent="0.25">
      <c r="A152" s="32" t="s">
        <v>20</v>
      </c>
      <c r="B152" s="32" t="s">
        <v>16</v>
      </c>
      <c r="C152" s="32" t="s">
        <v>17</v>
      </c>
      <c r="D152" s="38">
        <v>74467.437999999995</v>
      </c>
      <c r="E152" s="38">
        <v>32195.437999999998</v>
      </c>
      <c r="F152" s="38">
        <v>2.3129810499999999</v>
      </c>
      <c r="G152" s="38">
        <f>($F$152 -  AVERAGE($F$135,$F$136,$F$137) ) / ($F$152 -  AVERAGE($F$135,$F$136,$F$137) ) * 100</f>
        <v>100</v>
      </c>
      <c r="H152" s="38">
        <v>0</v>
      </c>
      <c r="I152" s="41">
        <f>LN($G$152)</f>
        <v>4.6051701859880918</v>
      </c>
      <c r="J152" s="34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>
        <f>IF(ISTEXT($I$152),"",15)</f>
        <v>15</v>
      </c>
      <c r="V152" s="32">
        <f t="shared" si="14"/>
        <v>0</v>
      </c>
      <c r="W152" s="32">
        <f t="shared" si="15"/>
        <v>4.6051701859880918</v>
      </c>
      <c r="X152" s="32"/>
      <c r="Y152" s="32"/>
    </row>
  </sheetData>
  <sortState ref="A2:L145">
    <sortCondition ref="H2:H145"/>
    <sortCondition ref="L2:L145"/>
    <sortCondition ref="B2:B145"/>
    <sortCondition ref="G2:G145"/>
    <sortCondition descending="1" ref="J2:J145"/>
    <sortCondition ref="K2:K145"/>
  </sortState>
  <conditionalFormatting sqref="I5">
    <cfRule type="expression" dxfId="833" priority="280">
      <formula>ISTEXT($I$5)</formula>
    </cfRule>
  </conditionalFormatting>
  <conditionalFormatting sqref="I6">
    <cfRule type="expression" dxfId="832" priority="279">
      <formula>ISTEXT($I$6)</formula>
    </cfRule>
  </conditionalFormatting>
  <conditionalFormatting sqref="I7">
    <cfRule type="expression" dxfId="831" priority="278">
      <formula>ISTEXT($I$7)</formula>
    </cfRule>
  </conditionalFormatting>
  <conditionalFormatting sqref="I8">
    <cfRule type="expression" dxfId="830" priority="277">
      <formula>ISTEXT($I$8)</formula>
    </cfRule>
  </conditionalFormatting>
  <conditionalFormatting sqref="I9">
    <cfRule type="expression" dxfId="829" priority="276">
      <formula>ISTEXT($I$9)</formula>
    </cfRule>
  </conditionalFormatting>
  <conditionalFormatting sqref="I10">
    <cfRule type="expression" dxfId="828" priority="275">
      <formula>ISTEXT($I$10)</formula>
    </cfRule>
  </conditionalFormatting>
  <conditionalFormatting sqref="I11">
    <cfRule type="expression" dxfId="827" priority="274">
      <formula>ISTEXT($I$11)</formula>
    </cfRule>
  </conditionalFormatting>
  <conditionalFormatting sqref="I12">
    <cfRule type="expression" dxfId="826" priority="273">
      <formula>ISTEXT($I$12)</formula>
    </cfRule>
  </conditionalFormatting>
  <conditionalFormatting sqref="I13">
    <cfRule type="expression" dxfId="825" priority="272">
      <formula>ISTEXT($I$13)</formula>
    </cfRule>
  </conditionalFormatting>
  <conditionalFormatting sqref="I14">
    <cfRule type="expression" dxfId="824" priority="271">
      <formula>ISTEXT($I$14)</formula>
    </cfRule>
  </conditionalFormatting>
  <conditionalFormatting sqref="I15">
    <cfRule type="expression" dxfId="823" priority="270">
      <formula>ISTEXT($I$15)</formula>
    </cfRule>
  </conditionalFormatting>
  <conditionalFormatting sqref="I16">
    <cfRule type="expression" dxfId="822" priority="269">
      <formula>ISTEXT($I$16)</formula>
    </cfRule>
  </conditionalFormatting>
  <conditionalFormatting sqref="I17">
    <cfRule type="expression" dxfId="821" priority="268">
      <formula>ISTEXT($I$17)</formula>
    </cfRule>
  </conditionalFormatting>
  <conditionalFormatting sqref="I18">
    <cfRule type="expression" dxfId="820" priority="267">
      <formula>ISTEXT($I$18)</formula>
    </cfRule>
  </conditionalFormatting>
  <conditionalFormatting sqref="I19">
    <cfRule type="expression" dxfId="819" priority="266">
      <formula>ISTEXT($I$19)</formula>
    </cfRule>
  </conditionalFormatting>
  <conditionalFormatting sqref="I24">
    <cfRule type="expression" dxfId="818" priority="265">
      <formula>ISTEXT($I$24)</formula>
    </cfRule>
  </conditionalFormatting>
  <conditionalFormatting sqref="I25">
    <cfRule type="expression" dxfId="817" priority="264">
      <formula>ISTEXT($I$25)</formula>
    </cfRule>
  </conditionalFormatting>
  <conditionalFormatting sqref="I26">
    <cfRule type="expression" dxfId="816" priority="263">
      <formula>ISTEXT($I$26)</formula>
    </cfRule>
  </conditionalFormatting>
  <conditionalFormatting sqref="I27">
    <cfRule type="expression" dxfId="815" priority="262">
      <formula>ISTEXT($I$27)</formula>
    </cfRule>
  </conditionalFormatting>
  <conditionalFormatting sqref="I28">
    <cfRule type="expression" dxfId="814" priority="261">
      <formula>ISTEXT($I$28)</formula>
    </cfRule>
  </conditionalFormatting>
  <conditionalFormatting sqref="I29">
    <cfRule type="expression" dxfId="813" priority="260">
      <formula>ISTEXT($I$29)</formula>
    </cfRule>
  </conditionalFormatting>
  <conditionalFormatting sqref="I30">
    <cfRule type="expression" dxfId="812" priority="259">
      <formula>ISTEXT($I$30)</formula>
    </cfRule>
  </conditionalFormatting>
  <conditionalFormatting sqref="I31">
    <cfRule type="expression" dxfId="811" priority="258">
      <formula>ISTEXT($I$31)</formula>
    </cfRule>
  </conditionalFormatting>
  <conditionalFormatting sqref="I32">
    <cfRule type="expression" dxfId="810" priority="257">
      <formula>ISTEXT($I$32)</formula>
    </cfRule>
  </conditionalFormatting>
  <conditionalFormatting sqref="I33">
    <cfRule type="expression" dxfId="809" priority="256">
      <formula>ISTEXT($I$33)</formula>
    </cfRule>
  </conditionalFormatting>
  <conditionalFormatting sqref="I34">
    <cfRule type="expression" dxfId="808" priority="255">
      <formula>ISTEXT($I$34)</formula>
    </cfRule>
  </conditionalFormatting>
  <conditionalFormatting sqref="I35">
    <cfRule type="expression" dxfId="807" priority="254">
      <formula>ISTEXT($I$35)</formula>
    </cfRule>
  </conditionalFormatting>
  <conditionalFormatting sqref="I36">
    <cfRule type="expression" dxfId="806" priority="253">
      <formula>ISTEXT($I$36)</formula>
    </cfRule>
  </conditionalFormatting>
  <conditionalFormatting sqref="I37">
    <cfRule type="expression" dxfId="805" priority="252">
      <formula>ISTEXT($I$37)</formula>
    </cfRule>
  </conditionalFormatting>
  <conditionalFormatting sqref="I38">
    <cfRule type="expression" dxfId="804" priority="251">
      <formula>ISTEXT($I$38)</formula>
    </cfRule>
  </conditionalFormatting>
  <conditionalFormatting sqref="I43">
    <cfRule type="expression" dxfId="803" priority="250">
      <formula>ISTEXT($I$43)</formula>
    </cfRule>
  </conditionalFormatting>
  <conditionalFormatting sqref="I44">
    <cfRule type="expression" dxfId="802" priority="249">
      <formula>ISTEXT($I$44)</formula>
    </cfRule>
  </conditionalFormatting>
  <conditionalFormatting sqref="I45">
    <cfRule type="expression" dxfId="801" priority="248">
      <formula>ISTEXT($I$45)</formula>
    </cfRule>
  </conditionalFormatting>
  <conditionalFormatting sqref="I46">
    <cfRule type="expression" dxfId="800" priority="247">
      <formula>ISTEXT($I$46)</formula>
    </cfRule>
  </conditionalFormatting>
  <conditionalFormatting sqref="I47">
    <cfRule type="expression" dxfId="799" priority="246">
      <formula>ISTEXT($I$47)</formula>
    </cfRule>
  </conditionalFormatting>
  <conditionalFormatting sqref="I48">
    <cfRule type="expression" dxfId="798" priority="245">
      <formula>ISTEXT($I$48)</formula>
    </cfRule>
  </conditionalFormatting>
  <conditionalFormatting sqref="I49">
    <cfRule type="expression" dxfId="797" priority="244">
      <formula>ISTEXT($I$49)</formula>
    </cfRule>
  </conditionalFormatting>
  <conditionalFormatting sqref="I50">
    <cfRule type="expression" dxfId="796" priority="243">
      <formula>ISTEXT($I$50)</formula>
    </cfRule>
  </conditionalFormatting>
  <conditionalFormatting sqref="I51">
    <cfRule type="expression" dxfId="795" priority="242">
      <formula>ISTEXT($I$51)</formula>
    </cfRule>
  </conditionalFormatting>
  <conditionalFormatting sqref="I52">
    <cfRule type="expression" dxfId="794" priority="241">
      <formula>ISTEXT($I$52)</formula>
    </cfRule>
  </conditionalFormatting>
  <conditionalFormatting sqref="I53">
    <cfRule type="expression" dxfId="793" priority="240">
      <formula>ISTEXT($I$53)</formula>
    </cfRule>
  </conditionalFormatting>
  <conditionalFormatting sqref="I54">
    <cfRule type="expression" dxfId="792" priority="239">
      <formula>ISTEXT($I$54)</formula>
    </cfRule>
  </conditionalFormatting>
  <conditionalFormatting sqref="I55">
    <cfRule type="expression" dxfId="791" priority="238">
      <formula>ISTEXT($I$55)</formula>
    </cfRule>
  </conditionalFormatting>
  <conditionalFormatting sqref="I56">
    <cfRule type="expression" dxfId="790" priority="237">
      <formula>ISTEXT($I$56)</formula>
    </cfRule>
  </conditionalFormatting>
  <conditionalFormatting sqref="I57">
    <cfRule type="expression" dxfId="789" priority="236">
      <formula>ISTEXT($I$57)</formula>
    </cfRule>
  </conditionalFormatting>
  <conditionalFormatting sqref="I62">
    <cfRule type="expression" dxfId="788" priority="235">
      <formula>ISTEXT($I$62)</formula>
    </cfRule>
  </conditionalFormatting>
  <conditionalFormatting sqref="I63">
    <cfRule type="expression" dxfId="787" priority="234">
      <formula>ISTEXT($I$63)</formula>
    </cfRule>
  </conditionalFormatting>
  <conditionalFormatting sqref="I64">
    <cfRule type="expression" dxfId="786" priority="233">
      <formula>ISTEXT($I$64)</formula>
    </cfRule>
  </conditionalFormatting>
  <conditionalFormatting sqref="I65">
    <cfRule type="expression" dxfId="785" priority="232">
      <formula>ISTEXT($I$65)</formula>
    </cfRule>
  </conditionalFormatting>
  <conditionalFormatting sqref="I66">
    <cfRule type="expression" dxfId="784" priority="231">
      <formula>ISTEXT($I$66)</formula>
    </cfRule>
  </conditionalFormatting>
  <conditionalFormatting sqref="I67">
    <cfRule type="expression" dxfId="783" priority="230">
      <formula>ISTEXT($I$67)</formula>
    </cfRule>
  </conditionalFormatting>
  <conditionalFormatting sqref="I68">
    <cfRule type="expression" dxfId="782" priority="229">
      <formula>ISTEXT($I$68)</formula>
    </cfRule>
  </conditionalFormatting>
  <conditionalFormatting sqref="I69">
    <cfRule type="expression" dxfId="781" priority="228">
      <formula>ISTEXT($I$69)</formula>
    </cfRule>
  </conditionalFormatting>
  <conditionalFormatting sqref="I70">
    <cfRule type="expression" dxfId="780" priority="227">
      <formula>ISTEXT($I$70)</formula>
    </cfRule>
  </conditionalFormatting>
  <conditionalFormatting sqref="I71">
    <cfRule type="expression" dxfId="779" priority="226">
      <formula>ISTEXT($I$71)</formula>
    </cfRule>
  </conditionalFormatting>
  <conditionalFormatting sqref="I72">
    <cfRule type="expression" dxfId="778" priority="225">
      <formula>ISTEXT($I$72)</formula>
    </cfRule>
  </conditionalFormatting>
  <conditionalFormatting sqref="I73">
    <cfRule type="expression" dxfId="777" priority="224">
      <formula>ISTEXT($I$73)</formula>
    </cfRule>
  </conditionalFormatting>
  <conditionalFormatting sqref="I74">
    <cfRule type="expression" dxfId="776" priority="223">
      <formula>ISTEXT($I$74)</formula>
    </cfRule>
  </conditionalFormatting>
  <conditionalFormatting sqref="I75">
    <cfRule type="expression" dxfId="775" priority="222">
      <formula>ISTEXT($I$75)</formula>
    </cfRule>
  </conditionalFormatting>
  <conditionalFormatting sqref="I76">
    <cfRule type="expression" dxfId="774" priority="221">
      <formula>ISTEXT($I$76)</formula>
    </cfRule>
  </conditionalFormatting>
  <conditionalFormatting sqref="I81">
    <cfRule type="expression" dxfId="773" priority="220">
      <formula>ISTEXT($I$81)</formula>
    </cfRule>
  </conditionalFormatting>
  <conditionalFormatting sqref="I82">
    <cfRule type="expression" dxfId="772" priority="219">
      <formula>ISTEXT($I$82)</formula>
    </cfRule>
  </conditionalFormatting>
  <conditionalFormatting sqref="I83">
    <cfRule type="expression" dxfId="771" priority="218">
      <formula>ISTEXT($I$83)</formula>
    </cfRule>
  </conditionalFormatting>
  <conditionalFormatting sqref="I84">
    <cfRule type="expression" dxfId="770" priority="217">
      <formula>ISTEXT($I$84)</formula>
    </cfRule>
  </conditionalFormatting>
  <conditionalFormatting sqref="I85">
    <cfRule type="expression" dxfId="769" priority="216">
      <formula>ISTEXT($I$85)</formula>
    </cfRule>
  </conditionalFormatting>
  <conditionalFormatting sqref="I86">
    <cfRule type="expression" dxfId="768" priority="215">
      <formula>ISTEXT($I$86)</formula>
    </cfRule>
  </conditionalFormatting>
  <conditionalFormatting sqref="I87">
    <cfRule type="expression" dxfId="767" priority="214">
      <formula>ISTEXT($I$87)</formula>
    </cfRule>
  </conditionalFormatting>
  <conditionalFormatting sqref="I88">
    <cfRule type="expression" dxfId="766" priority="213">
      <formula>ISTEXT($I$88)</formula>
    </cfRule>
  </conditionalFormatting>
  <conditionalFormatting sqref="I89">
    <cfRule type="expression" dxfId="765" priority="212">
      <formula>ISTEXT($I$89)</formula>
    </cfRule>
  </conditionalFormatting>
  <conditionalFormatting sqref="I90">
    <cfRule type="expression" dxfId="764" priority="211">
      <formula>ISTEXT($I$90)</formula>
    </cfRule>
  </conditionalFormatting>
  <conditionalFormatting sqref="I91">
    <cfRule type="expression" dxfId="763" priority="210">
      <formula>ISTEXT($I$91)</formula>
    </cfRule>
  </conditionalFormatting>
  <conditionalFormatting sqref="I92">
    <cfRule type="expression" dxfId="762" priority="209">
      <formula>ISTEXT($I$92)</formula>
    </cfRule>
  </conditionalFormatting>
  <conditionalFormatting sqref="I93">
    <cfRule type="expression" dxfId="761" priority="208">
      <formula>ISTEXT($I$93)</formula>
    </cfRule>
  </conditionalFormatting>
  <conditionalFormatting sqref="I94">
    <cfRule type="expression" dxfId="760" priority="207">
      <formula>ISTEXT($I$94)</formula>
    </cfRule>
  </conditionalFormatting>
  <conditionalFormatting sqref="I95">
    <cfRule type="expression" dxfId="759" priority="206">
      <formula>ISTEXT($I$95)</formula>
    </cfRule>
  </conditionalFormatting>
  <conditionalFormatting sqref="I100">
    <cfRule type="expression" dxfId="758" priority="205">
      <formula>ISTEXT($I$100)</formula>
    </cfRule>
  </conditionalFormatting>
  <conditionalFormatting sqref="I101">
    <cfRule type="expression" dxfId="757" priority="204">
      <formula>ISTEXT($I$101)</formula>
    </cfRule>
  </conditionalFormatting>
  <conditionalFormatting sqref="I102">
    <cfRule type="expression" dxfId="756" priority="203">
      <formula>ISTEXT($I$102)</formula>
    </cfRule>
  </conditionalFormatting>
  <conditionalFormatting sqref="I103">
    <cfRule type="expression" dxfId="755" priority="202">
      <formula>ISTEXT($I$103)</formula>
    </cfRule>
  </conditionalFormatting>
  <conditionalFormatting sqref="I104">
    <cfRule type="expression" dxfId="754" priority="201">
      <formula>ISTEXT($I$104)</formula>
    </cfRule>
  </conditionalFormatting>
  <conditionalFormatting sqref="I105">
    <cfRule type="expression" dxfId="753" priority="200">
      <formula>ISTEXT($I$105)</formula>
    </cfRule>
  </conditionalFormatting>
  <conditionalFormatting sqref="I106">
    <cfRule type="expression" dxfId="752" priority="199">
      <formula>ISTEXT($I$106)</formula>
    </cfRule>
  </conditionalFormatting>
  <conditionalFormatting sqref="I107">
    <cfRule type="expression" dxfId="751" priority="198">
      <formula>ISTEXT($I$107)</formula>
    </cfRule>
  </conditionalFormatting>
  <conditionalFormatting sqref="I108">
    <cfRule type="expression" dxfId="750" priority="197">
      <formula>ISTEXT($I$108)</formula>
    </cfRule>
  </conditionalFormatting>
  <conditionalFormatting sqref="I109">
    <cfRule type="expression" dxfId="749" priority="196">
      <formula>ISTEXT($I$109)</formula>
    </cfRule>
  </conditionalFormatting>
  <conditionalFormatting sqref="I110">
    <cfRule type="expression" dxfId="748" priority="195">
      <formula>ISTEXT($I$110)</formula>
    </cfRule>
  </conditionalFormatting>
  <conditionalFormatting sqref="I111">
    <cfRule type="expression" dxfId="747" priority="194">
      <formula>ISTEXT($I$111)</formula>
    </cfRule>
  </conditionalFormatting>
  <conditionalFormatting sqref="I112">
    <cfRule type="expression" dxfId="746" priority="193">
      <formula>ISTEXT($I$112)</formula>
    </cfRule>
  </conditionalFormatting>
  <conditionalFormatting sqref="I113">
    <cfRule type="expression" dxfId="745" priority="192">
      <formula>ISTEXT($I$113)</formula>
    </cfRule>
  </conditionalFormatting>
  <conditionalFormatting sqref="I114">
    <cfRule type="expression" dxfId="744" priority="191">
      <formula>ISTEXT($I$114)</formula>
    </cfRule>
  </conditionalFormatting>
  <conditionalFormatting sqref="I119">
    <cfRule type="expression" dxfId="743" priority="190">
      <formula>ISTEXT($I$119)</formula>
    </cfRule>
  </conditionalFormatting>
  <conditionalFormatting sqref="I120">
    <cfRule type="expression" dxfId="742" priority="189">
      <formula>ISTEXT($I$120)</formula>
    </cfRule>
  </conditionalFormatting>
  <conditionalFormatting sqref="I121">
    <cfRule type="expression" dxfId="741" priority="188">
      <formula>ISTEXT($I$121)</formula>
    </cfRule>
  </conditionalFormatting>
  <conditionalFormatting sqref="I122">
    <cfRule type="expression" dxfId="740" priority="187">
      <formula>ISTEXT($I$122)</formula>
    </cfRule>
  </conditionalFormatting>
  <conditionalFormatting sqref="I123">
    <cfRule type="expression" dxfId="739" priority="186">
      <formula>ISTEXT($I$123)</formula>
    </cfRule>
  </conditionalFormatting>
  <conditionalFormatting sqref="I124">
    <cfRule type="expression" dxfId="738" priority="185">
      <formula>ISTEXT($I$124)</formula>
    </cfRule>
  </conditionalFormatting>
  <conditionalFormatting sqref="I125">
    <cfRule type="expression" dxfId="737" priority="184">
      <formula>ISTEXT($I$125)</formula>
    </cfRule>
  </conditionalFormatting>
  <conditionalFormatting sqref="I126">
    <cfRule type="expression" dxfId="736" priority="183">
      <formula>ISTEXT($I$126)</formula>
    </cfRule>
  </conditionalFormatting>
  <conditionalFormatting sqref="I127">
    <cfRule type="expression" dxfId="735" priority="182">
      <formula>ISTEXT($I$127)</formula>
    </cfRule>
  </conditionalFormatting>
  <conditionalFormatting sqref="I128">
    <cfRule type="expression" dxfId="734" priority="181">
      <formula>ISTEXT($I$128)</formula>
    </cfRule>
  </conditionalFormatting>
  <conditionalFormatting sqref="I129">
    <cfRule type="expression" dxfId="733" priority="180">
      <formula>ISTEXT($I$129)</formula>
    </cfRule>
  </conditionalFormatting>
  <conditionalFormatting sqref="I130">
    <cfRule type="expression" dxfId="732" priority="179">
      <formula>ISTEXT($I$130)</formula>
    </cfRule>
  </conditionalFormatting>
  <conditionalFormatting sqref="I131">
    <cfRule type="expression" dxfId="731" priority="178">
      <formula>ISTEXT($I$131)</formula>
    </cfRule>
  </conditionalFormatting>
  <conditionalFormatting sqref="I132">
    <cfRule type="expression" dxfId="730" priority="177">
      <formula>ISTEXT($I$132)</formula>
    </cfRule>
  </conditionalFormatting>
  <conditionalFormatting sqref="I133">
    <cfRule type="expression" dxfId="729" priority="176">
      <formula>ISTEXT($I$133)</formula>
    </cfRule>
  </conditionalFormatting>
  <conditionalFormatting sqref="I138">
    <cfRule type="expression" dxfId="728" priority="175">
      <formula>ISTEXT($I$138)</formula>
    </cfRule>
  </conditionalFormatting>
  <conditionalFormatting sqref="I139">
    <cfRule type="expression" dxfId="727" priority="174">
      <formula>ISTEXT($I$139)</formula>
    </cfRule>
  </conditionalFormatting>
  <conditionalFormatting sqref="I140">
    <cfRule type="expression" dxfId="726" priority="173">
      <formula>ISTEXT($I$140)</formula>
    </cfRule>
  </conditionalFormatting>
  <conditionalFormatting sqref="I141">
    <cfRule type="expression" dxfId="725" priority="172">
      <formula>ISTEXT($I$141)</formula>
    </cfRule>
  </conditionalFormatting>
  <conditionalFormatting sqref="I142">
    <cfRule type="expression" dxfId="724" priority="171">
      <formula>ISTEXT($I$142)</formula>
    </cfRule>
  </conditionalFormatting>
  <conditionalFormatting sqref="I143">
    <cfRule type="expression" dxfId="723" priority="170">
      <formula>ISTEXT($I$143)</formula>
    </cfRule>
  </conditionalFormatting>
  <conditionalFormatting sqref="I144">
    <cfRule type="expression" dxfId="722" priority="169">
      <formula>ISTEXT($I$144)</formula>
    </cfRule>
  </conditionalFormatting>
  <conditionalFormatting sqref="I145">
    <cfRule type="expression" dxfId="721" priority="168">
      <formula>ISTEXT($I$145)</formula>
    </cfRule>
  </conditionalFormatting>
  <conditionalFormatting sqref="I146">
    <cfRule type="expression" dxfId="720" priority="167">
      <formula>ISTEXT($I$146)</formula>
    </cfRule>
  </conditionalFormatting>
  <conditionalFormatting sqref="I147">
    <cfRule type="expression" dxfId="719" priority="166">
      <formula>ISTEXT($I$147)</formula>
    </cfRule>
  </conditionalFormatting>
  <conditionalFormatting sqref="I148">
    <cfRule type="expression" dxfId="718" priority="165">
      <formula>ISTEXT($I$148)</formula>
    </cfRule>
  </conditionalFormatting>
  <conditionalFormatting sqref="I149">
    <cfRule type="expression" dxfId="717" priority="164">
      <formula>ISTEXT($I$149)</formula>
    </cfRule>
  </conditionalFormatting>
  <conditionalFormatting sqref="I150">
    <cfRule type="expression" dxfId="716" priority="163">
      <formula>ISTEXT($I$150)</formula>
    </cfRule>
  </conditionalFormatting>
  <conditionalFormatting sqref="I151">
    <cfRule type="expression" dxfId="715" priority="162">
      <formula>ISTEXT($I$151)</formula>
    </cfRule>
  </conditionalFormatting>
  <conditionalFormatting sqref="I152">
    <cfRule type="expression" dxfId="714" priority="161">
      <formula>ISTEXT($I$152)</formula>
    </cfRule>
  </conditionalFormatting>
  <conditionalFormatting sqref="AA3">
    <cfRule type="expression" dxfId="713" priority="160">
      <formula>ISTEXT($AA$3)</formula>
    </cfRule>
  </conditionalFormatting>
  <conditionalFormatting sqref="AB3">
    <cfRule type="expression" dxfId="712" priority="159">
      <formula>ISTEXT($AB$3)</formula>
    </cfRule>
  </conditionalFormatting>
  <conditionalFormatting sqref="AC3">
    <cfRule type="expression" dxfId="711" priority="158">
      <formula>ISTEXT($AC$3)</formula>
    </cfRule>
  </conditionalFormatting>
  <conditionalFormatting sqref="AD3">
    <cfRule type="expression" dxfId="710" priority="157">
      <formula>ISTEXT($AD$3)</formula>
    </cfRule>
  </conditionalFormatting>
  <conditionalFormatting sqref="AA4">
    <cfRule type="expression" dxfId="709" priority="156">
      <formula>ISTEXT($AA$4)</formula>
    </cfRule>
  </conditionalFormatting>
  <conditionalFormatting sqref="AB4">
    <cfRule type="expression" dxfId="708" priority="155">
      <formula>ISTEXT($AB$4)</formula>
    </cfRule>
  </conditionalFormatting>
  <conditionalFormatting sqref="AC4">
    <cfRule type="expression" dxfId="707" priority="154">
      <formula>ISTEXT($AC$4)</formula>
    </cfRule>
  </conditionalFormatting>
  <conditionalFormatting sqref="AD4">
    <cfRule type="expression" dxfId="706" priority="153">
      <formula>ISTEXT($AD$4)</formula>
    </cfRule>
  </conditionalFormatting>
  <conditionalFormatting sqref="AA5">
    <cfRule type="expression" dxfId="705" priority="152">
      <formula>ISTEXT($AA$5)</formula>
    </cfRule>
  </conditionalFormatting>
  <conditionalFormatting sqref="AB5">
    <cfRule type="expression" dxfId="704" priority="151">
      <formula>ISTEXT($AB$5)</formula>
    </cfRule>
  </conditionalFormatting>
  <conditionalFormatting sqref="AC5">
    <cfRule type="expression" dxfId="703" priority="150">
      <formula>ISTEXT($AC$5)</formula>
    </cfRule>
  </conditionalFormatting>
  <conditionalFormatting sqref="AD5">
    <cfRule type="expression" dxfId="702" priority="149">
      <formula>ISTEXT($AD$5)</formula>
    </cfRule>
  </conditionalFormatting>
  <conditionalFormatting sqref="AA6">
    <cfRule type="expression" dxfId="701" priority="148">
      <formula>ISTEXT($AA$6)</formula>
    </cfRule>
  </conditionalFormatting>
  <conditionalFormatting sqref="AB6">
    <cfRule type="expression" dxfId="700" priority="147">
      <formula>ISTEXT($AB$6)</formula>
    </cfRule>
  </conditionalFormatting>
  <conditionalFormatting sqref="AC6">
    <cfRule type="expression" dxfId="699" priority="146">
      <formula>ISTEXT($AC$6)</formula>
    </cfRule>
  </conditionalFormatting>
  <conditionalFormatting sqref="AD6">
    <cfRule type="expression" dxfId="698" priority="145">
      <formula>ISTEXT($AD$6)</formula>
    </cfRule>
  </conditionalFormatting>
  <conditionalFormatting sqref="AA7">
    <cfRule type="expression" dxfId="697" priority="144">
      <formula>ISTEXT($AA$7)</formula>
    </cfRule>
  </conditionalFormatting>
  <conditionalFormatting sqref="AB7">
    <cfRule type="expression" dxfId="696" priority="143">
      <formula>ISTEXT($AB$7)</formula>
    </cfRule>
  </conditionalFormatting>
  <conditionalFormatting sqref="AC7">
    <cfRule type="expression" dxfId="695" priority="142">
      <formula>ISTEXT($AC$7)</formula>
    </cfRule>
  </conditionalFormatting>
  <conditionalFormatting sqref="AD7">
    <cfRule type="expression" dxfId="694" priority="141">
      <formula>ISTEXT($AD$7)</formula>
    </cfRule>
  </conditionalFormatting>
  <conditionalFormatting sqref="AA22">
    <cfRule type="expression" dxfId="693" priority="140">
      <formula>ISTEXT($AA$22)</formula>
    </cfRule>
  </conditionalFormatting>
  <conditionalFormatting sqref="AB22">
    <cfRule type="expression" dxfId="692" priority="139">
      <formula>ISTEXT($AB$22)</formula>
    </cfRule>
  </conditionalFormatting>
  <conditionalFormatting sqref="AC22">
    <cfRule type="expression" dxfId="691" priority="138">
      <formula>ISTEXT($AC$22)</formula>
    </cfRule>
  </conditionalFormatting>
  <conditionalFormatting sqref="AD22">
    <cfRule type="expression" dxfId="690" priority="137">
      <formula>ISTEXT($AD$22)</formula>
    </cfRule>
  </conditionalFormatting>
  <conditionalFormatting sqref="AA23">
    <cfRule type="expression" dxfId="689" priority="136">
      <formula>ISTEXT($AA$23)</formula>
    </cfRule>
  </conditionalFormatting>
  <conditionalFormatting sqref="AB23">
    <cfRule type="expression" dxfId="688" priority="135">
      <formula>ISTEXT($AB$23)</formula>
    </cfRule>
  </conditionalFormatting>
  <conditionalFormatting sqref="AC23">
    <cfRule type="expression" dxfId="687" priority="134">
      <formula>ISTEXT($AC$23)</formula>
    </cfRule>
  </conditionalFormatting>
  <conditionalFormatting sqref="AD23">
    <cfRule type="expression" dxfId="686" priority="133">
      <formula>ISTEXT($AD$23)</formula>
    </cfRule>
  </conditionalFormatting>
  <conditionalFormatting sqref="AA24">
    <cfRule type="expression" dxfId="685" priority="132">
      <formula>ISTEXT($AA$24)</formula>
    </cfRule>
  </conditionalFormatting>
  <conditionalFormatting sqref="AB24">
    <cfRule type="expression" dxfId="684" priority="131">
      <formula>ISTEXT($AB$24)</formula>
    </cfRule>
  </conditionalFormatting>
  <conditionalFormatting sqref="AC24">
    <cfRule type="expression" dxfId="683" priority="130">
      <formula>ISTEXT($AC$24)</formula>
    </cfRule>
  </conditionalFormatting>
  <conditionalFormatting sqref="AD24">
    <cfRule type="expression" dxfId="682" priority="129">
      <formula>ISTEXT($AD$24)</formula>
    </cfRule>
  </conditionalFormatting>
  <conditionalFormatting sqref="AA25">
    <cfRule type="expression" dxfId="681" priority="128">
      <formula>ISTEXT($AA$25)</formula>
    </cfRule>
  </conditionalFormatting>
  <conditionalFormatting sqref="AB25">
    <cfRule type="expression" dxfId="680" priority="127">
      <formula>ISTEXT($AB$25)</formula>
    </cfRule>
  </conditionalFormatting>
  <conditionalFormatting sqref="AC25">
    <cfRule type="expression" dxfId="679" priority="126">
      <formula>ISTEXT($AC$25)</formula>
    </cfRule>
  </conditionalFormatting>
  <conditionalFormatting sqref="AD25">
    <cfRule type="expression" dxfId="678" priority="125">
      <formula>ISTEXT($AD$25)</formula>
    </cfRule>
  </conditionalFormatting>
  <conditionalFormatting sqref="AA26">
    <cfRule type="expression" dxfId="677" priority="124">
      <formula>ISTEXT($AA$26)</formula>
    </cfRule>
  </conditionalFormatting>
  <conditionalFormatting sqref="AB26">
    <cfRule type="expression" dxfId="676" priority="123">
      <formula>ISTEXT($AB$26)</formula>
    </cfRule>
  </conditionalFormatting>
  <conditionalFormatting sqref="AC26">
    <cfRule type="expression" dxfId="675" priority="122">
      <formula>ISTEXT($AC$26)</formula>
    </cfRule>
  </conditionalFormatting>
  <conditionalFormatting sqref="AD26">
    <cfRule type="expression" dxfId="674" priority="121">
      <formula>ISTEXT($AD$26)</formula>
    </cfRule>
  </conditionalFormatting>
  <conditionalFormatting sqref="AA41">
    <cfRule type="expression" dxfId="673" priority="120">
      <formula>ISTEXT($AA$41)</formula>
    </cfRule>
  </conditionalFormatting>
  <conditionalFormatting sqref="AB41">
    <cfRule type="expression" dxfId="672" priority="119">
      <formula>ISTEXT($AB$41)</formula>
    </cfRule>
  </conditionalFormatting>
  <conditionalFormatting sqref="AC41">
    <cfRule type="expression" dxfId="671" priority="118">
      <formula>ISTEXT($AC$41)</formula>
    </cfRule>
  </conditionalFormatting>
  <conditionalFormatting sqref="AD41">
    <cfRule type="expression" dxfId="670" priority="117">
      <formula>ISTEXT($AD$41)</formula>
    </cfRule>
  </conditionalFormatting>
  <conditionalFormatting sqref="AA42">
    <cfRule type="expression" dxfId="669" priority="116">
      <formula>ISTEXT($AA$42)</formula>
    </cfRule>
  </conditionalFormatting>
  <conditionalFormatting sqref="AB42">
    <cfRule type="expression" dxfId="668" priority="115">
      <formula>ISTEXT($AB$42)</formula>
    </cfRule>
  </conditionalFormatting>
  <conditionalFormatting sqref="AC42">
    <cfRule type="expression" dxfId="667" priority="114">
      <formula>ISTEXT($AC$42)</formula>
    </cfRule>
  </conditionalFormatting>
  <conditionalFormatting sqref="AD42">
    <cfRule type="expression" dxfId="666" priority="113">
      <formula>ISTEXT($AD$42)</formula>
    </cfRule>
  </conditionalFormatting>
  <conditionalFormatting sqref="AA43">
    <cfRule type="expression" dxfId="665" priority="112">
      <formula>ISTEXT($AA$43)</formula>
    </cfRule>
  </conditionalFormatting>
  <conditionalFormatting sqref="AB43">
    <cfRule type="expression" dxfId="664" priority="111">
      <formula>ISTEXT($AB$43)</formula>
    </cfRule>
  </conditionalFormatting>
  <conditionalFormatting sqref="AC43">
    <cfRule type="expression" dxfId="663" priority="110">
      <formula>ISTEXT($AC$43)</formula>
    </cfRule>
  </conditionalFormatting>
  <conditionalFormatting sqref="AD43">
    <cfRule type="expression" dxfId="662" priority="109">
      <formula>ISTEXT($AD$43)</formula>
    </cfRule>
  </conditionalFormatting>
  <conditionalFormatting sqref="AA44">
    <cfRule type="expression" dxfId="661" priority="108">
      <formula>ISTEXT($AA$44)</formula>
    </cfRule>
  </conditionalFormatting>
  <conditionalFormatting sqref="AB44">
    <cfRule type="expression" dxfId="660" priority="107">
      <formula>ISTEXT($AB$44)</formula>
    </cfRule>
  </conditionalFormatting>
  <conditionalFormatting sqref="AC44">
    <cfRule type="expression" dxfId="659" priority="106">
      <formula>ISTEXT($AC$44)</formula>
    </cfRule>
  </conditionalFormatting>
  <conditionalFormatting sqref="AD44">
    <cfRule type="expression" dxfId="658" priority="105">
      <formula>ISTEXT($AD$44)</formula>
    </cfRule>
  </conditionalFormatting>
  <conditionalFormatting sqref="AA45">
    <cfRule type="expression" dxfId="657" priority="104">
      <formula>ISTEXT($AA$45)</formula>
    </cfRule>
  </conditionalFormatting>
  <conditionalFormatting sqref="AB45">
    <cfRule type="expression" dxfId="656" priority="103">
      <formula>ISTEXT($AB$45)</formula>
    </cfRule>
  </conditionalFormatting>
  <conditionalFormatting sqref="AC45">
    <cfRule type="expression" dxfId="655" priority="102">
      <formula>ISTEXT($AC$45)</formula>
    </cfRule>
  </conditionalFormatting>
  <conditionalFormatting sqref="AD45">
    <cfRule type="expression" dxfId="654" priority="101">
      <formula>ISTEXT($AD$45)</formula>
    </cfRule>
  </conditionalFormatting>
  <conditionalFormatting sqref="AA60">
    <cfRule type="expression" dxfId="653" priority="100">
      <formula>ISTEXT($AA$60)</formula>
    </cfRule>
  </conditionalFormatting>
  <conditionalFormatting sqref="AB60">
    <cfRule type="expression" dxfId="652" priority="99">
      <formula>ISTEXT($AB$60)</formula>
    </cfRule>
  </conditionalFormatting>
  <conditionalFormatting sqref="AC60">
    <cfRule type="expression" dxfId="651" priority="98">
      <formula>ISTEXT($AC$60)</formula>
    </cfRule>
  </conditionalFormatting>
  <conditionalFormatting sqref="AD60">
    <cfRule type="expression" dxfId="650" priority="97">
      <formula>ISTEXT($AD$60)</formula>
    </cfRule>
  </conditionalFormatting>
  <conditionalFormatting sqref="AA61">
    <cfRule type="expression" dxfId="649" priority="96">
      <formula>ISTEXT($AA$61)</formula>
    </cfRule>
  </conditionalFormatting>
  <conditionalFormatting sqref="AB61">
    <cfRule type="expression" dxfId="648" priority="95">
      <formula>ISTEXT($AB$61)</formula>
    </cfRule>
  </conditionalFormatting>
  <conditionalFormatting sqref="AC61">
    <cfRule type="expression" dxfId="647" priority="94">
      <formula>ISTEXT($AC$61)</formula>
    </cfRule>
  </conditionalFormatting>
  <conditionalFormatting sqref="AD61">
    <cfRule type="expression" dxfId="646" priority="93">
      <formula>ISTEXT($AD$61)</formula>
    </cfRule>
  </conditionalFormatting>
  <conditionalFormatting sqref="AA62">
    <cfRule type="expression" dxfId="645" priority="92">
      <formula>ISTEXT($AA$62)</formula>
    </cfRule>
  </conditionalFormatting>
  <conditionalFormatting sqref="AB62">
    <cfRule type="expression" dxfId="644" priority="91">
      <formula>ISTEXT($AB$62)</formula>
    </cfRule>
  </conditionalFormatting>
  <conditionalFormatting sqref="AC62">
    <cfRule type="expression" dxfId="643" priority="90">
      <formula>ISTEXT($AC$62)</formula>
    </cfRule>
  </conditionalFormatting>
  <conditionalFormatting sqref="AD62">
    <cfRule type="expression" dxfId="642" priority="89">
      <formula>ISTEXT($AD$62)</formula>
    </cfRule>
  </conditionalFormatting>
  <conditionalFormatting sqref="AA63">
    <cfRule type="expression" dxfId="641" priority="88">
      <formula>ISTEXT($AA$63)</formula>
    </cfRule>
  </conditionalFormatting>
  <conditionalFormatting sqref="AB63">
    <cfRule type="expression" dxfId="640" priority="87">
      <formula>ISTEXT($AB$63)</formula>
    </cfRule>
  </conditionalFormatting>
  <conditionalFormatting sqref="AC63">
    <cfRule type="expression" dxfId="639" priority="86">
      <formula>ISTEXT($AC$63)</formula>
    </cfRule>
  </conditionalFormatting>
  <conditionalFormatting sqref="AD63">
    <cfRule type="expression" dxfId="638" priority="85">
      <formula>ISTEXT($AD$63)</formula>
    </cfRule>
  </conditionalFormatting>
  <conditionalFormatting sqref="AA64">
    <cfRule type="expression" dxfId="637" priority="84">
      <formula>ISTEXT($AA$64)</formula>
    </cfRule>
  </conditionalFormatting>
  <conditionalFormatting sqref="AB64">
    <cfRule type="expression" dxfId="636" priority="83">
      <formula>ISTEXT($AB$64)</formula>
    </cfRule>
  </conditionalFormatting>
  <conditionalFormatting sqref="AC64">
    <cfRule type="expression" dxfId="635" priority="82">
      <formula>ISTEXT($AC$64)</formula>
    </cfRule>
  </conditionalFormatting>
  <conditionalFormatting sqref="AD64">
    <cfRule type="expression" dxfId="634" priority="81">
      <formula>ISTEXT($AD$64)</formula>
    </cfRule>
  </conditionalFormatting>
  <conditionalFormatting sqref="AA79">
    <cfRule type="expression" dxfId="633" priority="80">
      <formula>ISTEXT($AA$79)</formula>
    </cfRule>
  </conditionalFormatting>
  <conditionalFormatting sqref="AB79">
    <cfRule type="expression" dxfId="632" priority="79">
      <formula>ISTEXT($AB$79)</formula>
    </cfRule>
  </conditionalFormatting>
  <conditionalFormatting sqref="AC79">
    <cfRule type="expression" dxfId="631" priority="78">
      <formula>ISTEXT($AC$79)</formula>
    </cfRule>
  </conditionalFormatting>
  <conditionalFormatting sqref="AD79">
    <cfRule type="expression" dxfId="630" priority="77">
      <formula>ISTEXT($AD$79)</formula>
    </cfRule>
  </conditionalFormatting>
  <conditionalFormatting sqref="AA80">
    <cfRule type="expression" dxfId="629" priority="76">
      <formula>ISTEXT($AA$80)</formula>
    </cfRule>
  </conditionalFormatting>
  <conditionalFormatting sqref="AB80">
    <cfRule type="expression" dxfId="628" priority="75">
      <formula>ISTEXT($AB$80)</formula>
    </cfRule>
  </conditionalFormatting>
  <conditionalFormatting sqref="AC80">
    <cfRule type="expression" dxfId="627" priority="74">
      <formula>ISTEXT($AC$80)</formula>
    </cfRule>
  </conditionalFormatting>
  <conditionalFormatting sqref="AD80">
    <cfRule type="expression" dxfId="626" priority="73">
      <formula>ISTEXT($AD$80)</formula>
    </cfRule>
  </conditionalFormatting>
  <conditionalFormatting sqref="AA81">
    <cfRule type="expression" dxfId="625" priority="72">
      <formula>ISTEXT($AA$81)</formula>
    </cfRule>
  </conditionalFormatting>
  <conditionalFormatting sqref="AB81">
    <cfRule type="expression" dxfId="624" priority="71">
      <formula>ISTEXT($AB$81)</formula>
    </cfRule>
  </conditionalFormatting>
  <conditionalFormatting sqref="AC81">
    <cfRule type="expression" dxfId="623" priority="70">
      <formula>ISTEXT($AC$81)</formula>
    </cfRule>
  </conditionalFormatting>
  <conditionalFormatting sqref="AD81">
    <cfRule type="expression" dxfId="622" priority="69">
      <formula>ISTEXT($AD$81)</formula>
    </cfRule>
  </conditionalFormatting>
  <conditionalFormatting sqref="AA82">
    <cfRule type="expression" dxfId="621" priority="68">
      <formula>ISTEXT($AA$82)</formula>
    </cfRule>
  </conditionalFormatting>
  <conditionalFormatting sqref="AB82">
    <cfRule type="expression" dxfId="620" priority="67">
      <formula>ISTEXT($AB$82)</formula>
    </cfRule>
  </conditionalFormatting>
  <conditionalFormatting sqref="AC82">
    <cfRule type="expression" dxfId="619" priority="66">
      <formula>ISTEXT($AC$82)</formula>
    </cfRule>
  </conditionalFormatting>
  <conditionalFormatting sqref="AD82">
    <cfRule type="expression" dxfId="618" priority="65">
      <formula>ISTEXT($AD$82)</formula>
    </cfRule>
  </conditionalFormatting>
  <conditionalFormatting sqref="AA83">
    <cfRule type="expression" dxfId="617" priority="64">
      <formula>ISTEXT($AA$83)</formula>
    </cfRule>
  </conditionalFormatting>
  <conditionalFormatting sqref="AB83">
    <cfRule type="expression" dxfId="616" priority="63">
      <formula>ISTEXT($AB$83)</formula>
    </cfRule>
  </conditionalFormatting>
  <conditionalFormatting sqref="AC83">
    <cfRule type="expression" dxfId="615" priority="62">
      <formula>ISTEXT($AC$83)</formula>
    </cfRule>
  </conditionalFormatting>
  <conditionalFormatting sqref="AD83">
    <cfRule type="expression" dxfId="614" priority="61">
      <formula>ISTEXT($AD$83)</formula>
    </cfRule>
  </conditionalFormatting>
  <conditionalFormatting sqref="AA98">
    <cfRule type="expression" dxfId="613" priority="60">
      <formula>ISTEXT($AA$98)</formula>
    </cfRule>
  </conditionalFormatting>
  <conditionalFormatting sqref="AB98">
    <cfRule type="expression" dxfId="612" priority="59">
      <formula>ISTEXT($AB$98)</formula>
    </cfRule>
  </conditionalFormatting>
  <conditionalFormatting sqref="AC98">
    <cfRule type="expression" dxfId="611" priority="58">
      <formula>ISTEXT($AC$98)</formula>
    </cfRule>
  </conditionalFormatting>
  <conditionalFormatting sqref="AD98">
    <cfRule type="expression" dxfId="610" priority="57">
      <formula>ISTEXT($AD$98)</formula>
    </cfRule>
  </conditionalFormatting>
  <conditionalFormatting sqref="AA99">
    <cfRule type="expression" dxfId="609" priority="56">
      <formula>ISTEXT($AA$99)</formula>
    </cfRule>
  </conditionalFormatting>
  <conditionalFormatting sqref="AB99">
    <cfRule type="expression" dxfId="608" priority="55">
      <formula>ISTEXT($AB$99)</formula>
    </cfRule>
  </conditionalFormatting>
  <conditionalFormatting sqref="AC99">
    <cfRule type="expression" dxfId="607" priority="54">
      <formula>ISTEXT($AC$99)</formula>
    </cfRule>
  </conditionalFormatting>
  <conditionalFormatting sqref="AD99">
    <cfRule type="expression" dxfId="606" priority="53">
      <formula>ISTEXT($AD$99)</formula>
    </cfRule>
  </conditionalFormatting>
  <conditionalFormatting sqref="AA100">
    <cfRule type="expression" dxfId="605" priority="52">
      <formula>ISTEXT($AA$100)</formula>
    </cfRule>
  </conditionalFormatting>
  <conditionalFormatting sqref="AB100">
    <cfRule type="expression" dxfId="604" priority="51">
      <formula>ISTEXT($AB$100)</formula>
    </cfRule>
  </conditionalFormatting>
  <conditionalFormatting sqref="AC100">
    <cfRule type="expression" dxfId="603" priority="50">
      <formula>ISTEXT($AC$100)</formula>
    </cfRule>
  </conditionalFormatting>
  <conditionalFormatting sqref="AD100">
    <cfRule type="expression" dxfId="602" priority="49">
      <formula>ISTEXT($AD$100)</formula>
    </cfRule>
  </conditionalFormatting>
  <conditionalFormatting sqref="AA101">
    <cfRule type="expression" dxfId="601" priority="48">
      <formula>ISTEXT($AA$101)</formula>
    </cfRule>
  </conditionalFormatting>
  <conditionalFormatting sqref="AB101">
    <cfRule type="expression" dxfId="600" priority="47">
      <formula>ISTEXT($AB$101)</formula>
    </cfRule>
  </conditionalFormatting>
  <conditionalFormatting sqref="AC101">
    <cfRule type="expression" dxfId="599" priority="46">
      <formula>ISTEXT($AC$101)</formula>
    </cfRule>
  </conditionalFormatting>
  <conditionalFormatting sqref="AD101">
    <cfRule type="expression" dxfId="598" priority="45">
      <formula>ISTEXT($AD$101)</formula>
    </cfRule>
  </conditionalFormatting>
  <conditionalFormatting sqref="AA102">
    <cfRule type="expression" dxfId="597" priority="44">
      <formula>ISTEXT($AA$102)</formula>
    </cfRule>
  </conditionalFormatting>
  <conditionalFormatting sqref="AB102">
    <cfRule type="expression" dxfId="596" priority="43">
      <formula>ISTEXT($AB$102)</formula>
    </cfRule>
  </conditionalFormatting>
  <conditionalFormatting sqref="AC102">
    <cfRule type="expression" dxfId="595" priority="42">
      <formula>ISTEXT($AC$102)</formula>
    </cfRule>
  </conditionalFormatting>
  <conditionalFormatting sqref="AD102">
    <cfRule type="expression" dxfId="594" priority="41">
      <formula>ISTEXT($AD$102)</formula>
    </cfRule>
  </conditionalFormatting>
  <conditionalFormatting sqref="AA117">
    <cfRule type="expression" dxfId="593" priority="40">
      <formula>ISTEXT($AA$117)</formula>
    </cfRule>
  </conditionalFormatting>
  <conditionalFormatting sqref="AB117">
    <cfRule type="expression" dxfId="592" priority="39">
      <formula>ISTEXT($AB$117)</formula>
    </cfRule>
  </conditionalFormatting>
  <conditionalFormatting sqref="AC117">
    <cfRule type="expression" dxfId="591" priority="38">
      <formula>ISTEXT($AC$117)</formula>
    </cfRule>
  </conditionalFormatting>
  <conditionalFormatting sqref="AD117">
    <cfRule type="expression" dxfId="590" priority="37">
      <formula>ISTEXT($AD$117)</formula>
    </cfRule>
  </conditionalFormatting>
  <conditionalFormatting sqref="AA118">
    <cfRule type="expression" dxfId="589" priority="36">
      <formula>ISTEXT($AA$118)</formula>
    </cfRule>
  </conditionalFormatting>
  <conditionalFormatting sqref="AB118">
    <cfRule type="expression" dxfId="588" priority="35">
      <formula>ISTEXT($AB$118)</formula>
    </cfRule>
  </conditionalFormatting>
  <conditionalFormatting sqref="AC118">
    <cfRule type="expression" dxfId="587" priority="34">
      <formula>ISTEXT($AC$118)</formula>
    </cfRule>
  </conditionalFormatting>
  <conditionalFormatting sqref="AD118">
    <cfRule type="expression" dxfId="586" priority="33">
      <formula>ISTEXT($AD$118)</formula>
    </cfRule>
  </conditionalFormatting>
  <conditionalFormatting sqref="AA119">
    <cfRule type="expression" dxfId="585" priority="32">
      <formula>ISTEXT($AA$119)</formula>
    </cfRule>
  </conditionalFormatting>
  <conditionalFormatting sqref="AB119">
    <cfRule type="expression" dxfId="584" priority="31">
      <formula>ISTEXT($AB$119)</formula>
    </cfRule>
  </conditionalFormatting>
  <conditionalFormatting sqref="AC119">
    <cfRule type="expression" dxfId="583" priority="30">
      <formula>ISTEXT($AC$119)</formula>
    </cfRule>
  </conditionalFormatting>
  <conditionalFormatting sqref="AD119">
    <cfRule type="expression" dxfId="582" priority="29">
      <formula>ISTEXT($AD$119)</formula>
    </cfRule>
  </conditionalFormatting>
  <conditionalFormatting sqref="AA120">
    <cfRule type="expression" dxfId="581" priority="28">
      <formula>ISTEXT($AA$120)</formula>
    </cfRule>
  </conditionalFormatting>
  <conditionalFormatting sqref="AB120">
    <cfRule type="expression" dxfId="580" priority="27">
      <formula>ISTEXT($AB$120)</formula>
    </cfRule>
  </conditionalFormatting>
  <conditionalFormatting sqref="AC120">
    <cfRule type="expression" dxfId="579" priority="26">
      <formula>ISTEXT($AC$120)</formula>
    </cfRule>
  </conditionalFormatting>
  <conditionalFormatting sqref="AD120">
    <cfRule type="expression" dxfId="578" priority="25">
      <formula>ISTEXT($AD$120)</formula>
    </cfRule>
  </conditionalFormatting>
  <conditionalFormatting sqref="AA121">
    <cfRule type="expression" dxfId="577" priority="24">
      <formula>ISTEXT($AA$121)</formula>
    </cfRule>
  </conditionalFormatting>
  <conditionalFormatting sqref="AB121">
    <cfRule type="expression" dxfId="576" priority="23">
      <formula>ISTEXT($AB$121)</formula>
    </cfRule>
  </conditionalFormatting>
  <conditionalFormatting sqref="AC121">
    <cfRule type="expression" dxfId="575" priority="22">
      <formula>ISTEXT($AC$121)</formula>
    </cfRule>
  </conditionalFormatting>
  <conditionalFormatting sqref="AD121">
    <cfRule type="expression" dxfId="574" priority="21">
      <formula>ISTEXT($AD$121)</formula>
    </cfRule>
  </conditionalFormatting>
  <conditionalFormatting sqref="AA136">
    <cfRule type="expression" dxfId="573" priority="20">
      <formula>ISTEXT($AA$136)</formula>
    </cfRule>
  </conditionalFormatting>
  <conditionalFormatting sqref="AB136">
    <cfRule type="expression" dxfId="572" priority="19">
      <formula>ISTEXT($AB$136)</formula>
    </cfRule>
  </conditionalFormatting>
  <conditionalFormatting sqref="AC136">
    <cfRule type="expression" dxfId="571" priority="18">
      <formula>ISTEXT($AC$136)</formula>
    </cfRule>
  </conditionalFormatting>
  <conditionalFormatting sqref="AD136">
    <cfRule type="expression" dxfId="570" priority="17">
      <formula>ISTEXT($AD$136)</formula>
    </cfRule>
  </conditionalFormatting>
  <conditionalFormatting sqref="AA137">
    <cfRule type="expression" dxfId="569" priority="16">
      <formula>ISTEXT($AA$137)</formula>
    </cfRule>
  </conditionalFormatting>
  <conditionalFormatting sqref="AB137">
    <cfRule type="expression" dxfId="568" priority="15">
      <formula>ISTEXT($AB$137)</formula>
    </cfRule>
  </conditionalFormatting>
  <conditionalFormatting sqref="AC137">
    <cfRule type="expression" dxfId="567" priority="14">
      <formula>ISTEXT($AC$137)</formula>
    </cfRule>
  </conditionalFormatting>
  <conditionalFormatting sqref="AD137">
    <cfRule type="expression" dxfId="566" priority="13">
      <formula>ISTEXT($AD$137)</formula>
    </cfRule>
  </conditionalFormatting>
  <conditionalFormatting sqref="AA138">
    <cfRule type="expression" dxfId="565" priority="12">
      <formula>ISTEXT($AA$138)</formula>
    </cfRule>
  </conditionalFormatting>
  <conditionalFormatting sqref="AB138">
    <cfRule type="expression" dxfId="564" priority="11">
      <formula>ISTEXT($AB$138)</formula>
    </cfRule>
  </conditionalFormatting>
  <conditionalFormatting sqref="AC138">
    <cfRule type="expression" dxfId="563" priority="10">
      <formula>ISTEXT($AC$138)</formula>
    </cfRule>
  </conditionalFormatting>
  <conditionalFormatting sqref="AD138">
    <cfRule type="expression" dxfId="562" priority="9">
      <formula>ISTEXT($AD$138)</formula>
    </cfRule>
  </conditionalFormatting>
  <conditionalFormatting sqref="AA139">
    <cfRule type="expression" dxfId="561" priority="8">
      <formula>ISTEXT($AA$139)</formula>
    </cfRule>
  </conditionalFormatting>
  <conditionalFormatting sqref="AB139">
    <cfRule type="expression" dxfId="560" priority="7">
      <formula>ISTEXT($AB$139)</formula>
    </cfRule>
  </conditionalFormatting>
  <conditionalFormatting sqref="AC139">
    <cfRule type="expression" dxfId="559" priority="6">
      <formula>ISTEXT($AC$139)</formula>
    </cfRule>
  </conditionalFormatting>
  <conditionalFormatting sqref="AD139">
    <cfRule type="expression" dxfId="558" priority="5">
      <formula>ISTEXT($AD$139)</formula>
    </cfRule>
  </conditionalFormatting>
  <conditionalFormatting sqref="AA140">
    <cfRule type="expression" dxfId="557" priority="4">
      <formula>ISTEXT($AA$140)</formula>
    </cfRule>
  </conditionalFormatting>
  <conditionalFormatting sqref="AB140">
    <cfRule type="expression" dxfId="556" priority="3">
      <formula>ISTEXT($AB$140)</formula>
    </cfRule>
  </conditionalFormatting>
  <conditionalFormatting sqref="AC140">
    <cfRule type="expression" dxfId="555" priority="2">
      <formula>ISTEXT($AC$140)</formula>
    </cfRule>
  </conditionalFormatting>
  <conditionalFormatting sqref="AD140">
    <cfRule type="expression" dxfId="554" priority="1">
      <formula>ISTEXT($AD$140)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60"/>
  <sheetViews>
    <sheetView topLeftCell="G34" workbookViewId="0">
      <selection activeCell="T34" sqref="T1:Y1048576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0.42578125" style="51" bestFit="1" customWidth="1"/>
    <col min="5" max="5" width="10.7109375" style="51" bestFit="1" customWidth="1"/>
    <col min="6" max="6" width="8.7109375" style="51" customWidth="1"/>
    <col min="7" max="7" width="12.5703125" style="51" bestFit="1" customWidth="1"/>
    <col min="8" max="8" width="11.7109375" style="51" bestFit="1" customWidth="1"/>
    <col min="9" max="9" width="14.85546875" style="51" bestFit="1" customWidth="1"/>
    <col min="10" max="10" width="8.7109375" style="8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8" bestFit="1" customWidth="1"/>
    <col min="27" max="29" width="21" style="8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36" t="s">
        <v>3</v>
      </c>
      <c r="E1" s="36" t="s">
        <v>4</v>
      </c>
      <c r="F1" s="36" t="s">
        <v>5</v>
      </c>
      <c r="G1" s="37" t="s">
        <v>40</v>
      </c>
      <c r="H1" s="37" t="s">
        <v>41</v>
      </c>
      <c r="I1" s="37" t="s">
        <v>42</v>
      </c>
      <c r="J1" s="7"/>
      <c r="K1" s="5"/>
      <c r="R1" s="6" t="s">
        <v>44</v>
      </c>
      <c r="Z1" s="19" t="s">
        <v>43</v>
      </c>
    </row>
    <row r="2" spans="1:30" ht="16.5" thickTop="1" thickBot="1" x14ac:dyDescent="0.3">
      <c r="A2" s="32" t="s">
        <v>6</v>
      </c>
      <c r="B2" s="32" t="s">
        <v>61</v>
      </c>
      <c r="C2" s="32" t="s">
        <v>7</v>
      </c>
      <c r="D2" s="38">
        <v>3.556</v>
      </c>
      <c r="E2" s="38">
        <v>37229.300999999999</v>
      </c>
      <c r="F2" s="38">
        <v>9.5516199999999999E-5</v>
      </c>
      <c r="G2" s="38"/>
      <c r="H2" s="38"/>
      <c r="I2" s="38"/>
      <c r="J2" s="34"/>
      <c r="K2" s="32"/>
      <c r="L2" s="32"/>
      <c r="M2" s="32"/>
      <c r="N2" s="32"/>
      <c r="O2" s="32"/>
      <c r="P2" s="32"/>
      <c r="Q2" s="32"/>
      <c r="R2" s="32" t="s">
        <v>373</v>
      </c>
      <c r="S2" s="32"/>
      <c r="T2" s="32">
        <v>1</v>
      </c>
      <c r="U2" s="32"/>
      <c r="V2" s="32"/>
      <c r="W2" s="32"/>
      <c r="X2" s="32"/>
      <c r="Y2" s="32"/>
      <c r="Z2" s="9" t="s">
        <v>45</v>
      </c>
      <c r="AA2" s="9" t="s">
        <v>47</v>
      </c>
      <c r="AB2" s="9" t="s">
        <v>48</v>
      </c>
      <c r="AC2" s="9" t="s">
        <v>49</v>
      </c>
      <c r="AD2" s="9" t="s">
        <v>50</v>
      </c>
    </row>
    <row r="3" spans="1:30" ht="15.75" thickTop="1" x14ac:dyDescent="0.25">
      <c r="A3" s="33" t="s">
        <v>8</v>
      </c>
      <c r="B3" s="33" t="s">
        <v>61</v>
      </c>
      <c r="C3" s="33" t="s">
        <v>7</v>
      </c>
      <c r="D3" s="39">
        <v>3.085</v>
      </c>
      <c r="E3" s="39">
        <v>37141.370999999999</v>
      </c>
      <c r="F3" s="39">
        <v>8.3060999999999996E-5</v>
      </c>
      <c r="G3" s="39"/>
      <c r="H3" s="39"/>
      <c r="I3" s="39"/>
      <c r="J3" s="35"/>
      <c r="K3" s="33"/>
      <c r="L3" s="33"/>
      <c r="M3" s="33"/>
      <c r="N3" s="33"/>
      <c r="O3" s="33"/>
      <c r="P3" s="33"/>
      <c r="Q3" s="33"/>
      <c r="R3" s="33" t="s">
        <v>45</v>
      </c>
      <c r="S3" s="33"/>
      <c r="T3" s="33">
        <v>5</v>
      </c>
      <c r="U3" s="33"/>
      <c r="V3" s="33"/>
      <c r="W3" s="33"/>
      <c r="X3" s="33"/>
      <c r="Y3" s="33"/>
      <c r="Z3" s="10">
        <f>$H$5</f>
        <v>120</v>
      </c>
      <c r="AA3" s="11">
        <f>IF(ISTEXT($I$5),TEXT($G$5/100,"0.00%"),$G$5 / 100)</f>
        <v>0.7362782079299538</v>
      </c>
      <c r="AB3" s="11">
        <f>IF(ISTEXT($I$6),TEXT($G$6/100,"0.00%"),$G$6 / 100)</f>
        <v>0.34561114982367014</v>
      </c>
      <c r="AC3" s="11">
        <f>IF(ISTEXT($I$7),TEXT($G$7/100,"0.00%"),$G$7 / 100)</f>
        <v>0.88014514576783409</v>
      </c>
      <c r="AD3" s="11">
        <f>IFERROR(AVERAGE($AA$3:$AC$3),"")</f>
        <v>0.65401150117381934</v>
      </c>
    </row>
    <row r="4" spans="1:30" ht="15.75" thickBot="1" x14ac:dyDescent="0.3">
      <c r="A4" s="32" t="s">
        <v>9</v>
      </c>
      <c r="B4" s="32" t="s">
        <v>61</v>
      </c>
      <c r="C4" s="32" t="s">
        <v>7</v>
      </c>
      <c r="D4" s="38">
        <v>3.823</v>
      </c>
      <c r="E4" s="38">
        <v>36262.148000000001</v>
      </c>
      <c r="F4" s="38">
        <v>1.0542700000000001E-4</v>
      </c>
      <c r="G4" s="38"/>
      <c r="H4" s="38"/>
      <c r="I4" s="38"/>
      <c r="J4" s="34"/>
      <c r="K4" s="32"/>
      <c r="L4" s="32"/>
      <c r="M4" s="32"/>
      <c r="N4" s="32"/>
      <c r="O4" s="32"/>
      <c r="P4" s="32"/>
      <c r="Q4" s="32"/>
      <c r="R4" s="32" t="s">
        <v>46</v>
      </c>
      <c r="S4" s="32"/>
      <c r="T4" s="32">
        <v>10</v>
      </c>
      <c r="U4" s="32"/>
      <c r="V4" s="32"/>
      <c r="W4" s="32"/>
      <c r="X4" s="32"/>
      <c r="Y4" s="32"/>
      <c r="Z4" s="12">
        <f>$H$8</f>
        <v>0</v>
      </c>
      <c r="AA4" s="13">
        <f>IF(ISTEXT($I$8),TEXT($G$8/100,"0.00%"),$G$8 / 100)</f>
        <v>1</v>
      </c>
      <c r="AB4" s="13">
        <f>IF(ISTEXT($I$9),TEXT($G$9/100,"0.00%"),$G$9 / 100)</f>
        <v>1</v>
      </c>
      <c r="AC4" s="13">
        <f>IF(ISTEXT($I$10),TEXT($G$10/100,"0.00%"),$G$10 / 100)</f>
        <v>1</v>
      </c>
      <c r="AD4" s="13">
        <f>IFERROR(AVERAGE($AA$4:$AC$4),"")</f>
        <v>1</v>
      </c>
    </row>
    <row r="5" spans="1:30" ht="16.5" thickTop="1" thickBot="1" x14ac:dyDescent="0.3">
      <c r="A5" s="33" t="s">
        <v>183</v>
      </c>
      <c r="B5" s="33" t="s">
        <v>61</v>
      </c>
      <c r="C5" s="33" t="s">
        <v>7</v>
      </c>
      <c r="D5" s="39">
        <v>12299.048000000001</v>
      </c>
      <c r="E5" s="39">
        <v>30967.072</v>
      </c>
      <c r="F5" s="39">
        <v>0.39716534999999997</v>
      </c>
      <c r="G5" s="39">
        <f>($F$5 -  AVERAGE($F$2,$F$3,$F$4) ) / ($F$8 -  AVERAGE($F$2,$F$3,$F$4) ) * 100</f>
        <v>73.627820792995379</v>
      </c>
      <c r="H5" s="39">
        <v>120</v>
      </c>
      <c r="I5" s="40">
        <f>LN($G$5)</f>
        <v>4.299022954215693</v>
      </c>
      <c r="J5" s="35"/>
      <c r="K5" s="33"/>
      <c r="L5" s="33"/>
      <c r="M5" s="33"/>
      <c r="N5" s="33"/>
      <c r="O5" s="33"/>
      <c r="P5" s="33"/>
      <c r="Q5" s="33"/>
      <c r="R5" s="33"/>
      <c r="S5" s="33"/>
      <c r="T5" s="33"/>
      <c r="U5" s="33">
        <f>IF(ISTEXT($I$5),"",1)</f>
        <v>1</v>
      </c>
      <c r="V5" s="33">
        <f t="shared" ref="V5:V10" si="0">IFERROR(INDEX($H$5:$H$10,SMALL($U$5:$U$10,ROW(W1)),1),"")</f>
        <v>120</v>
      </c>
      <c r="W5" s="33">
        <f t="shared" ref="W5:W10" si="1">IFERROR(INDEX($I$5:$I$10,SMALL($U$5:$U$10,ROW(I1)),1),"")</f>
        <v>4.299022954215693</v>
      </c>
      <c r="X5" s="33"/>
      <c r="Y5" s="33"/>
    </row>
    <row r="6" spans="1:30" x14ac:dyDescent="0.25">
      <c r="A6" s="32" t="s">
        <v>184</v>
      </c>
      <c r="B6" s="32" t="s">
        <v>61</v>
      </c>
      <c r="C6" s="32" t="s">
        <v>7</v>
      </c>
      <c r="D6" s="38">
        <v>9241.89</v>
      </c>
      <c r="E6" s="38">
        <v>32444.532999999999</v>
      </c>
      <c r="F6" s="38">
        <v>0.28485199700000002</v>
      </c>
      <c r="G6" s="38">
        <f>($F$6 -  AVERAGE($F$2,$F$3,$F$4) ) / ($F$9 -  AVERAGE($F$2,$F$3,$F$4) ) * 100</f>
        <v>34.561114982367016</v>
      </c>
      <c r="H6" s="38">
        <v>120</v>
      </c>
      <c r="I6" s="41">
        <f>LN($G$6)</f>
        <v>3.5427292056367086</v>
      </c>
      <c r="J6" s="34"/>
      <c r="K6" s="32"/>
      <c r="L6" s="32"/>
      <c r="M6" s="32"/>
      <c r="N6" s="32"/>
      <c r="O6" s="32"/>
      <c r="P6" s="32"/>
      <c r="Q6" s="32"/>
      <c r="R6" s="32"/>
      <c r="S6" s="32"/>
      <c r="T6" s="32"/>
      <c r="U6" s="32">
        <f>IF(ISTEXT($I$6),"",2)</f>
        <v>2</v>
      </c>
      <c r="V6" s="32">
        <f t="shared" si="0"/>
        <v>120</v>
      </c>
      <c r="W6" s="32">
        <f t="shared" si="1"/>
        <v>3.5427292056367086</v>
      </c>
      <c r="X6" s="32"/>
      <c r="Y6" s="32"/>
      <c r="Z6" s="20" t="s">
        <v>51</v>
      </c>
      <c r="AA6" s="31">
        <f>IFERROR(SLOPE($W$5:$W$10,$V$5:$V$10),"")</f>
        <v>-4.1562684968387944E-3</v>
      </c>
    </row>
    <row r="7" spans="1:30" x14ac:dyDescent="0.25">
      <c r="A7" s="33" t="s">
        <v>185</v>
      </c>
      <c r="B7" s="33" t="s">
        <v>61</v>
      </c>
      <c r="C7" s="33" t="s">
        <v>7</v>
      </c>
      <c r="D7" s="39">
        <v>14456.695</v>
      </c>
      <c r="E7" s="39">
        <v>31895.83</v>
      </c>
      <c r="F7" s="39">
        <v>0.45324718000000003</v>
      </c>
      <c r="G7" s="39">
        <f>($F$7 -  AVERAGE($F$2,$F$3,$F$4) ) / ($F$10 -  AVERAGE($F$2,$F$3,$F$4) ) * 100</f>
        <v>88.014514576783412</v>
      </c>
      <c r="H7" s="39">
        <v>120</v>
      </c>
      <c r="I7" s="40">
        <f>LN($G$7)</f>
        <v>4.4775017392499077</v>
      </c>
      <c r="J7" s="35"/>
      <c r="K7" s="33"/>
      <c r="L7" s="33"/>
      <c r="M7" s="33"/>
      <c r="N7" s="33"/>
      <c r="O7" s="33"/>
      <c r="P7" s="33"/>
      <c r="Q7" s="33"/>
      <c r="R7" s="33"/>
      <c r="S7" s="33"/>
      <c r="T7" s="33"/>
      <c r="U7" s="33">
        <f>IF(ISTEXT($I$7),"",3)</f>
        <v>3</v>
      </c>
      <c r="V7" s="33">
        <f t="shared" si="0"/>
        <v>120</v>
      </c>
      <c r="W7" s="33">
        <f t="shared" si="1"/>
        <v>4.4775017392499077</v>
      </c>
      <c r="X7" s="33"/>
      <c r="Y7" s="33"/>
      <c r="Z7" s="22" t="s">
        <v>52</v>
      </c>
      <c r="AA7" s="23">
        <f>IFERROR(INTERCEPT($W$5:$W$10,$V$5:$V$10),"")</f>
        <v>4.6051701859880927</v>
      </c>
    </row>
    <row r="8" spans="1:30" ht="17.25" x14ac:dyDescent="0.25">
      <c r="A8" s="32" t="s">
        <v>75</v>
      </c>
      <c r="B8" s="32" t="s">
        <v>61</v>
      </c>
      <c r="C8" s="32" t="s">
        <v>7</v>
      </c>
      <c r="D8" s="38">
        <v>15384.56</v>
      </c>
      <c r="E8" s="38">
        <v>28522.197</v>
      </c>
      <c r="F8" s="38">
        <v>0.53938902399999999</v>
      </c>
      <c r="G8" s="38">
        <f>($F$8 -  AVERAGE($F$2,$F$3,$F$4) ) / ($F$8 -  AVERAGE($F$2,$F$3,$F$4) ) * 100</f>
        <v>100</v>
      </c>
      <c r="H8" s="38">
        <v>0</v>
      </c>
      <c r="I8" s="41">
        <f>LN($G$8)</f>
        <v>4.6051701859880918</v>
      </c>
      <c r="J8" s="34"/>
      <c r="K8" s="32"/>
      <c r="L8" s="32"/>
      <c r="M8" s="32"/>
      <c r="N8" s="32"/>
      <c r="O8" s="32"/>
      <c r="P8" s="32"/>
      <c r="Q8" s="32"/>
      <c r="R8" s="32"/>
      <c r="S8" s="32"/>
      <c r="T8" s="32"/>
      <c r="U8" s="32">
        <f>IF(ISTEXT($I$8),"",4)</f>
        <v>4</v>
      </c>
      <c r="V8" s="32">
        <f t="shared" si="0"/>
        <v>0</v>
      </c>
      <c r="W8" s="32">
        <f t="shared" si="1"/>
        <v>4.6051701859880918</v>
      </c>
      <c r="X8" s="32"/>
      <c r="Y8" s="32"/>
      <c r="Z8" s="22" t="s">
        <v>53</v>
      </c>
      <c r="AA8" s="26">
        <f>IFERROR(CORREL($W$5:$W$10,$V$5:$V$10)^2,"")</f>
        <v>0.43102831396980379</v>
      </c>
    </row>
    <row r="9" spans="1:30" ht="18" x14ac:dyDescent="0.35">
      <c r="A9" s="33" t="s">
        <v>76</v>
      </c>
      <c r="B9" s="33" t="s">
        <v>61</v>
      </c>
      <c r="C9" s="33" t="s">
        <v>7</v>
      </c>
      <c r="D9" s="39">
        <v>24672.868999999999</v>
      </c>
      <c r="E9" s="39">
        <v>29942.123</v>
      </c>
      <c r="F9" s="39">
        <v>0.82401869100000003</v>
      </c>
      <c r="G9" s="39">
        <f>($F$9 -  AVERAGE($F$2,$F$3,$F$4) ) / ($F$9 -  AVERAGE($F$2,$F$3,$F$4) ) * 100</f>
        <v>100</v>
      </c>
      <c r="H9" s="39">
        <v>0</v>
      </c>
      <c r="I9" s="40">
        <f>LN($G$9)</f>
        <v>4.6051701859880918</v>
      </c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3">
        <f>IF(ISTEXT($I$9),"",5)</f>
        <v>5</v>
      </c>
      <c r="V9" s="33">
        <f t="shared" si="0"/>
        <v>0</v>
      </c>
      <c r="W9" s="33">
        <f t="shared" si="1"/>
        <v>4.6051701859880918</v>
      </c>
      <c r="X9" s="33"/>
      <c r="Y9" s="33"/>
      <c r="Z9" s="22" t="s">
        <v>54</v>
      </c>
      <c r="AA9" s="25">
        <f>IF(AA6&gt;0,"",IFERROR(LN(2) /ABS(AA6),0))</f>
        <v>166.77151177483947</v>
      </c>
    </row>
    <row r="10" spans="1:30" ht="18.75" x14ac:dyDescent="0.35">
      <c r="A10" s="32" t="s">
        <v>77</v>
      </c>
      <c r="B10" s="32" t="s">
        <v>61</v>
      </c>
      <c r="C10" s="32" t="s">
        <v>7</v>
      </c>
      <c r="D10" s="38">
        <v>16579.226999999999</v>
      </c>
      <c r="E10" s="38">
        <v>32195.437999999998</v>
      </c>
      <c r="F10" s="38">
        <v>0.51495578399999997</v>
      </c>
      <c r="G10" s="38">
        <f>($F$10 -  AVERAGE($F$2,$F$3,$F$4) ) / ($F$10 -  AVERAGE($F$2,$F$3,$F$4) ) * 100</f>
        <v>100</v>
      </c>
      <c r="H10" s="38">
        <v>0</v>
      </c>
      <c r="I10" s="41">
        <f>LN($G$10)</f>
        <v>4.6051701859880918</v>
      </c>
      <c r="J10" s="34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>
        <f>IF(ISTEXT($I$10),"",6)</f>
        <v>6</v>
      </c>
      <c r="V10" s="32">
        <f t="shared" si="0"/>
        <v>0</v>
      </c>
      <c r="W10" s="32">
        <f t="shared" si="1"/>
        <v>4.6051701859880918</v>
      </c>
      <c r="X10" s="32"/>
      <c r="Y10" s="32"/>
      <c r="Z10" s="22" t="s">
        <v>55</v>
      </c>
      <c r="AA10" s="23">
        <f>IF(AA6&gt;0,0,IFERROR(ABS(AA6 * 1000 / 0.5),0))</f>
        <v>8.3125369936775879</v>
      </c>
    </row>
    <row r="11" spans="1:30" ht="15.75" thickBot="1" x14ac:dyDescent="0.3">
      <c r="A11" s="33"/>
      <c r="B11" s="33"/>
      <c r="C11" s="33"/>
      <c r="D11" s="39"/>
      <c r="E11" s="39"/>
      <c r="F11" s="39"/>
      <c r="G11" s="39"/>
      <c r="H11" s="39"/>
      <c r="I11" s="40"/>
      <c r="J11" s="35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27" t="s">
        <v>39</v>
      </c>
      <c r="AA11" s="28" t="s">
        <v>56</v>
      </c>
    </row>
    <row r="12" spans="1:30" x14ac:dyDescent="0.25">
      <c r="A12" s="32"/>
      <c r="B12" s="32"/>
      <c r="C12" s="32"/>
      <c r="D12" s="38"/>
      <c r="E12" s="38"/>
      <c r="F12" s="38"/>
      <c r="G12" s="38"/>
      <c r="H12" s="38"/>
      <c r="I12" s="41"/>
      <c r="J12" s="34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30" x14ac:dyDescent="0.25">
      <c r="A13" s="33"/>
      <c r="B13" s="33"/>
      <c r="C13" s="33"/>
      <c r="D13" s="39"/>
      <c r="E13" s="39"/>
      <c r="F13" s="39"/>
      <c r="G13" s="39"/>
      <c r="H13" s="39"/>
      <c r="I13" s="40"/>
      <c r="J13" s="35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30" x14ac:dyDescent="0.25">
      <c r="A14" s="32"/>
      <c r="B14" s="32"/>
      <c r="C14" s="32"/>
      <c r="D14" s="38"/>
      <c r="E14" s="38"/>
      <c r="F14" s="38"/>
      <c r="G14" s="38"/>
      <c r="H14" s="38"/>
      <c r="I14" s="41"/>
      <c r="J14" s="34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</row>
    <row r="15" spans="1:30" x14ac:dyDescent="0.25">
      <c r="A15" s="33"/>
      <c r="B15" s="33"/>
      <c r="C15" s="33"/>
      <c r="D15" s="39"/>
      <c r="E15" s="39"/>
      <c r="F15" s="39"/>
      <c r="G15" s="39"/>
      <c r="H15" s="39"/>
      <c r="I15" s="40"/>
      <c r="J15" s="35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30" x14ac:dyDescent="0.25">
      <c r="A16" s="32"/>
      <c r="B16" s="32"/>
      <c r="C16" s="32"/>
      <c r="D16" s="38"/>
      <c r="E16" s="38"/>
      <c r="F16" s="38"/>
      <c r="G16" s="38"/>
      <c r="H16" s="38"/>
      <c r="I16" s="41"/>
      <c r="J16" s="34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</row>
    <row r="17" spans="1:30" x14ac:dyDescent="0.25">
      <c r="A17" s="33"/>
      <c r="B17" s="33"/>
      <c r="C17" s="33"/>
      <c r="D17" s="39"/>
      <c r="E17" s="39"/>
      <c r="F17" s="39"/>
      <c r="G17" s="39"/>
      <c r="H17" s="39"/>
      <c r="I17" s="40"/>
      <c r="J17" s="35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30" x14ac:dyDescent="0.25">
      <c r="A18" s="32"/>
      <c r="B18" s="32"/>
      <c r="C18" s="32"/>
      <c r="D18" s="38"/>
      <c r="E18" s="38"/>
      <c r="F18" s="38"/>
      <c r="G18" s="38"/>
      <c r="H18" s="38"/>
      <c r="I18" s="41"/>
      <c r="J18" s="34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30" x14ac:dyDescent="0.25">
      <c r="A19" s="33"/>
      <c r="B19" s="33"/>
      <c r="C19" s="33"/>
      <c r="D19" s="39"/>
      <c r="E19" s="39"/>
      <c r="F19" s="39"/>
      <c r="G19" s="39"/>
      <c r="H19" s="39"/>
      <c r="I19" s="40"/>
      <c r="J19" s="35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30" x14ac:dyDescent="0.25">
      <c r="A20" s="32"/>
      <c r="B20" s="32"/>
      <c r="C20" s="32"/>
      <c r="D20" s="38"/>
      <c r="E20" s="38"/>
      <c r="F20" s="38"/>
      <c r="G20" s="38"/>
      <c r="H20" s="38"/>
      <c r="I20" s="41"/>
      <c r="J20" s="34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</row>
    <row r="21" spans="1:30" ht="15.75" thickBot="1" x14ac:dyDescent="0.3">
      <c r="A21" s="33"/>
      <c r="B21" s="33"/>
      <c r="C21" s="33"/>
      <c r="D21" s="39"/>
      <c r="E21" s="39"/>
      <c r="F21" s="39"/>
      <c r="G21" s="39"/>
      <c r="H21" s="39"/>
      <c r="I21" s="39"/>
      <c r="J21" s="35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</row>
    <row r="22" spans="1:30" ht="16.5" thickTop="1" thickBot="1" x14ac:dyDescent="0.3">
      <c r="A22" s="32" t="s">
        <v>6</v>
      </c>
      <c r="B22" s="32" t="s">
        <v>78</v>
      </c>
      <c r="C22" s="32" t="s">
        <v>10</v>
      </c>
      <c r="D22" s="38">
        <v>1</v>
      </c>
      <c r="E22" s="38">
        <v>37229.300999999999</v>
      </c>
      <c r="F22" s="38">
        <v>2.6860600000000002E-5</v>
      </c>
      <c r="G22" s="38"/>
      <c r="H22" s="38"/>
      <c r="I22" s="38"/>
      <c r="J22" s="34"/>
      <c r="K22" s="32"/>
      <c r="L22" s="32"/>
      <c r="M22" s="32"/>
      <c r="N22" s="32"/>
      <c r="O22" s="32"/>
      <c r="P22" s="32"/>
      <c r="Q22" s="32"/>
      <c r="R22" s="32" t="s">
        <v>374</v>
      </c>
      <c r="S22" s="32"/>
      <c r="T22" s="32">
        <v>2</v>
      </c>
      <c r="U22" s="32"/>
      <c r="V22" s="32"/>
      <c r="W22" s="32"/>
      <c r="X22" s="32"/>
      <c r="Y22" s="32"/>
      <c r="Z22" s="9" t="s">
        <v>45</v>
      </c>
      <c r="AA22" s="9" t="s">
        <v>47</v>
      </c>
      <c r="AB22" s="9" t="s">
        <v>48</v>
      </c>
      <c r="AC22" s="9" t="s">
        <v>49</v>
      </c>
      <c r="AD22" s="9" t="s">
        <v>50</v>
      </c>
    </row>
    <row r="23" spans="1:30" ht="15.75" thickTop="1" x14ac:dyDescent="0.25">
      <c r="A23" s="33" t="s">
        <v>8</v>
      </c>
      <c r="B23" s="33" t="s">
        <v>78</v>
      </c>
      <c r="C23" s="33" t="s">
        <v>10</v>
      </c>
      <c r="D23" s="39">
        <v>1</v>
      </c>
      <c r="E23" s="39">
        <v>37141.370999999999</v>
      </c>
      <c r="F23" s="39">
        <v>2.6924199999999999E-5</v>
      </c>
      <c r="G23" s="39"/>
      <c r="H23" s="39"/>
      <c r="I23" s="39"/>
      <c r="J23" s="35"/>
      <c r="K23" s="33"/>
      <c r="L23" s="33"/>
      <c r="M23" s="33"/>
      <c r="N23" s="33"/>
      <c r="O23" s="33"/>
      <c r="P23" s="33"/>
      <c r="Q23" s="33"/>
      <c r="R23" s="33" t="s">
        <v>45</v>
      </c>
      <c r="S23" s="33"/>
      <c r="T23" s="33">
        <v>25</v>
      </c>
      <c r="U23" s="33"/>
      <c r="V23" s="33"/>
      <c r="W23" s="33"/>
      <c r="X23" s="33"/>
      <c r="Y23" s="33"/>
      <c r="Z23" s="10">
        <f>$H$25</f>
        <v>120</v>
      </c>
      <c r="AA23" s="11">
        <f>IF(ISTEXT($I$25),TEXT($G$25/100,"0.00%"),$G$25 / 100)</f>
        <v>0.86493424991293022</v>
      </c>
      <c r="AB23" s="11">
        <f>IF(ISTEXT($I$26),TEXT($G$26/100,"0.00%"),$G$26 / 100)</f>
        <v>0.51558311791147271</v>
      </c>
      <c r="AC23" s="11">
        <f>IF(ISTEXT($I$27),TEXT($G$27/100,"0.00%"),$G$27 / 100)</f>
        <v>0.15534628339009093</v>
      </c>
      <c r="AD23" s="11">
        <f>IFERROR(AVERAGE($AA$23:$AC$23),"")</f>
        <v>0.51195455040483129</v>
      </c>
    </row>
    <row r="24" spans="1:30" ht="15.75" thickBot="1" x14ac:dyDescent="0.3">
      <c r="A24" s="32" t="s">
        <v>9</v>
      </c>
      <c r="B24" s="32" t="s">
        <v>78</v>
      </c>
      <c r="C24" s="32" t="s">
        <v>10</v>
      </c>
      <c r="D24" s="38">
        <v>1.419</v>
      </c>
      <c r="E24" s="38">
        <v>36262.148000000001</v>
      </c>
      <c r="F24" s="38">
        <v>3.9131699999999997E-5</v>
      </c>
      <c r="G24" s="38"/>
      <c r="H24" s="38"/>
      <c r="I24" s="38"/>
      <c r="J24" s="34"/>
      <c r="K24" s="32"/>
      <c r="L24" s="32"/>
      <c r="M24" s="32"/>
      <c r="N24" s="32"/>
      <c r="O24" s="32"/>
      <c r="P24" s="32"/>
      <c r="Q24" s="32"/>
      <c r="R24" s="32" t="s">
        <v>46</v>
      </c>
      <c r="S24" s="32"/>
      <c r="T24" s="32">
        <v>30</v>
      </c>
      <c r="U24" s="32"/>
      <c r="V24" s="32"/>
      <c r="W24" s="32"/>
      <c r="X24" s="32"/>
      <c r="Y24" s="32"/>
      <c r="Z24" s="12">
        <f>$H$28</f>
        <v>0</v>
      </c>
      <c r="AA24" s="13">
        <f>IF(ISTEXT($I$28),TEXT($G$28/100,"0.00%"),$G$28 / 100)</f>
        <v>1</v>
      </c>
      <c r="AB24" s="13">
        <f>IF(ISTEXT($I$29),TEXT($G$29/100,"0.00%"),$G$29 / 100)</f>
        <v>1</v>
      </c>
      <c r="AC24" s="13">
        <f>IF(ISTEXT($I$30),TEXT($G$30/100,"0.00%"),$G$30 / 100)</f>
        <v>1</v>
      </c>
      <c r="AD24" s="13">
        <f>IFERROR(AVERAGE($AA$24:$AC$24),"")</f>
        <v>1</v>
      </c>
    </row>
    <row r="25" spans="1:30" ht="16.5" thickTop="1" thickBot="1" x14ac:dyDescent="0.3">
      <c r="A25" s="33" t="s">
        <v>186</v>
      </c>
      <c r="B25" s="33" t="s">
        <v>78</v>
      </c>
      <c r="C25" s="33" t="s">
        <v>10</v>
      </c>
      <c r="D25" s="39">
        <v>2514.8000000000002</v>
      </c>
      <c r="E25" s="39">
        <v>23054.333999999999</v>
      </c>
      <c r="F25" s="39">
        <v>0.109081442</v>
      </c>
      <c r="G25" s="39">
        <f>($F$25 -  AVERAGE($F$22,$F$23,$F$24) ) / ($F$28 -  AVERAGE($F$22,$F$23,$F$24) ) * 100</f>
        <v>86.493424991293026</v>
      </c>
      <c r="H25" s="39">
        <v>120</v>
      </c>
      <c r="I25" s="40">
        <f>LN($G$25)</f>
        <v>4.460068399387449</v>
      </c>
      <c r="J25" s="35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>
        <f>IF(ISTEXT($I$25),"",1)</f>
        <v>1</v>
      </c>
      <c r="V25" s="33">
        <f t="shared" ref="V25:V30" si="2">IFERROR(INDEX($H$25:$H$30,SMALL($U$25:$U$30,ROW(W1)),1),"")</f>
        <v>120</v>
      </c>
      <c r="W25" s="33">
        <f t="shared" ref="W25:W30" si="3">IFERROR(INDEX($I$25:$I$30,SMALL($U$25:$U$30,ROW(I1)),1),"")</f>
        <v>4.460068399387449</v>
      </c>
      <c r="X25" s="33"/>
      <c r="Y25" s="33"/>
    </row>
    <row r="26" spans="1:30" x14ac:dyDescent="0.25">
      <c r="A26" s="32" t="s">
        <v>187</v>
      </c>
      <c r="B26" s="32" t="s">
        <v>78</v>
      </c>
      <c r="C26" s="32" t="s">
        <v>10</v>
      </c>
      <c r="D26" s="38">
        <v>3078.2559999999999</v>
      </c>
      <c r="E26" s="38">
        <v>28470.609</v>
      </c>
      <c r="F26" s="38">
        <v>0.108120483</v>
      </c>
      <c r="G26" s="38">
        <f>($F$26 -  AVERAGE($F$22,$F$23,$F$24) ) / ($F$29 -  AVERAGE($F$22,$F$23,$F$24) ) * 100</f>
        <v>51.558311791147268</v>
      </c>
      <c r="H26" s="38">
        <v>120</v>
      </c>
      <c r="I26" s="41">
        <f>LN($G$26)</f>
        <v>3.9427134349272412</v>
      </c>
      <c r="J26" s="34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>
        <f>IF(ISTEXT($I$26),"",2)</f>
        <v>2</v>
      </c>
      <c r="V26" s="32">
        <f t="shared" si="2"/>
        <v>120</v>
      </c>
      <c r="W26" s="32">
        <f t="shared" si="3"/>
        <v>3.9427134349272412</v>
      </c>
      <c r="X26" s="32"/>
      <c r="Y26" s="32"/>
      <c r="Z26" s="20" t="s">
        <v>51</v>
      </c>
      <c r="AA26" s="31">
        <f>IFERROR(SLOPE($W$25:$W$30,$V$25:$V$30),"")</f>
        <v>-7.4157141811028639E-3</v>
      </c>
    </row>
    <row r="27" spans="1:30" x14ac:dyDescent="0.25">
      <c r="A27" s="33" t="s">
        <v>188</v>
      </c>
      <c r="B27" s="33" t="s">
        <v>78</v>
      </c>
      <c r="C27" s="33" t="s">
        <v>10</v>
      </c>
      <c r="D27" s="39">
        <v>1275.0920000000001</v>
      </c>
      <c r="E27" s="39">
        <v>28252.898000000001</v>
      </c>
      <c r="F27" s="39">
        <v>4.5131369999999997E-2</v>
      </c>
      <c r="G27" s="39">
        <f>($F$27 -  AVERAGE($F$22,$F$23,$F$24) ) / ($F$30 -  AVERAGE($F$22,$F$23,$F$24) ) * 100</f>
        <v>15.534628339009092</v>
      </c>
      <c r="H27" s="39">
        <v>120</v>
      </c>
      <c r="I27" s="40">
        <f>LN($G$27)</f>
        <v>2.7430716184525545</v>
      </c>
      <c r="J27" s="35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>
        <f>IF(ISTEXT($I$27),"",3)</f>
        <v>3</v>
      </c>
      <c r="V27" s="33">
        <f t="shared" si="2"/>
        <v>120</v>
      </c>
      <c r="W27" s="33">
        <f t="shared" si="3"/>
        <v>2.7430716184525545</v>
      </c>
      <c r="X27" s="33"/>
      <c r="Y27" s="33"/>
      <c r="Z27" s="22" t="s">
        <v>52</v>
      </c>
      <c r="AA27" s="23">
        <f>IFERROR(INTERCEPT($W$25:$W$30,$V$25:$V$30),"")</f>
        <v>4.6051701859880918</v>
      </c>
    </row>
    <row r="28" spans="1:30" ht="17.25" x14ac:dyDescent="0.25">
      <c r="A28" s="32" t="s">
        <v>92</v>
      </c>
      <c r="B28" s="32" t="s">
        <v>78</v>
      </c>
      <c r="C28" s="32" t="s">
        <v>10</v>
      </c>
      <c r="D28" s="38">
        <v>3577.3910000000001</v>
      </c>
      <c r="E28" s="38">
        <v>28367.123</v>
      </c>
      <c r="F28" s="38">
        <v>0.12611046300000001</v>
      </c>
      <c r="G28" s="38">
        <f>($F$28 -  AVERAGE($F$22,$F$23,$F$24) ) / ($F$28 -  AVERAGE($F$22,$F$23,$F$24) ) * 100</f>
        <v>100</v>
      </c>
      <c r="H28" s="38">
        <v>0</v>
      </c>
      <c r="I28" s="41">
        <f>LN($G$28)</f>
        <v>4.6051701859880918</v>
      </c>
      <c r="J28" s="34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>
        <f>IF(ISTEXT($I$28),"",4)</f>
        <v>4</v>
      </c>
      <c r="V28" s="32">
        <f t="shared" si="2"/>
        <v>0</v>
      </c>
      <c r="W28" s="32">
        <f t="shared" si="3"/>
        <v>4.6051701859880918</v>
      </c>
      <c r="X28" s="32"/>
      <c r="Y28" s="32"/>
      <c r="Z28" s="22" t="s">
        <v>53</v>
      </c>
      <c r="AA28" s="26">
        <f>IFERROR(CORREL($W$25:$W$30,$V$25:$V$30)^2,"")</f>
        <v>0.43360393435659594</v>
      </c>
    </row>
    <row r="29" spans="1:30" ht="18" x14ac:dyDescent="0.35">
      <c r="A29" s="33" t="s">
        <v>93</v>
      </c>
      <c r="B29" s="33" t="s">
        <v>78</v>
      </c>
      <c r="C29" s="33" t="s">
        <v>10</v>
      </c>
      <c r="D29" s="39">
        <v>6198.4170000000004</v>
      </c>
      <c r="E29" s="39">
        <v>29561.861000000001</v>
      </c>
      <c r="F29" s="39">
        <v>0.20967614300000001</v>
      </c>
      <c r="G29" s="39">
        <f>($F$29 -  AVERAGE($F$22,$F$23,$F$24) ) / ($F$29 -  AVERAGE($F$22,$F$23,$F$24) ) * 100</f>
        <v>100</v>
      </c>
      <c r="H29" s="39">
        <v>0</v>
      </c>
      <c r="I29" s="40">
        <f>LN($G$29)</f>
        <v>4.6051701859880918</v>
      </c>
      <c r="J29" s="35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>
        <f>IF(ISTEXT($I$29),"",5)</f>
        <v>5</v>
      </c>
      <c r="V29" s="33">
        <f t="shared" si="2"/>
        <v>0</v>
      </c>
      <c r="W29" s="33">
        <f t="shared" si="3"/>
        <v>4.6051701859880918</v>
      </c>
      <c r="X29" s="33"/>
      <c r="Y29" s="33"/>
      <c r="Z29" s="22" t="s">
        <v>54</v>
      </c>
      <c r="AA29" s="30">
        <f>IF(AA26&gt;0,"",IFERROR(LN(2) /ABS(AA26),0))</f>
        <v>93.470050710188048</v>
      </c>
    </row>
    <row r="30" spans="1:30" ht="18.75" x14ac:dyDescent="0.35">
      <c r="A30" s="32" t="s">
        <v>94</v>
      </c>
      <c r="B30" s="32" t="s">
        <v>78</v>
      </c>
      <c r="C30" s="32" t="s">
        <v>10</v>
      </c>
      <c r="D30" s="38">
        <v>7360.6409999999996</v>
      </c>
      <c r="E30" s="38">
        <v>25350.690999999999</v>
      </c>
      <c r="F30" s="38">
        <v>0.290352677</v>
      </c>
      <c r="G30" s="38">
        <f>($F$30 -  AVERAGE($F$22,$F$23,$F$24) ) / ($F$30 -  AVERAGE($F$22,$F$23,$F$24) ) * 100</f>
        <v>100</v>
      </c>
      <c r="H30" s="38">
        <v>0</v>
      </c>
      <c r="I30" s="41">
        <f>LN($G$30)</f>
        <v>4.6051701859880918</v>
      </c>
      <c r="J30" s="34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>
        <f>IF(ISTEXT($I$30),"",6)</f>
        <v>6</v>
      </c>
      <c r="V30" s="32">
        <f t="shared" si="2"/>
        <v>0</v>
      </c>
      <c r="W30" s="32">
        <f t="shared" si="3"/>
        <v>4.6051701859880918</v>
      </c>
      <c r="X30" s="32"/>
      <c r="Y30" s="32"/>
      <c r="Z30" s="22" t="s">
        <v>55</v>
      </c>
      <c r="AA30" s="30">
        <f>IF(AA26&gt;0,0,IFERROR(ABS(AA26 * 1000 / 0.5),0))</f>
        <v>14.831428362205727</v>
      </c>
    </row>
    <row r="31" spans="1:30" ht="15.75" thickBot="1" x14ac:dyDescent="0.3">
      <c r="A31" s="33"/>
      <c r="B31" s="33"/>
      <c r="C31" s="33"/>
      <c r="D31" s="39"/>
      <c r="E31" s="39"/>
      <c r="F31" s="39"/>
      <c r="G31" s="39"/>
      <c r="H31" s="39"/>
      <c r="I31" s="40"/>
      <c r="J31" s="35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27" t="s">
        <v>39</v>
      </c>
      <c r="AA31" s="28" t="s">
        <v>56</v>
      </c>
    </row>
    <row r="32" spans="1:30" x14ac:dyDescent="0.25">
      <c r="A32" s="32"/>
      <c r="B32" s="32"/>
      <c r="C32" s="32"/>
      <c r="D32" s="38"/>
      <c r="E32" s="38"/>
      <c r="F32" s="38"/>
      <c r="G32" s="38"/>
      <c r="H32" s="38"/>
      <c r="I32" s="41"/>
      <c r="J32" s="34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1:30" x14ac:dyDescent="0.25">
      <c r="A33" s="33"/>
      <c r="B33" s="33"/>
      <c r="C33" s="33"/>
      <c r="D33" s="39"/>
      <c r="E33" s="39"/>
      <c r="F33" s="39"/>
      <c r="G33" s="39"/>
      <c r="H33" s="39"/>
      <c r="I33" s="40"/>
      <c r="J33" s="35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</row>
    <row r="34" spans="1:30" x14ac:dyDescent="0.25">
      <c r="A34" s="32"/>
      <c r="B34" s="32"/>
      <c r="C34" s="32"/>
      <c r="D34" s="38"/>
      <c r="E34" s="38"/>
      <c r="F34" s="38"/>
      <c r="G34" s="38"/>
      <c r="H34" s="38"/>
      <c r="I34" s="41"/>
      <c r="J34" s="34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1:30" x14ac:dyDescent="0.25">
      <c r="A35" s="33"/>
      <c r="B35" s="33"/>
      <c r="C35" s="33"/>
      <c r="D35" s="39"/>
      <c r="E35" s="39"/>
      <c r="F35" s="39"/>
      <c r="G35" s="39"/>
      <c r="H35" s="39"/>
      <c r="I35" s="40"/>
      <c r="J35" s="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</row>
    <row r="36" spans="1:30" x14ac:dyDescent="0.25">
      <c r="A36" s="32"/>
      <c r="B36" s="32"/>
      <c r="C36" s="32"/>
      <c r="D36" s="38"/>
      <c r="E36" s="38"/>
      <c r="F36" s="38"/>
      <c r="G36" s="38"/>
      <c r="H36" s="38"/>
      <c r="I36" s="41"/>
      <c r="J36" s="34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1:30" x14ac:dyDescent="0.25">
      <c r="A37" s="33"/>
      <c r="B37" s="33"/>
      <c r="C37" s="33"/>
      <c r="D37" s="39"/>
      <c r="E37" s="39"/>
      <c r="F37" s="39"/>
      <c r="G37" s="39"/>
      <c r="H37" s="39"/>
      <c r="I37" s="40"/>
      <c r="J37" s="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</row>
    <row r="38" spans="1:30" x14ac:dyDescent="0.25">
      <c r="A38" s="32"/>
      <c r="B38" s="32"/>
      <c r="C38" s="32"/>
      <c r="D38" s="38"/>
      <c r="E38" s="38"/>
      <c r="F38" s="38"/>
      <c r="G38" s="38"/>
      <c r="H38" s="38"/>
      <c r="I38" s="41"/>
      <c r="J38" s="34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1:30" x14ac:dyDescent="0.25">
      <c r="A39" s="33"/>
      <c r="B39" s="33"/>
      <c r="C39" s="33"/>
      <c r="D39" s="39"/>
      <c r="E39" s="39"/>
      <c r="F39" s="39"/>
      <c r="G39" s="39"/>
      <c r="H39" s="39"/>
      <c r="I39" s="40"/>
      <c r="J39" s="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</row>
    <row r="40" spans="1:30" x14ac:dyDescent="0.25">
      <c r="A40" s="32"/>
      <c r="B40" s="32"/>
      <c r="C40" s="32"/>
      <c r="D40" s="38"/>
      <c r="E40" s="38"/>
      <c r="F40" s="38"/>
      <c r="G40" s="38"/>
      <c r="H40" s="38"/>
      <c r="I40" s="41"/>
      <c r="J40" s="34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1:30" ht="15.75" thickBot="1" x14ac:dyDescent="0.3">
      <c r="A41" s="33"/>
      <c r="B41" s="33"/>
      <c r="C41" s="33"/>
      <c r="D41" s="39"/>
      <c r="E41" s="39"/>
      <c r="F41" s="39"/>
      <c r="G41" s="39"/>
      <c r="H41" s="39"/>
      <c r="I41" s="39"/>
      <c r="J41" s="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</row>
    <row r="42" spans="1:30" ht="16.5" thickTop="1" thickBot="1" x14ac:dyDescent="0.3">
      <c r="A42" s="32" t="s">
        <v>6</v>
      </c>
      <c r="B42" s="32" t="s">
        <v>95</v>
      </c>
      <c r="C42" s="32" t="s">
        <v>11</v>
      </c>
      <c r="D42" s="38">
        <v>1.1140000000000001</v>
      </c>
      <c r="E42" s="38">
        <v>37229.300999999999</v>
      </c>
      <c r="F42" s="38">
        <v>2.9922700000000001E-5</v>
      </c>
      <c r="G42" s="38"/>
      <c r="H42" s="38"/>
      <c r="I42" s="38"/>
      <c r="J42" s="34"/>
      <c r="K42" s="32"/>
      <c r="L42" s="32"/>
      <c r="M42" s="32"/>
      <c r="N42" s="32"/>
      <c r="O42" s="32"/>
      <c r="P42" s="32"/>
      <c r="Q42" s="32"/>
      <c r="R42" s="32" t="s">
        <v>375</v>
      </c>
      <c r="S42" s="32"/>
      <c r="T42" s="32">
        <v>3</v>
      </c>
      <c r="U42" s="32"/>
      <c r="V42" s="32"/>
      <c r="W42" s="32"/>
      <c r="X42" s="32"/>
      <c r="Y42" s="32"/>
      <c r="Z42" s="9" t="s">
        <v>45</v>
      </c>
      <c r="AA42" s="9" t="s">
        <v>47</v>
      </c>
      <c r="AB42" s="9" t="s">
        <v>48</v>
      </c>
      <c r="AC42" s="9" t="s">
        <v>49</v>
      </c>
      <c r="AD42" s="9" t="s">
        <v>50</v>
      </c>
    </row>
    <row r="43" spans="1:30" ht="15.75" thickTop="1" x14ac:dyDescent="0.25">
      <c r="A43" s="33" t="s">
        <v>8</v>
      </c>
      <c r="B43" s="33" t="s">
        <v>95</v>
      </c>
      <c r="C43" s="33" t="s">
        <v>11</v>
      </c>
      <c r="D43" s="39">
        <v>1</v>
      </c>
      <c r="E43" s="39">
        <v>37141.370999999999</v>
      </c>
      <c r="F43" s="39">
        <v>2.6924199999999999E-5</v>
      </c>
      <c r="G43" s="39"/>
      <c r="H43" s="39"/>
      <c r="I43" s="39"/>
      <c r="J43" s="35"/>
      <c r="K43" s="33"/>
      <c r="L43" s="33"/>
      <c r="M43" s="33"/>
      <c r="N43" s="33"/>
      <c r="O43" s="33"/>
      <c r="P43" s="33"/>
      <c r="Q43" s="33"/>
      <c r="R43" s="33" t="s">
        <v>45</v>
      </c>
      <c r="S43" s="33"/>
      <c r="T43" s="33">
        <v>45</v>
      </c>
      <c r="U43" s="33"/>
      <c r="V43" s="33"/>
      <c r="W43" s="33"/>
      <c r="X43" s="33"/>
      <c r="Y43" s="33"/>
      <c r="Z43" s="10">
        <f>$H$45</f>
        <v>120</v>
      </c>
      <c r="AA43" s="49">
        <f>IF(ISTEXT($I$45),TEXT($G$45/100,"0.00%"),$G$45 / 100)</f>
        <v>1.3569219970246877</v>
      </c>
      <c r="AB43" s="49">
        <f>IF(ISTEXT($I$46),TEXT($G$46/100,"0.00%"),$G$46 / 100)</f>
        <v>1.1055544105855974</v>
      </c>
      <c r="AC43" s="49">
        <f>IF(ISTEXT($I$47),TEXT($G$47/100,"0.00%"),$G$47 / 100)</f>
        <v>1.5275436765470907</v>
      </c>
      <c r="AD43" s="49">
        <f>IFERROR(AVERAGE($AA$43:$AC$43),"")</f>
        <v>1.3300066947191251</v>
      </c>
    </row>
    <row r="44" spans="1:30" ht="15.75" thickBot="1" x14ac:dyDescent="0.3">
      <c r="A44" s="32" t="s">
        <v>9</v>
      </c>
      <c r="B44" s="32" t="s">
        <v>95</v>
      </c>
      <c r="C44" s="32" t="s">
        <v>11</v>
      </c>
      <c r="D44" s="38">
        <v>1</v>
      </c>
      <c r="E44" s="38">
        <v>36262.148000000001</v>
      </c>
      <c r="F44" s="38">
        <v>2.7577E-5</v>
      </c>
      <c r="G44" s="38"/>
      <c r="H44" s="38"/>
      <c r="I44" s="38"/>
      <c r="J44" s="34"/>
      <c r="K44" s="32"/>
      <c r="L44" s="32"/>
      <c r="M44" s="32"/>
      <c r="N44" s="32"/>
      <c r="O44" s="32"/>
      <c r="P44" s="32"/>
      <c r="Q44" s="32"/>
      <c r="R44" s="32" t="s">
        <v>46</v>
      </c>
      <c r="S44" s="32"/>
      <c r="T44" s="32">
        <v>50</v>
      </c>
      <c r="U44" s="32"/>
      <c r="V44" s="32"/>
      <c r="W44" s="32"/>
      <c r="X44" s="32"/>
      <c r="Y44" s="32"/>
      <c r="Z44" s="12">
        <f>$H$48</f>
        <v>0</v>
      </c>
      <c r="AA44" s="13">
        <f>IF(ISTEXT($I$48),TEXT($G$48/100,"0.00%"),$G$48 / 100)</f>
        <v>1</v>
      </c>
      <c r="AB44" s="13">
        <f>IF(ISTEXT($I$49),TEXT($G$49/100,"0.00%"),$G$49 / 100)</f>
        <v>1</v>
      </c>
      <c r="AC44" s="13">
        <f>IF(ISTEXT($I$50),TEXT($G$50/100,"0.00%"),$G$50 / 100)</f>
        <v>1</v>
      </c>
      <c r="AD44" s="13">
        <f>IFERROR(AVERAGE($AA$44:$AC$44),"")</f>
        <v>1</v>
      </c>
    </row>
    <row r="45" spans="1:30" ht="16.5" thickTop="1" thickBot="1" x14ac:dyDescent="0.3">
      <c r="A45" s="33" t="s">
        <v>189</v>
      </c>
      <c r="B45" s="33" t="s">
        <v>95</v>
      </c>
      <c r="C45" s="33" t="s">
        <v>11</v>
      </c>
      <c r="D45" s="39">
        <v>4256.5590000000002</v>
      </c>
      <c r="E45" s="39">
        <v>30967.072</v>
      </c>
      <c r="F45" s="39">
        <v>0.137454358</v>
      </c>
      <c r="G45" s="39">
        <f>($F$45 -  AVERAGE($F$42,$F$43,$F$44) ) / ($F$48 -  AVERAGE($F$42,$F$43,$F$44) ) * 100</f>
        <v>135.69219970246877</v>
      </c>
      <c r="H45" s="39">
        <v>120</v>
      </c>
      <c r="I45" s="40">
        <f>LN($G$45)</f>
        <v>4.910389083261399</v>
      </c>
      <c r="J45" s="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>
        <f>IF(ISTEXT($I$45),"",1)</f>
        <v>1</v>
      </c>
      <c r="V45" s="33">
        <f t="shared" ref="V45:V50" si="4">IFERROR(INDEX($H$45:$H$50,SMALL($U$45:$U$50,ROW(W1)),1),"")</f>
        <v>120</v>
      </c>
      <c r="W45" s="33">
        <f t="shared" ref="W45:W50" si="5">IFERROR(INDEX($I$45:$I$50,SMALL($U$45:$U$50,ROW(I1)),1),"")</f>
        <v>4.910389083261399</v>
      </c>
      <c r="X45" s="33"/>
      <c r="Y45" s="33"/>
    </row>
    <row r="46" spans="1:30" x14ac:dyDescent="0.25">
      <c r="A46" s="32" t="s">
        <v>190</v>
      </c>
      <c r="B46" s="32" t="s">
        <v>95</v>
      </c>
      <c r="C46" s="32" t="s">
        <v>11</v>
      </c>
      <c r="D46" s="38">
        <v>3312.8180000000002</v>
      </c>
      <c r="E46" s="38">
        <v>32444.532999999999</v>
      </c>
      <c r="F46" s="38">
        <v>0.10210712500000001</v>
      </c>
      <c r="G46" s="38">
        <f>($F$46 -  AVERAGE($F$42,$F$43,$F$44) ) / ($F$49 -  AVERAGE($F$42,$F$43,$F$44) ) * 100</f>
        <v>110.55544105855975</v>
      </c>
      <c r="H46" s="38">
        <v>120</v>
      </c>
      <c r="I46" s="41">
        <f>LN($G$46)</f>
        <v>4.7055171241706191</v>
      </c>
      <c r="J46" s="34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>
        <f>IF(ISTEXT($I$46),"",2)</f>
        <v>2</v>
      </c>
      <c r="V46" s="32">
        <f t="shared" si="4"/>
        <v>120</v>
      </c>
      <c r="W46" s="32">
        <f t="shared" si="5"/>
        <v>4.7055171241706191</v>
      </c>
      <c r="X46" s="32"/>
      <c r="Y46" s="32"/>
      <c r="Z46" s="20" t="s">
        <v>51</v>
      </c>
      <c r="AA46" s="31">
        <f>IFERROR(SLOPE($W$45:$W$50,$V$45:$V$50),"")</f>
        <v>2.3034078905412375E-3</v>
      </c>
    </row>
    <row r="47" spans="1:30" x14ac:dyDescent="0.25">
      <c r="A47" s="33" t="s">
        <v>191</v>
      </c>
      <c r="B47" s="33" t="s">
        <v>95</v>
      </c>
      <c r="C47" s="33" t="s">
        <v>11</v>
      </c>
      <c r="D47" s="39">
        <v>3773.913</v>
      </c>
      <c r="E47" s="39">
        <v>31895.83</v>
      </c>
      <c r="F47" s="39">
        <v>0.11831994999999999</v>
      </c>
      <c r="G47" s="39">
        <f>($F$47 -  AVERAGE($F$42,$F$43,$F$44) ) / ($F$50 -  AVERAGE($F$42,$F$43,$F$44) ) * 100</f>
        <v>152.75436765470906</v>
      </c>
      <c r="H47" s="39">
        <v>120</v>
      </c>
      <c r="I47" s="40">
        <f>LN($G$47)</f>
        <v>5.0288311911271029</v>
      </c>
      <c r="J47" s="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>
        <f>IF(ISTEXT($I$47),"",3)</f>
        <v>3</v>
      </c>
      <c r="V47" s="33">
        <f t="shared" si="4"/>
        <v>120</v>
      </c>
      <c r="W47" s="33">
        <f t="shared" si="5"/>
        <v>5.0288311911271029</v>
      </c>
      <c r="X47" s="33"/>
      <c r="Y47" s="33"/>
      <c r="Z47" s="22" t="s">
        <v>52</v>
      </c>
      <c r="AA47" s="23">
        <f>IFERROR(INTERCEPT($W$45:$W$50,$V$45:$V$50),"")</f>
        <v>4.6051701859880927</v>
      </c>
    </row>
    <row r="48" spans="1:30" ht="17.25" x14ac:dyDescent="0.25">
      <c r="A48" s="32" t="s">
        <v>109</v>
      </c>
      <c r="B48" s="32" t="s">
        <v>95</v>
      </c>
      <c r="C48" s="32" t="s">
        <v>11</v>
      </c>
      <c r="D48" s="38">
        <v>2889.471</v>
      </c>
      <c r="E48" s="38">
        <v>28522.197</v>
      </c>
      <c r="F48" s="38">
        <v>0.101306046</v>
      </c>
      <c r="G48" s="38">
        <f>($F$48 -  AVERAGE($F$42,$F$43,$F$44) ) / ($F$48 -  AVERAGE($F$42,$F$43,$F$44) ) * 100</f>
        <v>100</v>
      </c>
      <c r="H48" s="38">
        <v>0</v>
      </c>
      <c r="I48" s="41">
        <f>LN($G$48)</f>
        <v>4.6051701859880918</v>
      </c>
      <c r="J48" s="34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>
        <f>IF(ISTEXT($I$48),"",4)</f>
        <v>4</v>
      </c>
      <c r="V48" s="32">
        <f t="shared" si="4"/>
        <v>0</v>
      </c>
      <c r="W48" s="32">
        <f t="shared" si="5"/>
        <v>4.6051701859880918</v>
      </c>
      <c r="X48" s="32"/>
      <c r="Y48" s="32"/>
      <c r="Z48" s="22" t="s">
        <v>53</v>
      </c>
      <c r="AA48" s="26">
        <f>IFERROR(CORREL($W$45:$W$50,$V$45:$V$50)^2,"")</f>
        <v>0.68169781423672227</v>
      </c>
    </row>
    <row r="49" spans="1:30" ht="18" x14ac:dyDescent="0.35">
      <c r="A49" s="33" t="s">
        <v>110</v>
      </c>
      <c r="B49" s="33" t="s">
        <v>95</v>
      </c>
      <c r="C49" s="33" t="s">
        <v>11</v>
      </c>
      <c r="D49" s="39">
        <v>2765.4839999999999</v>
      </c>
      <c r="E49" s="39">
        <v>29942.123</v>
      </c>
      <c r="F49" s="39">
        <v>9.2360986000000006E-2</v>
      </c>
      <c r="G49" s="39">
        <f>($F$49 -  AVERAGE($F$42,$F$43,$F$44) ) / ($F$49 -  AVERAGE($F$42,$F$43,$F$44) ) * 100</f>
        <v>100</v>
      </c>
      <c r="H49" s="39">
        <v>0</v>
      </c>
      <c r="I49" s="40">
        <f>LN($G$49)</f>
        <v>4.6051701859880918</v>
      </c>
      <c r="J49" s="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>
        <f>IF(ISTEXT($I$49),"",5)</f>
        <v>5</v>
      </c>
      <c r="V49" s="33">
        <f t="shared" si="4"/>
        <v>0</v>
      </c>
      <c r="W49" s="33">
        <f t="shared" si="5"/>
        <v>4.6051701859880918</v>
      </c>
      <c r="X49" s="33"/>
      <c r="Y49" s="33"/>
      <c r="Z49" s="22" t="s">
        <v>54</v>
      </c>
      <c r="AA49" s="50" t="str">
        <f>IF(AA46&gt;0," &gt;480",IFERROR(LN(2) /ABS(AA46),0))</f>
        <v xml:space="preserve"> &gt;480</v>
      </c>
    </row>
    <row r="50" spans="1:30" ht="18.75" x14ac:dyDescent="0.35">
      <c r="A50" s="32" t="s">
        <v>111</v>
      </c>
      <c r="B50" s="32" t="s">
        <v>95</v>
      </c>
      <c r="C50" s="32" t="s">
        <v>11</v>
      </c>
      <c r="D50" s="38">
        <v>2494.096</v>
      </c>
      <c r="E50" s="38">
        <v>32195.437999999998</v>
      </c>
      <c r="F50" s="38">
        <v>7.7467373000000006E-2</v>
      </c>
      <c r="G50" s="38">
        <f>($F$50 -  AVERAGE($F$42,$F$43,$F$44) ) / ($F$50 -  AVERAGE($F$42,$F$43,$F$44) ) * 100</f>
        <v>100</v>
      </c>
      <c r="H50" s="38">
        <v>0</v>
      </c>
      <c r="I50" s="41">
        <f>LN($G$50)</f>
        <v>4.6051701859880918</v>
      </c>
      <c r="J50" s="34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>
        <f>IF(ISTEXT($I$50),"",6)</f>
        <v>6</v>
      </c>
      <c r="V50" s="32">
        <f t="shared" si="4"/>
        <v>0</v>
      </c>
      <c r="W50" s="32">
        <f t="shared" si="5"/>
        <v>4.6051701859880918</v>
      </c>
      <c r="X50" s="32"/>
      <c r="Y50" s="32"/>
      <c r="Z50" s="22" t="s">
        <v>55</v>
      </c>
      <c r="AA50" s="30">
        <f>IF(AA46&gt;0,0,IFERROR(ABS(AA46 * 1000 / 0.5),0))</f>
        <v>0</v>
      </c>
    </row>
    <row r="51" spans="1:30" ht="15.75" thickBot="1" x14ac:dyDescent="0.3">
      <c r="A51" s="33"/>
      <c r="B51" s="33"/>
      <c r="C51" s="33"/>
      <c r="D51" s="39"/>
      <c r="E51" s="39"/>
      <c r="F51" s="39"/>
      <c r="G51" s="39"/>
      <c r="H51" s="39"/>
      <c r="I51" s="40"/>
      <c r="J51" s="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27" t="s">
        <v>39</v>
      </c>
      <c r="AA51" s="28" t="s">
        <v>56</v>
      </c>
    </row>
    <row r="52" spans="1:30" x14ac:dyDescent="0.25">
      <c r="A52" s="32"/>
      <c r="B52" s="32"/>
      <c r="C52" s="32"/>
      <c r="D52" s="38"/>
      <c r="E52" s="38"/>
      <c r="F52" s="38"/>
      <c r="G52" s="38"/>
      <c r="H52" s="38"/>
      <c r="I52" s="41"/>
      <c r="J52" s="34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</row>
    <row r="53" spans="1:30" x14ac:dyDescent="0.25">
      <c r="A53" s="33"/>
      <c r="B53" s="33"/>
      <c r="C53" s="33"/>
      <c r="D53" s="39"/>
      <c r="E53" s="39"/>
      <c r="F53" s="39"/>
      <c r="G53" s="39"/>
      <c r="H53" s="39"/>
      <c r="I53" s="40"/>
      <c r="J53" s="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</row>
    <row r="54" spans="1:30" x14ac:dyDescent="0.25">
      <c r="A54" s="32"/>
      <c r="B54" s="32"/>
      <c r="C54" s="32"/>
      <c r="D54" s="38"/>
      <c r="E54" s="38"/>
      <c r="F54" s="38"/>
      <c r="G54" s="38"/>
      <c r="H54" s="38"/>
      <c r="I54" s="41"/>
      <c r="J54" s="34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</row>
    <row r="55" spans="1:30" x14ac:dyDescent="0.25">
      <c r="A55" s="33"/>
      <c r="B55" s="33"/>
      <c r="C55" s="33"/>
      <c r="D55" s="39"/>
      <c r="E55" s="39"/>
      <c r="F55" s="39"/>
      <c r="G55" s="39"/>
      <c r="H55" s="39"/>
      <c r="I55" s="40"/>
      <c r="J55" s="35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</row>
    <row r="56" spans="1:30" x14ac:dyDescent="0.25">
      <c r="A56" s="32"/>
      <c r="B56" s="32"/>
      <c r="C56" s="32"/>
      <c r="D56" s="38"/>
      <c r="E56" s="38"/>
      <c r="F56" s="38"/>
      <c r="G56" s="38"/>
      <c r="H56" s="38"/>
      <c r="I56" s="41"/>
      <c r="J56" s="34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</row>
    <row r="57" spans="1:30" x14ac:dyDescent="0.25">
      <c r="A57" s="33"/>
      <c r="B57" s="33"/>
      <c r="C57" s="33"/>
      <c r="D57" s="39"/>
      <c r="E57" s="39"/>
      <c r="F57" s="39"/>
      <c r="G57" s="39"/>
      <c r="H57" s="39"/>
      <c r="I57" s="40"/>
      <c r="J57" s="35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</row>
    <row r="58" spans="1:30" x14ac:dyDescent="0.25">
      <c r="A58" s="32"/>
      <c r="B58" s="32"/>
      <c r="C58" s="32"/>
      <c r="D58" s="38"/>
      <c r="E58" s="38"/>
      <c r="F58" s="38"/>
      <c r="G58" s="38"/>
      <c r="H58" s="38"/>
      <c r="I58" s="41"/>
      <c r="J58" s="34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</row>
    <row r="59" spans="1:30" x14ac:dyDescent="0.25">
      <c r="A59" s="33"/>
      <c r="B59" s="33"/>
      <c r="C59" s="33"/>
      <c r="D59" s="39"/>
      <c r="E59" s="39"/>
      <c r="F59" s="39"/>
      <c r="G59" s="39"/>
      <c r="H59" s="39"/>
      <c r="I59" s="40"/>
      <c r="J59" s="35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</row>
    <row r="60" spans="1:30" x14ac:dyDescent="0.25">
      <c r="A60" s="32"/>
      <c r="B60" s="32"/>
      <c r="C60" s="32"/>
      <c r="D60" s="38"/>
      <c r="E60" s="38"/>
      <c r="F60" s="38"/>
      <c r="G60" s="38"/>
      <c r="H60" s="38"/>
      <c r="I60" s="41"/>
      <c r="J60" s="34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</row>
    <row r="61" spans="1:30" ht="15.75" thickBot="1" x14ac:dyDescent="0.3">
      <c r="A61" s="33"/>
      <c r="B61" s="33"/>
      <c r="C61" s="33"/>
      <c r="D61" s="39"/>
      <c r="E61" s="39"/>
      <c r="F61" s="39"/>
      <c r="G61" s="39"/>
      <c r="H61" s="39"/>
      <c r="I61" s="39"/>
      <c r="J61" s="35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</row>
    <row r="62" spans="1:30" ht="16.5" thickTop="1" thickBot="1" x14ac:dyDescent="0.3">
      <c r="A62" s="32" t="s">
        <v>6</v>
      </c>
      <c r="B62" s="32" t="s">
        <v>112</v>
      </c>
      <c r="C62" s="32" t="s">
        <v>12</v>
      </c>
      <c r="D62" s="38">
        <v>63.58</v>
      </c>
      <c r="E62" s="38">
        <v>37229.300999999999</v>
      </c>
      <c r="F62" s="38">
        <v>1.707795E-3</v>
      </c>
      <c r="G62" s="38"/>
      <c r="H62" s="38"/>
      <c r="I62" s="38"/>
      <c r="J62" s="34"/>
      <c r="K62" s="32"/>
      <c r="L62" s="32"/>
      <c r="M62" s="32"/>
      <c r="N62" s="32"/>
      <c r="O62" s="32"/>
      <c r="P62" s="32"/>
      <c r="Q62" s="32"/>
      <c r="R62" s="32" t="s">
        <v>376</v>
      </c>
      <c r="S62" s="32"/>
      <c r="T62" s="32">
        <v>4</v>
      </c>
      <c r="U62" s="32"/>
      <c r="V62" s="32"/>
      <c r="W62" s="32"/>
      <c r="X62" s="32"/>
      <c r="Y62" s="32"/>
      <c r="Z62" s="9" t="s">
        <v>45</v>
      </c>
      <c r="AA62" s="9" t="s">
        <v>47</v>
      </c>
      <c r="AB62" s="9" t="s">
        <v>48</v>
      </c>
      <c r="AC62" s="9" t="s">
        <v>49</v>
      </c>
      <c r="AD62" s="9" t="s">
        <v>50</v>
      </c>
    </row>
    <row r="63" spans="1:30" ht="15.75" thickTop="1" x14ac:dyDescent="0.25">
      <c r="A63" s="33" t="s">
        <v>8</v>
      </c>
      <c r="B63" s="33" t="s">
        <v>112</v>
      </c>
      <c r="C63" s="33" t="s">
        <v>12</v>
      </c>
      <c r="D63" s="39">
        <v>36.292000000000002</v>
      </c>
      <c r="E63" s="39">
        <v>37141.370999999999</v>
      </c>
      <c r="F63" s="39">
        <v>9.7713100000000001E-4</v>
      </c>
      <c r="G63" s="39"/>
      <c r="H63" s="39"/>
      <c r="I63" s="39"/>
      <c r="J63" s="35"/>
      <c r="K63" s="33"/>
      <c r="L63" s="33"/>
      <c r="M63" s="33"/>
      <c r="N63" s="33"/>
      <c r="O63" s="33"/>
      <c r="P63" s="33"/>
      <c r="Q63" s="33"/>
      <c r="R63" s="33" t="s">
        <v>45</v>
      </c>
      <c r="S63" s="33"/>
      <c r="T63" s="33">
        <v>65</v>
      </c>
      <c r="U63" s="33"/>
      <c r="V63" s="33"/>
      <c r="W63" s="33"/>
      <c r="X63" s="33"/>
      <c r="Y63" s="33"/>
      <c r="Z63" s="10">
        <f>$H$65</f>
        <v>120</v>
      </c>
      <c r="AA63" s="11">
        <f>IF(ISTEXT($I$65),TEXT($G$65/100,"0.00%"),$G$65 / 100)</f>
        <v>0.45892423268204885</v>
      </c>
      <c r="AB63" s="11">
        <f>IF(ISTEXT($I$66),TEXT($G$66/100,"0.00%"),$G$66 / 100)</f>
        <v>0.48721155781723696</v>
      </c>
      <c r="AC63" s="11">
        <f>IF(ISTEXT($I$67),TEXT($G$67/100,"0.00%"),$G$67 / 100)</f>
        <v>0.61375054509651461</v>
      </c>
      <c r="AD63" s="11">
        <f>IFERROR(AVERAGE($AA$63:$AC$63),"")</f>
        <v>0.51996211186526675</v>
      </c>
    </row>
    <row r="64" spans="1:30" ht="15.75" thickBot="1" x14ac:dyDescent="0.3">
      <c r="A64" s="32" t="s">
        <v>9</v>
      </c>
      <c r="B64" s="32" t="s">
        <v>112</v>
      </c>
      <c r="C64" s="32" t="s">
        <v>12</v>
      </c>
      <c r="D64" s="38">
        <v>41.997</v>
      </c>
      <c r="E64" s="38">
        <v>36262.148000000001</v>
      </c>
      <c r="F64" s="38">
        <v>1.1581499999999999E-3</v>
      </c>
      <c r="G64" s="38"/>
      <c r="H64" s="38"/>
      <c r="I64" s="38"/>
      <c r="J64" s="34"/>
      <c r="K64" s="32"/>
      <c r="L64" s="32"/>
      <c r="M64" s="32"/>
      <c r="N64" s="32"/>
      <c r="O64" s="32"/>
      <c r="P64" s="32"/>
      <c r="Q64" s="32"/>
      <c r="R64" s="32" t="s">
        <v>46</v>
      </c>
      <c r="S64" s="32"/>
      <c r="T64" s="32">
        <v>70</v>
      </c>
      <c r="U64" s="32"/>
      <c r="V64" s="32"/>
      <c r="W64" s="32"/>
      <c r="X64" s="32"/>
      <c r="Y64" s="32"/>
      <c r="Z64" s="12">
        <f>$H$68</f>
        <v>0</v>
      </c>
      <c r="AA64" s="13">
        <f>IF(ISTEXT($I$68),TEXT($G$68/100,"0.00%"),$G$68 / 100)</f>
        <v>1</v>
      </c>
      <c r="AB64" s="13">
        <f>IF(ISTEXT($I$69),TEXT($G$69/100,"0.00%"),$G$69 / 100)</f>
        <v>1</v>
      </c>
      <c r="AC64" s="13">
        <f>IF(ISTEXT($I$70),TEXT($G$70/100,"0.00%"),$G$70 / 100)</f>
        <v>1</v>
      </c>
      <c r="AD64" s="13">
        <f>IFERROR(AVERAGE($AA$64:$AC$64),"")</f>
        <v>1</v>
      </c>
    </row>
    <row r="65" spans="1:27" ht="16.5" thickTop="1" thickBot="1" x14ac:dyDescent="0.3">
      <c r="A65" s="33" t="s">
        <v>192</v>
      </c>
      <c r="B65" s="33" t="s">
        <v>112</v>
      </c>
      <c r="C65" s="33" t="s">
        <v>12</v>
      </c>
      <c r="D65" s="39">
        <v>606.56500000000005</v>
      </c>
      <c r="E65" s="39">
        <v>23054.333999999999</v>
      </c>
      <c r="F65" s="39">
        <v>2.6310237E-2</v>
      </c>
      <c r="G65" s="39">
        <f>($F$65 -  AVERAGE($F$62,$F$63,$F$64) ) / ($F$68 -  AVERAGE($F$62,$F$63,$F$64) ) * 100</f>
        <v>45.892423268204887</v>
      </c>
      <c r="H65" s="39">
        <v>120</v>
      </c>
      <c r="I65" s="40">
        <f>LN($G$65)</f>
        <v>3.8263000330314005</v>
      </c>
      <c r="J65" s="35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>
        <f>IF(ISTEXT($I$65),"",1)</f>
        <v>1</v>
      </c>
      <c r="V65" s="33">
        <f t="shared" ref="V65:V70" si="6">IFERROR(INDEX($H$65:$H$70,SMALL($U$65:$U$70,ROW(W1)),1),"")</f>
        <v>120</v>
      </c>
      <c r="W65" s="33">
        <f t="shared" ref="W65:W70" si="7">IFERROR(INDEX($I$65:$I$70,SMALL($U$65:$U$70,ROW(I1)),1),"")</f>
        <v>3.8263000330314005</v>
      </c>
      <c r="X65" s="33"/>
      <c r="Y65" s="33"/>
    </row>
    <row r="66" spans="1:27" x14ac:dyDescent="0.25">
      <c r="A66" s="32" t="s">
        <v>193</v>
      </c>
      <c r="B66" s="32" t="s">
        <v>112</v>
      </c>
      <c r="C66" s="32" t="s">
        <v>12</v>
      </c>
      <c r="D66" s="38">
        <v>1229.9880000000001</v>
      </c>
      <c r="E66" s="38">
        <v>28470.609</v>
      </c>
      <c r="F66" s="38">
        <v>4.3202025999999998E-2</v>
      </c>
      <c r="G66" s="38">
        <f>($F$66 -  AVERAGE($F$62,$F$63,$F$64) ) / ($F$69 -  AVERAGE($F$62,$F$63,$F$64) ) * 100</f>
        <v>48.721155781723695</v>
      </c>
      <c r="H66" s="38">
        <v>120</v>
      </c>
      <c r="I66" s="41">
        <f>LN($G$66)</f>
        <v>3.8861133460620407</v>
      </c>
      <c r="J66" s="34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>
        <f>IF(ISTEXT($I$66),"",2)</f>
        <v>2</v>
      </c>
      <c r="V66" s="32">
        <f t="shared" si="6"/>
        <v>120</v>
      </c>
      <c r="W66" s="32">
        <f t="shared" si="7"/>
        <v>3.8861133460620407</v>
      </c>
      <c r="X66" s="32"/>
      <c r="Y66" s="32"/>
      <c r="Z66" s="20" t="s">
        <v>51</v>
      </c>
      <c r="AA66" s="31">
        <f>IFERROR(SLOPE($W$65:$W$70,$V$65:$V$70),"")</f>
        <v>-5.5169269572655092E-3</v>
      </c>
    </row>
    <row r="67" spans="1:27" x14ac:dyDescent="0.25">
      <c r="A67" s="33" t="s">
        <v>194</v>
      </c>
      <c r="B67" s="33" t="s">
        <v>112</v>
      </c>
      <c r="C67" s="33" t="s">
        <v>12</v>
      </c>
      <c r="D67" s="39">
        <v>1052.8820000000001</v>
      </c>
      <c r="E67" s="39">
        <v>28252.898000000001</v>
      </c>
      <c r="F67" s="39">
        <v>3.7266335999999997E-2</v>
      </c>
      <c r="G67" s="39">
        <f>($F$67 -  AVERAGE($F$62,$F$63,$F$64) ) / ($F$70 -  AVERAGE($F$62,$F$63,$F$64) ) * 100</f>
        <v>61.375054509651463</v>
      </c>
      <c r="H67" s="39">
        <v>120</v>
      </c>
      <c r="I67" s="40">
        <f>LN($G$67)</f>
        <v>4.1170034742552506</v>
      </c>
      <c r="J67" s="35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>
        <f>IF(ISTEXT($I$67),"",3)</f>
        <v>3</v>
      </c>
      <c r="V67" s="33">
        <f t="shared" si="6"/>
        <v>120</v>
      </c>
      <c r="W67" s="33">
        <f t="shared" si="7"/>
        <v>4.1170034742552506</v>
      </c>
      <c r="X67" s="33"/>
      <c r="Y67" s="33"/>
      <c r="Z67" s="22" t="s">
        <v>52</v>
      </c>
      <c r="AA67" s="23">
        <f>IFERROR(INTERCEPT($W$65:$W$70,$V$65:$V$70),"")</f>
        <v>4.6051701859880927</v>
      </c>
    </row>
    <row r="68" spans="1:27" ht="17.25" x14ac:dyDescent="0.25">
      <c r="A68" s="32" t="s">
        <v>126</v>
      </c>
      <c r="B68" s="32" t="s">
        <v>112</v>
      </c>
      <c r="C68" s="32" t="s">
        <v>12</v>
      </c>
      <c r="D68" s="38">
        <v>1583.45</v>
      </c>
      <c r="E68" s="38">
        <v>28367.123</v>
      </c>
      <c r="F68" s="38">
        <v>5.5819900999999998E-2</v>
      </c>
      <c r="G68" s="38">
        <f>($F$68 -  AVERAGE($F$62,$F$63,$F$64) ) / ($F$68 -  AVERAGE($F$62,$F$63,$F$64) ) * 100</f>
        <v>100</v>
      </c>
      <c r="H68" s="38">
        <v>0</v>
      </c>
      <c r="I68" s="41">
        <f>LN($G$68)</f>
        <v>4.6051701859880918</v>
      </c>
      <c r="J68" s="34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>
        <f>IF(ISTEXT($I$68),"",4)</f>
        <v>4</v>
      </c>
      <c r="V68" s="32">
        <f t="shared" si="6"/>
        <v>0</v>
      </c>
      <c r="W68" s="32">
        <f t="shared" si="7"/>
        <v>4.6051701859880918</v>
      </c>
      <c r="X68" s="32"/>
      <c r="Y68" s="32"/>
      <c r="Z68" s="22" t="s">
        <v>53</v>
      </c>
      <c r="AA68" s="26">
        <f>IFERROR(CORREL($W$65:$W$70,$V$65:$V$70)^2,"")</f>
        <v>0.93310418672846429</v>
      </c>
    </row>
    <row r="69" spans="1:27" ht="18" x14ac:dyDescent="0.35">
      <c r="A69" s="33" t="s">
        <v>127</v>
      </c>
      <c r="B69" s="33" t="s">
        <v>112</v>
      </c>
      <c r="C69" s="33" t="s">
        <v>12</v>
      </c>
      <c r="D69" s="39">
        <v>2581.4520000000002</v>
      </c>
      <c r="E69" s="39">
        <v>29561.861000000001</v>
      </c>
      <c r="F69" s="39">
        <v>8.7323731000000002E-2</v>
      </c>
      <c r="G69" s="39">
        <f>($F$69 -  AVERAGE($F$62,$F$63,$F$64) ) / ($F$69 -  AVERAGE($F$62,$F$63,$F$64) ) * 100</f>
        <v>100</v>
      </c>
      <c r="H69" s="39">
        <v>0</v>
      </c>
      <c r="I69" s="40">
        <f>LN($G$69)</f>
        <v>4.6051701859880918</v>
      </c>
      <c r="J69" s="35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>
        <f>IF(ISTEXT($I$69),"",5)</f>
        <v>5</v>
      </c>
      <c r="V69" s="33">
        <f t="shared" si="6"/>
        <v>0</v>
      </c>
      <c r="W69" s="33">
        <f t="shared" si="7"/>
        <v>4.6051701859880918</v>
      </c>
      <c r="X69" s="33"/>
      <c r="Y69" s="33"/>
      <c r="Z69" s="22" t="s">
        <v>54</v>
      </c>
      <c r="AA69" s="25">
        <f>IF(AA66&gt;0,"",IFERROR(LN(2) /ABS(AA66),0))</f>
        <v>125.64008657883463</v>
      </c>
    </row>
    <row r="70" spans="1:27" ht="18.75" x14ac:dyDescent="0.35">
      <c r="A70" s="32" t="s">
        <v>128</v>
      </c>
      <c r="B70" s="32" t="s">
        <v>112</v>
      </c>
      <c r="C70" s="32" t="s">
        <v>12</v>
      </c>
      <c r="D70" s="38">
        <v>1518.8320000000001</v>
      </c>
      <c r="E70" s="38">
        <v>25350.690999999999</v>
      </c>
      <c r="F70" s="38">
        <v>5.9912844E-2</v>
      </c>
      <c r="G70" s="38">
        <f>($F$70 -  AVERAGE($F$62,$F$63,$F$64) ) / ($F$70 -  AVERAGE($F$62,$F$63,$F$64) ) * 100</f>
        <v>100</v>
      </c>
      <c r="H70" s="38">
        <v>0</v>
      </c>
      <c r="I70" s="41">
        <f>LN($G$70)</f>
        <v>4.6051701859880918</v>
      </c>
      <c r="J70" s="34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>
        <f>IF(ISTEXT($I$70),"",6)</f>
        <v>6</v>
      </c>
      <c r="V70" s="32">
        <f t="shared" si="6"/>
        <v>0</v>
      </c>
      <c r="W70" s="32">
        <f t="shared" si="7"/>
        <v>4.6051701859880918</v>
      </c>
      <c r="X70" s="32"/>
      <c r="Y70" s="32"/>
      <c r="Z70" s="22" t="s">
        <v>55</v>
      </c>
      <c r="AA70" s="30">
        <f>IF(AA66&gt;0,0,IFERROR(ABS(AA66 * 1000 / 0.5),0))</f>
        <v>11.033853914531019</v>
      </c>
    </row>
    <row r="71" spans="1:27" ht="15.75" thickBot="1" x14ac:dyDescent="0.3">
      <c r="A71" s="33"/>
      <c r="B71" s="33"/>
      <c r="C71" s="33"/>
      <c r="D71" s="39"/>
      <c r="E71" s="39"/>
      <c r="F71" s="39"/>
      <c r="G71" s="39"/>
      <c r="H71" s="39"/>
      <c r="I71" s="40"/>
      <c r="J71" s="35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27" t="s">
        <v>39</v>
      </c>
      <c r="AA71" s="28" t="s">
        <v>56</v>
      </c>
    </row>
    <row r="72" spans="1:27" x14ac:dyDescent="0.25">
      <c r="A72" s="32"/>
      <c r="B72" s="32"/>
      <c r="C72" s="32"/>
      <c r="D72" s="38"/>
      <c r="E72" s="38"/>
      <c r="F72" s="38"/>
      <c r="G72" s="38"/>
      <c r="H72" s="38"/>
      <c r="I72" s="41"/>
      <c r="J72" s="34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</row>
    <row r="73" spans="1:27" x14ac:dyDescent="0.25">
      <c r="A73" s="33"/>
      <c r="B73" s="33"/>
      <c r="C73" s="33"/>
      <c r="D73" s="39"/>
      <c r="E73" s="39"/>
      <c r="F73" s="39"/>
      <c r="G73" s="39"/>
      <c r="H73" s="39"/>
      <c r="I73" s="40"/>
      <c r="J73" s="35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</row>
    <row r="74" spans="1:27" x14ac:dyDescent="0.25">
      <c r="A74" s="32"/>
      <c r="B74" s="32"/>
      <c r="C74" s="32"/>
      <c r="D74" s="38"/>
      <c r="E74" s="38"/>
      <c r="F74" s="38"/>
      <c r="G74" s="38"/>
      <c r="H74" s="38"/>
      <c r="I74" s="41"/>
      <c r="J74" s="34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</row>
    <row r="75" spans="1:27" x14ac:dyDescent="0.25">
      <c r="A75" s="33"/>
      <c r="B75" s="33"/>
      <c r="C75" s="33"/>
      <c r="D75" s="39"/>
      <c r="E75" s="39"/>
      <c r="F75" s="39"/>
      <c r="G75" s="39"/>
      <c r="H75" s="39"/>
      <c r="I75" s="40"/>
      <c r="J75" s="35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</row>
    <row r="76" spans="1:27" x14ac:dyDescent="0.25">
      <c r="A76" s="32"/>
      <c r="B76" s="32"/>
      <c r="C76" s="32"/>
      <c r="D76" s="38"/>
      <c r="E76" s="38"/>
      <c r="F76" s="38"/>
      <c r="G76" s="38"/>
      <c r="H76" s="38"/>
      <c r="I76" s="41"/>
      <c r="J76" s="34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</row>
    <row r="77" spans="1:27" x14ac:dyDescent="0.25">
      <c r="A77" s="33"/>
      <c r="B77" s="33"/>
      <c r="C77" s="33"/>
      <c r="D77" s="39"/>
      <c r="E77" s="39"/>
      <c r="F77" s="39"/>
      <c r="G77" s="39"/>
      <c r="H77" s="39"/>
      <c r="I77" s="40"/>
      <c r="J77" s="35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</row>
    <row r="78" spans="1:27" x14ac:dyDescent="0.25">
      <c r="A78" s="32"/>
      <c r="B78" s="32"/>
      <c r="C78" s="32"/>
      <c r="D78" s="38"/>
      <c r="E78" s="38"/>
      <c r="F78" s="38"/>
      <c r="G78" s="38"/>
      <c r="H78" s="38"/>
      <c r="I78" s="41"/>
      <c r="J78" s="34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</row>
    <row r="79" spans="1:27" x14ac:dyDescent="0.25">
      <c r="A79" s="33"/>
      <c r="B79" s="33"/>
      <c r="C79" s="33"/>
      <c r="D79" s="39"/>
      <c r="E79" s="39"/>
      <c r="F79" s="39"/>
      <c r="G79" s="39"/>
      <c r="H79" s="39"/>
      <c r="I79" s="40"/>
      <c r="J79" s="35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</row>
    <row r="80" spans="1:27" x14ac:dyDescent="0.25">
      <c r="A80" s="32"/>
      <c r="B80" s="32"/>
      <c r="C80" s="32"/>
      <c r="D80" s="38"/>
      <c r="E80" s="38"/>
      <c r="F80" s="38"/>
      <c r="G80" s="38"/>
      <c r="H80" s="38"/>
      <c r="I80" s="41"/>
      <c r="J80" s="34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</row>
    <row r="81" spans="1:30" ht="15.75" thickBot="1" x14ac:dyDescent="0.3">
      <c r="A81" s="33"/>
      <c r="B81" s="33"/>
      <c r="C81" s="33"/>
      <c r="D81" s="39"/>
      <c r="E81" s="39"/>
      <c r="F81" s="39"/>
      <c r="G81" s="39"/>
      <c r="H81" s="39"/>
      <c r="I81" s="39"/>
      <c r="J81" s="35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</row>
    <row r="82" spans="1:30" ht="16.5" thickTop="1" thickBot="1" x14ac:dyDescent="0.3">
      <c r="A82" s="32" t="s">
        <v>6</v>
      </c>
      <c r="B82" s="32" t="s">
        <v>129</v>
      </c>
      <c r="C82" s="32" t="s">
        <v>13</v>
      </c>
      <c r="D82" s="38">
        <v>1.429</v>
      </c>
      <c r="E82" s="38">
        <v>37229.300999999999</v>
      </c>
      <c r="F82" s="38">
        <v>3.8383700000000003E-5</v>
      </c>
      <c r="G82" s="38"/>
      <c r="H82" s="38"/>
      <c r="I82" s="38"/>
      <c r="J82" s="34"/>
      <c r="K82" s="32"/>
      <c r="L82" s="32"/>
      <c r="M82" s="32"/>
      <c r="N82" s="32"/>
      <c r="O82" s="32"/>
      <c r="P82" s="32"/>
      <c r="Q82" s="32"/>
      <c r="R82" s="32" t="s">
        <v>377</v>
      </c>
      <c r="S82" s="32"/>
      <c r="T82" s="32">
        <v>5</v>
      </c>
      <c r="U82" s="32"/>
      <c r="V82" s="32"/>
      <c r="W82" s="32"/>
      <c r="X82" s="32"/>
      <c r="Y82" s="32"/>
      <c r="Z82" s="9" t="s">
        <v>45</v>
      </c>
      <c r="AA82" s="9" t="s">
        <v>47</v>
      </c>
      <c r="AB82" s="9" t="s">
        <v>48</v>
      </c>
      <c r="AC82" s="9" t="s">
        <v>49</v>
      </c>
      <c r="AD82" s="9" t="s">
        <v>50</v>
      </c>
    </row>
    <row r="83" spans="1:30" ht="15.75" thickTop="1" x14ac:dyDescent="0.25">
      <c r="A83" s="33" t="s">
        <v>8</v>
      </c>
      <c r="B83" s="33" t="s">
        <v>129</v>
      </c>
      <c r="C83" s="33" t="s">
        <v>13</v>
      </c>
      <c r="D83" s="39">
        <v>1</v>
      </c>
      <c r="E83" s="39">
        <v>37141.370999999999</v>
      </c>
      <c r="F83" s="39">
        <v>2.6924199999999999E-5</v>
      </c>
      <c r="G83" s="39"/>
      <c r="H83" s="39"/>
      <c r="I83" s="39"/>
      <c r="J83" s="35"/>
      <c r="K83" s="33"/>
      <c r="L83" s="33"/>
      <c r="M83" s="33"/>
      <c r="N83" s="33"/>
      <c r="O83" s="33"/>
      <c r="P83" s="33"/>
      <c r="Q83" s="33"/>
      <c r="R83" s="33" t="s">
        <v>45</v>
      </c>
      <c r="S83" s="33"/>
      <c r="T83" s="33">
        <v>85</v>
      </c>
      <c r="U83" s="33"/>
      <c r="V83" s="33"/>
      <c r="W83" s="33"/>
      <c r="X83" s="33"/>
      <c r="Y83" s="33"/>
      <c r="Z83" s="10">
        <f>$H$85</f>
        <v>120</v>
      </c>
      <c r="AA83" s="11">
        <f>IF(ISTEXT($I$85),TEXT($G$85/100,"0.00%"),$G$85 / 100)</f>
        <v>0.19223757856222384</v>
      </c>
      <c r="AB83" s="11">
        <f>IF(ISTEXT($I$86),TEXT($G$86/100,"0.00%"),$G$86 / 100)</f>
        <v>0.33037358824007507</v>
      </c>
      <c r="AC83" s="11">
        <f>IF(ISTEXT($I$87),TEXT($G$87/100,"0.00%"),$G$87 / 100)</f>
        <v>0.47642269503384616</v>
      </c>
      <c r="AD83" s="11">
        <f>IFERROR(AVERAGE($AA$83:$AC$83),"")</f>
        <v>0.33301128727871504</v>
      </c>
    </row>
    <row r="84" spans="1:30" ht="15.75" thickBot="1" x14ac:dyDescent="0.3">
      <c r="A84" s="32" t="s">
        <v>9</v>
      </c>
      <c r="B84" s="32" t="s">
        <v>129</v>
      </c>
      <c r="C84" s="32" t="s">
        <v>13</v>
      </c>
      <c r="D84" s="38">
        <v>1.151</v>
      </c>
      <c r="E84" s="38">
        <v>36262.148000000001</v>
      </c>
      <c r="F84" s="38">
        <v>3.17411E-5</v>
      </c>
      <c r="G84" s="38"/>
      <c r="H84" s="38"/>
      <c r="I84" s="38"/>
      <c r="J84" s="34"/>
      <c r="K84" s="32"/>
      <c r="L84" s="32"/>
      <c r="M84" s="32"/>
      <c r="N84" s="32"/>
      <c r="O84" s="32"/>
      <c r="P84" s="32"/>
      <c r="Q84" s="32"/>
      <c r="R84" s="32" t="s">
        <v>46</v>
      </c>
      <c r="S84" s="32"/>
      <c r="T84" s="32">
        <v>90</v>
      </c>
      <c r="U84" s="32"/>
      <c r="V84" s="32"/>
      <c r="W84" s="32"/>
      <c r="X84" s="32"/>
      <c r="Y84" s="32"/>
      <c r="Z84" s="12">
        <f>$H$88</f>
        <v>0</v>
      </c>
      <c r="AA84" s="13">
        <f>IF(ISTEXT($I$88),TEXT($G$88/100,"0.00%"),$G$88 / 100)</f>
        <v>1</v>
      </c>
      <c r="AB84" s="13">
        <f>IF(ISTEXT($I$89),TEXT($G$89/100,"0.00%"),$G$89 / 100)</f>
        <v>1</v>
      </c>
      <c r="AC84" s="13">
        <f>IF(ISTEXT($I$90),TEXT($G$90/100,"0.00%"),$G$90 / 100)</f>
        <v>1</v>
      </c>
      <c r="AD84" s="13">
        <f>IFERROR(AVERAGE($AA$84:$AC$84),"")</f>
        <v>1</v>
      </c>
    </row>
    <row r="85" spans="1:30" ht="16.5" thickTop="1" thickBot="1" x14ac:dyDescent="0.3">
      <c r="A85" s="33" t="s">
        <v>195</v>
      </c>
      <c r="B85" s="33" t="s">
        <v>129</v>
      </c>
      <c r="C85" s="33" t="s">
        <v>13</v>
      </c>
      <c r="D85" s="39">
        <v>5512.393</v>
      </c>
      <c r="E85" s="39">
        <v>25140.338</v>
      </c>
      <c r="F85" s="39">
        <v>0.219264872</v>
      </c>
      <c r="G85" s="39">
        <f>($F$85 -  AVERAGE($F$82,$F$83,$F$84) ) / ($F$88 -  AVERAGE($F$82,$F$83,$F$84) ) * 100</f>
        <v>19.223757856222385</v>
      </c>
      <c r="H85" s="39">
        <v>120</v>
      </c>
      <c r="I85" s="40">
        <f>LN($G$85)</f>
        <v>2.9561469024446421</v>
      </c>
      <c r="J85" s="35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>
        <f>IF(ISTEXT($I$85),"",1)</f>
        <v>1</v>
      </c>
      <c r="V85" s="33">
        <f t="shared" ref="V85:V90" si="8">IFERROR(INDEX($H$85:$H$90,SMALL($U$85:$U$90,ROW(W1)),1),"")</f>
        <v>120</v>
      </c>
      <c r="W85" s="33">
        <f t="shared" ref="W85:W90" si="9">IFERROR(INDEX($I$85:$I$90,SMALL($U$85:$U$90,ROW(I1)),1),"")</f>
        <v>2.9561469024446421</v>
      </c>
      <c r="X85" s="33"/>
      <c r="Y85" s="33"/>
    </row>
    <row r="86" spans="1:30" x14ac:dyDescent="0.25">
      <c r="A86" s="32" t="s">
        <v>196</v>
      </c>
      <c r="B86" s="32" t="s">
        <v>129</v>
      </c>
      <c r="C86" s="32" t="s">
        <v>13</v>
      </c>
      <c r="D86" s="38">
        <v>9360.5910000000003</v>
      </c>
      <c r="E86" s="38">
        <v>24703.018</v>
      </c>
      <c r="F86" s="38">
        <v>0.37892499600000001</v>
      </c>
      <c r="G86" s="38">
        <f>($F$86 -  AVERAGE($F$82,$F$83,$F$84) ) / ($F$89 -  AVERAGE($F$82,$F$83,$F$84) ) * 100</f>
        <v>33.037358824007505</v>
      </c>
      <c r="H86" s="38">
        <v>120</v>
      </c>
      <c r="I86" s="41">
        <f>LN($G$86)</f>
        <v>3.4976390067168128</v>
      </c>
      <c r="J86" s="34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>
        <f>IF(ISTEXT($I$86),"",2)</f>
        <v>2</v>
      </c>
      <c r="V86" s="32">
        <f t="shared" si="8"/>
        <v>120</v>
      </c>
      <c r="W86" s="32">
        <f t="shared" si="9"/>
        <v>3.4976390067168128</v>
      </c>
      <c r="X86" s="32"/>
      <c r="Y86" s="32"/>
      <c r="Z86" s="20" t="s">
        <v>51</v>
      </c>
      <c r="AA86" s="31">
        <f>IFERROR(SLOPE($W$85:$W$90,$V$85:$V$90),"")</f>
        <v>-9.7166785190008764E-3</v>
      </c>
    </row>
    <row r="87" spans="1:30" x14ac:dyDescent="0.25">
      <c r="A87" s="33" t="s">
        <v>197</v>
      </c>
      <c r="B87" s="33" t="s">
        <v>129</v>
      </c>
      <c r="C87" s="33" t="s">
        <v>13</v>
      </c>
      <c r="D87" s="39">
        <v>10648.281999999999</v>
      </c>
      <c r="E87" s="39">
        <v>24575.42</v>
      </c>
      <c r="F87" s="39">
        <v>0.43328992999999999</v>
      </c>
      <c r="G87" s="39">
        <f>($F$87 -  AVERAGE($F$82,$F$83,$F$84) ) / ($F$90 -  AVERAGE($F$82,$F$83,$F$84) ) * 100</f>
        <v>47.642269503384618</v>
      </c>
      <c r="H87" s="39">
        <v>120</v>
      </c>
      <c r="I87" s="40">
        <f>LN($G$87)</f>
        <v>3.8637203819625054</v>
      </c>
      <c r="J87" s="35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>
        <f>IF(ISTEXT($I$87),"",3)</f>
        <v>3</v>
      </c>
      <c r="V87" s="33">
        <f t="shared" si="8"/>
        <v>120</v>
      </c>
      <c r="W87" s="33">
        <f t="shared" si="9"/>
        <v>3.8637203819625054</v>
      </c>
      <c r="X87" s="33"/>
      <c r="Y87" s="33"/>
      <c r="Z87" s="22" t="s">
        <v>52</v>
      </c>
      <c r="AA87" s="23">
        <f>IFERROR(INTERCEPT($W$85:$W$90,$V$85:$V$90),"")</f>
        <v>4.6051701859880918</v>
      </c>
    </row>
    <row r="88" spans="1:30" ht="17.25" x14ac:dyDescent="0.25">
      <c r="A88" s="32" t="s">
        <v>143</v>
      </c>
      <c r="B88" s="32" t="s">
        <v>129</v>
      </c>
      <c r="C88" s="32" t="s">
        <v>13</v>
      </c>
      <c r="D88" s="38">
        <v>31291.467000000001</v>
      </c>
      <c r="E88" s="38">
        <v>27437.65</v>
      </c>
      <c r="F88" s="38">
        <v>1.1404572550000001</v>
      </c>
      <c r="G88" s="38">
        <f>($F$88 -  AVERAGE($F$82,$F$83,$F$84) ) / ($F$88 -  AVERAGE($F$82,$F$83,$F$84) ) * 100</f>
        <v>100</v>
      </c>
      <c r="H88" s="38">
        <v>0</v>
      </c>
      <c r="I88" s="41">
        <f>LN($G$88)</f>
        <v>4.6051701859880918</v>
      </c>
      <c r="J88" s="34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>
        <f>IF(ISTEXT($I$88),"",4)</f>
        <v>4</v>
      </c>
      <c r="V88" s="32">
        <f t="shared" si="8"/>
        <v>0</v>
      </c>
      <c r="W88" s="32">
        <f t="shared" si="9"/>
        <v>4.6051701859880918</v>
      </c>
      <c r="X88" s="32"/>
      <c r="Y88" s="32"/>
      <c r="Z88" s="22" t="s">
        <v>53</v>
      </c>
      <c r="AA88" s="26">
        <f>IFERROR(CORREL($W$85:$W$90,$V$85:$V$90)^2,"")</f>
        <v>0.8302442952636151</v>
      </c>
    </row>
    <row r="89" spans="1:30" ht="18" x14ac:dyDescent="0.35">
      <c r="A89" s="33" t="s">
        <v>144</v>
      </c>
      <c r="B89" s="33" t="s">
        <v>129</v>
      </c>
      <c r="C89" s="33" t="s">
        <v>13</v>
      </c>
      <c r="D89" s="39">
        <v>30387.261999999999</v>
      </c>
      <c r="E89" s="39">
        <v>26495.276999999998</v>
      </c>
      <c r="F89" s="39">
        <v>1.1468935389999999</v>
      </c>
      <c r="G89" s="39">
        <f>($F$89 -  AVERAGE($F$82,$F$83,$F$84) ) / ($F$89 -  AVERAGE($F$82,$F$83,$F$84) ) * 100</f>
        <v>100</v>
      </c>
      <c r="H89" s="39">
        <v>0</v>
      </c>
      <c r="I89" s="40">
        <f>LN($G$89)</f>
        <v>4.6051701859880918</v>
      </c>
      <c r="J89" s="35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>
        <f>IF(ISTEXT($I$89),"",5)</f>
        <v>5</v>
      </c>
      <c r="V89" s="33">
        <f t="shared" si="8"/>
        <v>0</v>
      </c>
      <c r="W89" s="33">
        <f t="shared" si="9"/>
        <v>4.6051701859880918</v>
      </c>
      <c r="X89" s="33"/>
      <c r="Y89" s="33"/>
      <c r="Z89" s="22" t="s">
        <v>54</v>
      </c>
      <c r="AA89" s="30">
        <f>IF(AA86&gt;0,"",IFERROR(LN(2) /ABS(AA86),0))</f>
        <v>71.335814929402289</v>
      </c>
    </row>
    <row r="90" spans="1:30" ht="18.75" x14ac:dyDescent="0.35">
      <c r="A90" s="32" t="s">
        <v>145</v>
      </c>
      <c r="B90" s="32" t="s">
        <v>129</v>
      </c>
      <c r="C90" s="32" t="s">
        <v>13</v>
      </c>
      <c r="D90" s="38">
        <v>23757.048999999999</v>
      </c>
      <c r="E90" s="38">
        <v>26123.016</v>
      </c>
      <c r="F90" s="38">
        <v>0.90942979199999996</v>
      </c>
      <c r="G90" s="38">
        <f>($F$90 -  AVERAGE($F$82,$F$83,$F$84) ) / ($F$90 -  AVERAGE($F$82,$F$83,$F$84) ) * 100</f>
        <v>100</v>
      </c>
      <c r="H90" s="38">
        <v>0</v>
      </c>
      <c r="I90" s="41">
        <f>LN($G$90)</f>
        <v>4.6051701859880918</v>
      </c>
      <c r="J90" s="34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>
        <f>IF(ISTEXT($I$90),"",6)</f>
        <v>6</v>
      </c>
      <c r="V90" s="32">
        <f t="shared" si="8"/>
        <v>0</v>
      </c>
      <c r="W90" s="32">
        <f t="shared" si="9"/>
        <v>4.6051701859880918</v>
      </c>
      <c r="X90" s="32"/>
      <c r="Y90" s="32"/>
      <c r="Z90" s="22" t="s">
        <v>55</v>
      </c>
      <c r="AA90" s="30">
        <f>IF(AA86&gt;0,0,IFERROR(ABS(AA86 * 1000 / 0.5),0))</f>
        <v>19.433357038001752</v>
      </c>
    </row>
    <row r="91" spans="1:30" ht="15.75" thickBot="1" x14ac:dyDescent="0.3">
      <c r="A91" s="33"/>
      <c r="B91" s="33"/>
      <c r="C91" s="33"/>
      <c r="D91" s="39"/>
      <c r="E91" s="39"/>
      <c r="F91" s="39"/>
      <c r="G91" s="39"/>
      <c r="H91" s="39"/>
      <c r="I91" s="40"/>
      <c r="J91" s="35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27" t="s">
        <v>39</v>
      </c>
      <c r="AA91" s="28" t="s">
        <v>56</v>
      </c>
    </row>
    <row r="92" spans="1:30" x14ac:dyDescent="0.25">
      <c r="A92" s="32"/>
      <c r="B92" s="32"/>
      <c r="C92" s="32"/>
      <c r="D92" s="38"/>
      <c r="E92" s="38"/>
      <c r="F92" s="38"/>
      <c r="G92" s="38"/>
      <c r="H92" s="38"/>
      <c r="I92" s="41"/>
      <c r="J92" s="34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</row>
    <row r="93" spans="1:30" x14ac:dyDescent="0.25">
      <c r="A93" s="33"/>
      <c r="B93" s="33"/>
      <c r="C93" s="33"/>
      <c r="D93" s="39"/>
      <c r="E93" s="39"/>
      <c r="F93" s="39"/>
      <c r="G93" s="39"/>
      <c r="H93" s="39"/>
      <c r="I93" s="40"/>
      <c r="J93" s="35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</row>
    <row r="94" spans="1:30" x14ac:dyDescent="0.25">
      <c r="A94" s="32"/>
      <c r="B94" s="32"/>
      <c r="C94" s="32"/>
      <c r="D94" s="38"/>
      <c r="E94" s="38"/>
      <c r="F94" s="38"/>
      <c r="G94" s="38"/>
      <c r="H94" s="38"/>
      <c r="I94" s="41"/>
      <c r="J94" s="34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</row>
    <row r="95" spans="1:30" x14ac:dyDescent="0.25">
      <c r="A95" s="33"/>
      <c r="B95" s="33"/>
      <c r="C95" s="33"/>
      <c r="D95" s="39"/>
      <c r="E95" s="39"/>
      <c r="F95" s="39"/>
      <c r="G95" s="39"/>
      <c r="H95" s="39"/>
      <c r="I95" s="40"/>
      <c r="J95" s="35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</row>
    <row r="96" spans="1:30" x14ac:dyDescent="0.25">
      <c r="A96" s="32"/>
      <c r="B96" s="32"/>
      <c r="C96" s="32"/>
      <c r="D96" s="38"/>
      <c r="E96" s="38"/>
      <c r="F96" s="38"/>
      <c r="G96" s="38"/>
      <c r="H96" s="38"/>
      <c r="I96" s="41"/>
      <c r="J96" s="34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</row>
    <row r="97" spans="1:30" x14ac:dyDescent="0.25">
      <c r="A97" s="33"/>
      <c r="B97" s="33"/>
      <c r="C97" s="33"/>
      <c r="D97" s="39"/>
      <c r="E97" s="39"/>
      <c r="F97" s="39"/>
      <c r="G97" s="39"/>
      <c r="H97" s="39"/>
      <c r="I97" s="40"/>
      <c r="J97" s="35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</row>
    <row r="98" spans="1:30" x14ac:dyDescent="0.25">
      <c r="A98" s="32"/>
      <c r="B98" s="32"/>
      <c r="C98" s="32"/>
      <c r="D98" s="38"/>
      <c r="E98" s="38"/>
      <c r="F98" s="38"/>
      <c r="G98" s="38"/>
      <c r="H98" s="38"/>
      <c r="I98" s="41"/>
      <c r="J98" s="34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</row>
    <row r="99" spans="1:30" x14ac:dyDescent="0.25">
      <c r="A99" s="33"/>
      <c r="B99" s="33"/>
      <c r="C99" s="33"/>
      <c r="D99" s="39"/>
      <c r="E99" s="39"/>
      <c r="F99" s="39"/>
      <c r="G99" s="39"/>
      <c r="H99" s="39"/>
      <c r="I99" s="40"/>
      <c r="J99" s="35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</row>
    <row r="100" spans="1:30" x14ac:dyDescent="0.25">
      <c r="A100" s="32"/>
      <c r="B100" s="32"/>
      <c r="C100" s="32"/>
      <c r="D100" s="38"/>
      <c r="E100" s="38"/>
      <c r="F100" s="38"/>
      <c r="G100" s="38"/>
      <c r="H100" s="38"/>
      <c r="I100" s="41"/>
      <c r="J100" s="34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</row>
    <row r="101" spans="1:30" ht="15.75" thickBot="1" x14ac:dyDescent="0.3">
      <c r="A101" s="33"/>
      <c r="B101" s="33"/>
      <c r="C101" s="33"/>
      <c r="D101" s="39"/>
      <c r="E101" s="39"/>
      <c r="F101" s="39"/>
      <c r="G101" s="39"/>
      <c r="H101" s="39"/>
      <c r="I101" s="39"/>
      <c r="J101" s="35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</row>
    <row r="102" spans="1:30" ht="16.5" thickTop="1" thickBot="1" x14ac:dyDescent="0.3">
      <c r="A102" s="32" t="s">
        <v>6</v>
      </c>
      <c r="B102" s="32" t="s">
        <v>146</v>
      </c>
      <c r="C102" s="32" t="s">
        <v>14</v>
      </c>
      <c r="D102" s="38">
        <v>1</v>
      </c>
      <c r="E102" s="38">
        <v>37229.300999999999</v>
      </c>
      <c r="F102" s="38">
        <v>2.6860600000000002E-5</v>
      </c>
      <c r="G102" s="38"/>
      <c r="H102" s="38"/>
      <c r="I102" s="38"/>
      <c r="J102" s="34"/>
      <c r="K102" s="32"/>
      <c r="L102" s="32"/>
      <c r="M102" s="32"/>
      <c r="N102" s="32"/>
      <c r="O102" s="32"/>
      <c r="P102" s="32"/>
      <c r="Q102" s="32"/>
      <c r="R102" s="32" t="s">
        <v>378</v>
      </c>
      <c r="S102" s="32"/>
      <c r="T102" s="32">
        <v>6</v>
      </c>
      <c r="U102" s="32"/>
      <c r="V102" s="32"/>
      <c r="W102" s="32"/>
      <c r="X102" s="32"/>
      <c r="Y102" s="32"/>
      <c r="Z102" s="9" t="s">
        <v>45</v>
      </c>
      <c r="AA102" s="9" t="s">
        <v>47</v>
      </c>
      <c r="AB102" s="9" t="s">
        <v>48</v>
      </c>
      <c r="AC102" s="9" t="s">
        <v>49</v>
      </c>
      <c r="AD102" s="9" t="s">
        <v>50</v>
      </c>
    </row>
    <row r="103" spans="1:30" ht="15.75" thickTop="1" x14ac:dyDescent="0.25">
      <c r="A103" s="33" t="s">
        <v>8</v>
      </c>
      <c r="B103" s="33" t="s">
        <v>146</v>
      </c>
      <c r="C103" s="33" t="s">
        <v>14</v>
      </c>
      <c r="D103" s="39">
        <v>1.4930000000000001</v>
      </c>
      <c r="E103" s="39">
        <v>37141.370999999999</v>
      </c>
      <c r="F103" s="39">
        <v>4.0197800000000003E-5</v>
      </c>
      <c r="G103" s="39"/>
      <c r="H103" s="39"/>
      <c r="I103" s="39"/>
      <c r="J103" s="35"/>
      <c r="K103" s="33"/>
      <c r="L103" s="33"/>
      <c r="M103" s="33"/>
      <c r="N103" s="33"/>
      <c r="O103" s="33"/>
      <c r="P103" s="33"/>
      <c r="Q103" s="33"/>
      <c r="R103" s="33" t="s">
        <v>45</v>
      </c>
      <c r="S103" s="33"/>
      <c r="T103" s="33">
        <v>105</v>
      </c>
      <c r="U103" s="33"/>
      <c r="V103" s="33"/>
      <c r="W103" s="33"/>
      <c r="X103" s="33"/>
      <c r="Y103" s="33"/>
      <c r="Z103" s="10">
        <f>$H$105</f>
        <v>120</v>
      </c>
      <c r="AA103" s="11">
        <f>IF(ISTEXT($I$105),TEXT($G$105/100,"0.00%"),$G$105 / 100)</f>
        <v>0.45749929619273627</v>
      </c>
      <c r="AB103" s="11">
        <f>IF(ISTEXT($I$106),TEXT($G$106/100,"0.00%"),$G$106 / 100)</f>
        <v>0.43303242671732106</v>
      </c>
      <c r="AC103" s="11">
        <f>IF(ISTEXT($I$107),TEXT($G$107/100,"0.00%"),$G$107 / 100)</f>
        <v>0.77589293483426791</v>
      </c>
      <c r="AD103" s="11">
        <f>IFERROR(AVERAGE($AA$103:$AC$103),"")</f>
        <v>0.55547488591477512</v>
      </c>
    </row>
    <row r="104" spans="1:30" ht="15.75" thickBot="1" x14ac:dyDescent="0.3">
      <c r="A104" s="32" t="s">
        <v>9</v>
      </c>
      <c r="B104" s="32" t="s">
        <v>146</v>
      </c>
      <c r="C104" s="32" t="s">
        <v>14</v>
      </c>
      <c r="D104" s="38">
        <v>2.0790000000000002</v>
      </c>
      <c r="E104" s="38">
        <v>36262.148000000001</v>
      </c>
      <c r="F104" s="38">
        <v>5.73325E-5</v>
      </c>
      <c r="G104" s="38"/>
      <c r="H104" s="38"/>
      <c r="I104" s="38"/>
      <c r="J104" s="34"/>
      <c r="K104" s="32"/>
      <c r="L104" s="32"/>
      <c r="M104" s="32"/>
      <c r="N104" s="32"/>
      <c r="O104" s="32"/>
      <c r="P104" s="32"/>
      <c r="Q104" s="32"/>
      <c r="R104" s="32" t="s">
        <v>46</v>
      </c>
      <c r="S104" s="32"/>
      <c r="T104" s="32">
        <v>110</v>
      </c>
      <c r="U104" s="32"/>
      <c r="V104" s="32"/>
      <c r="W104" s="32"/>
      <c r="X104" s="32"/>
      <c r="Y104" s="32"/>
      <c r="Z104" s="12">
        <f>$H$108</f>
        <v>0</v>
      </c>
      <c r="AA104" s="13">
        <f>IF(ISTEXT($I$108),TEXT($G$108/100,"0.00%"),$G$108 / 100)</f>
        <v>1</v>
      </c>
      <c r="AB104" s="13">
        <f>IF(ISTEXT($I$109),TEXT($G$109/100,"0.00%"),$G$109 / 100)</f>
        <v>1</v>
      </c>
      <c r="AC104" s="13">
        <f>IF(ISTEXT($I$110),TEXT($G$110/100,"0.00%"),$G$110 / 100)</f>
        <v>1</v>
      </c>
      <c r="AD104" s="13">
        <f>IFERROR(AVERAGE($AA$104:$AC$104),"")</f>
        <v>1</v>
      </c>
    </row>
    <row r="105" spans="1:30" ht="16.5" thickTop="1" thickBot="1" x14ac:dyDescent="0.3">
      <c r="A105" s="33" t="s">
        <v>198</v>
      </c>
      <c r="B105" s="33" t="s">
        <v>146</v>
      </c>
      <c r="C105" s="33" t="s">
        <v>14</v>
      </c>
      <c r="D105" s="39">
        <v>13598.986000000001</v>
      </c>
      <c r="E105" s="39">
        <v>25540.789000000001</v>
      </c>
      <c r="F105" s="39">
        <v>0.53244189099999994</v>
      </c>
      <c r="G105" s="39">
        <f>($F$105 -  AVERAGE($F$102,$F$103,$F$104) ) / ($F$108 -  AVERAGE($F$102,$F$103,$F$104) ) * 100</f>
        <v>45.74992961927363</v>
      </c>
      <c r="H105" s="39">
        <v>120</v>
      </c>
      <c r="I105" s="40">
        <f>LN($G$105)</f>
        <v>3.8231902533438142</v>
      </c>
      <c r="J105" s="35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>
        <f>IF(ISTEXT($I$105),"",1)</f>
        <v>1</v>
      </c>
      <c r="V105" s="33">
        <f t="shared" ref="V105:V110" si="10">IFERROR(INDEX($H$105:$H$110,SMALL($U$105:$U$110,ROW(W1)),1),"")</f>
        <v>120</v>
      </c>
      <c r="W105" s="33">
        <f t="shared" ref="W105:W110" si="11">IFERROR(INDEX($I$105:$I$110,SMALL($U$105:$U$110,ROW(I1)),1),"")</f>
        <v>3.8231902533438142</v>
      </c>
      <c r="X105" s="33"/>
      <c r="Y105" s="33"/>
    </row>
    <row r="106" spans="1:30" x14ac:dyDescent="0.25">
      <c r="A106" s="32" t="s">
        <v>199</v>
      </c>
      <c r="B106" s="32" t="s">
        <v>146</v>
      </c>
      <c r="C106" s="32" t="s">
        <v>14</v>
      </c>
      <c r="D106" s="38">
        <v>14386.708000000001</v>
      </c>
      <c r="E106" s="38">
        <v>26241.75</v>
      </c>
      <c r="F106" s="38">
        <v>0.54823736999999995</v>
      </c>
      <c r="G106" s="38">
        <f>($F$106 -  AVERAGE($F$102,$F$103,$F$104) ) / ($F$109 -  AVERAGE($F$102,$F$103,$F$104) ) * 100</f>
        <v>43.303242671732107</v>
      </c>
      <c r="H106" s="38">
        <v>120</v>
      </c>
      <c r="I106" s="41">
        <f>LN($G$106)</f>
        <v>3.7682275206970992</v>
      </c>
      <c r="J106" s="34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>
        <f>IF(ISTEXT($I$106),"",2)</f>
        <v>2</v>
      </c>
      <c r="V106" s="32">
        <f t="shared" si="10"/>
        <v>120</v>
      </c>
      <c r="W106" s="32">
        <f t="shared" si="11"/>
        <v>3.7682275206970992</v>
      </c>
      <c r="X106" s="32"/>
      <c r="Y106" s="32"/>
      <c r="Z106" s="20" t="s">
        <v>51</v>
      </c>
      <c r="AA106" s="31">
        <f>IFERROR(SLOPE($W$105:$W$110,$V$105:$V$110),"")</f>
        <v>-5.2018426022983379E-3</v>
      </c>
    </row>
    <row r="107" spans="1:30" x14ac:dyDescent="0.25">
      <c r="A107" s="33" t="s">
        <v>200</v>
      </c>
      <c r="B107" s="33" t="s">
        <v>146</v>
      </c>
      <c r="C107" s="33" t="s">
        <v>14</v>
      </c>
      <c r="D107" s="39">
        <v>17938.273000000001</v>
      </c>
      <c r="E107" s="39">
        <v>25691.065999999999</v>
      </c>
      <c r="F107" s="39">
        <v>0.69823000000000002</v>
      </c>
      <c r="G107" s="39">
        <f>($F$107 -  AVERAGE($F$102,$F$103,$F$104) ) / ($F$110 -  AVERAGE($F$102,$F$103,$F$104) ) * 100</f>
        <v>77.589293483426786</v>
      </c>
      <c r="H107" s="39">
        <v>120</v>
      </c>
      <c r="I107" s="40">
        <f>LN($G$107)</f>
        <v>4.3514294470959607</v>
      </c>
      <c r="J107" s="35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>
        <f>IF(ISTEXT($I$107),"",3)</f>
        <v>3</v>
      </c>
      <c r="V107" s="33">
        <f t="shared" si="10"/>
        <v>120</v>
      </c>
      <c r="W107" s="33">
        <f t="shared" si="11"/>
        <v>4.3514294470959607</v>
      </c>
      <c r="X107" s="33"/>
      <c r="Y107" s="33"/>
      <c r="Z107" s="22" t="s">
        <v>52</v>
      </c>
      <c r="AA107" s="23">
        <f>IFERROR(INTERCEPT($W$105:$W$110,$V$105:$V$110),"")</f>
        <v>4.6051701859880918</v>
      </c>
    </row>
    <row r="108" spans="1:30" ht="17.25" x14ac:dyDescent="0.25">
      <c r="A108" s="32" t="s">
        <v>160</v>
      </c>
      <c r="B108" s="32" t="s">
        <v>146</v>
      </c>
      <c r="C108" s="32" t="s">
        <v>14</v>
      </c>
      <c r="D108" s="38">
        <v>26639.951000000001</v>
      </c>
      <c r="E108" s="38">
        <v>22891.275000000001</v>
      </c>
      <c r="F108" s="38">
        <v>1.1637600349999999</v>
      </c>
      <c r="G108" s="38">
        <f>($F$108 -  AVERAGE($F$102,$F$103,$F$104) ) / ($F$108 -  AVERAGE($F$102,$F$103,$F$104) ) * 100</f>
        <v>100</v>
      </c>
      <c r="H108" s="38">
        <v>0</v>
      </c>
      <c r="I108" s="41">
        <f>LN($G$108)</f>
        <v>4.6051701859880918</v>
      </c>
      <c r="J108" s="34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>
        <f>IF(ISTEXT($I$108),"",4)</f>
        <v>4</v>
      </c>
      <c r="V108" s="32">
        <f t="shared" si="10"/>
        <v>0</v>
      </c>
      <c r="W108" s="32">
        <f t="shared" si="11"/>
        <v>4.6051701859880918</v>
      </c>
      <c r="X108" s="32"/>
      <c r="Y108" s="32"/>
      <c r="Z108" s="22" t="s">
        <v>53</v>
      </c>
      <c r="AA108" s="26">
        <f>IFERROR(CORREL($W$105:$W$110,$V$105:$V$110)^2,"")</f>
        <v>0.7380965487803145</v>
      </c>
    </row>
    <row r="109" spans="1:30" ht="18" x14ac:dyDescent="0.35">
      <c r="A109" s="33" t="s">
        <v>161</v>
      </c>
      <c r="B109" s="33" t="s">
        <v>146</v>
      </c>
      <c r="C109" s="33" t="s">
        <v>14</v>
      </c>
      <c r="D109" s="39">
        <v>32766.955000000002</v>
      </c>
      <c r="E109" s="39">
        <v>25882.516</v>
      </c>
      <c r="F109" s="39">
        <v>1.2659880130000001</v>
      </c>
      <c r="G109" s="39">
        <f>($F$109 -  AVERAGE($F$102,$F$103,$F$104) ) / ($F$109 -  AVERAGE($F$102,$F$103,$F$104) ) * 100</f>
        <v>100</v>
      </c>
      <c r="H109" s="39">
        <v>0</v>
      </c>
      <c r="I109" s="40">
        <f>LN($G$109)</f>
        <v>4.6051701859880918</v>
      </c>
      <c r="J109" s="35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>
        <f>IF(ISTEXT($I$109),"",5)</f>
        <v>5</v>
      </c>
      <c r="V109" s="33">
        <f t="shared" si="10"/>
        <v>0</v>
      </c>
      <c r="W109" s="33">
        <f t="shared" si="11"/>
        <v>4.6051701859880918</v>
      </c>
      <c r="X109" s="33"/>
      <c r="Y109" s="33"/>
      <c r="Z109" s="22" t="s">
        <v>54</v>
      </c>
      <c r="AA109" s="25">
        <f>IF(AA106&gt;0,"",IFERROR(LN(2) /ABS(AA106),0))</f>
        <v>133.25031792651532</v>
      </c>
    </row>
    <row r="110" spans="1:30" ht="18.75" x14ac:dyDescent="0.35">
      <c r="A110" s="32" t="s">
        <v>162</v>
      </c>
      <c r="B110" s="32" t="s">
        <v>146</v>
      </c>
      <c r="C110" s="32" t="s">
        <v>14</v>
      </c>
      <c r="D110" s="38">
        <v>24933.855</v>
      </c>
      <c r="E110" s="38">
        <v>27707.574000000001</v>
      </c>
      <c r="F110" s="38">
        <v>0.899893112</v>
      </c>
      <c r="G110" s="38">
        <f>($F$110 -  AVERAGE($F$102,$F$103,$F$104) ) / ($F$110 -  AVERAGE($F$102,$F$103,$F$104) ) * 100</f>
        <v>100</v>
      </c>
      <c r="H110" s="38">
        <v>0</v>
      </c>
      <c r="I110" s="41">
        <f>LN($G$110)</f>
        <v>4.6051701859880918</v>
      </c>
      <c r="J110" s="34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>
        <f>IF(ISTEXT($I$110),"",6)</f>
        <v>6</v>
      </c>
      <c r="V110" s="32">
        <f t="shared" si="10"/>
        <v>0</v>
      </c>
      <c r="W110" s="32">
        <f t="shared" si="11"/>
        <v>4.6051701859880918</v>
      </c>
      <c r="X110" s="32"/>
      <c r="Y110" s="32"/>
      <c r="Z110" s="22" t="s">
        <v>55</v>
      </c>
      <c r="AA110" s="30">
        <f>IF(AA106&gt;0,0,IFERROR(ABS(AA106 * 1000 / 0.5),0))</f>
        <v>10.403685204596675</v>
      </c>
    </row>
    <row r="111" spans="1:30" ht="15.75" thickBot="1" x14ac:dyDescent="0.3">
      <c r="A111" s="33"/>
      <c r="B111" s="33"/>
      <c r="C111" s="33"/>
      <c r="D111" s="39"/>
      <c r="E111" s="39"/>
      <c r="F111" s="39"/>
      <c r="G111" s="39"/>
      <c r="H111" s="39"/>
      <c r="I111" s="40"/>
      <c r="J111" s="35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27" t="s">
        <v>39</v>
      </c>
      <c r="AA111" s="28" t="s">
        <v>56</v>
      </c>
    </row>
    <row r="112" spans="1:30" x14ac:dyDescent="0.25">
      <c r="A112" s="32"/>
      <c r="B112" s="32"/>
      <c r="C112" s="32"/>
      <c r="D112" s="38"/>
      <c r="E112" s="38"/>
      <c r="F112" s="38"/>
      <c r="G112" s="38"/>
      <c r="H112" s="38"/>
      <c r="I112" s="41"/>
      <c r="J112" s="34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</row>
    <row r="113" spans="1:30" x14ac:dyDescent="0.25">
      <c r="A113" s="33"/>
      <c r="B113" s="33"/>
      <c r="C113" s="33"/>
      <c r="D113" s="39"/>
      <c r="E113" s="39"/>
      <c r="F113" s="39"/>
      <c r="G113" s="39"/>
      <c r="H113" s="39"/>
      <c r="I113" s="40"/>
      <c r="J113" s="35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</row>
    <row r="114" spans="1:30" x14ac:dyDescent="0.25">
      <c r="A114" s="32"/>
      <c r="B114" s="32"/>
      <c r="C114" s="32"/>
      <c r="D114" s="38"/>
      <c r="E114" s="38"/>
      <c r="F114" s="38"/>
      <c r="G114" s="38"/>
      <c r="H114" s="38"/>
      <c r="I114" s="41"/>
      <c r="J114" s="34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</row>
    <row r="115" spans="1:30" x14ac:dyDescent="0.25">
      <c r="A115" s="33"/>
      <c r="B115" s="33"/>
      <c r="C115" s="33"/>
      <c r="D115" s="39"/>
      <c r="E115" s="39"/>
      <c r="F115" s="39"/>
      <c r="G115" s="39"/>
      <c r="H115" s="39"/>
      <c r="I115" s="40"/>
      <c r="J115" s="35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30" x14ac:dyDescent="0.25">
      <c r="A116" s="32"/>
      <c r="B116" s="32"/>
      <c r="C116" s="32"/>
      <c r="D116" s="38"/>
      <c r="E116" s="38"/>
      <c r="F116" s="38"/>
      <c r="G116" s="38"/>
      <c r="H116" s="38"/>
      <c r="I116" s="41"/>
      <c r="J116" s="34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</row>
    <row r="117" spans="1:30" x14ac:dyDescent="0.25">
      <c r="A117" s="33"/>
      <c r="B117" s="33"/>
      <c r="C117" s="33"/>
      <c r="D117" s="39"/>
      <c r="E117" s="39"/>
      <c r="F117" s="39"/>
      <c r="G117" s="39"/>
      <c r="H117" s="39"/>
      <c r="I117" s="40"/>
      <c r="J117" s="35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</row>
    <row r="118" spans="1:30" x14ac:dyDescent="0.25">
      <c r="A118" s="32"/>
      <c r="B118" s="32"/>
      <c r="C118" s="32"/>
      <c r="D118" s="38"/>
      <c r="E118" s="38"/>
      <c r="F118" s="38"/>
      <c r="G118" s="38"/>
      <c r="H118" s="38"/>
      <c r="I118" s="41"/>
      <c r="J118" s="34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</row>
    <row r="119" spans="1:30" x14ac:dyDescent="0.25">
      <c r="A119" s="33"/>
      <c r="B119" s="33"/>
      <c r="C119" s="33"/>
      <c r="D119" s="39"/>
      <c r="E119" s="39"/>
      <c r="F119" s="39"/>
      <c r="G119" s="39"/>
      <c r="H119" s="39"/>
      <c r="I119" s="40"/>
      <c r="J119" s="35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</row>
    <row r="120" spans="1:30" x14ac:dyDescent="0.25">
      <c r="A120" s="32"/>
      <c r="B120" s="32"/>
      <c r="C120" s="32"/>
      <c r="D120" s="38"/>
      <c r="E120" s="38"/>
      <c r="F120" s="38"/>
      <c r="G120" s="38"/>
      <c r="H120" s="38"/>
      <c r="I120" s="41"/>
      <c r="J120" s="34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</row>
    <row r="121" spans="1:30" ht="15.75" thickBot="1" x14ac:dyDescent="0.3">
      <c r="A121" s="33"/>
      <c r="B121" s="33"/>
      <c r="C121" s="33"/>
      <c r="D121" s="39"/>
      <c r="E121" s="39"/>
      <c r="F121" s="39"/>
      <c r="G121" s="39"/>
      <c r="H121" s="39"/>
      <c r="I121" s="39"/>
      <c r="J121" s="35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</row>
    <row r="122" spans="1:30" ht="16.5" thickTop="1" thickBot="1" x14ac:dyDescent="0.3">
      <c r="A122" s="32" t="s">
        <v>6</v>
      </c>
      <c r="B122" s="32" t="s">
        <v>163</v>
      </c>
      <c r="C122" s="32" t="s">
        <v>15</v>
      </c>
      <c r="D122" s="38">
        <v>1</v>
      </c>
      <c r="E122" s="38">
        <v>37229.300999999999</v>
      </c>
      <c r="F122" s="38">
        <v>2.6860600000000002E-5</v>
      </c>
      <c r="G122" s="38"/>
      <c r="H122" s="38"/>
      <c r="I122" s="38"/>
      <c r="J122" s="34"/>
      <c r="K122" s="32"/>
      <c r="L122" s="32"/>
      <c r="M122" s="32"/>
      <c r="N122" s="32"/>
      <c r="O122" s="32"/>
      <c r="P122" s="32"/>
      <c r="Q122" s="32"/>
      <c r="R122" s="32" t="s">
        <v>379</v>
      </c>
      <c r="S122" s="32"/>
      <c r="T122" s="32">
        <v>7</v>
      </c>
      <c r="U122" s="32"/>
      <c r="V122" s="32"/>
      <c r="W122" s="32"/>
      <c r="X122" s="32"/>
      <c r="Y122" s="32"/>
      <c r="Z122" s="9" t="s">
        <v>45</v>
      </c>
      <c r="AA122" s="9" t="s">
        <v>47</v>
      </c>
      <c r="AB122" s="9" t="s">
        <v>48</v>
      </c>
      <c r="AC122" s="9" t="s">
        <v>49</v>
      </c>
      <c r="AD122" s="9" t="s">
        <v>50</v>
      </c>
    </row>
    <row r="123" spans="1:30" ht="15.75" thickTop="1" x14ac:dyDescent="0.25">
      <c r="A123" s="33" t="s">
        <v>8</v>
      </c>
      <c r="B123" s="33" t="s">
        <v>163</v>
      </c>
      <c r="C123" s="33" t="s">
        <v>15</v>
      </c>
      <c r="D123" s="39">
        <v>2.5590000000000002</v>
      </c>
      <c r="E123" s="39">
        <v>37141.370999999999</v>
      </c>
      <c r="F123" s="39">
        <v>6.8898899999999999E-5</v>
      </c>
      <c r="G123" s="39"/>
      <c r="H123" s="39"/>
      <c r="I123" s="39"/>
      <c r="J123" s="35"/>
      <c r="K123" s="33"/>
      <c r="L123" s="33"/>
      <c r="M123" s="33"/>
      <c r="N123" s="33"/>
      <c r="O123" s="33"/>
      <c r="P123" s="33"/>
      <c r="Q123" s="33"/>
      <c r="R123" s="33" t="s">
        <v>45</v>
      </c>
      <c r="S123" s="33"/>
      <c r="T123" s="33">
        <v>125</v>
      </c>
      <c r="U123" s="33"/>
      <c r="V123" s="33"/>
      <c r="W123" s="33"/>
      <c r="X123" s="33"/>
      <c r="Y123" s="33"/>
      <c r="Z123" s="10">
        <f>$H$125</f>
        <v>120</v>
      </c>
      <c r="AA123" s="11">
        <f>IF(ISTEXT($I$125),TEXT($G$125/100,"0.00%"),$G$125 / 100)</f>
        <v>0.73002437042718105</v>
      </c>
      <c r="AB123" s="11">
        <f>IF(ISTEXT($I$126),TEXT($G$126/100,"0.00%"),$G$126 / 100)</f>
        <v>0.87974753544691775</v>
      </c>
      <c r="AC123" s="11">
        <f>IF(ISTEXT($I$127),TEXT($G$127/100,"0.00%"),$G$127 / 100)</f>
        <v>0.23117825195994113</v>
      </c>
      <c r="AD123" s="11">
        <f>IFERROR(AVERAGE($AA$123:$AC$123),"")</f>
        <v>0.61365005261134664</v>
      </c>
    </row>
    <row r="124" spans="1:30" ht="15.75" thickBot="1" x14ac:dyDescent="0.3">
      <c r="A124" s="32" t="s">
        <v>9</v>
      </c>
      <c r="B124" s="32" t="s">
        <v>163</v>
      </c>
      <c r="C124" s="32" t="s">
        <v>15</v>
      </c>
      <c r="D124" s="38">
        <v>1.5329999999999999</v>
      </c>
      <c r="E124" s="38">
        <v>36262.148000000001</v>
      </c>
      <c r="F124" s="38">
        <v>4.2275499999999999E-5</v>
      </c>
      <c r="G124" s="38"/>
      <c r="H124" s="38"/>
      <c r="I124" s="38"/>
      <c r="J124" s="34"/>
      <c r="K124" s="32"/>
      <c r="L124" s="32"/>
      <c r="M124" s="32"/>
      <c r="N124" s="32"/>
      <c r="O124" s="32"/>
      <c r="P124" s="32"/>
      <c r="Q124" s="32"/>
      <c r="R124" s="32" t="s">
        <v>46</v>
      </c>
      <c r="S124" s="32"/>
      <c r="T124" s="32">
        <v>130</v>
      </c>
      <c r="U124" s="32"/>
      <c r="V124" s="32"/>
      <c r="W124" s="32"/>
      <c r="X124" s="32"/>
      <c r="Y124" s="32"/>
      <c r="Z124" s="12">
        <f>$H$128</f>
        <v>0</v>
      </c>
      <c r="AA124" s="13">
        <f>IF(ISTEXT($I$128),TEXT($G$128/100,"0.00%"),$G$128 / 100)</f>
        <v>1</v>
      </c>
      <c r="AB124" s="13">
        <f>IF(ISTEXT($I$129),TEXT($G$129/100,"0.00%"),$G$129 / 100)</f>
        <v>1</v>
      </c>
      <c r="AC124" s="13">
        <f>IF(ISTEXT($I$130),TEXT($G$130/100,"0.00%"),$G$130 / 100)</f>
        <v>1</v>
      </c>
      <c r="AD124" s="13">
        <f>IFERROR(AVERAGE($AA$124:$AC$124),"")</f>
        <v>1</v>
      </c>
    </row>
    <row r="125" spans="1:30" ht="16.5" thickTop="1" thickBot="1" x14ac:dyDescent="0.3">
      <c r="A125" s="33" t="s">
        <v>201</v>
      </c>
      <c r="B125" s="33" t="s">
        <v>163</v>
      </c>
      <c r="C125" s="33" t="s">
        <v>15</v>
      </c>
      <c r="D125" s="39">
        <v>13034.032999999999</v>
      </c>
      <c r="E125" s="39">
        <v>25140.338</v>
      </c>
      <c r="F125" s="39">
        <v>0.51845098499999998</v>
      </c>
      <c r="G125" s="39">
        <f>($F$125 -  AVERAGE($F$122,$F$123,$F$124) ) / ($F$128 -  AVERAGE($F$122,$F$123,$F$124) ) * 100</f>
        <v>73.0024370427181</v>
      </c>
      <c r="H125" s="39">
        <v>120</v>
      </c>
      <c r="I125" s="40">
        <f>LN($G$125)</f>
        <v>4.2904928247379761</v>
      </c>
      <c r="J125" s="35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>
        <f>IF(ISTEXT($I$125),"",1)</f>
        <v>1</v>
      </c>
      <c r="V125" s="33">
        <f t="shared" ref="V125:V130" si="12">IFERROR(INDEX($H$125:$H$130,SMALL($U$125:$U$130,ROW(W1)),1),"")</f>
        <v>120</v>
      </c>
      <c r="W125" s="33">
        <f t="shared" ref="W125:W130" si="13">IFERROR(INDEX($I$125:$I$130,SMALL($U$125:$U$130,ROW(I1)),1),"")</f>
        <v>4.2904928247379761</v>
      </c>
      <c r="X125" s="33"/>
      <c r="Y125" s="33"/>
    </row>
    <row r="126" spans="1:30" x14ac:dyDescent="0.25">
      <c r="A126" s="32" t="s">
        <v>202</v>
      </c>
      <c r="B126" s="32" t="s">
        <v>163</v>
      </c>
      <c r="C126" s="32" t="s">
        <v>15</v>
      </c>
      <c r="D126" s="38">
        <v>14373.797</v>
      </c>
      <c r="E126" s="38">
        <v>24703.018</v>
      </c>
      <c r="F126" s="38">
        <v>0.58186400500000002</v>
      </c>
      <c r="G126" s="38">
        <f>($F$126 -  AVERAGE($F$122,$F$123,$F$124) ) / ($F$129 -  AVERAGE($F$122,$F$123,$F$124) ) * 100</f>
        <v>87.974753544691779</v>
      </c>
      <c r="H126" s="38">
        <v>120</v>
      </c>
      <c r="I126" s="41">
        <f>LN($G$126)</f>
        <v>4.4770498817793634</v>
      </c>
      <c r="J126" s="34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>
        <f>IF(ISTEXT($I$126),"",2)</f>
        <v>2</v>
      </c>
      <c r="V126" s="32">
        <f t="shared" si="12"/>
        <v>120</v>
      </c>
      <c r="W126" s="32">
        <f t="shared" si="13"/>
        <v>4.4770498817793634</v>
      </c>
      <c r="X126" s="32"/>
      <c r="Y126" s="32"/>
      <c r="Z126" s="20" t="s">
        <v>51</v>
      </c>
      <c r="AA126" s="31">
        <f>IFERROR(SLOPE($W$125:$W$130,$V$125:$V$130),"")</f>
        <v>-5.2982329944012358E-3</v>
      </c>
    </row>
    <row r="127" spans="1:30" x14ac:dyDescent="0.25">
      <c r="A127" s="33" t="s">
        <v>203</v>
      </c>
      <c r="B127" s="33" t="s">
        <v>163</v>
      </c>
      <c r="C127" s="33" t="s">
        <v>15</v>
      </c>
      <c r="D127" s="39">
        <v>7408.8549999999996</v>
      </c>
      <c r="E127" s="39">
        <v>24575.42</v>
      </c>
      <c r="F127" s="39">
        <v>0.301474197</v>
      </c>
      <c r="G127" s="39">
        <f>($F$127 -  AVERAGE($F$122,$F$123,$F$124) ) / ($F$130 -  AVERAGE($F$122,$F$123,$F$124) ) * 100</f>
        <v>23.117825195994111</v>
      </c>
      <c r="H127" s="39">
        <v>120</v>
      </c>
      <c r="I127" s="40">
        <f>LN($G$127)</f>
        <v>3.1406039734624911</v>
      </c>
      <c r="J127" s="35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>
        <f>IF(ISTEXT($I$127),"",3)</f>
        <v>3</v>
      </c>
      <c r="V127" s="33">
        <f t="shared" si="12"/>
        <v>120</v>
      </c>
      <c r="W127" s="33">
        <f t="shared" si="13"/>
        <v>3.1406039734624911</v>
      </c>
      <c r="X127" s="33"/>
      <c r="Y127" s="33"/>
      <c r="Z127" s="22" t="s">
        <v>52</v>
      </c>
      <c r="AA127" s="23">
        <f>IFERROR(INTERCEPT($W$125:$W$130,$V$125:$V$130),"")</f>
        <v>4.6051701859880927</v>
      </c>
    </row>
    <row r="128" spans="1:30" ht="17.25" x14ac:dyDescent="0.25">
      <c r="A128" s="32" t="s">
        <v>177</v>
      </c>
      <c r="B128" s="32" t="s">
        <v>163</v>
      </c>
      <c r="C128" s="32" t="s">
        <v>15</v>
      </c>
      <c r="D128" s="38">
        <v>19485.289000000001</v>
      </c>
      <c r="E128" s="38">
        <v>27437.65</v>
      </c>
      <c r="F128" s="38">
        <v>0.71016610400000002</v>
      </c>
      <c r="G128" s="38">
        <f>($F$128 -  AVERAGE($F$122,$F$123,$F$124) ) / ($F$128 -  AVERAGE($F$122,$F$123,$F$124) ) * 100</f>
        <v>100</v>
      </c>
      <c r="H128" s="38">
        <v>0</v>
      </c>
      <c r="I128" s="41">
        <f>LN($G$128)</f>
        <v>4.6051701859880918</v>
      </c>
      <c r="J128" s="34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>
        <f>IF(ISTEXT($I$128),"",4)</f>
        <v>4</v>
      </c>
      <c r="V128" s="32">
        <f t="shared" si="12"/>
        <v>0</v>
      </c>
      <c r="W128" s="32">
        <f t="shared" si="13"/>
        <v>4.6051701859880918</v>
      </c>
      <c r="X128" s="32"/>
      <c r="Y128" s="32"/>
      <c r="Z128" s="22" t="s">
        <v>53</v>
      </c>
      <c r="AA128" s="26">
        <f>IFERROR(CORREL($W$125:$W$130,$V$125:$V$130)^2,"")</f>
        <v>0.36657839761105049</v>
      </c>
    </row>
    <row r="129" spans="1:30" ht="18" x14ac:dyDescent="0.35">
      <c r="A129" s="33" t="s">
        <v>178</v>
      </c>
      <c r="B129" s="33" t="s">
        <v>163</v>
      </c>
      <c r="C129" s="33" t="s">
        <v>15</v>
      </c>
      <c r="D129" s="39">
        <v>17523.778999999999</v>
      </c>
      <c r="E129" s="39">
        <v>26495.276999999998</v>
      </c>
      <c r="F129" s="39">
        <v>0.66139255699999999</v>
      </c>
      <c r="G129" s="39">
        <f>($F$129 -  AVERAGE($F$122,$F$123,$F$124) ) / ($F$129 -  AVERAGE($F$122,$F$123,$F$124) ) * 100</f>
        <v>100</v>
      </c>
      <c r="H129" s="39">
        <v>0</v>
      </c>
      <c r="I129" s="40">
        <f>LN($G$129)</f>
        <v>4.6051701859880918</v>
      </c>
      <c r="J129" s="35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>
        <f>IF(ISTEXT($I$129),"",5)</f>
        <v>5</v>
      </c>
      <c r="V129" s="33">
        <f t="shared" si="12"/>
        <v>0</v>
      </c>
      <c r="W129" s="33">
        <f t="shared" si="13"/>
        <v>4.6051701859880918</v>
      </c>
      <c r="X129" s="33"/>
      <c r="Y129" s="33"/>
      <c r="Z129" s="22" t="s">
        <v>54</v>
      </c>
      <c r="AA129" s="25">
        <f>IF(AA126&gt;0,"",IFERROR(LN(2) /ABS(AA126),0))</f>
        <v>130.82610396568248</v>
      </c>
    </row>
    <row r="130" spans="1:30" ht="18.75" x14ac:dyDescent="0.35">
      <c r="A130" s="32" t="s">
        <v>179</v>
      </c>
      <c r="B130" s="32" t="s">
        <v>163</v>
      </c>
      <c r="C130" s="32" t="s">
        <v>15</v>
      </c>
      <c r="D130" s="38">
        <v>34062.421999999999</v>
      </c>
      <c r="E130" s="38">
        <v>26123.016</v>
      </c>
      <c r="F130" s="38">
        <v>1.3039237889999999</v>
      </c>
      <c r="G130" s="38">
        <f>($F$130 -  AVERAGE($F$122,$F$123,$F$124) ) / ($F$130 -  AVERAGE($F$122,$F$123,$F$124) ) * 100</f>
        <v>100</v>
      </c>
      <c r="H130" s="38">
        <v>0</v>
      </c>
      <c r="I130" s="41">
        <f>LN($G$130)</f>
        <v>4.6051701859880918</v>
      </c>
      <c r="J130" s="34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>
        <f>IF(ISTEXT($I$130),"",6)</f>
        <v>6</v>
      </c>
      <c r="V130" s="32">
        <f t="shared" si="12"/>
        <v>0</v>
      </c>
      <c r="W130" s="32">
        <f t="shared" si="13"/>
        <v>4.6051701859880918</v>
      </c>
      <c r="X130" s="32"/>
      <c r="Y130" s="32"/>
      <c r="Z130" s="22" t="s">
        <v>55</v>
      </c>
      <c r="AA130" s="30">
        <f>IF(AA126&gt;0,0,IFERROR(ABS(AA126 * 1000 / 0.5),0))</f>
        <v>10.596465988802471</v>
      </c>
    </row>
    <row r="131" spans="1:30" ht="15.75" thickBot="1" x14ac:dyDescent="0.3">
      <c r="A131" s="33"/>
      <c r="B131" s="33"/>
      <c r="C131" s="33"/>
      <c r="D131" s="39"/>
      <c r="E131" s="39"/>
      <c r="F131" s="39"/>
      <c r="G131" s="39"/>
      <c r="H131" s="39"/>
      <c r="I131" s="40"/>
      <c r="J131" s="35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27" t="s">
        <v>39</v>
      </c>
      <c r="AA131" s="28" t="s">
        <v>56</v>
      </c>
    </row>
    <row r="132" spans="1:30" x14ac:dyDescent="0.25">
      <c r="A132" s="32"/>
      <c r="B132" s="32"/>
      <c r="C132" s="32"/>
      <c r="D132" s="38"/>
      <c r="E132" s="38"/>
      <c r="F132" s="38"/>
      <c r="G132" s="38"/>
      <c r="H132" s="38"/>
      <c r="I132" s="41"/>
      <c r="J132" s="34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</row>
    <row r="133" spans="1:30" x14ac:dyDescent="0.25">
      <c r="A133" s="33"/>
      <c r="B133" s="33"/>
      <c r="C133" s="33"/>
      <c r="D133" s="39"/>
      <c r="E133" s="39"/>
      <c r="F133" s="39"/>
      <c r="G133" s="39"/>
      <c r="H133" s="39"/>
      <c r="I133" s="40"/>
      <c r="J133" s="35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</row>
    <row r="134" spans="1:30" x14ac:dyDescent="0.25">
      <c r="A134" s="32"/>
      <c r="B134" s="32"/>
      <c r="C134" s="32"/>
      <c r="D134" s="38"/>
      <c r="E134" s="38"/>
      <c r="F134" s="38"/>
      <c r="G134" s="38"/>
      <c r="H134" s="38"/>
      <c r="I134" s="41"/>
      <c r="J134" s="34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</row>
    <row r="135" spans="1:30" x14ac:dyDescent="0.25">
      <c r="A135" s="33"/>
      <c r="B135" s="33"/>
      <c r="C135" s="33"/>
      <c r="D135" s="39"/>
      <c r="E135" s="39"/>
      <c r="F135" s="39"/>
      <c r="G135" s="39"/>
      <c r="H135" s="39"/>
      <c r="I135" s="40"/>
      <c r="J135" s="35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</row>
    <row r="136" spans="1:30" x14ac:dyDescent="0.25">
      <c r="A136" s="32"/>
      <c r="B136" s="32"/>
      <c r="C136" s="32"/>
      <c r="D136" s="38"/>
      <c r="E136" s="38"/>
      <c r="F136" s="38"/>
      <c r="G136" s="38"/>
      <c r="H136" s="38"/>
      <c r="I136" s="41"/>
      <c r="J136" s="34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</row>
    <row r="137" spans="1:30" x14ac:dyDescent="0.25">
      <c r="A137" s="33"/>
      <c r="B137" s="33"/>
      <c r="C137" s="33"/>
      <c r="D137" s="39"/>
      <c r="E137" s="39"/>
      <c r="F137" s="39"/>
      <c r="G137" s="39"/>
      <c r="H137" s="39"/>
      <c r="I137" s="40"/>
      <c r="J137" s="35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</row>
    <row r="138" spans="1:30" x14ac:dyDescent="0.25">
      <c r="A138" s="32"/>
      <c r="B138" s="32"/>
      <c r="C138" s="32"/>
      <c r="D138" s="38"/>
      <c r="E138" s="38"/>
      <c r="F138" s="38"/>
      <c r="G138" s="38"/>
      <c r="H138" s="38"/>
      <c r="I138" s="41"/>
      <c r="J138" s="34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</row>
    <row r="139" spans="1:30" x14ac:dyDescent="0.25">
      <c r="A139" s="33"/>
      <c r="B139" s="33"/>
      <c r="C139" s="33"/>
      <c r="D139" s="39"/>
      <c r="E139" s="39"/>
      <c r="F139" s="39"/>
      <c r="G139" s="39"/>
      <c r="H139" s="39"/>
      <c r="I139" s="40"/>
      <c r="J139" s="35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</row>
    <row r="140" spans="1:30" x14ac:dyDescent="0.25">
      <c r="A140" s="32"/>
      <c r="B140" s="32"/>
      <c r="C140" s="32"/>
      <c r="D140" s="38"/>
      <c r="E140" s="38"/>
      <c r="F140" s="38"/>
      <c r="G140" s="38"/>
      <c r="H140" s="38"/>
      <c r="I140" s="41"/>
      <c r="J140" s="34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</row>
    <row r="141" spans="1:30" ht="15.75" thickBot="1" x14ac:dyDescent="0.3">
      <c r="A141" s="33"/>
      <c r="B141" s="33"/>
      <c r="C141" s="33"/>
      <c r="D141" s="39"/>
      <c r="E141" s="39"/>
      <c r="F141" s="39"/>
      <c r="G141" s="39"/>
      <c r="H141" s="39"/>
      <c r="I141" s="39"/>
      <c r="J141" s="35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</row>
    <row r="142" spans="1:30" ht="16.5" thickTop="1" thickBot="1" x14ac:dyDescent="0.3">
      <c r="A142" s="32" t="s">
        <v>6</v>
      </c>
      <c r="B142" s="32" t="s">
        <v>16</v>
      </c>
      <c r="C142" s="32" t="s">
        <v>17</v>
      </c>
      <c r="D142" s="38">
        <v>1</v>
      </c>
      <c r="E142" s="38">
        <v>37229.300999999999</v>
      </c>
      <c r="F142" s="38">
        <v>2.6860600000000002E-5</v>
      </c>
      <c r="G142" s="38"/>
      <c r="H142" s="38"/>
      <c r="I142" s="38"/>
      <c r="J142" s="34"/>
      <c r="K142" s="32"/>
      <c r="L142" s="32"/>
      <c r="M142" s="32"/>
      <c r="N142" s="32"/>
      <c r="O142" s="32"/>
      <c r="P142" s="32"/>
      <c r="Q142" s="32"/>
      <c r="R142" s="32" t="s">
        <v>380</v>
      </c>
      <c r="S142" s="32"/>
      <c r="T142" s="32">
        <v>8</v>
      </c>
      <c r="U142" s="32"/>
      <c r="V142" s="32"/>
      <c r="W142" s="32"/>
      <c r="X142" s="32"/>
      <c r="Y142" s="32"/>
      <c r="Z142" s="9" t="s">
        <v>45</v>
      </c>
      <c r="AA142" s="9" t="s">
        <v>47</v>
      </c>
      <c r="AB142" s="9" t="s">
        <v>48</v>
      </c>
      <c r="AC142" s="9" t="s">
        <v>49</v>
      </c>
      <c r="AD142" s="9" t="s">
        <v>50</v>
      </c>
    </row>
    <row r="143" spans="1:30" ht="15.75" thickTop="1" x14ac:dyDescent="0.25">
      <c r="A143" s="33" t="s">
        <v>8</v>
      </c>
      <c r="B143" s="33" t="s">
        <v>16</v>
      </c>
      <c r="C143" s="33" t="s">
        <v>17</v>
      </c>
      <c r="D143" s="39">
        <v>1</v>
      </c>
      <c r="E143" s="39">
        <v>37141.370999999999</v>
      </c>
      <c r="F143" s="39">
        <v>2.6924199999999999E-5</v>
      </c>
      <c r="G143" s="39"/>
      <c r="H143" s="39"/>
      <c r="I143" s="39"/>
      <c r="J143" s="35"/>
      <c r="K143" s="33"/>
      <c r="L143" s="33"/>
      <c r="M143" s="33"/>
      <c r="N143" s="33"/>
      <c r="O143" s="33"/>
      <c r="P143" s="33"/>
      <c r="Q143" s="33"/>
      <c r="R143" s="33" t="s">
        <v>45</v>
      </c>
      <c r="S143" s="33"/>
      <c r="T143" s="33">
        <v>145</v>
      </c>
      <c r="U143" s="33"/>
      <c r="V143" s="33"/>
      <c r="W143" s="33"/>
      <c r="X143" s="33"/>
      <c r="Y143" s="33"/>
      <c r="Z143" s="10">
        <f>$H$145</f>
        <v>120</v>
      </c>
      <c r="AA143" s="11">
        <f>IF(ISTEXT($I$145),TEXT($G$145/100,"0.00%"),$G$145 / 100)</f>
        <v>0.46781092831576915</v>
      </c>
      <c r="AB143" s="11">
        <f>IF(ISTEXT($I$146),TEXT($G$146/100,"0.00%"),$G$146 / 100)</f>
        <v>0.34386370982736814</v>
      </c>
      <c r="AC143" s="11">
        <f>IF(ISTEXT($I$147),TEXT($G$147/100,"0.00%"),$G$147 / 100)</f>
        <v>0.40211790050658563</v>
      </c>
      <c r="AD143" s="11">
        <f>IFERROR(AVERAGE($AA$143:$AC$143),"")</f>
        <v>0.40459751288324092</v>
      </c>
    </row>
    <row r="144" spans="1:30" ht="15.75" thickBot="1" x14ac:dyDescent="0.3">
      <c r="A144" s="32" t="s">
        <v>9</v>
      </c>
      <c r="B144" s="32" t="s">
        <v>16</v>
      </c>
      <c r="C144" s="32" t="s">
        <v>17</v>
      </c>
      <c r="D144" s="38">
        <v>1.5289999999999999</v>
      </c>
      <c r="E144" s="38">
        <v>36262.148000000001</v>
      </c>
      <c r="F144" s="38">
        <v>4.2165200000000001E-5</v>
      </c>
      <c r="G144" s="38"/>
      <c r="H144" s="38"/>
      <c r="I144" s="38"/>
      <c r="J144" s="34"/>
      <c r="K144" s="32"/>
      <c r="L144" s="32"/>
      <c r="M144" s="32"/>
      <c r="N144" s="32"/>
      <c r="O144" s="32"/>
      <c r="P144" s="32"/>
      <c r="Q144" s="32"/>
      <c r="R144" s="32" t="s">
        <v>46</v>
      </c>
      <c r="S144" s="32"/>
      <c r="T144" s="32">
        <v>150</v>
      </c>
      <c r="U144" s="32"/>
      <c r="V144" s="32"/>
      <c r="W144" s="32"/>
      <c r="X144" s="32"/>
      <c r="Y144" s="32"/>
      <c r="Z144" s="12">
        <f>$H$148</f>
        <v>0</v>
      </c>
      <c r="AA144" s="13">
        <f>IF(ISTEXT($I$148),TEXT($G$148/100,"0.00%"),$G$148 / 100)</f>
        <v>1</v>
      </c>
      <c r="AB144" s="13">
        <f>IF(ISTEXT($I$149),TEXT($G$149/100,"0.00%"),$G$149 / 100)</f>
        <v>1</v>
      </c>
      <c r="AC144" s="13">
        <f>IF(ISTEXT($I$150),TEXT($G$150/100,"0.00%"),$G$150 / 100)</f>
        <v>1</v>
      </c>
      <c r="AD144" s="13">
        <f>IFERROR(AVERAGE($AA$144:$AC$144),"")</f>
        <v>1</v>
      </c>
    </row>
    <row r="145" spans="1:27" ht="16.5" thickTop="1" thickBot="1" x14ac:dyDescent="0.3">
      <c r="A145" s="33" t="s">
        <v>204</v>
      </c>
      <c r="B145" s="33" t="s">
        <v>16</v>
      </c>
      <c r="C145" s="33" t="s">
        <v>17</v>
      </c>
      <c r="D145" s="39">
        <v>28801.673999999999</v>
      </c>
      <c r="E145" s="39">
        <v>30967.072</v>
      </c>
      <c r="F145" s="39">
        <v>0.93007417699999995</v>
      </c>
      <c r="G145" s="39">
        <f>($F$145 -  AVERAGE($F$142,$F$143,$F$144) ) / ($F$148 -  AVERAGE($F$142,$F$143,$F$144) ) * 100</f>
        <v>46.781092831576913</v>
      </c>
      <c r="H145" s="39">
        <v>120</v>
      </c>
      <c r="I145" s="40">
        <f>LN($G$145)</f>
        <v>3.8454791219686077</v>
      </c>
      <c r="J145" s="35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>
        <f>IF(ISTEXT($I$145),"",1)</f>
        <v>1</v>
      </c>
      <c r="V145" s="33">
        <f t="shared" ref="V145:V150" si="14">IFERROR(INDEX($H$145:$H$150,SMALL($U$145:$U$150,ROW(W1)),1),"")</f>
        <v>120</v>
      </c>
      <c r="W145" s="33">
        <f t="shared" ref="W145:W150" si="15">IFERROR(INDEX($I$145:$I$150,SMALL($U$145:$U$150,ROW(I1)),1),"")</f>
        <v>3.8454791219686077</v>
      </c>
      <c r="X145" s="33"/>
      <c r="Y145" s="33"/>
    </row>
    <row r="146" spans="1:27" x14ac:dyDescent="0.25">
      <c r="A146" s="32" t="s">
        <v>205</v>
      </c>
      <c r="B146" s="32" t="s">
        <v>16</v>
      </c>
      <c r="C146" s="32" t="s">
        <v>17</v>
      </c>
      <c r="D146" s="38">
        <v>29813.348000000002</v>
      </c>
      <c r="E146" s="38">
        <v>32444.532999999999</v>
      </c>
      <c r="F146" s="38">
        <v>0.91890205400000002</v>
      </c>
      <c r="G146" s="38">
        <f>($F$146 -  AVERAGE($F$142,$F$143,$F$144) ) / ($F$149 -  AVERAGE($F$142,$F$143,$F$144) ) * 100</f>
        <v>34.386370982736814</v>
      </c>
      <c r="H146" s="38">
        <v>120</v>
      </c>
      <c r="I146" s="41">
        <f>LN($G$146)</f>
        <v>3.5376602935121206</v>
      </c>
      <c r="J146" s="34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>
        <f>IF(ISTEXT($I$146),"",2)</f>
        <v>2</v>
      </c>
      <c r="V146" s="32">
        <f t="shared" si="14"/>
        <v>120</v>
      </c>
      <c r="W146" s="32">
        <f t="shared" si="15"/>
        <v>3.5376602935121206</v>
      </c>
      <c r="X146" s="32"/>
      <c r="Y146" s="32"/>
      <c r="Z146" s="20" t="s">
        <v>51</v>
      </c>
      <c r="AA146" s="31">
        <f>IFERROR(SLOPE($W$145:$W$150,$V$145:$V$150),"")</f>
        <v>-7.6061414028219757E-3</v>
      </c>
    </row>
    <row r="147" spans="1:27" x14ac:dyDescent="0.25">
      <c r="A147" s="33" t="s">
        <v>206</v>
      </c>
      <c r="B147" s="33" t="s">
        <v>16</v>
      </c>
      <c r="C147" s="33" t="s">
        <v>17</v>
      </c>
      <c r="D147" s="39">
        <v>29666.636999999999</v>
      </c>
      <c r="E147" s="39">
        <v>31895.83</v>
      </c>
      <c r="F147" s="39">
        <v>0.93011020600000005</v>
      </c>
      <c r="G147" s="39">
        <f>($F$147 -  AVERAGE($F$142,$F$143,$F$144) ) / ($F$150 -  AVERAGE($F$142,$F$143,$F$144) ) * 100</f>
        <v>40.211790050658564</v>
      </c>
      <c r="H147" s="39">
        <v>120</v>
      </c>
      <c r="I147" s="40">
        <f>LN($G$147)</f>
        <v>3.6941602374676359</v>
      </c>
      <c r="J147" s="35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>
        <f>IF(ISTEXT($I$147),"",3)</f>
        <v>3</v>
      </c>
      <c r="V147" s="33">
        <f t="shared" si="14"/>
        <v>120</v>
      </c>
      <c r="W147" s="33">
        <f t="shared" si="15"/>
        <v>3.6941602374676359</v>
      </c>
      <c r="X147" s="33"/>
      <c r="Y147" s="33"/>
      <c r="Z147" s="22" t="s">
        <v>52</v>
      </c>
      <c r="AA147" s="23">
        <f>IFERROR(INTERCEPT($W$145:$W$150,$V$145:$V$150),"")</f>
        <v>4.6051701859880918</v>
      </c>
    </row>
    <row r="148" spans="1:27" ht="17.25" x14ac:dyDescent="0.25">
      <c r="A148" s="32" t="s">
        <v>18</v>
      </c>
      <c r="B148" s="32" t="s">
        <v>16</v>
      </c>
      <c r="C148" s="32" t="s">
        <v>17</v>
      </c>
      <c r="D148" s="38">
        <v>56705.116999999998</v>
      </c>
      <c r="E148" s="38">
        <v>28522.197</v>
      </c>
      <c r="F148" s="38">
        <v>1.9881048079999999</v>
      </c>
      <c r="G148" s="38">
        <f>($F$148 -  AVERAGE($F$142,$F$143,$F$144) ) / ($F$148 -  AVERAGE($F$142,$F$143,$F$144) ) * 100</f>
        <v>100</v>
      </c>
      <c r="H148" s="38">
        <v>0</v>
      </c>
      <c r="I148" s="41">
        <f>LN($G$148)</f>
        <v>4.6051701859880918</v>
      </c>
      <c r="J148" s="34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>
        <f>IF(ISTEXT($I$148),"",4)</f>
        <v>4</v>
      </c>
      <c r="V148" s="32">
        <f t="shared" si="14"/>
        <v>0</v>
      </c>
      <c r="W148" s="32">
        <f t="shared" si="15"/>
        <v>4.6051701859880918</v>
      </c>
      <c r="X148" s="32"/>
      <c r="Y148" s="32"/>
      <c r="Z148" s="22" t="s">
        <v>53</v>
      </c>
      <c r="AA148" s="26">
        <f>IFERROR(CORREL($W$145:$W$150,$V$145:$V$150)^2,"")</f>
        <v>0.96346940359233868</v>
      </c>
    </row>
    <row r="149" spans="1:27" ht="18" x14ac:dyDescent="0.35">
      <c r="A149" s="33" t="s">
        <v>19</v>
      </c>
      <c r="B149" s="33" t="s">
        <v>16</v>
      </c>
      <c r="C149" s="33" t="s">
        <v>17</v>
      </c>
      <c r="D149" s="39">
        <v>80012.077999999994</v>
      </c>
      <c r="E149" s="39">
        <v>29942.123</v>
      </c>
      <c r="F149" s="39">
        <v>2.6722246119999999</v>
      </c>
      <c r="G149" s="39">
        <f>($F$149 -  AVERAGE($F$142,$F$143,$F$144) ) / ($F$149 -  AVERAGE($F$142,$F$143,$F$144) ) * 100</f>
        <v>100</v>
      </c>
      <c r="H149" s="39">
        <v>0</v>
      </c>
      <c r="I149" s="40">
        <f>LN($G$149)</f>
        <v>4.6051701859880918</v>
      </c>
      <c r="J149" s="35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>
        <f>IF(ISTEXT($I$149),"",5)</f>
        <v>5</v>
      </c>
      <c r="V149" s="33">
        <f t="shared" si="14"/>
        <v>0</v>
      </c>
      <c r="W149" s="33">
        <f t="shared" si="15"/>
        <v>4.6051701859880918</v>
      </c>
      <c r="X149" s="33"/>
      <c r="Y149" s="33"/>
      <c r="Z149" s="22" t="s">
        <v>54</v>
      </c>
      <c r="AA149" s="30">
        <f>IF(AA146&gt;0,"",IFERROR(LN(2) /ABS(AA146),0))</f>
        <v>91.129936172732585</v>
      </c>
    </row>
    <row r="150" spans="1:27" ht="18.75" x14ac:dyDescent="0.35">
      <c r="A150" s="32" t="s">
        <v>20</v>
      </c>
      <c r="B150" s="32" t="s">
        <v>16</v>
      </c>
      <c r="C150" s="32" t="s">
        <v>17</v>
      </c>
      <c r="D150" s="38">
        <v>74467.437999999995</v>
      </c>
      <c r="E150" s="38">
        <v>32195.437999999998</v>
      </c>
      <c r="F150" s="38">
        <v>2.3129810499999999</v>
      </c>
      <c r="G150" s="38">
        <f>($F$150 -  AVERAGE($F$142,$F$143,$F$144) ) / ($F$150 -  AVERAGE($F$142,$F$143,$F$144) ) * 100</f>
        <v>100</v>
      </c>
      <c r="H150" s="38">
        <v>0</v>
      </c>
      <c r="I150" s="41">
        <f>LN($G$150)</f>
        <v>4.6051701859880918</v>
      </c>
      <c r="J150" s="34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>
        <f>IF(ISTEXT($I$150),"",6)</f>
        <v>6</v>
      </c>
      <c r="V150" s="32">
        <f t="shared" si="14"/>
        <v>0</v>
      </c>
      <c r="W150" s="32">
        <f t="shared" si="15"/>
        <v>4.6051701859880918</v>
      </c>
      <c r="X150" s="32"/>
      <c r="Y150" s="32"/>
      <c r="Z150" s="22" t="s">
        <v>55</v>
      </c>
      <c r="AA150" s="30">
        <f>IF(AA146&gt;0,0,IFERROR(ABS(AA146 * 1000 / 0.5),0))</f>
        <v>15.212282805643952</v>
      </c>
    </row>
    <row r="151" spans="1:27" ht="15.75" thickBot="1" x14ac:dyDescent="0.3">
      <c r="A151" s="33"/>
      <c r="B151" s="33"/>
      <c r="C151" s="33"/>
      <c r="D151" s="39"/>
      <c r="E151" s="39"/>
      <c r="F151" s="39"/>
      <c r="G151" s="39"/>
      <c r="H151" s="39"/>
      <c r="I151" s="40"/>
      <c r="J151" s="35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27" t="s">
        <v>39</v>
      </c>
      <c r="AA151" s="28" t="s">
        <v>34</v>
      </c>
    </row>
    <row r="152" spans="1:27" x14ac:dyDescent="0.25">
      <c r="A152" s="2"/>
      <c r="B152" s="2"/>
      <c r="C152" s="2"/>
      <c r="D152" s="36"/>
      <c r="E152" s="36"/>
      <c r="F152" s="36"/>
      <c r="I152" s="37"/>
    </row>
    <row r="153" spans="1:27" x14ac:dyDescent="0.25">
      <c r="A153" s="2"/>
      <c r="B153" s="2"/>
      <c r="C153" s="2"/>
      <c r="D153" s="36"/>
      <c r="E153" s="36"/>
      <c r="F153" s="36"/>
      <c r="I153" s="37"/>
    </row>
    <row r="154" spans="1:27" x14ac:dyDescent="0.25">
      <c r="A154" s="2"/>
      <c r="B154" s="2"/>
      <c r="C154" s="2"/>
      <c r="D154" s="36"/>
      <c r="E154" s="36"/>
      <c r="F154" s="36"/>
      <c r="I154" s="37"/>
    </row>
    <row r="155" spans="1:27" x14ac:dyDescent="0.25">
      <c r="A155" s="2"/>
      <c r="B155" s="2"/>
      <c r="C155" s="2"/>
      <c r="D155" s="36"/>
      <c r="E155" s="36"/>
      <c r="F155" s="36"/>
      <c r="I155" s="37"/>
    </row>
    <row r="156" spans="1:27" x14ac:dyDescent="0.25">
      <c r="A156" s="2"/>
      <c r="B156" s="2"/>
      <c r="C156" s="2"/>
      <c r="D156" s="36"/>
      <c r="E156" s="36"/>
      <c r="F156" s="36"/>
      <c r="I156" s="37"/>
    </row>
    <row r="157" spans="1:27" x14ac:dyDescent="0.25">
      <c r="A157" s="2"/>
      <c r="B157" s="2"/>
      <c r="C157" s="2"/>
      <c r="D157" s="36"/>
      <c r="E157" s="36"/>
      <c r="F157" s="36"/>
      <c r="I157" s="37"/>
    </row>
    <row r="158" spans="1:27" x14ac:dyDescent="0.25">
      <c r="A158" s="2"/>
      <c r="B158" s="2"/>
      <c r="C158" s="2"/>
      <c r="D158" s="36"/>
      <c r="E158" s="36"/>
      <c r="F158" s="36"/>
      <c r="I158" s="37"/>
    </row>
    <row r="159" spans="1:27" x14ac:dyDescent="0.25">
      <c r="A159" s="2"/>
      <c r="B159" s="2"/>
      <c r="C159" s="2"/>
      <c r="D159" s="36"/>
      <c r="E159" s="36"/>
      <c r="F159" s="36"/>
      <c r="I159" s="37"/>
    </row>
    <row r="160" spans="1:27" x14ac:dyDescent="0.25">
      <c r="A160" s="2"/>
      <c r="B160" s="2"/>
      <c r="C160" s="2"/>
      <c r="D160" s="36"/>
      <c r="E160" s="36"/>
      <c r="F160" s="36"/>
      <c r="I160" s="37"/>
    </row>
  </sheetData>
  <conditionalFormatting sqref="AD144">
    <cfRule type="expression" dxfId="553" priority="1">
      <formula>ISTEXT($AD$144)</formula>
    </cfRule>
  </conditionalFormatting>
  <conditionalFormatting sqref="I5">
    <cfRule type="expression" dxfId="552" priority="112">
      <formula>ISTEXT($I$5)</formula>
    </cfRule>
  </conditionalFormatting>
  <conditionalFormatting sqref="I6">
    <cfRule type="expression" dxfId="551" priority="111">
      <formula>ISTEXT($I$6)</formula>
    </cfRule>
  </conditionalFormatting>
  <conditionalFormatting sqref="I7">
    <cfRule type="expression" dxfId="550" priority="110">
      <formula>ISTEXT($I$7)</formula>
    </cfRule>
  </conditionalFormatting>
  <conditionalFormatting sqref="I8">
    <cfRule type="expression" dxfId="549" priority="109">
      <formula>ISTEXT($I$8)</formula>
    </cfRule>
  </conditionalFormatting>
  <conditionalFormatting sqref="I9">
    <cfRule type="expression" dxfId="548" priority="108">
      <formula>ISTEXT($I$9)</formula>
    </cfRule>
  </conditionalFormatting>
  <conditionalFormatting sqref="I10:I20">
    <cfRule type="expression" dxfId="547" priority="107">
      <formula>ISTEXT($I$10)</formula>
    </cfRule>
  </conditionalFormatting>
  <conditionalFormatting sqref="I25">
    <cfRule type="expression" dxfId="546" priority="106">
      <formula>ISTEXT($I$25)</formula>
    </cfRule>
  </conditionalFormatting>
  <conditionalFormatting sqref="I26">
    <cfRule type="expression" dxfId="545" priority="105">
      <formula>ISTEXT($I$26)</formula>
    </cfRule>
  </conditionalFormatting>
  <conditionalFormatting sqref="I27">
    <cfRule type="expression" dxfId="544" priority="104">
      <formula>ISTEXT($I$27)</formula>
    </cfRule>
  </conditionalFormatting>
  <conditionalFormatting sqref="I28">
    <cfRule type="expression" dxfId="543" priority="103">
      <formula>ISTEXT($I$28)</formula>
    </cfRule>
  </conditionalFormatting>
  <conditionalFormatting sqref="I29">
    <cfRule type="expression" dxfId="542" priority="102">
      <formula>ISTEXT($I$29)</formula>
    </cfRule>
  </conditionalFormatting>
  <conditionalFormatting sqref="I30:I40">
    <cfRule type="expression" dxfId="541" priority="101">
      <formula>ISTEXT($I$30)</formula>
    </cfRule>
  </conditionalFormatting>
  <conditionalFormatting sqref="I45">
    <cfRule type="expression" dxfId="540" priority="100">
      <formula>ISTEXT($I$45)</formula>
    </cfRule>
  </conditionalFormatting>
  <conditionalFormatting sqref="I46">
    <cfRule type="expression" dxfId="539" priority="99">
      <formula>ISTEXT($I$46)</formula>
    </cfRule>
  </conditionalFormatting>
  <conditionalFormatting sqref="I47">
    <cfRule type="expression" dxfId="538" priority="98">
      <formula>ISTEXT($I$47)</formula>
    </cfRule>
  </conditionalFormatting>
  <conditionalFormatting sqref="I48">
    <cfRule type="expression" dxfId="537" priority="97">
      <formula>ISTEXT($I$48)</formula>
    </cfRule>
  </conditionalFormatting>
  <conditionalFormatting sqref="I49">
    <cfRule type="expression" dxfId="536" priority="96">
      <formula>ISTEXT($I$49)</formula>
    </cfRule>
  </conditionalFormatting>
  <conditionalFormatting sqref="I50:I60">
    <cfRule type="expression" dxfId="535" priority="95">
      <formula>ISTEXT($I$50)</formula>
    </cfRule>
  </conditionalFormatting>
  <conditionalFormatting sqref="I65">
    <cfRule type="expression" dxfId="534" priority="94">
      <formula>ISTEXT($I$65)</formula>
    </cfRule>
  </conditionalFormatting>
  <conditionalFormatting sqref="I66">
    <cfRule type="expression" dxfId="533" priority="93">
      <formula>ISTEXT($I$66)</formula>
    </cfRule>
  </conditionalFormatting>
  <conditionalFormatting sqref="I67">
    <cfRule type="expression" dxfId="532" priority="92">
      <formula>ISTEXT($I$67)</formula>
    </cfRule>
  </conditionalFormatting>
  <conditionalFormatting sqref="I68">
    <cfRule type="expression" dxfId="531" priority="91">
      <formula>ISTEXT($I$68)</formula>
    </cfRule>
  </conditionalFormatting>
  <conditionalFormatting sqref="I69">
    <cfRule type="expression" dxfId="530" priority="90">
      <formula>ISTEXT($I$69)</formula>
    </cfRule>
  </conditionalFormatting>
  <conditionalFormatting sqref="I70:I80">
    <cfRule type="expression" dxfId="529" priority="89">
      <formula>ISTEXT($I$70)</formula>
    </cfRule>
  </conditionalFormatting>
  <conditionalFormatting sqref="I85">
    <cfRule type="expression" dxfId="528" priority="88">
      <formula>ISTEXT($I$85)</formula>
    </cfRule>
  </conditionalFormatting>
  <conditionalFormatting sqref="I86">
    <cfRule type="expression" dxfId="527" priority="87">
      <formula>ISTEXT($I$86)</formula>
    </cfRule>
  </conditionalFormatting>
  <conditionalFormatting sqref="I87">
    <cfRule type="expression" dxfId="526" priority="86">
      <formula>ISTEXT($I$87)</formula>
    </cfRule>
  </conditionalFormatting>
  <conditionalFormatting sqref="I88">
    <cfRule type="expression" dxfId="525" priority="85">
      <formula>ISTEXT($I$88)</formula>
    </cfRule>
  </conditionalFormatting>
  <conditionalFormatting sqref="I89">
    <cfRule type="expression" dxfId="524" priority="84">
      <formula>ISTEXT($I$89)</formula>
    </cfRule>
  </conditionalFormatting>
  <conditionalFormatting sqref="I90:I100">
    <cfRule type="expression" dxfId="523" priority="83">
      <formula>ISTEXT($I$90)</formula>
    </cfRule>
  </conditionalFormatting>
  <conditionalFormatting sqref="I105">
    <cfRule type="expression" dxfId="522" priority="82">
      <formula>ISTEXT($I$105)</formula>
    </cfRule>
  </conditionalFormatting>
  <conditionalFormatting sqref="I106">
    <cfRule type="expression" dxfId="521" priority="81">
      <formula>ISTEXT($I$106)</formula>
    </cfRule>
  </conditionalFormatting>
  <conditionalFormatting sqref="I107">
    <cfRule type="expression" dxfId="520" priority="80">
      <formula>ISTEXT($I$107)</formula>
    </cfRule>
  </conditionalFormatting>
  <conditionalFormatting sqref="I108">
    <cfRule type="expression" dxfId="519" priority="79">
      <formula>ISTEXT($I$108)</formula>
    </cfRule>
  </conditionalFormatting>
  <conditionalFormatting sqref="I109">
    <cfRule type="expression" dxfId="518" priority="78">
      <formula>ISTEXT($I$109)</formula>
    </cfRule>
  </conditionalFormatting>
  <conditionalFormatting sqref="I110:I120">
    <cfRule type="expression" dxfId="517" priority="77">
      <formula>ISTEXT($I$110)</formula>
    </cfRule>
  </conditionalFormatting>
  <conditionalFormatting sqref="I125">
    <cfRule type="expression" dxfId="516" priority="76">
      <formula>ISTEXT($I$125)</formula>
    </cfRule>
  </conditionalFormatting>
  <conditionalFormatting sqref="I126">
    <cfRule type="expression" dxfId="515" priority="75">
      <formula>ISTEXT($I$126)</formula>
    </cfRule>
  </conditionalFormatting>
  <conditionalFormatting sqref="I127">
    <cfRule type="expression" dxfId="514" priority="74">
      <formula>ISTEXT($I$127)</formula>
    </cfRule>
  </conditionalFormatting>
  <conditionalFormatting sqref="I128">
    <cfRule type="expression" dxfId="513" priority="73">
      <formula>ISTEXT($I$128)</formula>
    </cfRule>
  </conditionalFormatting>
  <conditionalFormatting sqref="I129">
    <cfRule type="expression" dxfId="512" priority="72">
      <formula>ISTEXT($I$129)</formula>
    </cfRule>
  </conditionalFormatting>
  <conditionalFormatting sqref="I130:I140">
    <cfRule type="expression" dxfId="511" priority="71">
      <formula>ISTEXT($I$130)</formula>
    </cfRule>
  </conditionalFormatting>
  <conditionalFormatting sqref="I145">
    <cfRule type="expression" dxfId="510" priority="70">
      <formula>ISTEXT($I$145)</formula>
    </cfRule>
  </conditionalFormatting>
  <conditionalFormatting sqref="I146">
    <cfRule type="expression" dxfId="509" priority="69">
      <formula>ISTEXT($I$146)</formula>
    </cfRule>
  </conditionalFormatting>
  <conditionalFormatting sqref="I147">
    <cfRule type="expression" dxfId="508" priority="68">
      <formula>ISTEXT($I$147)</formula>
    </cfRule>
  </conditionalFormatting>
  <conditionalFormatting sqref="I148">
    <cfRule type="expression" dxfId="507" priority="67">
      <formula>ISTEXT($I$148)</formula>
    </cfRule>
  </conditionalFormatting>
  <conditionalFormatting sqref="I149">
    <cfRule type="expression" dxfId="506" priority="66">
      <formula>ISTEXT($I$149)</formula>
    </cfRule>
  </conditionalFormatting>
  <conditionalFormatting sqref="I150:I160">
    <cfRule type="expression" dxfId="505" priority="65">
      <formula>ISTEXT($I$150)</formula>
    </cfRule>
  </conditionalFormatting>
  <conditionalFormatting sqref="AA3">
    <cfRule type="expression" dxfId="504" priority="64">
      <formula>ISTEXT($AA$3)</formula>
    </cfRule>
  </conditionalFormatting>
  <conditionalFormatting sqref="AB3">
    <cfRule type="expression" dxfId="503" priority="63">
      <formula>ISTEXT($AB$3)</formula>
    </cfRule>
  </conditionalFormatting>
  <conditionalFormatting sqref="AC3">
    <cfRule type="expression" dxfId="502" priority="62">
      <formula>ISTEXT($AC$3)</formula>
    </cfRule>
  </conditionalFormatting>
  <conditionalFormatting sqref="AD3">
    <cfRule type="expression" dxfId="501" priority="61">
      <formula>ISTEXT($AD$3)</formula>
    </cfRule>
  </conditionalFormatting>
  <conditionalFormatting sqref="AA4">
    <cfRule type="expression" dxfId="500" priority="60">
      <formula>ISTEXT($AA$4)</formula>
    </cfRule>
  </conditionalFormatting>
  <conditionalFormatting sqref="AB4">
    <cfRule type="expression" dxfId="499" priority="59">
      <formula>ISTEXT($AB$4)</formula>
    </cfRule>
  </conditionalFormatting>
  <conditionalFormatting sqref="AC4">
    <cfRule type="expression" dxfId="498" priority="58">
      <formula>ISTEXT($AC$4)</formula>
    </cfRule>
  </conditionalFormatting>
  <conditionalFormatting sqref="AD4">
    <cfRule type="expression" dxfId="497" priority="57">
      <formula>ISTEXT($AD$4)</formula>
    </cfRule>
  </conditionalFormatting>
  <conditionalFormatting sqref="AA23">
    <cfRule type="expression" dxfId="496" priority="56">
      <formula>ISTEXT($AA$23)</formula>
    </cfRule>
  </conditionalFormatting>
  <conditionalFormatting sqref="AB23">
    <cfRule type="expression" dxfId="495" priority="55">
      <formula>ISTEXT($AB$23)</formula>
    </cfRule>
  </conditionalFormatting>
  <conditionalFormatting sqref="AC23">
    <cfRule type="expression" dxfId="494" priority="54">
      <formula>ISTEXT($AC$23)</formula>
    </cfRule>
  </conditionalFormatting>
  <conditionalFormatting sqref="AD23">
    <cfRule type="expression" dxfId="493" priority="53">
      <formula>ISTEXT($AD$23)</formula>
    </cfRule>
  </conditionalFormatting>
  <conditionalFormatting sqref="AA24">
    <cfRule type="expression" dxfId="492" priority="52">
      <formula>ISTEXT($AA$24)</formula>
    </cfRule>
  </conditionalFormatting>
  <conditionalFormatting sqref="AB24">
    <cfRule type="expression" dxfId="491" priority="51">
      <formula>ISTEXT($AB$24)</formula>
    </cfRule>
  </conditionalFormatting>
  <conditionalFormatting sqref="AC24">
    <cfRule type="expression" dxfId="490" priority="50">
      <formula>ISTEXT($AC$24)</formula>
    </cfRule>
  </conditionalFormatting>
  <conditionalFormatting sqref="AD24">
    <cfRule type="expression" dxfId="489" priority="49">
      <formula>ISTEXT($AD$24)</formula>
    </cfRule>
  </conditionalFormatting>
  <conditionalFormatting sqref="AA43">
    <cfRule type="expression" dxfId="488" priority="48">
      <formula>ISTEXT($AA$43)</formula>
    </cfRule>
  </conditionalFormatting>
  <conditionalFormatting sqref="AB43">
    <cfRule type="expression" dxfId="487" priority="47">
      <formula>ISTEXT($AB$43)</formula>
    </cfRule>
  </conditionalFormatting>
  <conditionalFormatting sqref="AC43">
    <cfRule type="expression" dxfId="486" priority="46">
      <formula>ISTEXT($AC$43)</formula>
    </cfRule>
  </conditionalFormatting>
  <conditionalFormatting sqref="AD43">
    <cfRule type="expression" dxfId="485" priority="45">
      <formula>ISTEXT($AD$43)</formula>
    </cfRule>
  </conditionalFormatting>
  <conditionalFormatting sqref="AA44">
    <cfRule type="expression" dxfId="484" priority="44">
      <formula>ISTEXT($AA$44)</formula>
    </cfRule>
  </conditionalFormatting>
  <conditionalFormatting sqref="AB44">
    <cfRule type="expression" dxfId="483" priority="43">
      <formula>ISTEXT($AB$44)</formula>
    </cfRule>
  </conditionalFormatting>
  <conditionalFormatting sqref="AC44">
    <cfRule type="expression" dxfId="482" priority="42">
      <formula>ISTEXT($AC$44)</formula>
    </cfRule>
  </conditionalFormatting>
  <conditionalFormatting sqref="AD44">
    <cfRule type="expression" dxfId="481" priority="41">
      <formula>ISTEXT($AD$44)</formula>
    </cfRule>
  </conditionalFormatting>
  <conditionalFormatting sqref="AA63">
    <cfRule type="expression" dxfId="480" priority="40">
      <formula>ISTEXT($AA$63)</formula>
    </cfRule>
  </conditionalFormatting>
  <conditionalFormatting sqref="AB63">
    <cfRule type="expression" dxfId="479" priority="39">
      <formula>ISTEXT($AB$63)</formula>
    </cfRule>
  </conditionalFormatting>
  <conditionalFormatting sqref="AC63">
    <cfRule type="expression" dxfId="478" priority="38">
      <formula>ISTEXT($AC$63)</formula>
    </cfRule>
  </conditionalFormatting>
  <conditionalFormatting sqref="AD63">
    <cfRule type="expression" dxfId="477" priority="37">
      <formula>ISTEXT($AD$63)</formula>
    </cfRule>
  </conditionalFormatting>
  <conditionalFormatting sqref="AA64">
    <cfRule type="expression" dxfId="476" priority="36">
      <formula>ISTEXT($AA$64)</formula>
    </cfRule>
  </conditionalFormatting>
  <conditionalFormatting sqref="AB64">
    <cfRule type="expression" dxfId="475" priority="35">
      <formula>ISTEXT($AB$64)</formula>
    </cfRule>
  </conditionalFormatting>
  <conditionalFormatting sqref="AC64">
    <cfRule type="expression" dxfId="474" priority="34">
      <formula>ISTEXT($AC$64)</formula>
    </cfRule>
  </conditionalFormatting>
  <conditionalFormatting sqref="AD64">
    <cfRule type="expression" dxfId="473" priority="33">
      <formula>ISTEXT($AD$64)</formula>
    </cfRule>
  </conditionalFormatting>
  <conditionalFormatting sqref="AA83">
    <cfRule type="expression" dxfId="472" priority="32">
      <formula>ISTEXT($AA$83)</formula>
    </cfRule>
  </conditionalFormatting>
  <conditionalFormatting sqref="AB83">
    <cfRule type="expression" dxfId="471" priority="31">
      <formula>ISTEXT($AB$83)</formula>
    </cfRule>
  </conditionalFormatting>
  <conditionalFormatting sqref="AC83">
    <cfRule type="expression" dxfId="470" priority="30">
      <formula>ISTEXT($AC$83)</formula>
    </cfRule>
  </conditionalFormatting>
  <conditionalFormatting sqref="AD83">
    <cfRule type="expression" dxfId="469" priority="29">
      <formula>ISTEXT($AD$83)</formula>
    </cfRule>
  </conditionalFormatting>
  <conditionalFormatting sqref="AA84">
    <cfRule type="expression" dxfId="468" priority="28">
      <formula>ISTEXT($AA$84)</formula>
    </cfRule>
  </conditionalFormatting>
  <conditionalFormatting sqref="AB84">
    <cfRule type="expression" dxfId="467" priority="27">
      <formula>ISTEXT($AB$84)</formula>
    </cfRule>
  </conditionalFormatting>
  <conditionalFormatting sqref="AC84">
    <cfRule type="expression" dxfId="466" priority="26">
      <formula>ISTEXT($AC$84)</formula>
    </cfRule>
  </conditionalFormatting>
  <conditionalFormatting sqref="AD84">
    <cfRule type="expression" dxfId="465" priority="25">
      <formula>ISTEXT($AD$84)</formula>
    </cfRule>
  </conditionalFormatting>
  <conditionalFormatting sqref="AA103">
    <cfRule type="expression" dxfId="464" priority="24">
      <formula>ISTEXT($AA$103)</formula>
    </cfRule>
  </conditionalFormatting>
  <conditionalFormatting sqref="AB103">
    <cfRule type="expression" dxfId="463" priority="23">
      <formula>ISTEXT($AB$103)</formula>
    </cfRule>
  </conditionalFormatting>
  <conditionalFormatting sqref="AC103">
    <cfRule type="expression" dxfId="462" priority="22">
      <formula>ISTEXT($AC$103)</formula>
    </cfRule>
  </conditionalFormatting>
  <conditionalFormatting sqref="AD103">
    <cfRule type="expression" dxfId="461" priority="21">
      <formula>ISTEXT($AD$103)</formula>
    </cfRule>
  </conditionalFormatting>
  <conditionalFormatting sqref="AA104">
    <cfRule type="expression" dxfId="460" priority="20">
      <formula>ISTEXT($AA$104)</formula>
    </cfRule>
  </conditionalFormatting>
  <conditionalFormatting sqref="AB104">
    <cfRule type="expression" dxfId="459" priority="19">
      <formula>ISTEXT($AB$104)</formula>
    </cfRule>
  </conditionalFormatting>
  <conditionalFormatting sqref="AC104">
    <cfRule type="expression" dxfId="458" priority="18">
      <formula>ISTEXT($AC$104)</formula>
    </cfRule>
  </conditionalFormatting>
  <conditionalFormatting sqref="AD104">
    <cfRule type="expression" dxfId="457" priority="17">
      <formula>ISTEXT($AD$104)</formula>
    </cfRule>
  </conditionalFormatting>
  <conditionalFormatting sqref="AA123">
    <cfRule type="expression" dxfId="456" priority="16">
      <formula>ISTEXT($AA$123)</formula>
    </cfRule>
  </conditionalFormatting>
  <conditionalFormatting sqref="AB123">
    <cfRule type="expression" dxfId="455" priority="15">
      <formula>ISTEXT($AB$123)</formula>
    </cfRule>
  </conditionalFormatting>
  <conditionalFormatting sqref="AC123">
    <cfRule type="expression" dxfId="454" priority="14">
      <formula>ISTEXT($AC$123)</formula>
    </cfRule>
  </conditionalFormatting>
  <conditionalFormatting sqref="AD123">
    <cfRule type="expression" dxfId="453" priority="13">
      <formula>ISTEXT($AD$123)</formula>
    </cfRule>
  </conditionalFormatting>
  <conditionalFormatting sqref="AA124">
    <cfRule type="expression" dxfId="452" priority="12">
      <formula>ISTEXT($AA$124)</formula>
    </cfRule>
  </conditionalFormatting>
  <conditionalFormatting sqref="AB124">
    <cfRule type="expression" dxfId="451" priority="11">
      <formula>ISTEXT($AB$124)</formula>
    </cfRule>
  </conditionalFormatting>
  <conditionalFormatting sqref="AC124">
    <cfRule type="expression" dxfId="450" priority="10">
      <formula>ISTEXT($AC$124)</formula>
    </cfRule>
  </conditionalFormatting>
  <conditionalFormatting sqref="AD124">
    <cfRule type="expression" dxfId="449" priority="9">
      <formula>ISTEXT($AD$124)</formula>
    </cfRule>
  </conditionalFormatting>
  <conditionalFormatting sqref="AA143">
    <cfRule type="expression" dxfId="448" priority="8">
      <formula>ISTEXT($AA$143)</formula>
    </cfRule>
  </conditionalFormatting>
  <conditionalFormatting sqref="AB143">
    <cfRule type="expression" dxfId="447" priority="7">
      <formula>ISTEXT($AB$143)</formula>
    </cfRule>
  </conditionalFormatting>
  <conditionalFormatting sqref="AC143">
    <cfRule type="expression" dxfId="446" priority="6">
      <formula>ISTEXT($AC$143)</formula>
    </cfRule>
  </conditionalFormatting>
  <conditionalFormatting sqref="AD143">
    <cfRule type="expression" dxfId="445" priority="5">
      <formula>ISTEXT($AD$143)</formula>
    </cfRule>
  </conditionalFormatting>
  <conditionalFormatting sqref="AA144">
    <cfRule type="expression" dxfId="444" priority="4">
      <formula>ISTEXT($AA$144)</formula>
    </cfRule>
  </conditionalFormatting>
  <conditionalFormatting sqref="AB144">
    <cfRule type="expression" dxfId="443" priority="3">
      <formula>ISTEXT($AB$144)</formula>
    </cfRule>
  </conditionalFormatting>
  <conditionalFormatting sqref="AC144">
    <cfRule type="expression" dxfId="442" priority="2">
      <formula>ISTEXT($AC$144)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2"/>
  <sheetViews>
    <sheetView topLeftCell="F138" workbookViewId="0">
      <selection activeCell="Y138" sqref="T1:Y1048576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1.42578125" style="51" bestFit="1" customWidth="1"/>
    <col min="5" max="5" width="10.7109375" style="51" bestFit="1" customWidth="1"/>
    <col min="6" max="6" width="8.7109375" style="51" customWidth="1"/>
    <col min="7" max="7" width="12.5703125" style="51" bestFit="1" customWidth="1"/>
    <col min="8" max="8" width="11.7109375" style="51" bestFit="1" customWidth="1"/>
    <col min="9" max="9" width="14.85546875" style="51" bestFit="1" customWidth="1"/>
    <col min="10" max="10" width="8.7109375" style="8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8" bestFit="1" customWidth="1"/>
    <col min="27" max="29" width="21" style="8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36" t="s">
        <v>3</v>
      </c>
      <c r="E1" s="36" t="s">
        <v>4</v>
      </c>
      <c r="F1" s="36" t="s">
        <v>5</v>
      </c>
      <c r="G1" s="37" t="s">
        <v>40</v>
      </c>
      <c r="H1" s="37" t="s">
        <v>41</v>
      </c>
      <c r="I1" s="37" t="s">
        <v>42</v>
      </c>
      <c r="J1" s="7"/>
      <c r="K1" s="5"/>
      <c r="R1" s="6" t="s">
        <v>44</v>
      </c>
      <c r="Z1" s="19" t="s">
        <v>43</v>
      </c>
    </row>
    <row r="2" spans="1:30" ht="16.5" thickTop="1" thickBot="1" x14ac:dyDescent="0.3">
      <c r="A2" s="32" t="s">
        <v>6</v>
      </c>
      <c r="B2" s="32" t="s">
        <v>61</v>
      </c>
      <c r="C2" s="32" t="s">
        <v>7</v>
      </c>
      <c r="D2" s="38">
        <v>3.556</v>
      </c>
      <c r="E2" s="38">
        <v>37229.300999999999</v>
      </c>
      <c r="F2" s="38">
        <v>9.5516199999999999E-5</v>
      </c>
      <c r="G2" s="38"/>
      <c r="H2" s="38"/>
      <c r="I2" s="38"/>
      <c r="J2" s="34"/>
      <c r="K2" s="32"/>
      <c r="L2" s="32"/>
      <c r="M2" s="32"/>
      <c r="N2" s="32"/>
      <c r="O2" s="32"/>
      <c r="P2" s="32"/>
      <c r="Q2" s="32"/>
      <c r="R2" s="32" t="s">
        <v>62</v>
      </c>
      <c r="S2" s="32"/>
      <c r="T2" s="32">
        <v>1</v>
      </c>
      <c r="U2" s="32"/>
      <c r="V2" s="32"/>
      <c r="W2" s="32"/>
      <c r="X2" s="32"/>
      <c r="Y2" s="32"/>
      <c r="Z2" s="9" t="s">
        <v>45</v>
      </c>
      <c r="AA2" s="9" t="s">
        <v>47</v>
      </c>
      <c r="AB2" s="9" t="s">
        <v>48</v>
      </c>
      <c r="AC2" s="9" t="s">
        <v>49</v>
      </c>
      <c r="AD2" s="9" t="s">
        <v>50</v>
      </c>
    </row>
    <row r="3" spans="1:30" ht="15.75" thickTop="1" x14ac:dyDescent="0.25">
      <c r="A3" s="33" t="s">
        <v>8</v>
      </c>
      <c r="B3" s="33" t="s">
        <v>61</v>
      </c>
      <c r="C3" s="33" t="s">
        <v>7</v>
      </c>
      <c r="D3" s="39">
        <v>3.085</v>
      </c>
      <c r="E3" s="39">
        <v>37141.370999999999</v>
      </c>
      <c r="F3" s="39">
        <v>8.3060999999999996E-5</v>
      </c>
      <c r="G3" s="39"/>
      <c r="H3" s="39"/>
      <c r="I3" s="39"/>
      <c r="J3" s="35"/>
      <c r="K3" s="33"/>
      <c r="L3" s="33"/>
      <c r="M3" s="33"/>
      <c r="N3" s="33"/>
      <c r="O3" s="33"/>
      <c r="P3" s="33"/>
      <c r="Q3" s="33"/>
      <c r="R3" s="33" t="s">
        <v>45</v>
      </c>
      <c r="S3" s="33"/>
      <c r="T3" s="33">
        <v>5</v>
      </c>
      <c r="U3" s="33"/>
      <c r="V3" s="33"/>
      <c r="W3" s="33"/>
      <c r="X3" s="33"/>
      <c r="Y3" s="33"/>
      <c r="Z3" s="10">
        <f>$H$5</f>
        <v>120</v>
      </c>
      <c r="AA3" s="49">
        <f>IF(ISTEXT($I$5),TEXT($G$5/100,"0.00%"),$G$5 / 100)</f>
        <v>1.1811076755341949</v>
      </c>
      <c r="AB3" s="49">
        <f>IF(ISTEXT($I$6),TEXT($G$6/100,"0.00%"),$G$6 / 100)</f>
        <v>1.0140272122325904</v>
      </c>
      <c r="AC3" s="49">
        <f>IF(ISTEXT($I$7),TEXT($G$7/100,"0.00%"),$G$7 / 100)</f>
        <v>1.0825065374672236</v>
      </c>
      <c r="AD3" s="49">
        <f>IFERROR(AVERAGE($AA$3:$AC$3),"")</f>
        <v>1.0925471417446697</v>
      </c>
    </row>
    <row r="4" spans="1:30" x14ac:dyDescent="0.25">
      <c r="A4" s="32" t="s">
        <v>9</v>
      </c>
      <c r="B4" s="32" t="s">
        <v>61</v>
      </c>
      <c r="C4" s="32" t="s">
        <v>7</v>
      </c>
      <c r="D4" s="38">
        <v>3.823</v>
      </c>
      <c r="E4" s="38">
        <v>36262.148000000001</v>
      </c>
      <c r="F4" s="38">
        <v>1.0542700000000001E-4</v>
      </c>
      <c r="G4" s="38"/>
      <c r="H4" s="38"/>
      <c r="I4" s="38"/>
      <c r="J4" s="34"/>
      <c r="K4" s="32"/>
      <c r="L4" s="32"/>
      <c r="M4" s="32"/>
      <c r="N4" s="32"/>
      <c r="O4" s="32"/>
      <c r="P4" s="32"/>
      <c r="Q4" s="32"/>
      <c r="R4" s="32" t="s">
        <v>46</v>
      </c>
      <c r="S4" s="32"/>
      <c r="T4" s="32">
        <v>19</v>
      </c>
      <c r="U4" s="32"/>
      <c r="V4" s="32"/>
      <c r="W4" s="32"/>
      <c r="X4" s="32"/>
      <c r="Y4" s="32"/>
      <c r="Z4" s="10">
        <f>$H$8</f>
        <v>60</v>
      </c>
      <c r="AA4" s="49">
        <f>IF(ISTEXT($I$8),TEXT($G$8/100,"0.00%"),$G$8 / 100)</f>
        <v>1.1076692995918846</v>
      </c>
      <c r="AB4" s="49">
        <f>IF(ISTEXT($I$9),TEXT($G$9/100,"0.00%"),$G$9 / 100)</f>
        <v>1.0131810986676688</v>
      </c>
      <c r="AC4" s="11">
        <f>IF(ISTEXT($I$10),TEXT($G$10/100,"0.00%"),$G$10 / 100)</f>
        <v>0.99570899042777639</v>
      </c>
      <c r="AD4" s="49">
        <f>IFERROR(AVERAGE($AA$4:$AC$4),"")</f>
        <v>1.0388531295624432</v>
      </c>
    </row>
    <row r="5" spans="1:30" x14ac:dyDescent="0.25">
      <c r="A5" s="33" t="s">
        <v>209</v>
      </c>
      <c r="B5" s="33" t="s">
        <v>61</v>
      </c>
      <c r="C5" s="33" t="s">
        <v>7</v>
      </c>
      <c r="D5" s="39">
        <v>65552.047000000006</v>
      </c>
      <c r="E5" s="39">
        <v>28574.391</v>
      </c>
      <c r="F5" s="39">
        <v>2.294083783</v>
      </c>
      <c r="G5" s="39">
        <f>($F$5 -  AVERAGE($F$2,$F$3,$F$4) ) / ($F$17 -  AVERAGE($F$2,$F$3,$F$4) ) * 100</f>
        <v>118.11076755341949</v>
      </c>
      <c r="H5" s="39">
        <v>120</v>
      </c>
      <c r="I5" s="40">
        <f>LN($G$5)</f>
        <v>4.7716228922345891</v>
      </c>
      <c r="J5" s="35"/>
      <c r="K5" s="33"/>
      <c r="L5" s="33"/>
      <c r="M5" s="33"/>
      <c r="N5" s="33"/>
      <c r="O5" s="33"/>
      <c r="P5" s="33"/>
      <c r="Q5" s="33"/>
      <c r="R5" s="33"/>
      <c r="S5" s="33"/>
      <c r="T5" s="33"/>
      <c r="U5" s="33">
        <f>IF(ISTEXT($I$5),"",1)</f>
        <v>1</v>
      </c>
      <c r="V5" s="33">
        <f t="shared" ref="V5:V19" si="0">IFERROR(INDEX($H$5:$H$19,SMALL($U$5:$U$19,ROW(W1)),1),"")</f>
        <v>120</v>
      </c>
      <c r="W5" s="33">
        <f t="shared" ref="W5:W19" si="1">IFERROR(INDEX($I$5:$I$19,SMALL($U$5:$U$19,ROW(I1)),1),"")</f>
        <v>4.7716228922345891</v>
      </c>
      <c r="X5" s="33"/>
      <c r="Y5" s="33"/>
      <c r="Z5" s="10">
        <f>$H$11</f>
        <v>30</v>
      </c>
      <c r="AA5" s="11">
        <f>IF(ISTEXT($I$11),TEXT($G$11/100,"0.00%"),$G$11 / 100)</f>
        <v>0.99964064551227372</v>
      </c>
      <c r="AB5" s="11">
        <f>IF(ISTEXT($I$12),TEXT($G$12/100,"0.00%"),$G$12 / 100)</f>
        <v>0.82595851059078484</v>
      </c>
      <c r="AC5" s="49">
        <f>IF(ISTEXT($I$13),TEXT($G$13/100,"0.00%"),$G$13 / 100)</f>
        <v>1.0676849843277783</v>
      </c>
      <c r="AD5" s="11">
        <f>IFERROR(AVERAGE($AA$5:$AC$5),"")</f>
        <v>0.96442804681027894</v>
      </c>
    </row>
    <row r="6" spans="1:30" x14ac:dyDescent="0.25">
      <c r="A6" s="32" t="s">
        <v>210</v>
      </c>
      <c r="B6" s="32" t="s">
        <v>61</v>
      </c>
      <c r="C6" s="32" t="s">
        <v>7</v>
      </c>
      <c r="D6" s="38">
        <v>71674.414000000004</v>
      </c>
      <c r="E6" s="38">
        <v>29937.096000000001</v>
      </c>
      <c r="F6" s="38">
        <v>2.3941672230000002</v>
      </c>
      <c r="G6" s="38">
        <f>($F$6 -  AVERAGE($F$2,$F$3,$F$4) ) / ($F$18 -  AVERAGE($F$2,$F$3,$F$4) ) * 100</f>
        <v>101.40272122325904</v>
      </c>
      <c r="H6" s="38">
        <v>120</v>
      </c>
      <c r="I6" s="41">
        <f>LN($G$6)</f>
        <v>4.619099927318282</v>
      </c>
      <c r="J6" s="34"/>
      <c r="K6" s="32"/>
      <c r="L6" s="32"/>
      <c r="M6" s="32"/>
      <c r="N6" s="32"/>
      <c r="O6" s="32"/>
      <c r="P6" s="32"/>
      <c r="Q6" s="32"/>
      <c r="R6" s="32"/>
      <c r="S6" s="32"/>
      <c r="T6" s="32"/>
      <c r="U6" s="32">
        <f>IF(ISTEXT($I$6),"",2)</f>
        <v>2</v>
      </c>
      <c r="V6" s="32">
        <f t="shared" si="0"/>
        <v>120</v>
      </c>
      <c r="W6" s="32">
        <f t="shared" si="1"/>
        <v>4.619099927318282</v>
      </c>
      <c r="X6" s="32"/>
      <c r="Y6" s="32"/>
      <c r="Z6" s="10">
        <f>$H$14</f>
        <v>15</v>
      </c>
      <c r="AA6" s="49">
        <f>IF(ISTEXT($I$14),TEXT($G$14/100,"0.00%"),$G$14 / 100)</f>
        <v>1.0552909416178413</v>
      </c>
      <c r="AB6" s="49">
        <f>IF(ISTEXT($I$15),TEXT($G$15/100,"0.00%"),$G$15 / 100)</f>
        <v>1.0682574124319406</v>
      </c>
      <c r="AC6" s="11">
        <f>IF(ISTEXT($I$16),TEXT($G$16/100,"0.00%"),$G$16 / 100)</f>
        <v>0.87212980467670287</v>
      </c>
      <c r="AD6" s="11">
        <f>IFERROR(AVERAGE($AA$6:$AC$6),"")</f>
        <v>0.99855938624216156</v>
      </c>
    </row>
    <row r="7" spans="1:30" ht="15.75" thickBot="1" x14ac:dyDescent="0.3">
      <c r="A7" s="33" t="s">
        <v>211</v>
      </c>
      <c r="B7" s="33" t="s">
        <v>61</v>
      </c>
      <c r="C7" s="33" t="s">
        <v>7</v>
      </c>
      <c r="D7" s="39">
        <v>70027.25</v>
      </c>
      <c r="E7" s="39">
        <v>30204.155999999999</v>
      </c>
      <c r="F7" s="39">
        <v>2.3184640550000002</v>
      </c>
      <c r="G7" s="39">
        <f>($F$7 -  AVERAGE($F$2,$F$3,$F$4) ) / ($F$19 -  AVERAGE($F$2,$F$3,$F$4) ) * 100</f>
        <v>108.25065374672236</v>
      </c>
      <c r="H7" s="39">
        <v>120</v>
      </c>
      <c r="I7" s="40">
        <f>LN($G$7)</f>
        <v>4.6844494060950543</v>
      </c>
      <c r="J7" s="35"/>
      <c r="K7" s="33"/>
      <c r="L7" s="33"/>
      <c r="M7" s="33"/>
      <c r="N7" s="33"/>
      <c r="O7" s="33"/>
      <c r="P7" s="33"/>
      <c r="Q7" s="33"/>
      <c r="R7" s="33"/>
      <c r="S7" s="33"/>
      <c r="T7" s="33"/>
      <c r="U7" s="33">
        <f>IF(ISTEXT($I$7),"",3)</f>
        <v>3</v>
      </c>
      <c r="V7" s="33">
        <f t="shared" si="0"/>
        <v>120</v>
      </c>
      <c r="W7" s="33">
        <f t="shared" si="1"/>
        <v>4.6844494060950543</v>
      </c>
      <c r="X7" s="33"/>
      <c r="Y7" s="33"/>
      <c r="Z7" s="12">
        <f>$H$17</f>
        <v>0</v>
      </c>
      <c r="AA7" s="13">
        <f>IF(ISTEXT($I$17),TEXT($G$17/100,"0.00%"),$G$17 / 100)</f>
        <v>1</v>
      </c>
      <c r="AB7" s="13">
        <f>IF(ISTEXT($I$18),TEXT($G$18/100,"0.00%"),$G$18 / 100)</f>
        <v>1</v>
      </c>
      <c r="AC7" s="13">
        <f>IF(ISTEXT($I$19),TEXT($G$19/100,"0.00%"),$G$19 / 100)</f>
        <v>1</v>
      </c>
      <c r="AD7" s="13">
        <f>IFERROR(AVERAGE($AA$7:$AC$7),"")</f>
        <v>1</v>
      </c>
    </row>
    <row r="8" spans="1:30" ht="16.5" thickTop="1" thickBot="1" x14ac:dyDescent="0.3">
      <c r="A8" s="32" t="s">
        <v>212</v>
      </c>
      <c r="B8" s="32" t="s">
        <v>61</v>
      </c>
      <c r="C8" s="32" t="s">
        <v>7</v>
      </c>
      <c r="D8" s="38">
        <v>67915.733999999997</v>
      </c>
      <c r="E8" s="38">
        <v>31567.436000000002</v>
      </c>
      <c r="F8" s="38">
        <v>2.1514491709999999</v>
      </c>
      <c r="G8" s="38">
        <f>($F$8 -  AVERAGE($F$2,$F$3,$F$4) ) / ($F$17 -  AVERAGE($F$2,$F$3,$F$4) ) * 100</f>
        <v>110.76692995918846</v>
      </c>
      <c r="H8" s="38">
        <v>60</v>
      </c>
      <c r="I8" s="41">
        <f>LN($G$8)</f>
        <v>4.7074282636910141</v>
      </c>
      <c r="J8" s="34"/>
      <c r="K8" s="32"/>
      <c r="L8" s="32"/>
      <c r="M8" s="32"/>
      <c r="N8" s="32"/>
      <c r="O8" s="32"/>
      <c r="P8" s="32"/>
      <c r="Q8" s="32"/>
      <c r="R8" s="32"/>
      <c r="S8" s="32"/>
      <c r="T8" s="32"/>
      <c r="U8" s="32">
        <f>IF(ISTEXT($I$8),"",4)</f>
        <v>4</v>
      </c>
      <c r="V8" s="32">
        <f t="shared" si="0"/>
        <v>60</v>
      </c>
      <c r="W8" s="32">
        <f t="shared" si="1"/>
        <v>4.7074282636910141</v>
      </c>
      <c r="X8" s="32"/>
      <c r="Y8" s="32"/>
    </row>
    <row r="9" spans="1:30" x14ac:dyDescent="0.25">
      <c r="A9" s="33" t="s">
        <v>213</v>
      </c>
      <c r="B9" s="33" t="s">
        <v>61</v>
      </c>
      <c r="C9" s="33" t="s">
        <v>7</v>
      </c>
      <c r="D9" s="39">
        <v>64490.042999999998</v>
      </c>
      <c r="E9" s="39">
        <v>26958.809000000001</v>
      </c>
      <c r="F9" s="39">
        <v>2.3921695870000002</v>
      </c>
      <c r="G9" s="39">
        <f>($F$9 -  AVERAGE($F$2,$F$3,$F$4) ) / ($F$18 -  AVERAGE($F$2,$F$3,$F$4) ) * 100</f>
        <v>101.31810986676687</v>
      </c>
      <c r="H9" s="39">
        <v>60</v>
      </c>
      <c r="I9" s="40">
        <f>LN($G$9)</f>
        <v>4.6182651698742596</v>
      </c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3">
        <f>IF(ISTEXT($I$9),"",5)</f>
        <v>5</v>
      </c>
      <c r="V9" s="33">
        <f t="shared" si="0"/>
        <v>60</v>
      </c>
      <c r="W9" s="33">
        <f t="shared" si="1"/>
        <v>4.6182651698742596</v>
      </c>
      <c r="X9" s="33"/>
      <c r="Y9" s="33"/>
      <c r="Z9" s="20" t="s">
        <v>51</v>
      </c>
      <c r="AA9" s="21">
        <f>IFERROR(SLOPE($W$5:$W$19,$V$5:$V$19),"")</f>
        <v>8.7187895261072942E-4</v>
      </c>
    </row>
    <row r="10" spans="1:30" x14ac:dyDescent="0.25">
      <c r="A10" s="32" t="s">
        <v>214</v>
      </c>
      <c r="B10" s="32" t="s">
        <v>61</v>
      </c>
      <c r="C10" s="32" t="s">
        <v>7</v>
      </c>
      <c r="D10" s="38">
        <v>65779.937999999995</v>
      </c>
      <c r="E10" s="38">
        <v>30845.346000000001</v>
      </c>
      <c r="F10" s="38">
        <v>2.1325725439999998</v>
      </c>
      <c r="G10" s="38">
        <f>($F$10 -  AVERAGE($F$2,$F$3,$F$4) ) / ($F$19 -  AVERAGE($F$2,$F$3,$F$4) ) * 100</f>
        <v>99.57089904277764</v>
      </c>
      <c r="H10" s="38">
        <v>60</v>
      </c>
      <c r="I10" s="41">
        <f>LN($G$10)</f>
        <v>4.6008699436127962</v>
      </c>
      <c r="J10" s="34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>
        <f>IF(ISTEXT($I$10),"",6)</f>
        <v>6</v>
      </c>
      <c r="V10" s="32">
        <f t="shared" si="0"/>
        <v>60</v>
      </c>
      <c r="W10" s="32">
        <f t="shared" si="1"/>
        <v>4.6008699436127962</v>
      </c>
      <c r="X10" s="32"/>
      <c r="Y10" s="32"/>
      <c r="Z10" s="22" t="s">
        <v>52</v>
      </c>
      <c r="AA10" s="23">
        <f>IFERROR(INTERCEPT($W$5:$W$19,$V$5:$V$19),"")</f>
        <v>4.5811133197925935</v>
      </c>
    </row>
    <row r="11" spans="1:30" ht="17.25" x14ac:dyDescent="0.25">
      <c r="A11" s="33" t="s">
        <v>215</v>
      </c>
      <c r="B11" s="33" t="s">
        <v>61</v>
      </c>
      <c r="C11" s="33" t="s">
        <v>7</v>
      </c>
      <c r="D11" s="39">
        <v>58748.906000000003</v>
      </c>
      <c r="E11" s="39">
        <v>30257.486000000001</v>
      </c>
      <c r="F11" s="39">
        <v>1.9416320970000001</v>
      </c>
      <c r="G11" s="39">
        <f>($F$11 -  AVERAGE($F$2,$F$3,$F$4) ) / ($F$17 -  AVERAGE($F$2,$F$3,$F$4) ) * 100</f>
        <v>99.964064551227366</v>
      </c>
      <c r="H11" s="39">
        <v>30</v>
      </c>
      <c r="I11" s="40">
        <f>LN($G$11)</f>
        <v>4.6048107669170681</v>
      </c>
      <c r="J11" s="35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>
        <f>IF(ISTEXT($I$11),"",7)</f>
        <v>7</v>
      </c>
      <c r="V11" s="33">
        <f t="shared" si="0"/>
        <v>30</v>
      </c>
      <c r="W11" s="33">
        <f t="shared" si="1"/>
        <v>4.6048107669170681</v>
      </c>
      <c r="X11" s="33"/>
      <c r="Y11" s="33"/>
      <c r="Z11" s="22" t="s">
        <v>53</v>
      </c>
      <c r="AA11" s="26">
        <f>IFERROR(CORREL($W$5:$W$19,$V$5:$V$19)^2,"")</f>
        <v>0.18968692246630015</v>
      </c>
    </row>
    <row r="12" spans="1:30" ht="18" x14ac:dyDescent="0.35">
      <c r="A12" s="32" t="s">
        <v>216</v>
      </c>
      <c r="B12" s="32" t="s">
        <v>61</v>
      </c>
      <c r="C12" s="32" t="s">
        <v>7</v>
      </c>
      <c r="D12" s="38">
        <v>64324.222999999998</v>
      </c>
      <c r="E12" s="38">
        <v>32984.32</v>
      </c>
      <c r="F12" s="38">
        <v>1.950145493</v>
      </c>
      <c r="G12" s="38">
        <f>($F$12 -  AVERAGE($F$2,$F$3,$F$4) ) / ($F$18 -  AVERAGE($F$2,$F$3,$F$4) ) * 100</f>
        <v>82.595851059078484</v>
      </c>
      <c r="H12" s="38">
        <v>30</v>
      </c>
      <c r="I12" s="41">
        <f>LN($G$12)</f>
        <v>4.4139594499564216</v>
      </c>
      <c r="J12" s="34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>
        <f>IF(ISTEXT($I$12),"",8)</f>
        <v>8</v>
      </c>
      <c r="V12" s="32">
        <f t="shared" si="0"/>
        <v>30</v>
      </c>
      <c r="W12" s="32">
        <f t="shared" si="1"/>
        <v>4.4139594499564216</v>
      </c>
      <c r="X12" s="32"/>
      <c r="Y12" s="32"/>
      <c r="Z12" s="22" t="s">
        <v>54</v>
      </c>
      <c r="AA12" s="50" t="str">
        <f>IF(AA9&gt;0," &gt;480",IFERROR(LN(2) /ABS(AA9),0))</f>
        <v xml:space="preserve"> &gt;480</v>
      </c>
    </row>
    <row r="13" spans="1:30" ht="18.75" x14ac:dyDescent="0.35">
      <c r="A13" s="33" t="s">
        <v>217</v>
      </c>
      <c r="B13" s="33" t="s">
        <v>61</v>
      </c>
      <c r="C13" s="33" t="s">
        <v>7</v>
      </c>
      <c r="D13" s="39">
        <v>64269.737999999998</v>
      </c>
      <c r="E13" s="39">
        <v>28105.629000000001</v>
      </c>
      <c r="F13" s="39">
        <v>2.2867212119999998</v>
      </c>
      <c r="G13" s="39">
        <f>($F$13 -  AVERAGE($F$2,$F$3,$F$4) ) / ($F$19 -  AVERAGE($F$2,$F$3,$F$4) ) * 100</f>
        <v>106.76849843277782</v>
      </c>
      <c r="H13" s="39">
        <v>30</v>
      </c>
      <c r="I13" s="40">
        <f>LN($G$13)</f>
        <v>4.6706629245226923</v>
      </c>
      <c r="J13" s="35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>
        <f>IF(ISTEXT($I$13),"",9)</f>
        <v>9</v>
      </c>
      <c r="V13" s="33">
        <f t="shared" si="0"/>
        <v>30</v>
      </c>
      <c r="W13" s="33">
        <f t="shared" si="1"/>
        <v>4.6706629245226923</v>
      </c>
      <c r="X13" s="33"/>
      <c r="Y13" s="33"/>
      <c r="Z13" s="22" t="s">
        <v>55</v>
      </c>
      <c r="AA13" s="30">
        <f>IF(AA9&gt;0,0,IFERROR(ABS(AA9 * 1000 / 0.5),0))</f>
        <v>0</v>
      </c>
    </row>
    <row r="14" spans="1:30" ht="15.75" thickBot="1" x14ac:dyDescent="0.3">
      <c r="A14" s="32" t="s">
        <v>218</v>
      </c>
      <c r="B14" s="32" t="s">
        <v>61</v>
      </c>
      <c r="C14" s="32" t="s">
        <v>7</v>
      </c>
      <c r="D14" s="38">
        <v>64023.688000000002</v>
      </c>
      <c r="E14" s="38">
        <v>31235.363000000001</v>
      </c>
      <c r="F14" s="38">
        <v>2.049718071</v>
      </c>
      <c r="G14" s="38">
        <f>($F$14 -  AVERAGE($F$2,$F$3,$F$4) ) / ($F$17 -  AVERAGE($F$2,$F$3,$F$4) ) * 100</f>
        <v>105.52909416178413</v>
      </c>
      <c r="H14" s="38">
        <v>15</v>
      </c>
      <c r="I14" s="41">
        <f>LN($G$14)</f>
        <v>4.6589866889427958</v>
      </c>
      <c r="J14" s="34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>
        <f>IF(ISTEXT($I$14),"",10)</f>
        <v>10</v>
      </c>
      <c r="V14" s="32">
        <f t="shared" si="0"/>
        <v>15</v>
      </c>
      <c r="W14" s="32">
        <f t="shared" si="1"/>
        <v>4.6589866889427958</v>
      </c>
      <c r="X14" s="32"/>
      <c r="Y14" s="32"/>
      <c r="Z14" s="27" t="s">
        <v>39</v>
      </c>
      <c r="AA14" s="28" t="s">
        <v>56</v>
      </c>
    </row>
    <row r="15" spans="1:30" x14ac:dyDescent="0.25">
      <c r="A15" s="33" t="s">
        <v>219</v>
      </c>
      <c r="B15" s="33" t="s">
        <v>61</v>
      </c>
      <c r="C15" s="33" t="s">
        <v>7</v>
      </c>
      <c r="D15" s="39">
        <v>26160.842000000001</v>
      </c>
      <c r="E15" s="39">
        <v>10372.222</v>
      </c>
      <c r="F15" s="39">
        <v>2.5222022819999999</v>
      </c>
      <c r="G15" s="39">
        <f>($F$15 -  AVERAGE($F$2,$F$3,$F$4) ) / ($F$18 -  AVERAGE($F$2,$F$3,$F$4) ) * 100</f>
        <v>106.82574124319406</v>
      </c>
      <c r="H15" s="39">
        <v>15</v>
      </c>
      <c r="I15" s="40">
        <f>LN($G$15)</f>
        <v>4.6711989203610962</v>
      </c>
      <c r="J15" s="35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>
        <f>IF(ISTEXT($I$15),"",11)</f>
        <v>11</v>
      </c>
      <c r="V15" s="33">
        <f t="shared" si="0"/>
        <v>15</v>
      </c>
      <c r="W15" s="33">
        <f t="shared" si="1"/>
        <v>4.6711989203610962</v>
      </c>
      <c r="X15" s="33"/>
      <c r="Y15" s="33"/>
    </row>
    <row r="16" spans="1:30" x14ac:dyDescent="0.25">
      <c r="A16" s="32" t="s">
        <v>220</v>
      </c>
      <c r="B16" s="32" t="s">
        <v>61</v>
      </c>
      <c r="C16" s="32" t="s">
        <v>7</v>
      </c>
      <c r="D16" s="38">
        <v>65606.906000000003</v>
      </c>
      <c r="E16" s="38">
        <v>35123.218999999997</v>
      </c>
      <c r="F16" s="38">
        <v>1.867906982</v>
      </c>
      <c r="G16" s="38">
        <f>($F$16 -  AVERAGE($F$2,$F$3,$F$4) ) / ($F$19 -  AVERAGE($F$2,$F$3,$F$4) ) * 100</f>
        <v>87.212980467670292</v>
      </c>
      <c r="H16" s="38">
        <v>15</v>
      </c>
      <c r="I16" s="41">
        <f>LN($G$16)</f>
        <v>4.4683531784107959</v>
      </c>
      <c r="J16" s="34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>
        <f>IF(ISTEXT($I$16),"",12)</f>
        <v>12</v>
      </c>
      <c r="V16" s="32">
        <f t="shared" si="0"/>
        <v>15</v>
      </c>
      <c r="W16" s="32">
        <f t="shared" si="1"/>
        <v>4.4683531784107959</v>
      </c>
      <c r="X16" s="32"/>
      <c r="Y16" s="32"/>
    </row>
    <row r="17" spans="1:30" x14ac:dyDescent="0.25">
      <c r="A17" s="33" t="s">
        <v>221</v>
      </c>
      <c r="B17" s="33" t="s">
        <v>61</v>
      </c>
      <c r="C17" s="33" t="s">
        <v>7</v>
      </c>
      <c r="D17" s="39">
        <v>59772.824000000001</v>
      </c>
      <c r="E17" s="39">
        <v>30773.773000000001</v>
      </c>
      <c r="F17" s="39">
        <v>1.9423300480000001</v>
      </c>
      <c r="G17" s="39">
        <f>($F$17 -  AVERAGE($F$2,$F$3,$F$4) ) / ($F$17 -  AVERAGE($F$2,$F$3,$F$4) ) * 100</f>
        <v>100</v>
      </c>
      <c r="H17" s="39">
        <v>0</v>
      </c>
      <c r="I17" s="40">
        <f>LN($G$17)</f>
        <v>4.6051701859880918</v>
      </c>
      <c r="J17" s="35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>
        <f>IF(ISTEXT($I$17),"",13)</f>
        <v>13</v>
      </c>
      <c r="V17" s="33">
        <f t="shared" si="0"/>
        <v>0</v>
      </c>
      <c r="W17" s="33">
        <f t="shared" si="1"/>
        <v>4.6051701859880918</v>
      </c>
      <c r="X17" s="33"/>
      <c r="Y17" s="33"/>
    </row>
    <row r="18" spans="1:30" x14ac:dyDescent="0.25">
      <c r="A18" s="32" t="s">
        <v>222</v>
      </c>
      <c r="B18" s="32" t="s">
        <v>61</v>
      </c>
      <c r="C18" s="32" t="s">
        <v>7</v>
      </c>
      <c r="D18" s="38">
        <v>71980.976999999999</v>
      </c>
      <c r="E18" s="38">
        <v>30486.855</v>
      </c>
      <c r="F18" s="38">
        <v>2.361049607</v>
      </c>
      <c r="G18" s="38">
        <f>($F$18 -  AVERAGE($F$2,$F$3,$F$4) ) / ($F$18 -  AVERAGE($F$2,$F$3,$F$4) ) * 100</f>
        <v>100</v>
      </c>
      <c r="H18" s="38">
        <v>0</v>
      </c>
      <c r="I18" s="41">
        <f>LN($G$18)</f>
        <v>4.6051701859880918</v>
      </c>
      <c r="J18" s="34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>
        <f>IF(ISTEXT($I$18),"",14)</f>
        <v>14</v>
      </c>
      <c r="V18" s="32">
        <f t="shared" si="0"/>
        <v>0</v>
      </c>
      <c r="W18" s="32">
        <f t="shared" si="1"/>
        <v>4.6051701859880918</v>
      </c>
      <c r="X18" s="32"/>
      <c r="Y18" s="32"/>
    </row>
    <row r="19" spans="1:30" x14ac:dyDescent="0.25">
      <c r="A19" s="33" t="s">
        <v>223</v>
      </c>
      <c r="B19" s="33" t="s">
        <v>61</v>
      </c>
      <c r="C19" s="33" t="s">
        <v>7</v>
      </c>
      <c r="D19" s="39">
        <v>70720.218999999997</v>
      </c>
      <c r="E19" s="39">
        <v>33019.637000000002</v>
      </c>
      <c r="F19" s="39">
        <v>2.1417624609999999</v>
      </c>
      <c r="G19" s="39">
        <f>($F$19 -  AVERAGE($F$2,$F$3,$F$4) ) / ($F$19 -  AVERAGE($F$2,$F$3,$F$4) ) * 100</f>
        <v>100</v>
      </c>
      <c r="H19" s="39">
        <v>0</v>
      </c>
      <c r="I19" s="40">
        <f>LN($G$19)</f>
        <v>4.6051701859880918</v>
      </c>
      <c r="J19" s="35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>
        <f>IF(ISTEXT($I$19),"",15)</f>
        <v>15</v>
      </c>
      <c r="V19" s="33">
        <f t="shared" si="0"/>
        <v>0</v>
      </c>
      <c r="W19" s="33">
        <f t="shared" si="1"/>
        <v>4.6051701859880918</v>
      </c>
      <c r="X19" s="33"/>
      <c r="Y19" s="33"/>
    </row>
    <row r="20" spans="1:30" ht="15.75" thickBot="1" x14ac:dyDescent="0.3">
      <c r="A20" s="32"/>
      <c r="B20" s="32"/>
      <c r="C20" s="32"/>
      <c r="D20" s="38"/>
      <c r="E20" s="38"/>
      <c r="F20" s="38"/>
      <c r="G20" s="38"/>
      <c r="H20" s="38"/>
      <c r="I20" s="38"/>
      <c r="J20" s="34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</row>
    <row r="21" spans="1:30" ht="16.5" thickTop="1" thickBot="1" x14ac:dyDescent="0.3">
      <c r="A21" s="33" t="s">
        <v>6</v>
      </c>
      <c r="B21" s="33" t="s">
        <v>78</v>
      </c>
      <c r="C21" s="33" t="s">
        <v>10</v>
      </c>
      <c r="D21" s="39">
        <v>1</v>
      </c>
      <c r="E21" s="39">
        <v>37229.300999999999</v>
      </c>
      <c r="F21" s="39">
        <v>2.6860563404077881E-5</v>
      </c>
      <c r="G21" s="39"/>
      <c r="H21" s="39"/>
      <c r="I21" s="39"/>
      <c r="J21" s="35"/>
      <c r="K21" s="33"/>
      <c r="L21" s="33"/>
      <c r="M21" s="33"/>
      <c r="N21" s="33"/>
      <c r="O21" s="33"/>
      <c r="P21" s="33"/>
      <c r="Q21" s="33"/>
      <c r="R21" s="33" t="s">
        <v>79</v>
      </c>
      <c r="S21" s="33"/>
      <c r="T21" s="33">
        <v>2</v>
      </c>
      <c r="U21" s="33"/>
      <c r="V21" s="33"/>
      <c r="W21" s="33"/>
      <c r="X21" s="33"/>
      <c r="Y21" s="33"/>
      <c r="Z21" s="9" t="s">
        <v>45</v>
      </c>
      <c r="AA21" s="9" t="s">
        <v>47</v>
      </c>
      <c r="AB21" s="9" t="s">
        <v>48</v>
      </c>
      <c r="AC21" s="9" t="s">
        <v>49</v>
      </c>
      <c r="AD21" s="9" t="s">
        <v>50</v>
      </c>
    </row>
    <row r="22" spans="1:30" ht="15.75" thickTop="1" x14ac:dyDescent="0.25">
      <c r="A22" s="32" t="s">
        <v>8</v>
      </c>
      <c r="B22" s="32" t="s">
        <v>78</v>
      </c>
      <c r="C22" s="32" t="s">
        <v>10</v>
      </c>
      <c r="D22" s="38">
        <v>1</v>
      </c>
      <c r="E22" s="38">
        <v>37141.370999999999</v>
      </c>
      <c r="F22" s="38">
        <v>2.6924154199908239E-5</v>
      </c>
      <c r="G22" s="38"/>
      <c r="H22" s="38"/>
      <c r="I22" s="38"/>
      <c r="J22" s="34"/>
      <c r="K22" s="32"/>
      <c r="L22" s="32"/>
      <c r="M22" s="32"/>
      <c r="N22" s="32"/>
      <c r="O22" s="32"/>
      <c r="P22" s="32"/>
      <c r="Q22" s="32"/>
      <c r="R22" s="32" t="s">
        <v>45</v>
      </c>
      <c r="S22" s="32"/>
      <c r="T22" s="32">
        <v>24</v>
      </c>
      <c r="U22" s="32"/>
      <c r="V22" s="32"/>
      <c r="W22" s="32"/>
      <c r="X22" s="32"/>
      <c r="Y22" s="32"/>
      <c r="Z22" s="10">
        <f>$H$24</f>
        <v>120</v>
      </c>
      <c r="AA22" s="11" t="str">
        <f>IF(ISTEXT($I$24),TEXT($G$24/100,"0.00%"),$G$24 / 100)</f>
        <v>56.08%</v>
      </c>
      <c r="AB22" s="11" t="str">
        <f>IF(ISTEXT($I$25),TEXT($G$25/100,"0.00%"),$G$25 / 100)</f>
        <v>53.48%</v>
      </c>
      <c r="AC22" s="11" t="str">
        <f>IF(ISTEXT($I$26),TEXT($G$26/100,"0.00%"),$G$26 / 100)</f>
        <v>67.71%</v>
      </c>
      <c r="AD22" s="11" t="str">
        <f>IFERROR(AVERAGE($AA$22:$AC$22),"")</f>
        <v/>
      </c>
    </row>
    <row r="23" spans="1:30" x14ac:dyDescent="0.25">
      <c r="A23" s="33" t="s">
        <v>9</v>
      </c>
      <c r="B23" s="33" t="s">
        <v>78</v>
      </c>
      <c r="C23" s="33" t="s">
        <v>10</v>
      </c>
      <c r="D23" s="39">
        <v>1.419</v>
      </c>
      <c r="E23" s="39">
        <v>36262.148000000001</v>
      </c>
      <c r="F23" s="39">
        <v>3.9131699999999997E-5</v>
      </c>
      <c r="G23" s="39"/>
      <c r="H23" s="39"/>
      <c r="I23" s="39"/>
      <c r="J23" s="35"/>
      <c r="K23" s="33"/>
      <c r="L23" s="33"/>
      <c r="M23" s="33"/>
      <c r="N23" s="33"/>
      <c r="O23" s="33"/>
      <c r="P23" s="33"/>
      <c r="Q23" s="33"/>
      <c r="R23" s="33" t="s">
        <v>46</v>
      </c>
      <c r="S23" s="33"/>
      <c r="T23" s="33">
        <v>38</v>
      </c>
      <c r="U23" s="33"/>
      <c r="V23" s="33"/>
      <c r="W23" s="33"/>
      <c r="X23" s="33"/>
      <c r="Y23" s="33"/>
      <c r="Z23" s="10">
        <f>$H$27</f>
        <v>60</v>
      </c>
      <c r="AA23" s="11">
        <f>IF(ISTEXT($I$27),TEXT($G$27/100,"0.00%"),$G$27 / 100)</f>
        <v>0.42202052659041456</v>
      </c>
      <c r="AB23" s="11">
        <f>IF(ISTEXT($I$28),TEXT($G$28/100,"0.00%"),$G$28 / 100)</f>
        <v>0.41086680606224762</v>
      </c>
      <c r="AC23" s="11">
        <f>IF(ISTEXT($I$29),TEXT($G$29/100,"0.00%"),$G$29 / 100)</f>
        <v>0.46668362686430498</v>
      </c>
      <c r="AD23" s="11">
        <f>IFERROR(AVERAGE($AA$23:$AC$23),"")</f>
        <v>0.43319031983898909</v>
      </c>
    </row>
    <row r="24" spans="1:30" x14ac:dyDescent="0.25">
      <c r="A24" s="32" t="s">
        <v>224</v>
      </c>
      <c r="B24" s="32" t="s">
        <v>78</v>
      </c>
      <c r="C24" s="32" t="s">
        <v>10</v>
      </c>
      <c r="D24" s="38">
        <v>29429.414000000001</v>
      </c>
      <c r="E24" s="38">
        <v>28476.291000000001</v>
      </c>
      <c r="F24" s="38">
        <v>1.033470756</v>
      </c>
      <c r="G24" s="38">
        <f>($F$24 -  AVERAGE($F$21,$F$22,$F$23) ) / ($F$36 -  AVERAGE($F$21,$F$22,$F$23) ) * 100</f>
        <v>56.083130425870188</v>
      </c>
      <c r="H24" s="38">
        <v>120</v>
      </c>
      <c r="I24" s="41" t="str">
        <f>TEXT(LN($G$24),"0.000")</f>
        <v>4.027</v>
      </c>
      <c r="J24" s="34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 t="str">
        <f>IF(ISTEXT($I$24),"",1)</f>
        <v/>
      </c>
      <c r="V24" s="32">
        <f t="shared" ref="V24:V38" si="2">IFERROR(INDEX($H$24:$H$38,SMALL($U$24:$U$38,ROW(W1)),1),"")</f>
        <v>60</v>
      </c>
      <c r="W24" s="32">
        <f t="shared" ref="W24:W38" si="3">IFERROR(INDEX($I$24:$I$38,SMALL($U$24:$U$38,ROW(I1)),1),"")</f>
        <v>3.7424688610685339</v>
      </c>
      <c r="X24" s="32"/>
      <c r="Y24" s="32"/>
      <c r="Z24" s="10">
        <f>$H$30</f>
        <v>30</v>
      </c>
      <c r="AA24" s="11">
        <f>IF(ISTEXT($I$30),TEXT($G$30/100,"0.00%"),$G$30 / 100)</f>
        <v>0.58192301083432008</v>
      </c>
      <c r="AB24" s="11">
        <f>IF(ISTEXT($I$31),TEXT($G$31/100,"0.00%"),$G$31 / 100)</f>
        <v>0.60592361758316193</v>
      </c>
      <c r="AC24" s="11">
        <f>IF(ISTEXT($I$32),TEXT($G$32/100,"0.00%"),$G$32 / 100)</f>
        <v>0.57439631756145726</v>
      </c>
      <c r="AD24" s="11">
        <f>IFERROR(AVERAGE($AA$24:$AC$24),"")</f>
        <v>0.58741431532631305</v>
      </c>
    </row>
    <row r="25" spans="1:30" x14ac:dyDescent="0.25">
      <c r="A25" s="33" t="s">
        <v>225</v>
      </c>
      <c r="B25" s="33" t="s">
        <v>78</v>
      </c>
      <c r="C25" s="33" t="s">
        <v>10</v>
      </c>
      <c r="D25" s="39">
        <v>27310.646000000001</v>
      </c>
      <c r="E25" s="39">
        <v>25017.24</v>
      </c>
      <c r="F25" s="39">
        <v>1.0916730219999999</v>
      </c>
      <c r="G25" s="39">
        <f>($F$25 -  AVERAGE($F$21,$F$22,$F$23) ) / ($F$37 -  AVERAGE($F$21,$F$22,$F$23) ) * 100</f>
        <v>53.47988008254557</v>
      </c>
      <c r="H25" s="39">
        <v>120</v>
      </c>
      <c r="I25" s="40" t="str">
        <f>TEXT(LN($G$25),"0.000")</f>
        <v>3.979</v>
      </c>
      <c r="J25" s="35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 t="str">
        <f>IF(ISTEXT($I$25),"",2)</f>
        <v/>
      </c>
      <c r="V25" s="33">
        <f t="shared" si="2"/>
        <v>60</v>
      </c>
      <c r="W25" s="33">
        <f t="shared" si="3"/>
        <v>3.7156839961379911</v>
      </c>
      <c r="X25" s="33"/>
      <c r="Y25" s="33"/>
      <c r="Z25" s="10">
        <f>$H$33</f>
        <v>15</v>
      </c>
      <c r="AA25" s="11">
        <f>IF(ISTEXT($I$33),TEXT($G$33/100,"0.00%"),$G$33 / 100)</f>
        <v>0.85487132156518486</v>
      </c>
      <c r="AB25" s="11">
        <f>IF(ISTEXT($I$34),TEXT($G$34/100,"0.00%"),$G$34 / 100)</f>
        <v>0.76236223851552798</v>
      </c>
      <c r="AC25" s="11">
        <f>IF(ISTEXT($I$35),TEXT($G$35/100,"0.00%"),$G$35 / 100)</f>
        <v>0.70499199249647948</v>
      </c>
      <c r="AD25" s="11">
        <f>IFERROR(AVERAGE($AA$25:$AC$25),"")</f>
        <v>0.77407518419239751</v>
      </c>
    </row>
    <row r="26" spans="1:30" ht="15.75" thickBot="1" x14ac:dyDescent="0.3">
      <c r="A26" s="32" t="s">
        <v>226</v>
      </c>
      <c r="B26" s="32" t="s">
        <v>78</v>
      </c>
      <c r="C26" s="32" t="s">
        <v>10</v>
      </c>
      <c r="D26" s="38">
        <v>33203.605000000003</v>
      </c>
      <c r="E26" s="38">
        <v>28786.190999999999</v>
      </c>
      <c r="F26" s="38">
        <v>1.15345601</v>
      </c>
      <c r="G26" s="38">
        <f>($F$26 -  AVERAGE($F$21,$F$22,$F$23) ) / ($F$38 -  AVERAGE($F$21,$F$22,$F$23) ) * 100</f>
        <v>67.706406418445297</v>
      </c>
      <c r="H26" s="38">
        <v>120</v>
      </c>
      <c r="I26" s="41" t="str">
        <f>TEXT(LN($G$26),"0.000")</f>
        <v>4.215</v>
      </c>
      <c r="J26" s="34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 t="str">
        <f>IF(ISTEXT($I$26),"",3)</f>
        <v/>
      </c>
      <c r="V26" s="32">
        <f t="shared" si="2"/>
        <v>60</v>
      </c>
      <c r="W26" s="32">
        <f t="shared" si="3"/>
        <v>3.8430664765614471</v>
      </c>
      <c r="X26" s="32"/>
      <c r="Y26" s="32"/>
      <c r="Z26" s="12">
        <f>$H$36</f>
        <v>0</v>
      </c>
      <c r="AA26" s="13">
        <f>IF(ISTEXT($I$36),TEXT($G$36/100,"0.00%"),$G$36 / 100)</f>
        <v>1</v>
      </c>
      <c r="AB26" s="13">
        <f>IF(ISTEXT($I$37),TEXT($G$37/100,"0.00%"),$G$37 / 100)</f>
        <v>1</v>
      </c>
      <c r="AC26" s="13">
        <f>IF(ISTEXT($I$38),TEXT($G$38/100,"0.00%"),$G$38 / 100)</f>
        <v>1</v>
      </c>
      <c r="AD26" s="13">
        <f>IFERROR(AVERAGE($AA$26:$AC$26),"")</f>
        <v>1</v>
      </c>
    </row>
    <row r="27" spans="1:30" ht="16.5" thickTop="1" thickBot="1" x14ac:dyDescent="0.3">
      <c r="A27" s="33" t="s">
        <v>227</v>
      </c>
      <c r="B27" s="33" t="s">
        <v>78</v>
      </c>
      <c r="C27" s="33" t="s">
        <v>10</v>
      </c>
      <c r="D27" s="39">
        <v>19520.254000000001</v>
      </c>
      <c r="E27" s="39">
        <v>25100.458999999999</v>
      </c>
      <c r="F27" s="39">
        <v>0.77768514099999997</v>
      </c>
      <c r="G27" s="39">
        <f>($F$27 -  AVERAGE($F$21,$F$22,$F$23) ) / ($F$36 -  AVERAGE($F$21,$F$22,$F$23) ) * 100</f>
        <v>42.202052659041456</v>
      </c>
      <c r="H27" s="39">
        <v>60</v>
      </c>
      <c r="I27" s="40">
        <f>LN($G$27)</f>
        <v>3.7424688610685339</v>
      </c>
      <c r="J27" s="35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>
        <f>IF(ISTEXT($I$27),"",4)</f>
        <v>4</v>
      </c>
      <c r="V27" s="33">
        <f t="shared" si="2"/>
        <v>30</v>
      </c>
      <c r="W27" s="33">
        <f t="shared" si="3"/>
        <v>4.0637530621972919</v>
      </c>
      <c r="X27" s="33"/>
      <c r="Y27" s="33"/>
    </row>
    <row r="28" spans="1:30" x14ac:dyDescent="0.25">
      <c r="A28" s="32" t="s">
        <v>228</v>
      </c>
      <c r="B28" s="32" t="s">
        <v>78</v>
      </c>
      <c r="C28" s="32" t="s">
        <v>10</v>
      </c>
      <c r="D28" s="38">
        <v>22334.432000000001</v>
      </c>
      <c r="E28" s="38">
        <v>26629.805</v>
      </c>
      <c r="F28" s="38">
        <v>0.83870054599999999</v>
      </c>
      <c r="G28" s="38">
        <f>($F$28 -  AVERAGE($F$21,$F$22,$F$23) ) / ($F$37 -  AVERAGE($F$21,$F$22,$F$23) ) * 100</f>
        <v>41.08668060622476</v>
      </c>
      <c r="H28" s="38">
        <v>60</v>
      </c>
      <c r="I28" s="41">
        <f>LN($G$28)</f>
        <v>3.7156839961379911</v>
      </c>
      <c r="J28" s="34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>
        <f>IF(ISTEXT($I$28),"",5)</f>
        <v>5</v>
      </c>
      <c r="V28" s="32">
        <f t="shared" si="2"/>
        <v>30</v>
      </c>
      <c r="W28" s="32">
        <f t="shared" si="3"/>
        <v>4.1041688415389652</v>
      </c>
      <c r="X28" s="32"/>
      <c r="Y28" s="32"/>
      <c r="Z28" s="20" t="s">
        <v>51</v>
      </c>
      <c r="AA28" s="31">
        <f>IFERROR(SLOPE($W$24:$W$38,$V$24:$V$38),"")</f>
        <v>-1.3899908136352921E-2</v>
      </c>
    </row>
    <row r="29" spans="1:30" x14ac:dyDescent="0.25">
      <c r="A29" s="33" t="s">
        <v>229</v>
      </c>
      <c r="B29" s="33" t="s">
        <v>78</v>
      </c>
      <c r="C29" s="33" t="s">
        <v>10</v>
      </c>
      <c r="D29" s="39">
        <v>20326.403999999999</v>
      </c>
      <c r="E29" s="39">
        <v>25565.921999999999</v>
      </c>
      <c r="F29" s="39">
        <v>0.79505851599999999</v>
      </c>
      <c r="G29" s="39">
        <f>($F$29 -  AVERAGE($F$21,$F$22,$F$23) ) / ($F$38 -  AVERAGE($F$21,$F$22,$F$23) ) * 100</f>
        <v>46.668362686430498</v>
      </c>
      <c r="H29" s="39">
        <v>60</v>
      </c>
      <c r="I29" s="40">
        <f>LN($G$29)</f>
        <v>3.8430664765614471</v>
      </c>
      <c r="J29" s="35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>
        <f>IF(ISTEXT($I$29),"",6)</f>
        <v>6</v>
      </c>
      <c r="V29" s="33">
        <f t="shared" si="2"/>
        <v>30</v>
      </c>
      <c r="W29" s="33">
        <f t="shared" si="3"/>
        <v>4.0507345137888082</v>
      </c>
      <c r="X29" s="33"/>
      <c r="Y29" s="33"/>
      <c r="Z29" s="22" t="s">
        <v>52</v>
      </c>
      <c r="AA29" s="23">
        <f>IFERROR(INTERCEPT($W$24:$W$38,$V$24:$V$38),"")</f>
        <v>4.5626384429741167</v>
      </c>
    </row>
    <row r="30" spans="1:30" ht="17.25" x14ac:dyDescent="0.25">
      <c r="A30" s="32" t="s">
        <v>230</v>
      </c>
      <c r="B30" s="32" t="s">
        <v>78</v>
      </c>
      <c r="C30" s="32" t="s">
        <v>10</v>
      </c>
      <c r="D30" s="38">
        <v>27729.705000000002</v>
      </c>
      <c r="E30" s="38">
        <v>25859.15</v>
      </c>
      <c r="F30" s="38">
        <v>1.0723362910000001</v>
      </c>
      <c r="G30" s="38">
        <f>($F$30 -  AVERAGE($F$21,$F$22,$F$23) ) / ($F$36 -  AVERAGE($F$21,$F$22,$F$23) ) * 100</f>
        <v>58.192301083432007</v>
      </c>
      <c r="H30" s="38">
        <v>30</v>
      </c>
      <c r="I30" s="41">
        <f>LN($G$30)</f>
        <v>4.0637530621972919</v>
      </c>
      <c r="J30" s="34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>
        <f>IF(ISTEXT($I$30),"",7)</f>
        <v>7</v>
      </c>
      <c r="V30" s="32">
        <f t="shared" si="2"/>
        <v>15</v>
      </c>
      <c r="W30" s="32">
        <f t="shared" si="3"/>
        <v>4.4483658635229375</v>
      </c>
      <c r="X30" s="32"/>
      <c r="Y30" s="32"/>
      <c r="Z30" s="22" t="s">
        <v>53</v>
      </c>
      <c r="AA30" s="26">
        <f>IFERROR(CORREL($W$24:$W$38,$V$24:$V$38)^2,"")</f>
        <v>0.95376969500264364</v>
      </c>
    </row>
    <row r="31" spans="1:30" ht="18" x14ac:dyDescent="0.35">
      <c r="A31" s="33" t="s">
        <v>231</v>
      </c>
      <c r="B31" s="33" t="s">
        <v>78</v>
      </c>
      <c r="C31" s="33" t="s">
        <v>10</v>
      </c>
      <c r="D31" s="39">
        <v>32411.815999999999</v>
      </c>
      <c r="E31" s="39">
        <v>26205.037</v>
      </c>
      <c r="F31" s="39">
        <v>1.2368544260000001</v>
      </c>
      <c r="G31" s="39">
        <f>($F$31 -  AVERAGE($F$21,$F$22,$F$23) ) / ($F$37 -  AVERAGE($F$21,$F$22,$F$23) ) * 100</f>
        <v>60.592361758316194</v>
      </c>
      <c r="H31" s="39">
        <v>30</v>
      </c>
      <c r="I31" s="40">
        <f>LN($G$31)</f>
        <v>4.1041688415389652</v>
      </c>
      <c r="J31" s="35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>
        <f>IF(ISTEXT($I$31),"",8)</f>
        <v>8</v>
      </c>
      <c r="V31" s="33">
        <f t="shared" si="2"/>
        <v>15</v>
      </c>
      <c r="W31" s="33">
        <f t="shared" si="3"/>
        <v>4.3338367283652781</v>
      </c>
      <c r="X31" s="33"/>
      <c r="Y31" s="33"/>
      <c r="Z31" s="22" t="s">
        <v>54</v>
      </c>
      <c r="AA31" s="25">
        <f>IF(AA28&gt;0,"",IFERROR(LN(2) /ABS(AA28),0))</f>
        <v>49.867033203416142</v>
      </c>
    </row>
    <row r="32" spans="1:30" ht="18.75" x14ac:dyDescent="0.35">
      <c r="A32" s="32" t="s">
        <v>232</v>
      </c>
      <c r="B32" s="32" t="s">
        <v>78</v>
      </c>
      <c r="C32" s="32" t="s">
        <v>10</v>
      </c>
      <c r="D32" s="38">
        <v>23873.17</v>
      </c>
      <c r="E32" s="38">
        <v>24396.363000000001</v>
      </c>
      <c r="F32" s="38">
        <v>0.97855446700000004</v>
      </c>
      <c r="G32" s="38">
        <f>($F$32 -  AVERAGE($F$21,$F$22,$F$23) ) / ($F$38 -  AVERAGE($F$21,$F$22,$F$23) ) * 100</f>
        <v>57.439631756145729</v>
      </c>
      <c r="H32" s="38">
        <v>30</v>
      </c>
      <c r="I32" s="41">
        <f>LN($G$32)</f>
        <v>4.0507345137888082</v>
      </c>
      <c r="J32" s="34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>
        <f>IF(ISTEXT($I$32),"",9)</f>
        <v>9</v>
      </c>
      <c r="V32" s="32">
        <f t="shared" si="2"/>
        <v>15</v>
      </c>
      <c r="W32" s="32">
        <f t="shared" si="3"/>
        <v>4.2556013515926967</v>
      </c>
      <c r="X32" s="32"/>
      <c r="Y32" s="32"/>
      <c r="Z32" s="22" t="s">
        <v>55</v>
      </c>
      <c r="AA32" s="23">
        <f>IF(AA28&gt;0,0,IFERROR(ABS(AA28 * 1000 / 0.5),0))</f>
        <v>27.799816272705844</v>
      </c>
    </row>
    <row r="33" spans="1:30" ht="15.75" thickBot="1" x14ac:dyDescent="0.3">
      <c r="A33" s="33" t="s">
        <v>233</v>
      </c>
      <c r="B33" s="33" t="s">
        <v>78</v>
      </c>
      <c r="C33" s="33" t="s">
        <v>10</v>
      </c>
      <c r="D33" s="39">
        <v>38769.688000000002</v>
      </c>
      <c r="E33" s="39">
        <v>24611.046999999999</v>
      </c>
      <c r="F33" s="39">
        <v>1.5752961670000001</v>
      </c>
      <c r="G33" s="39">
        <f>($F$33 -  AVERAGE($F$21,$F$22,$F$23) ) / ($F$36 -  AVERAGE($F$21,$F$22,$F$23) ) * 100</f>
        <v>85.487132156518484</v>
      </c>
      <c r="H33" s="39">
        <v>15</v>
      </c>
      <c r="I33" s="40">
        <f>LN($G$33)</f>
        <v>4.4483658635229375</v>
      </c>
      <c r="J33" s="35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>
        <f>IF(ISTEXT($I$33),"",10)</f>
        <v>10</v>
      </c>
      <c r="V33" s="33">
        <f t="shared" si="2"/>
        <v>0</v>
      </c>
      <c r="W33" s="33">
        <f t="shared" si="3"/>
        <v>4.6051701859880918</v>
      </c>
      <c r="X33" s="33"/>
      <c r="Y33" s="33"/>
      <c r="Z33" s="27" t="s">
        <v>39</v>
      </c>
      <c r="AA33" s="28" t="s">
        <v>234</v>
      </c>
    </row>
    <row r="34" spans="1:30" x14ac:dyDescent="0.25">
      <c r="A34" s="32" t="s">
        <v>235</v>
      </c>
      <c r="B34" s="32" t="s">
        <v>78</v>
      </c>
      <c r="C34" s="32" t="s">
        <v>10</v>
      </c>
      <c r="D34" s="38">
        <v>39952.968999999997</v>
      </c>
      <c r="E34" s="38">
        <v>25673.743999999999</v>
      </c>
      <c r="F34" s="38">
        <v>1.5561800800000001</v>
      </c>
      <c r="G34" s="38">
        <f>($F$34 -  AVERAGE($F$21,$F$22,$F$23) ) / ($F$37 -  AVERAGE($F$21,$F$22,$F$23) ) * 100</f>
        <v>76.236223851552793</v>
      </c>
      <c r="H34" s="38">
        <v>15</v>
      </c>
      <c r="I34" s="41">
        <f>LN($G$34)</f>
        <v>4.3338367283652781</v>
      </c>
      <c r="J34" s="34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>
        <f>IF(ISTEXT($I$34),"",11)</f>
        <v>11</v>
      </c>
      <c r="V34" s="32">
        <f t="shared" si="2"/>
        <v>0</v>
      </c>
      <c r="W34" s="32">
        <f t="shared" si="3"/>
        <v>4.6051701859880918</v>
      </c>
      <c r="X34" s="32"/>
      <c r="Y34" s="32"/>
    </row>
    <row r="35" spans="1:30" x14ac:dyDescent="0.25">
      <c r="A35" s="33" t="s">
        <v>236</v>
      </c>
      <c r="B35" s="33" t="s">
        <v>78</v>
      </c>
      <c r="C35" s="33" t="s">
        <v>10</v>
      </c>
      <c r="D35" s="39">
        <v>31391.370999999999</v>
      </c>
      <c r="E35" s="39">
        <v>26136.973000000002</v>
      </c>
      <c r="F35" s="39">
        <v>1.20103315</v>
      </c>
      <c r="G35" s="39">
        <f>($F$35 -  AVERAGE($F$21,$F$22,$F$23) ) / ($F$38 -  AVERAGE($F$21,$F$22,$F$23) ) * 100</f>
        <v>70.499199249647944</v>
      </c>
      <c r="H35" s="39">
        <v>15</v>
      </c>
      <c r="I35" s="40">
        <f>LN($G$35)</f>
        <v>4.2556013515926967</v>
      </c>
      <c r="J35" s="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>
        <f>IF(ISTEXT($I$35),"",12)</f>
        <v>12</v>
      </c>
      <c r="V35" s="33">
        <f t="shared" si="2"/>
        <v>0</v>
      </c>
      <c r="W35" s="33">
        <f t="shared" si="3"/>
        <v>4.6051701859880918</v>
      </c>
      <c r="X35" s="33"/>
      <c r="Y35" s="33"/>
    </row>
    <row r="36" spans="1:30" x14ac:dyDescent="0.25">
      <c r="A36" s="32" t="s">
        <v>237</v>
      </c>
      <c r="B36" s="32" t="s">
        <v>78</v>
      </c>
      <c r="C36" s="32" t="s">
        <v>10</v>
      </c>
      <c r="D36" s="38">
        <v>44773.144999999997</v>
      </c>
      <c r="E36" s="38">
        <v>24297.263999999999</v>
      </c>
      <c r="F36" s="38">
        <v>1.8427237320000001</v>
      </c>
      <c r="G36" s="38">
        <f>($F$36 -  AVERAGE($F$21,$F$22,$F$23) ) / ($F$36 -  AVERAGE($F$21,$F$22,$F$23) ) * 100</f>
        <v>100</v>
      </c>
      <c r="H36" s="38">
        <v>0</v>
      </c>
      <c r="I36" s="41">
        <f>LN($G$36)</f>
        <v>4.6051701859880918</v>
      </c>
      <c r="J36" s="34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>
        <f>IF(ISTEXT($I$36),"",13)</f>
        <v>13</v>
      </c>
      <c r="V36" s="32" t="str">
        <f t="shared" si="2"/>
        <v/>
      </c>
      <c r="W36" s="32" t="str">
        <f t="shared" si="3"/>
        <v/>
      </c>
      <c r="X36" s="32"/>
      <c r="Y36" s="32"/>
    </row>
    <row r="37" spans="1:30" x14ac:dyDescent="0.25">
      <c r="A37" s="33" t="s">
        <v>238</v>
      </c>
      <c r="B37" s="33" t="s">
        <v>78</v>
      </c>
      <c r="C37" s="33" t="s">
        <v>10</v>
      </c>
      <c r="D37" s="39">
        <v>53919.375</v>
      </c>
      <c r="E37" s="39">
        <v>26414.866999999998</v>
      </c>
      <c r="F37" s="39">
        <v>2.0412510500000001</v>
      </c>
      <c r="G37" s="39">
        <f>($F$37 -  AVERAGE($F$21,$F$22,$F$23) ) / ($F$37 -  AVERAGE($F$21,$F$22,$F$23) ) * 100</f>
        <v>100</v>
      </c>
      <c r="H37" s="39">
        <v>0</v>
      </c>
      <c r="I37" s="40">
        <f>LN($G$37)</f>
        <v>4.6051701859880918</v>
      </c>
      <c r="J37" s="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>
        <f>IF(ISTEXT($I$37),"",14)</f>
        <v>14</v>
      </c>
      <c r="V37" s="33" t="str">
        <f t="shared" si="2"/>
        <v/>
      </c>
      <c r="W37" s="33" t="str">
        <f t="shared" si="3"/>
        <v/>
      </c>
      <c r="X37" s="33"/>
      <c r="Y37" s="33"/>
    </row>
    <row r="38" spans="1:30" x14ac:dyDescent="0.25">
      <c r="A38" s="32" t="s">
        <v>239</v>
      </c>
      <c r="B38" s="32" t="s">
        <v>78</v>
      </c>
      <c r="C38" s="32" t="s">
        <v>10</v>
      </c>
      <c r="D38" s="38">
        <v>42688.925999999999</v>
      </c>
      <c r="E38" s="38">
        <v>25058.076000000001</v>
      </c>
      <c r="F38" s="38">
        <v>1.7035995100000001</v>
      </c>
      <c r="G38" s="38">
        <f>($F$38 -  AVERAGE($F$21,$F$22,$F$23) ) / ($F$38 -  AVERAGE($F$21,$F$22,$F$23) ) * 100</f>
        <v>100</v>
      </c>
      <c r="H38" s="38">
        <v>0</v>
      </c>
      <c r="I38" s="41">
        <f>LN($G$38)</f>
        <v>4.6051701859880918</v>
      </c>
      <c r="J38" s="34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>
        <f>IF(ISTEXT($I$38),"",15)</f>
        <v>15</v>
      </c>
      <c r="V38" s="32" t="str">
        <f t="shared" si="2"/>
        <v/>
      </c>
      <c r="W38" s="32" t="str">
        <f t="shared" si="3"/>
        <v/>
      </c>
      <c r="X38" s="32"/>
      <c r="Y38" s="32"/>
    </row>
    <row r="39" spans="1:30" ht="15.75" thickBot="1" x14ac:dyDescent="0.3">
      <c r="A39" s="33"/>
      <c r="B39" s="33"/>
      <c r="C39" s="33"/>
      <c r="D39" s="39"/>
      <c r="E39" s="39"/>
      <c r="F39" s="39"/>
      <c r="G39" s="39"/>
      <c r="H39" s="39"/>
      <c r="I39" s="39"/>
      <c r="J39" s="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</row>
    <row r="40" spans="1:30" ht="16.5" thickTop="1" thickBot="1" x14ac:dyDescent="0.3">
      <c r="A40" s="32" t="s">
        <v>6</v>
      </c>
      <c r="B40" s="32" t="s">
        <v>207</v>
      </c>
      <c r="C40" s="32" t="s">
        <v>208</v>
      </c>
      <c r="D40" s="38">
        <v>1.0509999999999999</v>
      </c>
      <c r="E40" s="38">
        <v>37229.300999999999</v>
      </c>
      <c r="F40" s="38">
        <v>2.82305E-5</v>
      </c>
      <c r="G40" s="38"/>
      <c r="H40" s="38"/>
      <c r="I40" s="38"/>
      <c r="J40" s="34"/>
      <c r="K40" s="32"/>
      <c r="L40" s="32"/>
      <c r="M40" s="32"/>
      <c r="N40" s="32"/>
      <c r="O40" s="32"/>
      <c r="P40" s="32"/>
      <c r="Q40" s="32"/>
      <c r="R40" s="32" t="s">
        <v>240</v>
      </c>
      <c r="S40" s="32"/>
      <c r="T40" s="32">
        <v>3</v>
      </c>
      <c r="U40" s="32"/>
      <c r="V40" s="32"/>
      <c r="W40" s="32"/>
      <c r="X40" s="32"/>
      <c r="Y40" s="32"/>
      <c r="Z40" s="9" t="s">
        <v>45</v>
      </c>
      <c r="AA40" s="9" t="s">
        <v>47</v>
      </c>
      <c r="AB40" s="9" t="s">
        <v>48</v>
      </c>
      <c r="AC40" s="9" t="s">
        <v>49</v>
      </c>
      <c r="AD40" s="9" t="s">
        <v>50</v>
      </c>
    </row>
    <row r="41" spans="1:30" ht="15.75" thickTop="1" x14ac:dyDescent="0.25">
      <c r="A41" s="33" t="s">
        <v>8</v>
      </c>
      <c r="B41" s="33" t="s">
        <v>207</v>
      </c>
      <c r="C41" s="33" t="s">
        <v>208</v>
      </c>
      <c r="D41" s="39">
        <v>1.2569999999999999</v>
      </c>
      <c r="E41" s="39">
        <v>37141.370999999999</v>
      </c>
      <c r="F41" s="39">
        <v>3.3843700000000003E-5</v>
      </c>
      <c r="G41" s="39"/>
      <c r="H41" s="39"/>
      <c r="I41" s="39"/>
      <c r="J41" s="35"/>
      <c r="K41" s="33"/>
      <c r="L41" s="33"/>
      <c r="M41" s="33"/>
      <c r="N41" s="33"/>
      <c r="O41" s="33"/>
      <c r="P41" s="33"/>
      <c r="Q41" s="33"/>
      <c r="R41" s="33" t="s">
        <v>45</v>
      </c>
      <c r="S41" s="33"/>
      <c r="T41" s="33">
        <v>43</v>
      </c>
      <c r="U41" s="33"/>
      <c r="V41" s="33"/>
      <c r="W41" s="33"/>
      <c r="X41" s="33"/>
      <c r="Y41" s="33"/>
      <c r="Z41" s="10">
        <f>$H$43</f>
        <v>120</v>
      </c>
      <c r="AA41" s="11">
        <f>IF(ISTEXT($I$43),TEXT($G$43/100,"0.00%"),$G$43 / 100)</f>
        <v>0.14173199137891893</v>
      </c>
      <c r="AB41" s="14">
        <f>IF(ISTEXT($I$44),TEXT($G$44/100,"0.00%"),$G$44 / 100)</f>
        <v>9.1946029964060191E-2</v>
      </c>
      <c r="AC41" s="11">
        <f>IF(ISTEXT($I$45),TEXT($G$45/100,"0.00%"),$G$45 / 100)</f>
        <v>0.19439640115457921</v>
      </c>
      <c r="AD41" s="11">
        <f>IFERROR(AVERAGE($AA$41:$AC$41),"")</f>
        <v>0.14269147416585279</v>
      </c>
    </row>
    <row r="42" spans="1:30" x14ac:dyDescent="0.25">
      <c r="A42" s="32" t="s">
        <v>9</v>
      </c>
      <c r="B42" s="32" t="s">
        <v>207</v>
      </c>
      <c r="C42" s="32" t="s">
        <v>208</v>
      </c>
      <c r="D42" s="38">
        <v>1</v>
      </c>
      <c r="E42" s="38">
        <v>36262.148000000001</v>
      </c>
      <c r="F42" s="38">
        <v>2.757696537998797E-5</v>
      </c>
      <c r="G42" s="38"/>
      <c r="H42" s="38"/>
      <c r="I42" s="38"/>
      <c r="J42" s="34"/>
      <c r="K42" s="32"/>
      <c r="L42" s="32"/>
      <c r="M42" s="32"/>
      <c r="N42" s="32"/>
      <c r="O42" s="32"/>
      <c r="P42" s="32"/>
      <c r="Q42" s="32"/>
      <c r="R42" s="32" t="s">
        <v>46</v>
      </c>
      <c r="S42" s="32"/>
      <c r="T42" s="32">
        <v>57</v>
      </c>
      <c r="U42" s="32"/>
      <c r="V42" s="32"/>
      <c r="W42" s="32"/>
      <c r="X42" s="32"/>
      <c r="Y42" s="32"/>
      <c r="Z42" s="10">
        <f>$H$46</f>
        <v>60</v>
      </c>
      <c r="AA42" s="11">
        <f>IF(ISTEXT($I$46),TEXT($G$46/100,"0.00%"),$G$46 / 100)</f>
        <v>0.31423272500386906</v>
      </c>
      <c r="AB42" s="14">
        <f>IF(ISTEXT($I$47),TEXT($G$47/100,"0.00%"),$G$47 / 100)</f>
        <v>8.6604580474459056E-2</v>
      </c>
      <c r="AC42" s="11">
        <f>IF(ISTEXT($I$48),TEXT($G$48/100,"0.00%"),$G$48 / 100)</f>
        <v>0.21607857965857</v>
      </c>
      <c r="AD42" s="11">
        <f>IFERROR(AVERAGE($AA$42:$AC$42),"")</f>
        <v>0.20563862837896604</v>
      </c>
    </row>
    <row r="43" spans="1:30" x14ac:dyDescent="0.25">
      <c r="A43" s="33" t="s">
        <v>241</v>
      </c>
      <c r="B43" s="33" t="s">
        <v>207</v>
      </c>
      <c r="C43" s="33" t="s">
        <v>208</v>
      </c>
      <c r="D43" s="39">
        <v>355.29300000000001</v>
      </c>
      <c r="E43" s="39">
        <v>28476.291000000001</v>
      </c>
      <c r="F43" s="39">
        <v>1.24768E-2</v>
      </c>
      <c r="G43" s="39">
        <f>($F$43 -  AVERAGE($F$40,$F$41,$F$42) ) / ($F$55 -  AVERAGE($F$40,$F$41,$F$42) ) * 100</f>
        <v>14.173199137891892</v>
      </c>
      <c r="H43" s="39">
        <v>120</v>
      </c>
      <c r="I43" s="40">
        <f>LN($G$43)</f>
        <v>2.6513527965970249</v>
      </c>
      <c r="J43" s="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>
        <f>IF(ISTEXT($I$43),"",1)</f>
        <v>1</v>
      </c>
      <c r="V43" s="33">
        <f t="shared" ref="V43:V57" si="4">IFERROR(INDEX($H$43:$H$57,SMALL($U$43:$U$57,ROW(W1)),1),"")</f>
        <v>120</v>
      </c>
      <c r="W43" s="33">
        <f t="shared" ref="W43:W57" si="5">IFERROR(INDEX($I$43:$I$57,SMALL($U$43:$U$57,ROW(I1)),1),"")</f>
        <v>2.6513527965970249</v>
      </c>
      <c r="X43" s="33"/>
      <c r="Y43" s="33"/>
      <c r="Z43" s="10">
        <f>$H$49</f>
        <v>30</v>
      </c>
      <c r="AA43" s="11">
        <f>IF(ISTEXT($I$49),TEXT($G$49/100,"0.00%"),$G$49 / 100)</f>
        <v>0.42879235444775543</v>
      </c>
      <c r="AB43" s="11">
        <f>IF(ISTEXT($I$50),TEXT($G$50/100,"0.00%"),$G$50 / 100)</f>
        <v>0.42895183832586092</v>
      </c>
      <c r="AC43" s="11">
        <f>IF(ISTEXT($I$51),TEXT($G$51/100,"0.00%"),$G$51 / 100)</f>
        <v>0.21985466227911665</v>
      </c>
      <c r="AD43" s="11">
        <f>IFERROR(AVERAGE($AA$43:$AC$43),"")</f>
        <v>0.35919961835091102</v>
      </c>
    </row>
    <row r="44" spans="1:30" x14ac:dyDescent="0.25">
      <c r="A44" s="32" t="s">
        <v>242</v>
      </c>
      <c r="B44" s="32" t="s">
        <v>207</v>
      </c>
      <c r="C44" s="32" t="s">
        <v>208</v>
      </c>
      <c r="D44" s="38">
        <v>276.22300000000001</v>
      </c>
      <c r="E44" s="38">
        <v>25017.24</v>
      </c>
      <c r="F44" s="38">
        <v>1.1041306000000001E-2</v>
      </c>
      <c r="G44" s="38">
        <f>($F$44 -  AVERAGE($F$40,$F$41,$F$42) ) / ($F$56 -  AVERAGE($F$40,$F$41,$F$42) ) * 100</f>
        <v>9.1946029964060187</v>
      </c>
      <c r="H44" s="38">
        <v>120</v>
      </c>
      <c r="I44" s="41">
        <f>LN($G$44)</f>
        <v>2.2186166810943759</v>
      </c>
      <c r="J44" s="34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>
        <f>IF(ISTEXT($I$44),"",2)</f>
        <v>2</v>
      </c>
      <c r="V44" s="32">
        <f t="shared" si="4"/>
        <v>120</v>
      </c>
      <c r="W44" s="32">
        <f t="shared" si="5"/>
        <v>2.2186166810943759</v>
      </c>
      <c r="X44" s="32"/>
      <c r="Y44" s="32"/>
      <c r="Z44" s="10">
        <f>$H$52</f>
        <v>15</v>
      </c>
      <c r="AA44" s="11">
        <f>IF(ISTEXT($I$52),TEXT($G$52/100,"0.00%"),$G$52 / 100)</f>
        <v>0.57803954786874179</v>
      </c>
      <c r="AB44" s="11">
        <f>IF(ISTEXT($I$53),TEXT($G$53/100,"0.00%"),$G$53 / 100)</f>
        <v>0.45640413652283668</v>
      </c>
      <c r="AC44" s="11">
        <f>IF(ISTEXT($I$54),TEXT($G$54/100,"0.00%"),$G$54 / 100)</f>
        <v>0.42492958173488793</v>
      </c>
      <c r="AD44" s="11">
        <f>IFERROR(AVERAGE($AA$44:$AC$44),"")</f>
        <v>0.4864577553754888</v>
      </c>
    </row>
    <row r="45" spans="1:30" ht="15.75" thickBot="1" x14ac:dyDescent="0.3">
      <c r="A45" s="33" t="s">
        <v>243</v>
      </c>
      <c r="B45" s="33" t="s">
        <v>207</v>
      </c>
      <c r="C45" s="33" t="s">
        <v>208</v>
      </c>
      <c r="D45" s="39">
        <v>574.69299999999998</v>
      </c>
      <c r="E45" s="39">
        <v>28786.190999999999</v>
      </c>
      <c r="F45" s="39">
        <v>1.9964190999999999E-2</v>
      </c>
      <c r="G45" s="39">
        <f>($F$45 -  AVERAGE($F$40,$F$41,$F$42) ) / ($F$57 -  AVERAGE($F$40,$F$41,$F$42) ) * 100</f>
        <v>19.439640115457919</v>
      </c>
      <c r="H45" s="39">
        <v>120</v>
      </c>
      <c r="I45" s="40">
        <f>LN($G$45)</f>
        <v>2.9673142862816078</v>
      </c>
      <c r="J45" s="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>
        <f>IF(ISTEXT($I$45),"",3)</f>
        <v>3</v>
      </c>
      <c r="V45" s="33">
        <f t="shared" si="4"/>
        <v>120</v>
      </c>
      <c r="W45" s="33">
        <f t="shared" si="5"/>
        <v>2.9673142862816078</v>
      </c>
      <c r="X45" s="33"/>
      <c r="Y45" s="33"/>
      <c r="Z45" s="12">
        <f>$H$55</f>
        <v>0</v>
      </c>
      <c r="AA45" s="13">
        <f>IF(ISTEXT($I$55),TEXT($G$55/100,"0.00%"),$G$55 / 100)</f>
        <v>1</v>
      </c>
      <c r="AB45" s="13">
        <f>IF(ISTEXT($I$56),TEXT($G$56/100,"0.00%"),$G$56 / 100)</f>
        <v>1</v>
      </c>
      <c r="AC45" s="13">
        <f>IF(ISTEXT($I$57),TEXT($G$57/100,"0.00%"),$G$57 / 100)</f>
        <v>1</v>
      </c>
      <c r="AD45" s="13">
        <f>IFERROR(AVERAGE($AA$45:$AC$45),"")</f>
        <v>1</v>
      </c>
    </row>
    <row r="46" spans="1:30" ht="16.5" thickTop="1" thickBot="1" x14ac:dyDescent="0.3">
      <c r="A46" s="32" t="s">
        <v>244</v>
      </c>
      <c r="B46" s="32" t="s">
        <v>207</v>
      </c>
      <c r="C46" s="32" t="s">
        <v>208</v>
      </c>
      <c r="D46" s="38">
        <v>693.42100000000005</v>
      </c>
      <c r="E46" s="38">
        <v>25100.458999999999</v>
      </c>
      <c r="F46" s="38">
        <v>2.7625830000000001E-2</v>
      </c>
      <c r="G46" s="38">
        <f>($F$46 -  AVERAGE($F$40,$F$41,$F$42) ) / ($F$55 -  AVERAGE($F$40,$F$41,$F$42) ) * 100</f>
        <v>31.423272500386908</v>
      </c>
      <c r="H46" s="38">
        <v>60</v>
      </c>
      <c r="I46" s="41">
        <f>LN($G$46)</f>
        <v>3.4475487808216729</v>
      </c>
      <c r="J46" s="34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>
        <f>IF(ISTEXT($I$46),"",4)</f>
        <v>4</v>
      </c>
      <c r="V46" s="32">
        <f t="shared" si="4"/>
        <v>60</v>
      </c>
      <c r="W46" s="32">
        <f t="shared" si="5"/>
        <v>3.4475487808216729</v>
      </c>
      <c r="X46" s="32"/>
      <c r="Y46" s="32"/>
    </row>
    <row r="47" spans="1:30" x14ac:dyDescent="0.25">
      <c r="A47" s="33" t="s">
        <v>245</v>
      </c>
      <c r="B47" s="33" t="s">
        <v>207</v>
      </c>
      <c r="C47" s="33" t="s">
        <v>208</v>
      </c>
      <c r="D47" s="39">
        <v>276.99299999999999</v>
      </c>
      <c r="E47" s="39">
        <v>26629.805</v>
      </c>
      <c r="F47" s="39">
        <v>1.0401616000000001E-2</v>
      </c>
      <c r="G47" s="39">
        <f>($F$47 -  AVERAGE($F$40,$F$41,$F$42) ) / ($F$56 -  AVERAGE($F$40,$F$41,$F$42) ) * 100</f>
        <v>8.6604580474459052</v>
      </c>
      <c r="H47" s="39">
        <v>60</v>
      </c>
      <c r="I47" s="40">
        <f>LN($G$47)</f>
        <v>2.1587676134903644</v>
      </c>
      <c r="J47" s="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>
        <f>IF(ISTEXT($I$47),"",5)</f>
        <v>5</v>
      </c>
      <c r="V47" s="33">
        <f t="shared" si="4"/>
        <v>60</v>
      </c>
      <c r="W47" s="33">
        <f t="shared" si="5"/>
        <v>2.1587676134903644</v>
      </c>
      <c r="X47" s="33"/>
      <c r="Y47" s="33"/>
      <c r="Z47" s="20" t="s">
        <v>51</v>
      </c>
      <c r="AA47" s="29">
        <f>IFERROR(SLOPE($W$43:$W$57,$V$43:$V$57),"")</f>
        <v>-1.5245914765641348E-2</v>
      </c>
    </row>
    <row r="48" spans="1:30" x14ac:dyDescent="0.25">
      <c r="A48" s="32" t="s">
        <v>246</v>
      </c>
      <c r="B48" s="32" t="s">
        <v>207</v>
      </c>
      <c r="C48" s="32" t="s">
        <v>208</v>
      </c>
      <c r="D48" s="38">
        <v>567.24599999999998</v>
      </c>
      <c r="E48" s="38">
        <v>25565.921999999999</v>
      </c>
      <c r="F48" s="38">
        <v>2.2187582000000001E-2</v>
      </c>
      <c r="G48" s="38">
        <f>($F$48 -  AVERAGE($F$40,$F$41,$F$42) ) / ($F$57 -  AVERAGE($F$40,$F$41,$F$42) ) * 100</f>
        <v>21.607857965857001</v>
      </c>
      <c r="H48" s="38">
        <v>60</v>
      </c>
      <c r="I48" s="41">
        <f>LN($G$48)</f>
        <v>3.0730570432484683</v>
      </c>
      <c r="J48" s="34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>
        <f>IF(ISTEXT($I$48),"",6)</f>
        <v>6</v>
      </c>
      <c r="V48" s="32">
        <f t="shared" si="4"/>
        <v>60</v>
      </c>
      <c r="W48" s="32">
        <f t="shared" si="5"/>
        <v>3.0730570432484683</v>
      </c>
      <c r="X48" s="32"/>
      <c r="Y48" s="32"/>
      <c r="Z48" s="22" t="s">
        <v>52</v>
      </c>
      <c r="AA48" s="23">
        <f>IFERROR(INTERCEPT($W$43:$W$57,$V$43:$V$57),"")</f>
        <v>4.190525215483051</v>
      </c>
    </row>
    <row r="49" spans="1:30" ht="17.25" x14ac:dyDescent="0.25">
      <c r="A49" s="33" t="s">
        <v>247</v>
      </c>
      <c r="B49" s="33" t="s">
        <v>207</v>
      </c>
      <c r="C49" s="33" t="s">
        <v>208</v>
      </c>
      <c r="D49" s="39">
        <v>974.54</v>
      </c>
      <c r="E49" s="39">
        <v>25859.15</v>
      </c>
      <c r="F49" s="39">
        <v>3.7686467000000001E-2</v>
      </c>
      <c r="G49" s="39">
        <f>($F$49 -  AVERAGE($F$40,$F$41,$F$42) ) / ($F$55 -  AVERAGE($F$40,$F$41,$F$42) ) * 100</f>
        <v>42.879235444775546</v>
      </c>
      <c r="H49" s="39">
        <v>30</v>
      </c>
      <c r="I49" s="40">
        <f>LN($G$49)</f>
        <v>3.7583876864910777</v>
      </c>
      <c r="J49" s="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>
        <f>IF(ISTEXT($I$49),"",7)</f>
        <v>7</v>
      </c>
      <c r="V49" s="33">
        <f t="shared" si="4"/>
        <v>30</v>
      </c>
      <c r="W49" s="33">
        <f t="shared" si="5"/>
        <v>3.7583876864910777</v>
      </c>
      <c r="X49" s="33"/>
      <c r="Y49" s="33"/>
      <c r="Z49" s="22" t="s">
        <v>53</v>
      </c>
      <c r="AA49" s="26">
        <f>IFERROR(CORREL($W$43:$W$57,$V$43:$V$57)^2,"")</f>
        <v>0.69188330813929544</v>
      </c>
    </row>
    <row r="50" spans="1:30" ht="18" x14ac:dyDescent="0.35">
      <c r="A50" s="32" t="s">
        <v>248</v>
      </c>
      <c r="B50" s="32" t="s">
        <v>207</v>
      </c>
      <c r="C50" s="32" t="s">
        <v>208</v>
      </c>
      <c r="D50" s="38">
        <v>1346.9649999999999</v>
      </c>
      <c r="E50" s="38">
        <v>26205.037</v>
      </c>
      <c r="F50" s="38">
        <v>5.1400995999999997E-2</v>
      </c>
      <c r="G50" s="38">
        <f>($F$50 -  AVERAGE($F$40,$F$41,$F$42) ) / ($F$56 -  AVERAGE($F$40,$F$41,$F$42) ) * 100</f>
        <v>42.895183832586092</v>
      </c>
      <c r="H50" s="38">
        <v>30</v>
      </c>
      <c r="I50" s="41">
        <f>LN($G$50)</f>
        <v>3.7587595546571042</v>
      </c>
      <c r="J50" s="34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>
        <f>IF(ISTEXT($I$50),"",8)</f>
        <v>8</v>
      </c>
      <c r="V50" s="32">
        <f t="shared" si="4"/>
        <v>30</v>
      </c>
      <c r="W50" s="32">
        <f t="shared" si="5"/>
        <v>3.7587595546571042</v>
      </c>
      <c r="X50" s="32"/>
      <c r="Y50" s="32"/>
      <c r="Z50" s="22" t="s">
        <v>54</v>
      </c>
      <c r="AA50" s="30">
        <f>IF(AA47&gt;0,"",IFERROR(LN(2) /ABS(AA47),0))</f>
        <v>45.464453344711238</v>
      </c>
    </row>
    <row r="51" spans="1:30" ht="18.75" x14ac:dyDescent="0.35">
      <c r="A51" s="33" t="s">
        <v>249</v>
      </c>
      <c r="B51" s="33" t="s">
        <v>207</v>
      </c>
      <c r="C51" s="33" t="s">
        <v>208</v>
      </c>
      <c r="D51" s="39">
        <v>550.74300000000005</v>
      </c>
      <c r="E51" s="39">
        <v>24396.363000000001</v>
      </c>
      <c r="F51" s="39">
        <v>2.2574799E-2</v>
      </c>
      <c r="G51" s="39">
        <f>($F$51 -  AVERAGE($F$40,$F$41,$F$42) ) / ($F$57 -  AVERAGE($F$40,$F$41,$F$42) ) * 100</f>
        <v>21.985466227911665</v>
      </c>
      <c r="H51" s="39">
        <v>30</v>
      </c>
      <c r="I51" s="40">
        <f>LN($G$51)</f>
        <v>3.0903816090447895</v>
      </c>
      <c r="J51" s="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>
        <f>IF(ISTEXT($I$51),"",9)</f>
        <v>9</v>
      </c>
      <c r="V51" s="33">
        <f t="shared" si="4"/>
        <v>30</v>
      </c>
      <c r="W51" s="33">
        <f t="shared" si="5"/>
        <v>3.0903816090447895</v>
      </c>
      <c r="X51" s="33"/>
      <c r="Y51" s="33"/>
      <c r="Z51" s="22" t="s">
        <v>55</v>
      </c>
      <c r="AA51" s="30">
        <f>IF(AA47&gt;0,0,IFERROR(ABS(AA47 * 1000 / 0.5),0))</f>
        <v>30.491829531282697</v>
      </c>
    </row>
    <row r="52" spans="1:30" ht="15.75" thickBot="1" x14ac:dyDescent="0.3">
      <c r="A52" s="32" t="s">
        <v>250</v>
      </c>
      <c r="B52" s="32" t="s">
        <v>207</v>
      </c>
      <c r="C52" s="32" t="s">
        <v>208</v>
      </c>
      <c r="D52" s="38">
        <v>1250.078</v>
      </c>
      <c r="E52" s="38">
        <v>24611.046999999999</v>
      </c>
      <c r="F52" s="38">
        <v>5.0793368999999998E-2</v>
      </c>
      <c r="G52" s="38">
        <f>($F$52 -  AVERAGE($F$40,$F$41,$F$42) ) / ($F$55 -  AVERAGE($F$40,$F$41,$F$42) ) * 100</f>
        <v>57.803954786874179</v>
      </c>
      <c r="H52" s="38">
        <v>15</v>
      </c>
      <c r="I52" s="41">
        <f>LN($G$52)</f>
        <v>4.0570571952558971</v>
      </c>
      <c r="J52" s="34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>
        <f>IF(ISTEXT($I$52),"",10)</f>
        <v>10</v>
      </c>
      <c r="V52" s="32">
        <f t="shared" si="4"/>
        <v>15</v>
      </c>
      <c r="W52" s="32">
        <f t="shared" si="5"/>
        <v>4.0570571952558971</v>
      </c>
      <c r="X52" s="32"/>
      <c r="Y52" s="32"/>
      <c r="Z52" s="27" t="s">
        <v>39</v>
      </c>
      <c r="AA52" s="28" t="s">
        <v>56</v>
      </c>
    </row>
    <row r="53" spans="1:30" x14ac:dyDescent="0.25">
      <c r="A53" s="33" t="s">
        <v>251</v>
      </c>
      <c r="B53" s="33" t="s">
        <v>207</v>
      </c>
      <c r="C53" s="33" t="s">
        <v>208</v>
      </c>
      <c r="D53" s="39">
        <v>1404.0630000000001</v>
      </c>
      <c r="E53" s="39">
        <v>25673.743999999999</v>
      </c>
      <c r="F53" s="39">
        <v>5.4688673E-2</v>
      </c>
      <c r="G53" s="39">
        <f>($F$53 -  AVERAGE($F$40,$F$41,$F$42) ) / ($F$56 -  AVERAGE($F$40,$F$41,$F$42) ) * 100</f>
        <v>45.640413652283669</v>
      </c>
      <c r="H53" s="39">
        <v>15</v>
      </c>
      <c r="I53" s="40">
        <f>LN($G$53)</f>
        <v>3.820793588324487</v>
      </c>
      <c r="J53" s="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>
        <f>IF(ISTEXT($I$53),"",11)</f>
        <v>11</v>
      </c>
      <c r="V53" s="33">
        <f t="shared" si="4"/>
        <v>15</v>
      </c>
      <c r="W53" s="33">
        <f t="shared" si="5"/>
        <v>3.820793588324487</v>
      </c>
      <c r="X53" s="33"/>
      <c r="Y53" s="33"/>
    </row>
    <row r="54" spans="1:30" x14ac:dyDescent="0.25">
      <c r="A54" s="32" t="s">
        <v>252</v>
      </c>
      <c r="B54" s="32" t="s">
        <v>207</v>
      </c>
      <c r="C54" s="32" t="s">
        <v>208</v>
      </c>
      <c r="D54" s="38">
        <v>1139.68</v>
      </c>
      <c r="E54" s="38">
        <v>26136.973000000002</v>
      </c>
      <c r="F54" s="38">
        <v>4.3604130999999997E-2</v>
      </c>
      <c r="G54" s="38">
        <f>($F$54 -  AVERAGE($F$40,$F$41,$F$42) ) / ($F$57 -  AVERAGE($F$40,$F$41,$F$42) ) * 100</f>
        <v>42.492958173488795</v>
      </c>
      <c r="H54" s="38">
        <v>15</v>
      </c>
      <c r="I54" s="41">
        <f>LN($G$54)</f>
        <v>3.7493383721667031</v>
      </c>
      <c r="J54" s="34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>
        <f>IF(ISTEXT($I$54),"",12)</f>
        <v>12</v>
      </c>
      <c r="V54" s="32">
        <f t="shared" si="4"/>
        <v>15</v>
      </c>
      <c r="W54" s="32">
        <f t="shared" si="5"/>
        <v>3.7493383721667031</v>
      </c>
      <c r="X54" s="32"/>
      <c r="Y54" s="32"/>
    </row>
    <row r="55" spans="1:30" x14ac:dyDescent="0.25">
      <c r="A55" s="33" t="s">
        <v>253</v>
      </c>
      <c r="B55" s="33" t="s">
        <v>207</v>
      </c>
      <c r="C55" s="33" t="s">
        <v>208</v>
      </c>
      <c r="D55" s="39">
        <v>2134.5140000000001</v>
      </c>
      <c r="E55" s="39">
        <v>24297.263999999999</v>
      </c>
      <c r="F55" s="39">
        <v>8.7849973999999997E-2</v>
      </c>
      <c r="G55" s="39">
        <f>($F$55 -  AVERAGE($F$40,$F$41,$F$42) ) / ($F$55 -  AVERAGE($F$40,$F$41,$F$42) ) * 100</f>
        <v>100</v>
      </c>
      <c r="H55" s="39">
        <v>0</v>
      </c>
      <c r="I55" s="40">
        <f>LN($G$55)</f>
        <v>4.6051701859880918</v>
      </c>
      <c r="J55" s="35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>
        <f>IF(ISTEXT($I$55),"",13)</f>
        <v>13</v>
      </c>
      <c r="V55" s="33">
        <f t="shared" si="4"/>
        <v>0</v>
      </c>
      <c r="W55" s="33">
        <f t="shared" si="5"/>
        <v>4.6051701859880918</v>
      </c>
      <c r="X55" s="33"/>
      <c r="Y55" s="33"/>
    </row>
    <row r="56" spans="1:30" x14ac:dyDescent="0.25">
      <c r="A56" s="32" t="s">
        <v>254</v>
      </c>
      <c r="B56" s="32" t="s">
        <v>207</v>
      </c>
      <c r="C56" s="32" t="s">
        <v>208</v>
      </c>
      <c r="D56" s="38">
        <v>3164.2240000000002</v>
      </c>
      <c r="E56" s="38">
        <v>26414.866999999998</v>
      </c>
      <c r="F56" s="38">
        <v>0.119789511</v>
      </c>
      <c r="G56" s="38">
        <f>($F$56 -  AVERAGE($F$40,$F$41,$F$42) ) / ($F$56 -  AVERAGE($F$40,$F$41,$F$42) ) * 100</f>
        <v>100</v>
      </c>
      <c r="H56" s="38">
        <v>0</v>
      </c>
      <c r="I56" s="41">
        <f>LN($G$56)</f>
        <v>4.6051701859880918</v>
      </c>
      <c r="J56" s="34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>
        <f>IF(ISTEXT($I$56),"",14)</f>
        <v>14</v>
      </c>
      <c r="V56" s="32">
        <f t="shared" si="4"/>
        <v>0</v>
      </c>
      <c r="W56" s="32">
        <f t="shared" si="5"/>
        <v>4.6051701859880918</v>
      </c>
      <c r="X56" s="32"/>
      <c r="Y56" s="32"/>
    </row>
    <row r="57" spans="1:30" x14ac:dyDescent="0.25">
      <c r="A57" s="33" t="s">
        <v>255</v>
      </c>
      <c r="B57" s="33" t="s">
        <v>207</v>
      </c>
      <c r="C57" s="33" t="s">
        <v>208</v>
      </c>
      <c r="D57" s="39">
        <v>2570.3200000000002</v>
      </c>
      <c r="E57" s="39">
        <v>25058.076000000001</v>
      </c>
      <c r="F57" s="39">
        <v>0.102574515</v>
      </c>
      <c r="G57" s="39">
        <f>($F$57 -  AVERAGE($F$40,$F$41,$F$42) ) / ($F$57 -  AVERAGE($F$40,$F$41,$F$42) ) * 100</f>
        <v>100</v>
      </c>
      <c r="H57" s="39">
        <v>0</v>
      </c>
      <c r="I57" s="40">
        <f>LN($G$57)</f>
        <v>4.6051701859880918</v>
      </c>
      <c r="J57" s="35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>
        <f>IF(ISTEXT($I$57),"",15)</f>
        <v>15</v>
      </c>
      <c r="V57" s="33">
        <f t="shared" si="4"/>
        <v>0</v>
      </c>
      <c r="W57" s="33">
        <f t="shared" si="5"/>
        <v>4.6051701859880918</v>
      </c>
      <c r="X57" s="33"/>
      <c r="Y57" s="33"/>
    </row>
    <row r="58" spans="1:30" ht="15.75" thickBot="1" x14ac:dyDescent="0.3">
      <c r="A58" s="32"/>
      <c r="B58" s="32"/>
      <c r="C58" s="32"/>
      <c r="D58" s="38"/>
      <c r="E58" s="38"/>
      <c r="F58" s="38"/>
      <c r="G58" s="38"/>
      <c r="H58" s="38"/>
      <c r="I58" s="38"/>
      <c r="J58" s="34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</row>
    <row r="59" spans="1:30" ht="16.5" thickTop="1" thickBot="1" x14ac:dyDescent="0.3">
      <c r="A59" s="33" t="s">
        <v>6</v>
      </c>
      <c r="B59" s="33" t="s">
        <v>95</v>
      </c>
      <c r="C59" s="33" t="s">
        <v>11</v>
      </c>
      <c r="D59" s="39">
        <v>1.1140000000000001</v>
      </c>
      <c r="E59" s="39">
        <v>37229.300999999999</v>
      </c>
      <c r="F59" s="39">
        <v>2.9922700000000001E-5</v>
      </c>
      <c r="G59" s="39"/>
      <c r="H59" s="39"/>
      <c r="I59" s="39"/>
      <c r="J59" s="35"/>
      <c r="K59" s="33"/>
      <c r="L59" s="33"/>
      <c r="M59" s="33"/>
      <c r="N59" s="33"/>
      <c r="O59" s="33"/>
      <c r="P59" s="33"/>
      <c r="Q59" s="33"/>
      <c r="R59" s="33" t="s">
        <v>96</v>
      </c>
      <c r="S59" s="33"/>
      <c r="T59" s="33">
        <v>4</v>
      </c>
      <c r="U59" s="33"/>
      <c r="V59" s="33"/>
      <c r="W59" s="33"/>
      <c r="X59" s="33"/>
      <c r="Y59" s="33"/>
      <c r="Z59" s="9" t="s">
        <v>45</v>
      </c>
      <c r="AA59" s="9" t="s">
        <v>47</v>
      </c>
      <c r="AB59" s="9" t="s">
        <v>48</v>
      </c>
      <c r="AC59" s="9" t="s">
        <v>49</v>
      </c>
      <c r="AD59" s="9" t="s">
        <v>50</v>
      </c>
    </row>
    <row r="60" spans="1:30" ht="15.75" thickTop="1" x14ac:dyDescent="0.25">
      <c r="A60" s="32" t="s">
        <v>8</v>
      </c>
      <c r="B60" s="32" t="s">
        <v>95</v>
      </c>
      <c r="C60" s="32" t="s">
        <v>11</v>
      </c>
      <c r="D60" s="38">
        <v>1</v>
      </c>
      <c r="E60" s="38">
        <v>37141.370999999999</v>
      </c>
      <c r="F60" s="38">
        <v>2.6924154199908239E-5</v>
      </c>
      <c r="G60" s="38"/>
      <c r="H60" s="38"/>
      <c r="I60" s="38"/>
      <c r="J60" s="34"/>
      <c r="K60" s="32"/>
      <c r="L60" s="32"/>
      <c r="M60" s="32"/>
      <c r="N60" s="32"/>
      <c r="O60" s="32"/>
      <c r="P60" s="32"/>
      <c r="Q60" s="32"/>
      <c r="R60" s="32" t="s">
        <v>45</v>
      </c>
      <c r="S60" s="32"/>
      <c r="T60" s="32">
        <v>62</v>
      </c>
      <c r="U60" s="32"/>
      <c r="V60" s="32"/>
      <c r="W60" s="32"/>
      <c r="X60" s="32"/>
      <c r="Y60" s="32"/>
      <c r="Z60" s="10">
        <f>$H$62</f>
        <v>120</v>
      </c>
      <c r="AA60" s="11">
        <f>IF(ISTEXT($I$62),TEXT($G$62/100,"0.00%"),$G$62 / 100)</f>
        <v>0.19456721354605896</v>
      </c>
      <c r="AB60" s="11">
        <f>IF(ISTEXT($I$63),TEXT($G$63/100,"0.00%"),$G$63 / 100)</f>
        <v>0.19779317576829991</v>
      </c>
      <c r="AC60" s="11">
        <f>IF(ISTEXT($I$64),TEXT($G$64/100,"0.00%"),$G$64 / 100)</f>
        <v>0.24114124825442387</v>
      </c>
      <c r="AD60" s="11">
        <f>IFERROR(AVERAGE($AA$60:$AC$60),"")</f>
        <v>0.21116721252292758</v>
      </c>
    </row>
    <row r="61" spans="1:30" x14ac:dyDescent="0.25">
      <c r="A61" s="33" t="s">
        <v>9</v>
      </c>
      <c r="B61" s="33" t="s">
        <v>95</v>
      </c>
      <c r="C61" s="33" t="s">
        <v>11</v>
      </c>
      <c r="D61" s="39">
        <v>1</v>
      </c>
      <c r="E61" s="39">
        <v>36262.148000000001</v>
      </c>
      <c r="F61" s="39">
        <v>2.757696537998797E-5</v>
      </c>
      <c r="G61" s="39"/>
      <c r="H61" s="39"/>
      <c r="I61" s="39"/>
      <c r="J61" s="35"/>
      <c r="K61" s="33"/>
      <c r="L61" s="33"/>
      <c r="M61" s="33"/>
      <c r="N61" s="33"/>
      <c r="O61" s="33"/>
      <c r="P61" s="33"/>
      <c r="Q61" s="33"/>
      <c r="R61" s="33" t="s">
        <v>46</v>
      </c>
      <c r="S61" s="33"/>
      <c r="T61" s="33">
        <v>76</v>
      </c>
      <c r="U61" s="33"/>
      <c r="V61" s="33"/>
      <c r="W61" s="33"/>
      <c r="X61" s="33"/>
      <c r="Y61" s="33"/>
      <c r="Z61" s="10">
        <f>$H$65</f>
        <v>60</v>
      </c>
      <c r="AA61" s="11">
        <f>IF(ISTEXT($I$65),TEXT($G$65/100,"0.00%"),$G$65 / 100)</f>
        <v>0.18078670411991193</v>
      </c>
      <c r="AB61" s="11">
        <f>IF(ISTEXT($I$66),TEXT($G$66/100,"0.00%"),$G$66 / 100)</f>
        <v>0.23955209793801852</v>
      </c>
      <c r="AC61" s="11">
        <f>IF(ISTEXT($I$67),TEXT($G$67/100,"0.00%"),$G$67 / 100)</f>
        <v>0.26574168702244011</v>
      </c>
      <c r="AD61" s="11">
        <f>IFERROR(AVERAGE($AA$61:$AC$61),"")</f>
        <v>0.22869349636012351</v>
      </c>
    </row>
    <row r="62" spans="1:30" x14ac:dyDescent="0.25">
      <c r="A62" s="32" t="s">
        <v>256</v>
      </c>
      <c r="B62" s="32" t="s">
        <v>95</v>
      </c>
      <c r="C62" s="32" t="s">
        <v>11</v>
      </c>
      <c r="D62" s="38">
        <v>5257.3810000000003</v>
      </c>
      <c r="E62" s="38">
        <v>28574.391</v>
      </c>
      <c r="F62" s="38">
        <v>0.18398925799999999</v>
      </c>
      <c r="G62" s="38">
        <f>($F$62 -  AVERAGE($F$59,$F$60,$F$61) ) / ($F$74 -  AVERAGE($F$59,$F$60,$F$61) ) * 100</f>
        <v>19.456721354605897</v>
      </c>
      <c r="H62" s="38">
        <v>120</v>
      </c>
      <c r="I62" s="41">
        <f>LN($G$62)</f>
        <v>2.9681925812994678</v>
      </c>
      <c r="J62" s="34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>
        <f>IF(ISTEXT($I$62),"",1)</f>
        <v>1</v>
      </c>
      <c r="V62" s="32">
        <f t="shared" ref="V62:V76" si="6">IFERROR(INDEX($H$62:$H$76,SMALL($U$62:$U$76,ROW(W1)),1),"")</f>
        <v>120</v>
      </c>
      <c r="W62" s="32">
        <f t="shared" ref="W62:W76" si="7">IFERROR(INDEX($I$62:$I$76,SMALL($U$62:$U$76,ROW(I1)),1),"")</f>
        <v>2.9681925812994678</v>
      </c>
      <c r="X62" s="32"/>
      <c r="Y62" s="32"/>
      <c r="Z62" s="10">
        <f>$H$68</f>
        <v>30</v>
      </c>
      <c r="AA62" s="11">
        <f>IF(ISTEXT($I$68),TEXT($G$68/100,"0.00%"),$G$68 / 100)</f>
        <v>0.19508869514598545</v>
      </c>
      <c r="AB62" s="11">
        <f>IF(ISTEXT($I$69),TEXT($G$69/100,"0.00%"),$G$69 / 100)</f>
        <v>0.32142418296014297</v>
      </c>
      <c r="AC62" s="11">
        <f>IF(ISTEXT($I$70),TEXT($G$70/100,"0.00%"),$G$70 / 100)</f>
        <v>0.30140837068794174</v>
      </c>
      <c r="AD62" s="11">
        <f>IFERROR(AVERAGE($AA$62:$AC$62),"")</f>
        <v>0.27264041626469004</v>
      </c>
    </row>
    <row r="63" spans="1:30" x14ac:dyDescent="0.25">
      <c r="A63" s="33" t="s">
        <v>257</v>
      </c>
      <c r="B63" s="33" t="s">
        <v>95</v>
      </c>
      <c r="C63" s="33" t="s">
        <v>11</v>
      </c>
      <c r="D63" s="39">
        <v>4974.51</v>
      </c>
      <c r="E63" s="39">
        <v>29937.096000000001</v>
      </c>
      <c r="F63" s="39">
        <v>0.16616541600000001</v>
      </c>
      <c r="G63" s="39">
        <f>($F$63 -  AVERAGE($F$59,$F$60,$F$61) ) / ($F$75 -  AVERAGE($F$59,$F$60,$F$61) ) * 100</f>
        <v>19.779317576829992</v>
      </c>
      <c r="H63" s="39">
        <v>120</v>
      </c>
      <c r="I63" s="40">
        <f>LN($G$63)</f>
        <v>2.9846368249335797</v>
      </c>
      <c r="J63" s="35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>
        <f>IF(ISTEXT($I$63),"",2)</f>
        <v>2</v>
      </c>
      <c r="V63" s="33">
        <f t="shared" si="6"/>
        <v>120</v>
      </c>
      <c r="W63" s="33">
        <f t="shared" si="7"/>
        <v>2.9846368249335797</v>
      </c>
      <c r="X63" s="33"/>
      <c r="Y63" s="33"/>
      <c r="Z63" s="10">
        <f>$H$71</f>
        <v>15</v>
      </c>
      <c r="AA63" s="11">
        <f>IF(ISTEXT($I$71),TEXT($G$71/100,"0.00%"),$G$71 / 100)</f>
        <v>0.30547655756072595</v>
      </c>
      <c r="AB63" s="11">
        <f>IF(ISTEXT($I$72),TEXT($G$72/100,"0.00%"),$G$72 / 100)</f>
        <v>0.42602732809725447</v>
      </c>
      <c r="AC63" s="11">
        <f>IF(ISTEXT($I$73),TEXT($G$73/100,"0.00%"),$G$73 / 100)</f>
        <v>0.5242004089007648</v>
      </c>
      <c r="AD63" s="11">
        <f>IFERROR(AVERAGE($AA$63:$AC$63),"")</f>
        <v>0.41856809818624835</v>
      </c>
    </row>
    <row r="64" spans="1:30" ht="15.75" thickBot="1" x14ac:dyDescent="0.3">
      <c r="A64" s="32" t="s">
        <v>258</v>
      </c>
      <c r="B64" s="32" t="s">
        <v>95</v>
      </c>
      <c r="C64" s="32" t="s">
        <v>11</v>
      </c>
      <c r="D64" s="38">
        <v>3815.1109999999999</v>
      </c>
      <c r="E64" s="38">
        <v>30204.155999999999</v>
      </c>
      <c r="F64" s="38">
        <v>0.126310796</v>
      </c>
      <c r="G64" s="38">
        <f>($F$64 -  AVERAGE($F$59,$F$60,$F$61) ) / ($F$76 -  AVERAGE($F$59,$F$60,$F$61) ) * 100</f>
        <v>24.114124825442389</v>
      </c>
      <c r="H64" s="38">
        <v>120</v>
      </c>
      <c r="I64" s="41">
        <f>LN($G$64)</f>
        <v>3.1827977611535792</v>
      </c>
      <c r="J64" s="34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>
        <f>IF(ISTEXT($I$64),"",3)</f>
        <v>3</v>
      </c>
      <c r="V64" s="32">
        <f t="shared" si="6"/>
        <v>120</v>
      </c>
      <c r="W64" s="32">
        <f t="shared" si="7"/>
        <v>3.1827977611535792</v>
      </c>
      <c r="X64" s="32"/>
      <c r="Y64" s="32"/>
      <c r="Z64" s="12">
        <f>$H$74</f>
        <v>0</v>
      </c>
      <c r="AA64" s="13">
        <f>IF(ISTEXT($I$74),TEXT($G$74/100,"0.00%"),$G$74 / 100)</f>
        <v>1</v>
      </c>
      <c r="AB64" s="13">
        <f>IF(ISTEXT($I$75),TEXT($G$75/100,"0.00%"),$G$75 / 100)</f>
        <v>1</v>
      </c>
      <c r="AC64" s="13">
        <f>IF(ISTEXT($I$76),TEXT($G$76/100,"0.00%"),$G$76 / 100)</f>
        <v>1</v>
      </c>
      <c r="AD64" s="13">
        <f>IFERROR(AVERAGE($AA$64:$AC$64),"")</f>
        <v>1</v>
      </c>
    </row>
    <row r="65" spans="1:30" ht="16.5" thickTop="1" thickBot="1" x14ac:dyDescent="0.3">
      <c r="A65" s="33" t="s">
        <v>259</v>
      </c>
      <c r="B65" s="33" t="s">
        <v>95</v>
      </c>
      <c r="C65" s="33" t="s">
        <v>11</v>
      </c>
      <c r="D65" s="39">
        <v>5396.7669999999998</v>
      </c>
      <c r="E65" s="39">
        <v>31567.436000000002</v>
      </c>
      <c r="F65" s="39">
        <v>0.170959941</v>
      </c>
      <c r="G65" s="39">
        <f>($F$65 -  AVERAGE($F$59,$F$60,$F$61) ) / ($F$74 -  AVERAGE($F$59,$F$60,$F$61) ) * 100</f>
        <v>18.078670411991194</v>
      </c>
      <c r="H65" s="39">
        <v>60</v>
      </c>
      <c r="I65" s="40">
        <f>LN($G$65)</f>
        <v>2.8947328131001147</v>
      </c>
      <c r="J65" s="35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>
        <f>IF(ISTEXT($I$65),"",4)</f>
        <v>4</v>
      </c>
      <c r="V65" s="33">
        <f t="shared" si="6"/>
        <v>60</v>
      </c>
      <c r="W65" s="33">
        <f t="shared" si="7"/>
        <v>2.8947328131001147</v>
      </c>
      <c r="X65" s="33"/>
      <c r="Y65" s="33"/>
    </row>
    <row r="66" spans="1:30" x14ac:dyDescent="0.25">
      <c r="A66" s="32" t="s">
        <v>260</v>
      </c>
      <c r="B66" s="32" t="s">
        <v>95</v>
      </c>
      <c r="C66" s="32" t="s">
        <v>11</v>
      </c>
      <c r="D66" s="38">
        <v>5425.2179999999998</v>
      </c>
      <c r="E66" s="38">
        <v>26958.809000000001</v>
      </c>
      <c r="F66" s="38">
        <v>0.201241012</v>
      </c>
      <c r="G66" s="38">
        <f>($F$66 -  AVERAGE($F$59,$F$60,$F$61) ) / ($F$75 -  AVERAGE($F$59,$F$60,$F$61) ) * 100</f>
        <v>23.955209793801853</v>
      </c>
      <c r="H66" s="38">
        <v>60</v>
      </c>
      <c r="I66" s="41">
        <f>LN($G$66)</f>
        <v>3.1761858281260764</v>
      </c>
      <c r="J66" s="34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>
        <f>IF(ISTEXT($I$66),"",5)</f>
        <v>5</v>
      </c>
      <c r="V66" s="32">
        <f t="shared" si="6"/>
        <v>60</v>
      </c>
      <c r="W66" s="32">
        <f t="shared" si="7"/>
        <v>3.1761858281260764</v>
      </c>
      <c r="X66" s="32"/>
      <c r="Y66" s="32"/>
      <c r="Z66" s="20" t="s">
        <v>51</v>
      </c>
      <c r="AA66" s="29">
        <f>IFERROR(SLOPE($W$62:$W$76,$V$62:$V$76),"")</f>
        <v>-1.029191943503438E-2</v>
      </c>
    </row>
    <row r="67" spans="1:30" x14ac:dyDescent="0.25">
      <c r="A67" s="33" t="s">
        <v>261</v>
      </c>
      <c r="B67" s="33" t="s">
        <v>95</v>
      </c>
      <c r="C67" s="33" t="s">
        <v>11</v>
      </c>
      <c r="D67" s="39">
        <v>4293.4790000000003</v>
      </c>
      <c r="E67" s="39">
        <v>30845.346000000001</v>
      </c>
      <c r="F67" s="39">
        <v>0.13919373800000001</v>
      </c>
      <c r="G67" s="39">
        <f>($F$67 -  AVERAGE($F$59,$F$60,$F$61) ) / ($F$76 -  AVERAGE($F$59,$F$60,$F$61) ) * 100</f>
        <v>26.574168702244013</v>
      </c>
      <c r="H67" s="39">
        <v>60</v>
      </c>
      <c r="I67" s="40">
        <f>LN($G$67)</f>
        <v>3.2799396425437877</v>
      </c>
      <c r="J67" s="35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>
        <f>IF(ISTEXT($I$67),"",6)</f>
        <v>6</v>
      </c>
      <c r="V67" s="33">
        <f t="shared" si="6"/>
        <v>60</v>
      </c>
      <c r="W67" s="33">
        <f t="shared" si="7"/>
        <v>3.2799396425437877</v>
      </c>
      <c r="X67" s="33"/>
      <c r="Y67" s="33"/>
      <c r="Z67" s="22" t="s">
        <v>52</v>
      </c>
      <c r="AA67" s="23">
        <f>IFERROR(INTERCEPT($W$62:$W$76,$V$62:$V$76),"")</f>
        <v>4.0150975820004682</v>
      </c>
    </row>
    <row r="68" spans="1:30" ht="17.25" x14ac:dyDescent="0.25">
      <c r="A68" s="32" t="s">
        <v>262</v>
      </c>
      <c r="B68" s="32" t="s">
        <v>95</v>
      </c>
      <c r="C68" s="32" t="s">
        <v>11</v>
      </c>
      <c r="D68" s="38">
        <v>5581.9709999999995</v>
      </c>
      <c r="E68" s="38">
        <v>30257.486000000001</v>
      </c>
      <c r="F68" s="38">
        <v>0.18448231300000001</v>
      </c>
      <c r="G68" s="38">
        <f>($F$68 -  AVERAGE($F$59,$F$60,$F$61) ) / ($F$74 -  AVERAGE($F$59,$F$60,$F$61) ) * 100</f>
        <v>19.508869514598544</v>
      </c>
      <c r="H68" s="38">
        <v>30</v>
      </c>
      <c r="I68" s="41">
        <f>LN($G$68)</f>
        <v>2.9708692090606945</v>
      </c>
      <c r="J68" s="34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>
        <f>IF(ISTEXT($I$68),"",7)</f>
        <v>7</v>
      </c>
      <c r="V68" s="32">
        <f t="shared" si="6"/>
        <v>30</v>
      </c>
      <c r="W68" s="32">
        <f t="shared" si="7"/>
        <v>2.9708692090606945</v>
      </c>
      <c r="X68" s="32"/>
      <c r="Y68" s="32"/>
      <c r="Z68" s="22" t="s">
        <v>53</v>
      </c>
      <c r="AA68" s="26">
        <f>IFERROR(CORREL($W$62:$W$76,$V$62:$V$76)^2,"")</f>
        <v>0.53326984469868566</v>
      </c>
    </row>
    <row r="69" spans="1:30" ht="18" x14ac:dyDescent="0.35">
      <c r="A69" s="33" t="s">
        <v>263</v>
      </c>
      <c r="B69" s="33" t="s">
        <v>95</v>
      </c>
      <c r="C69" s="33" t="s">
        <v>11</v>
      </c>
      <c r="D69" s="39">
        <v>8906.0910000000003</v>
      </c>
      <c r="E69" s="39">
        <v>32984.32</v>
      </c>
      <c r="F69" s="39">
        <v>0.27000984099999997</v>
      </c>
      <c r="G69" s="39">
        <f>($F$69 -  AVERAGE($F$59,$F$60,$F$61) ) / ($F$75 -  AVERAGE($F$59,$F$60,$F$61) ) * 100</f>
        <v>32.142418296014299</v>
      </c>
      <c r="H69" s="39">
        <v>30</v>
      </c>
      <c r="I69" s="40">
        <f>LN($G$69)</f>
        <v>3.4701766000430152</v>
      </c>
      <c r="J69" s="35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>
        <f>IF(ISTEXT($I$69),"",8)</f>
        <v>8</v>
      </c>
      <c r="V69" s="33">
        <f t="shared" si="6"/>
        <v>30</v>
      </c>
      <c r="W69" s="33">
        <f t="shared" si="7"/>
        <v>3.4701766000430152</v>
      </c>
      <c r="X69" s="33"/>
      <c r="Y69" s="33"/>
      <c r="Z69" s="22" t="s">
        <v>54</v>
      </c>
      <c r="AA69" s="30">
        <f>IF(AA66&gt;0,"",IFERROR(LN(2) /ABS(AA66),0))</f>
        <v>67.348679217253306</v>
      </c>
    </row>
    <row r="70" spans="1:30" ht="18.75" x14ac:dyDescent="0.35">
      <c r="A70" s="32" t="s">
        <v>264</v>
      </c>
      <c r="B70" s="32" t="s">
        <v>95</v>
      </c>
      <c r="C70" s="32" t="s">
        <v>11</v>
      </c>
      <c r="D70" s="38">
        <v>4437.09</v>
      </c>
      <c r="E70" s="38">
        <v>28105.629000000001</v>
      </c>
      <c r="F70" s="38">
        <v>0.15787193399999999</v>
      </c>
      <c r="G70" s="38">
        <f>($F$70 -  AVERAGE($F$59,$F$60,$F$61) ) / ($F$76 -  AVERAGE($F$59,$F$60,$F$61) ) * 100</f>
        <v>30.140837068794173</v>
      </c>
      <c r="H70" s="38">
        <v>30</v>
      </c>
      <c r="I70" s="41">
        <f>LN($G$70)</f>
        <v>3.4058809654999607</v>
      </c>
      <c r="J70" s="34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>
        <f>IF(ISTEXT($I$70),"",9)</f>
        <v>9</v>
      </c>
      <c r="V70" s="32">
        <f t="shared" si="6"/>
        <v>30</v>
      </c>
      <c r="W70" s="32">
        <f t="shared" si="7"/>
        <v>3.4058809654999607</v>
      </c>
      <c r="X70" s="32"/>
      <c r="Y70" s="32"/>
      <c r="Z70" s="22" t="s">
        <v>55</v>
      </c>
      <c r="AA70" s="30">
        <f>IF(AA66&gt;0,0,IFERROR(ABS(AA66 * 1000 / 0.5),0))</f>
        <v>20.58383887006876</v>
      </c>
    </row>
    <row r="71" spans="1:30" ht="15.75" thickBot="1" x14ac:dyDescent="0.3">
      <c r="A71" s="33" t="s">
        <v>265</v>
      </c>
      <c r="B71" s="33" t="s">
        <v>95</v>
      </c>
      <c r="C71" s="33" t="s">
        <v>11</v>
      </c>
      <c r="D71" s="39">
        <v>9022.4220000000005</v>
      </c>
      <c r="E71" s="39">
        <v>31235.363000000001</v>
      </c>
      <c r="F71" s="39">
        <v>0.28885279800000002</v>
      </c>
      <c r="G71" s="39">
        <f>($F$71 -  AVERAGE($F$59,$F$60,$F$61) ) / ($F$74 -  AVERAGE($F$59,$F$60,$F$61) ) * 100</f>
        <v>30.547655756072594</v>
      </c>
      <c r="H71" s="39">
        <v>15</v>
      </c>
      <c r="I71" s="40">
        <f>LN($G$71)</f>
        <v>3.4192879480112413</v>
      </c>
      <c r="J71" s="35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>
        <f>IF(ISTEXT($I$71),"",10)</f>
        <v>10</v>
      </c>
      <c r="V71" s="33">
        <f t="shared" si="6"/>
        <v>15</v>
      </c>
      <c r="W71" s="33">
        <f t="shared" si="7"/>
        <v>3.4192879480112413</v>
      </c>
      <c r="X71" s="33"/>
      <c r="Y71" s="33"/>
      <c r="Z71" s="27" t="s">
        <v>39</v>
      </c>
      <c r="AA71" s="28" t="s">
        <v>56</v>
      </c>
    </row>
    <row r="72" spans="1:30" x14ac:dyDescent="0.25">
      <c r="A72" s="32" t="s">
        <v>266</v>
      </c>
      <c r="B72" s="32" t="s">
        <v>95</v>
      </c>
      <c r="C72" s="32" t="s">
        <v>11</v>
      </c>
      <c r="D72" s="38">
        <v>3711.9250000000002</v>
      </c>
      <c r="E72" s="38">
        <v>10372.222</v>
      </c>
      <c r="F72" s="38">
        <v>0.35787172699999997</v>
      </c>
      <c r="G72" s="38">
        <f>($F$72 -  AVERAGE($F$59,$F$60,$F$61) ) / ($F$75 -  AVERAGE($F$59,$F$60,$F$61) ) * 100</f>
        <v>42.602732809725445</v>
      </c>
      <c r="H72" s="38">
        <v>15</v>
      </c>
      <c r="I72" s="41">
        <f>LN($G$72)</f>
        <v>3.7519184016808103</v>
      </c>
      <c r="J72" s="34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>
        <f>IF(ISTEXT($I$72),"",11)</f>
        <v>11</v>
      </c>
      <c r="V72" s="32">
        <f t="shared" si="6"/>
        <v>15</v>
      </c>
      <c r="W72" s="32">
        <f t="shared" si="7"/>
        <v>3.7519184016808103</v>
      </c>
      <c r="X72" s="32"/>
      <c r="Y72" s="32"/>
    </row>
    <row r="73" spans="1:30" x14ac:dyDescent="0.25">
      <c r="A73" s="33" t="s">
        <v>267</v>
      </c>
      <c r="B73" s="33" t="s">
        <v>95</v>
      </c>
      <c r="C73" s="33" t="s">
        <v>11</v>
      </c>
      <c r="D73" s="39">
        <v>9642.9159999999993</v>
      </c>
      <c r="E73" s="39">
        <v>35123.218999999997</v>
      </c>
      <c r="F73" s="39">
        <v>0.274545337</v>
      </c>
      <c r="G73" s="39">
        <f>($F$73 -  AVERAGE($F$59,$F$60,$F$61) ) / ($F$76 -  AVERAGE($F$59,$F$60,$F$61) ) * 100</f>
        <v>52.420040890076478</v>
      </c>
      <c r="H73" s="39">
        <v>15</v>
      </c>
      <c r="I73" s="40">
        <f>LN($G$73)</f>
        <v>3.9592889779421991</v>
      </c>
      <c r="J73" s="35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>
        <f>IF(ISTEXT($I$73),"",12)</f>
        <v>12</v>
      </c>
      <c r="V73" s="33">
        <f t="shared" si="6"/>
        <v>15</v>
      </c>
      <c r="W73" s="33">
        <f t="shared" si="7"/>
        <v>3.9592889779421991</v>
      </c>
      <c r="X73" s="33"/>
      <c r="Y73" s="33"/>
    </row>
    <row r="74" spans="1:30" x14ac:dyDescent="0.25">
      <c r="A74" s="32" t="s">
        <v>268</v>
      </c>
      <c r="B74" s="32" t="s">
        <v>95</v>
      </c>
      <c r="C74" s="32" t="s">
        <v>11</v>
      </c>
      <c r="D74" s="38">
        <v>29097.123</v>
      </c>
      <c r="E74" s="38">
        <v>30773.773000000001</v>
      </c>
      <c r="F74" s="38">
        <v>0.94551691800000004</v>
      </c>
      <c r="G74" s="38">
        <f>($F$74 -  AVERAGE($F$59,$F$60,$F$61) ) / ($F$74 -  AVERAGE($F$59,$F$60,$F$61) ) * 100</f>
        <v>100</v>
      </c>
      <c r="H74" s="38">
        <v>0</v>
      </c>
      <c r="I74" s="41">
        <f>LN($G$74)</f>
        <v>4.6051701859880918</v>
      </c>
      <c r="J74" s="34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>
        <f>IF(ISTEXT($I$74),"",13)</f>
        <v>13</v>
      </c>
      <c r="V74" s="32">
        <f t="shared" si="6"/>
        <v>0</v>
      </c>
      <c r="W74" s="32">
        <f t="shared" si="7"/>
        <v>4.6051701859880918</v>
      </c>
      <c r="X74" s="32"/>
      <c r="Y74" s="32"/>
    </row>
    <row r="75" spans="1:30" x14ac:dyDescent="0.25">
      <c r="A75" s="33" t="s">
        <v>269</v>
      </c>
      <c r="B75" s="33" t="s">
        <v>95</v>
      </c>
      <c r="C75" s="33" t="s">
        <v>11</v>
      </c>
      <c r="D75" s="39">
        <v>25608.43</v>
      </c>
      <c r="E75" s="39">
        <v>30486.855</v>
      </c>
      <c r="F75" s="39">
        <v>0.83998267500000001</v>
      </c>
      <c r="G75" s="39">
        <f>($F$75 -  AVERAGE($F$59,$F$60,$F$61) ) / ($F$75 -  AVERAGE($F$59,$F$60,$F$61) ) * 100</f>
        <v>100</v>
      </c>
      <c r="H75" s="39">
        <v>0</v>
      </c>
      <c r="I75" s="40">
        <f>LN($G$75)</f>
        <v>4.6051701859880918</v>
      </c>
      <c r="J75" s="35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>
        <f>IF(ISTEXT($I$75),"",14)</f>
        <v>14</v>
      </c>
      <c r="V75" s="33">
        <f t="shared" si="6"/>
        <v>0</v>
      </c>
      <c r="W75" s="33">
        <f t="shared" si="7"/>
        <v>4.6051701859880918</v>
      </c>
      <c r="X75" s="33"/>
      <c r="Y75" s="33"/>
    </row>
    <row r="76" spans="1:30" x14ac:dyDescent="0.25">
      <c r="A76" s="32" t="s">
        <v>270</v>
      </c>
      <c r="B76" s="32" t="s">
        <v>95</v>
      </c>
      <c r="C76" s="32" t="s">
        <v>11</v>
      </c>
      <c r="D76" s="38">
        <v>17292.900000000001</v>
      </c>
      <c r="E76" s="38">
        <v>33019.637000000002</v>
      </c>
      <c r="F76" s="38">
        <v>0.52371562999999999</v>
      </c>
      <c r="G76" s="38">
        <f>($F$76 -  AVERAGE($F$59,$F$60,$F$61) ) / ($F$76 -  AVERAGE($F$59,$F$60,$F$61) ) * 100</f>
        <v>100</v>
      </c>
      <c r="H76" s="38">
        <v>0</v>
      </c>
      <c r="I76" s="41">
        <f>LN($G$76)</f>
        <v>4.6051701859880918</v>
      </c>
      <c r="J76" s="34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>
        <f>IF(ISTEXT($I$76),"",15)</f>
        <v>15</v>
      </c>
      <c r="V76" s="32">
        <f t="shared" si="6"/>
        <v>0</v>
      </c>
      <c r="W76" s="32">
        <f t="shared" si="7"/>
        <v>4.6051701859880918</v>
      </c>
      <c r="X76" s="32"/>
      <c r="Y76" s="32"/>
    </row>
    <row r="77" spans="1:30" ht="15.75" thickBot="1" x14ac:dyDescent="0.3">
      <c r="A77" s="33"/>
      <c r="B77" s="33"/>
      <c r="C77" s="33"/>
      <c r="D77" s="39"/>
      <c r="E77" s="39"/>
      <c r="F77" s="39"/>
      <c r="G77" s="39"/>
      <c r="H77" s="39"/>
      <c r="I77" s="39"/>
      <c r="J77" s="35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</row>
    <row r="78" spans="1:30" ht="16.5" thickTop="1" thickBot="1" x14ac:dyDescent="0.3">
      <c r="A78" s="32" t="s">
        <v>6</v>
      </c>
      <c r="B78" s="32" t="s">
        <v>112</v>
      </c>
      <c r="C78" s="32" t="s">
        <v>12</v>
      </c>
      <c r="D78" s="38">
        <v>63.58</v>
      </c>
      <c r="E78" s="38">
        <v>37229.300999999999</v>
      </c>
      <c r="F78" s="38">
        <v>1.707795E-3</v>
      </c>
      <c r="G78" s="38"/>
      <c r="H78" s="38"/>
      <c r="I78" s="38"/>
      <c r="J78" s="34"/>
      <c r="K78" s="32"/>
      <c r="L78" s="32"/>
      <c r="M78" s="32"/>
      <c r="N78" s="32"/>
      <c r="O78" s="32"/>
      <c r="P78" s="32"/>
      <c r="Q78" s="32"/>
      <c r="R78" s="32" t="s">
        <v>113</v>
      </c>
      <c r="S78" s="32"/>
      <c r="T78" s="32">
        <v>5</v>
      </c>
      <c r="U78" s="32"/>
      <c r="V78" s="32"/>
      <c r="W78" s="32"/>
      <c r="X78" s="32"/>
      <c r="Y78" s="32"/>
      <c r="Z78" s="9" t="s">
        <v>45</v>
      </c>
      <c r="AA78" s="9" t="s">
        <v>47</v>
      </c>
      <c r="AB78" s="9" t="s">
        <v>48</v>
      </c>
      <c r="AC78" s="9" t="s">
        <v>49</v>
      </c>
      <c r="AD78" s="9" t="s">
        <v>50</v>
      </c>
    </row>
    <row r="79" spans="1:30" ht="15.75" thickTop="1" x14ac:dyDescent="0.25">
      <c r="A79" s="33" t="s">
        <v>8</v>
      </c>
      <c r="B79" s="33" t="s">
        <v>112</v>
      </c>
      <c r="C79" s="33" t="s">
        <v>12</v>
      </c>
      <c r="D79" s="39">
        <v>36.292000000000002</v>
      </c>
      <c r="E79" s="39">
        <v>37141.370999999999</v>
      </c>
      <c r="F79" s="39">
        <v>9.7713100000000001E-4</v>
      </c>
      <c r="G79" s="39"/>
      <c r="H79" s="39"/>
      <c r="I79" s="39"/>
      <c r="J79" s="35"/>
      <c r="K79" s="33"/>
      <c r="L79" s="33"/>
      <c r="M79" s="33"/>
      <c r="N79" s="33"/>
      <c r="O79" s="33"/>
      <c r="P79" s="33"/>
      <c r="Q79" s="33"/>
      <c r="R79" s="33" t="s">
        <v>45</v>
      </c>
      <c r="S79" s="33"/>
      <c r="T79" s="33">
        <v>81</v>
      </c>
      <c r="U79" s="33"/>
      <c r="V79" s="33"/>
      <c r="W79" s="33"/>
      <c r="X79" s="33"/>
      <c r="Y79" s="33"/>
      <c r="Z79" s="10">
        <f>$H$81</f>
        <v>120</v>
      </c>
      <c r="AA79" s="11">
        <f>IF(ISTEXT($I$81),TEXT($G$81/100,"0.00%"),$G$81 / 100)</f>
        <v>0.16242738237971144</v>
      </c>
      <c r="AB79" s="11">
        <f>IF(ISTEXT($I$82),TEXT($G$82/100,"0.00%"),$G$82 / 100)</f>
        <v>0.13233742086172279</v>
      </c>
      <c r="AC79" s="11">
        <f>IF(ISTEXT($I$83),TEXT($G$83/100,"0.00%"),$G$83 / 100)</f>
        <v>0.14470241824705291</v>
      </c>
      <c r="AD79" s="11">
        <f>IFERROR(AVERAGE($AA$79:$AC$79),"")</f>
        <v>0.14648907382949572</v>
      </c>
    </row>
    <row r="80" spans="1:30" x14ac:dyDescent="0.25">
      <c r="A80" s="32" t="s">
        <v>9</v>
      </c>
      <c r="B80" s="32" t="s">
        <v>112</v>
      </c>
      <c r="C80" s="32" t="s">
        <v>12</v>
      </c>
      <c r="D80" s="38">
        <v>41.997</v>
      </c>
      <c r="E80" s="38">
        <v>36262.148000000001</v>
      </c>
      <c r="F80" s="38">
        <v>1.1581499999999999E-3</v>
      </c>
      <c r="G80" s="38"/>
      <c r="H80" s="38"/>
      <c r="I80" s="38"/>
      <c r="J80" s="34"/>
      <c r="K80" s="32"/>
      <c r="L80" s="32"/>
      <c r="M80" s="32"/>
      <c r="N80" s="32"/>
      <c r="O80" s="32"/>
      <c r="P80" s="32"/>
      <c r="Q80" s="32"/>
      <c r="R80" s="32" t="s">
        <v>46</v>
      </c>
      <c r="S80" s="32"/>
      <c r="T80" s="32">
        <v>95</v>
      </c>
      <c r="U80" s="32"/>
      <c r="V80" s="32"/>
      <c r="W80" s="32"/>
      <c r="X80" s="32"/>
      <c r="Y80" s="32"/>
      <c r="Z80" s="10">
        <f>$H$84</f>
        <v>60</v>
      </c>
      <c r="AA80" s="11">
        <f>IF(ISTEXT($I$84),TEXT($G$84/100,"0.00%"),$G$84 / 100)</f>
        <v>0.33573948403215648</v>
      </c>
      <c r="AB80" s="11">
        <f>IF(ISTEXT($I$85),TEXT($G$85/100,"0.00%"),$G$85 / 100)</f>
        <v>0.21622096392548099</v>
      </c>
      <c r="AC80" s="11">
        <f>IF(ISTEXT($I$86),TEXT($G$86/100,"0.00%"),$G$86 / 100)</f>
        <v>0.28225284229734787</v>
      </c>
      <c r="AD80" s="11">
        <f>IFERROR(AVERAGE($AA$80:$AC$80),"")</f>
        <v>0.27807109675166175</v>
      </c>
    </row>
    <row r="81" spans="1:30" x14ac:dyDescent="0.25">
      <c r="A81" s="33" t="s">
        <v>271</v>
      </c>
      <c r="B81" s="33" t="s">
        <v>112</v>
      </c>
      <c r="C81" s="33" t="s">
        <v>12</v>
      </c>
      <c r="D81" s="39">
        <v>3206.221</v>
      </c>
      <c r="E81" s="39">
        <v>28476.291000000001</v>
      </c>
      <c r="F81" s="39">
        <v>0.112592648</v>
      </c>
      <c r="G81" s="39">
        <f>($F$81 -  AVERAGE($F$78,$F$79,$F$80) ) / ($F$93 -  AVERAGE($F$78,$F$79,$F$80) ) * 100</f>
        <v>16.242738237971142</v>
      </c>
      <c r="H81" s="39">
        <v>120</v>
      </c>
      <c r="I81" s="40">
        <f>LN($G$81)</f>
        <v>2.7876459312328521</v>
      </c>
      <c r="J81" s="35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>
        <f>IF(ISTEXT($I$81),"",1)</f>
        <v>1</v>
      </c>
      <c r="V81" s="33">
        <f t="shared" ref="V81:V95" si="8">IFERROR(INDEX($H$81:$H$95,SMALL($U$81:$U$95,ROW(W1)),1),"")</f>
        <v>120</v>
      </c>
      <c r="W81" s="33">
        <f t="shared" ref="W81:W95" si="9">IFERROR(INDEX($I$81:$I$95,SMALL($U$81:$U$95,ROW(I1)),1),"")</f>
        <v>2.7876459312328521</v>
      </c>
      <c r="X81" s="33"/>
      <c r="Y81" s="33"/>
      <c r="Z81" s="10">
        <f>$H$87</f>
        <v>30</v>
      </c>
      <c r="AA81" s="11">
        <f>IF(ISTEXT($I$87),TEXT($G$87/100,"0.00%"),$G$87 / 100)</f>
        <v>0.30960034370111728</v>
      </c>
      <c r="AB81" s="11">
        <f>IF(ISTEXT($I$88),TEXT($G$88/100,"0.00%"),$G$88 / 100)</f>
        <v>0.54887822753242899</v>
      </c>
      <c r="AC81" s="11">
        <f>IF(ISTEXT($I$89),TEXT($G$89/100,"0.00%"),$G$89 / 100)</f>
        <v>0.35777469327809286</v>
      </c>
      <c r="AD81" s="11">
        <f>IFERROR(AVERAGE($AA$81:$AC$81),"")</f>
        <v>0.4054177548372131</v>
      </c>
    </row>
    <row r="82" spans="1:30" x14ac:dyDescent="0.25">
      <c r="A82" s="32" t="s">
        <v>272</v>
      </c>
      <c r="B82" s="32" t="s">
        <v>112</v>
      </c>
      <c r="C82" s="32" t="s">
        <v>12</v>
      </c>
      <c r="D82" s="38">
        <v>3618.4</v>
      </c>
      <c r="E82" s="38">
        <v>25017.24</v>
      </c>
      <c r="F82" s="38">
        <v>0.14463625899999999</v>
      </c>
      <c r="G82" s="38">
        <f>($F$82 -  AVERAGE($F$78,$F$79,$F$80) ) / ($F$94 -  AVERAGE($F$78,$F$79,$F$80) ) * 100</f>
        <v>13.233742086172279</v>
      </c>
      <c r="H82" s="38">
        <v>120</v>
      </c>
      <c r="I82" s="41">
        <f>LN($G$82)</f>
        <v>2.5827697866718564</v>
      </c>
      <c r="J82" s="34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>
        <f>IF(ISTEXT($I$82),"",2)</f>
        <v>2</v>
      </c>
      <c r="V82" s="32">
        <f t="shared" si="8"/>
        <v>120</v>
      </c>
      <c r="W82" s="32">
        <f t="shared" si="9"/>
        <v>2.5827697866718564</v>
      </c>
      <c r="X82" s="32"/>
      <c r="Y82" s="32"/>
      <c r="Z82" s="10">
        <f>$H$90</f>
        <v>15</v>
      </c>
      <c r="AA82" s="11">
        <f>IF(ISTEXT($I$90),TEXT($G$90/100,"0.00%"),$G$90 / 100)</f>
        <v>0.90033988089727257</v>
      </c>
      <c r="AB82" s="11">
        <f>IF(ISTEXT($I$91),TEXT($G$91/100,"0.00%"),$G$91 / 100)</f>
        <v>0.52545589554823802</v>
      </c>
      <c r="AC82" s="11">
        <f>IF(ISTEXT($I$92),TEXT($G$92/100,"0.00%"),$G$92 / 100)</f>
        <v>0.51294341888926787</v>
      </c>
      <c r="AD82" s="11">
        <f>IFERROR(AVERAGE($AA$82:$AC$82),"")</f>
        <v>0.64624639844492615</v>
      </c>
    </row>
    <row r="83" spans="1:30" ht="15.75" thickBot="1" x14ac:dyDescent="0.3">
      <c r="A83" s="33" t="s">
        <v>273</v>
      </c>
      <c r="B83" s="33" t="s">
        <v>112</v>
      </c>
      <c r="C83" s="33" t="s">
        <v>12</v>
      </c>
      <c r="D83" s="39">
        <v>3942.2620000000002</v>
      </c>
      <c r="E83" s="39">
        <v>28786.190999999999</v>
      </c>
      <c r="F83" s="39">
        <v>0.136949762</v>
      </c>
      <c r="G83" s="39">
        <f>($F$83 -  AVERAGE($F$78,$F$79,$F$80) ) / ($F$95 -  AVERAGE($F$78,$F$79,$F$80) ) * 100</f>
        <v>14.47024182470529</v>
      </c>
      <c r="H83" s="39">
        <v>120</v>
      </c>
      <c r="I83" s="40">
        <f>LN($G$83)</f>
        <v>2.6720942526464753</v>
      </c>
      <c r="J83" s="35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>
        <f>IF(ISTEXT($I$83),"",3)</f>
        <v>3</v>
      </c>
      <c r="V83" s="33">
        <f t="shared" si="8"/>
        <v>120</v>
      </c>
      <c r="W83" s="33">
        <f t="shared" si="9"/>
        <v>2.6720942526464753</v>
      </c>
      <c r="X83" s="33"/>
      <c r="Y83" s="33"/>
      <c r="Z83" s="12">
        <f>$H$93</f>
        <v>0</v>
      </c>
      <c r="AA83" s="13">
        <f>IF(ISTEXT($I$93),TEXT($G$93/100,"0.00%"),$G$93 / 100)</f>
        <v>1</v>
      </c>
      <c r="AB83" s="13">
        <f>IF(ISTEXT($I$94),TEXT($G$94/100,"0.00%"),$G$94 / 100)</f>
        <v>1</v>
      </c>
      <c r="AC83" s="13">
        <f>IF(ISTEXT($I$95),TEXT($G$95/100,"0.00%"),$G$95 / 100)</f>
        <v>1</v>
      </c>
      <c r="AD83" s="13">
        <f>IFERROR(AVERAGE($AA$83:$AC$83),"")</f>
        <v>1</v>
      </c>
    </row>
    <row r="84" spans="1:30" ht="16.5" thickTop="1" thickBot="1" x14ac:dyDescent="0.3">
      <c r="A84" s="32" t="s">
        <v>274</v>
      </c>
      <c r="B84" s="32" t="s">
        <v>112</v>
      </c>
      <c r="C84" s="32" t="s">
        <v>12</v>
      </c>
      <c r="D84" s="38">
        <v>5807.3320000000003</v>
      </c>
      <c r="E84" s="38">
        <v>25100.458999999999</v>
      </c>
      <c r="F84" s="38">
        <v>0.23136357799999999</v>
      </c>
      <c r="G84" s="38">
        <f>($F$84 -  AVERAGE($F$78,$F$79,$F$80) ) / ($F$93 -  AVERAGE($F$78,$F$79,$F$80) ) * 100</f>
        <v>33.573948403215645</v>
      </c>
      <c r="H84" s="38">
        <v>60</v>
      </c>
      <c r="I84" s="41">
        <f>LN($G$84)</f>
        <v>3.5137504210912627</v>
      </c>
      <c r="J84" s="34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>
        <f>IF(ISTEXT($I$84),"",4)</f>
        <v>4</v>
      </c>
      <c r="V84" s="32">
        <f t="shared" si="8"/>
        <v>60</v>
      </c>
      <c r="W84" s="32">
        <f t="shared" si="9"/>
        <v>3.5137504210912627</v>
      </c>
      <c r="X84" s="32"/>
      <c r="Y84" s="32"/>
    </row>
    <row r="85" spans="1:30" x14ac:dyDescent="0.25">
      <c r="A85" s="33" t="s">
        <v>275</v>
      </c>
      <c r="B85" s="33" t="s">
        <v>112</v>
      </c>
      <c r="C85" s="33" t="s">
        <v>12</v>
      </c>
      <c r="D85" s="39">
        <v>6271.4139999999998</v>
      </c>
      <c r="E85" s="39">
        <v>26629.805</v>
      </c>
      <c r="F85" s="39">
        <v>0.235503565</v>
      </c>
      <c r="G85" s="39">
        <f>($F$85 -  AVERAGE($F$78,$F$79,$F$80) ) / ($F$94 -  AVERAGE($F$78,$F$79,$F$80) ) * 100</f>
        <v>21.622096392548098</v>
      </c>
      <c r="H85" s="39">
        <v>60</v>
      </c>
      <c r="I85" s="40">
        <f>LN($G$85)</f>
        <v>3.0737157729379758</v>
      </c>
      <c r="J85" s="35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>
        <f>IF(ISTEXT($I$85),"",5)</f>
        <v>5</v>
      </c>
      <c r="V85" s="33">
        <f t="shared" si="8"/>
        <v>60</v>
      </c>
      <c r="W85" s="33">
        <f t="shared" si="9"/>
        <v>3.0737157729379758</v>
      </c>
      <c r="X85" s="33"/>
      <c r="Y85" s="33"/>
      <c r="Z85" s="20" t="s">
        <v>51</v>
      </c>
      <c r="AA85" s="29">
        <f>IFERROR(SLOPE($W$81:$W$95,$V$81:$V$95),"")</f>
        <v>-1.5066945661898539E-2</v>
      </c>
    </row>
    <row r="86" spans="1:30" x14ac:dyDescent="0.25">
      <c r="A86" s="32" t="s">
        <v>276</v>
      </c>
      <c r="B86" s="32" t="s">
        <v>112</v>
      </c>
      <c r="C86" s="32" t="s">
        <v>12</v>
      </c>
      <c r="D86" s="38">
        <v>6798.3109999999997</v>
      </c>
      <c r="E86" s="38">
        <v>25565.921999999999</v>
      </c>
      <c r="F86" s="38">
        <v>0.26591299899999998</v>
      </c>
      <c r="G86" s="38">
        <f>($F$86 -  AVERAGE($F$78,$F$79,$F$80) ) / ($F$95 -  AVERAGE($F$78,$F$79,$F$80) ) * 100</f>
        <v>28.225284229734786</v>
      </c>
      <c r="H86" s="38">
        <v>60</v>
      </c>
      <c r="I86" s="41">
        <f>LN($G$86)</f>
        <v>3.3402181801262016</v>
      </c>
      <c r="J86" s="34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>
        <f>IF(ISTEXT($I$86),"",6)</f>
        <v>6</v>
      </c>
      <c r="V86" s="32">
        <f t="shared" si="8"/>
        <v>60</v>
      </c>
      <c r="W86" s="32">
        <f t="shared" si="9"/>
        <v>3.3402181801262016</v>
      </c>
      <c r="X86" s="32"/>
      <c r="Y86" s="32"/>
      <c r="Z86" s="22" t="s">
        <v>52</v>
      </c>
      <c r="AA86" s="23">
        <f>IFERROR(INTERCEPT($W$81:$W$95,$V$81:$V$95),"")</f>
        <v>4.3580432738415045</v>
      </c>
    </row>
    <row r="87" spans="1:30" ht="17.25" x14ac:dyDescent="0.25">
      <c r="A87" s="33" t="s">
        <v>277</v>
      </c>
      <c r="B87" s="33" t="s">
        <v>112</v>
      </c>
      <c r="C87" s="33" t="s">
        <v>12</v>
      </c>
      <c r="D87" s="39">
        <v>5519.6459999999997</v>
      </c>
      <c r="E87" s="39">
        <v>25859.15</v>
      </c>
      <c r="F87" s="39">
        <v>0.21345040300000001</v>
      </c>
      <c r="G87" s="39">
        <f>($F$87 -  AVERAGE($F$78,$F$79,$F$80) ) / ($F$93 -  AVERAGE($F$78,$F$79,$F$80) ) * 100</f>
        <v>30.960034370111728</v>
      </c>
      <c r="H87" s="39">
        <v>30</v>
      </c>
      <c r="I87" s="40">
        <f>LN($G$87)</f>
        <v>3.4326971588666377</v>
      </c>
      <c r="J87" s="35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>
        <f>IF(ISTEXT($I$87),"",7)</f>
        <v>7</v>
      </c>
      <c r="V87" s="33">
        <f t="shared" si="8"/>
        <v>30</v>
      </c>
      <c r="W87" s="33">
        <f t="shared" si="9"/>
        <v>3.4326971588666377</v>
      </c>
      <c r="X87" s="33"/>
      <c r="Y87" s="33"/>
      <c r="Z87" s="22" t="s">
        <v>53</v>
      </c>
      <c r="AA87" s="26">
        <f>IFERROR(CORREL($W$81:$W$95,$V$81:$V$95)^2,"")</f>
        <v>0.86444611036013774</v>
      </c>
    </row>
    <row r="88" spans="1:30" ht="18" x14ac:dyDescent="0.35">
      <c r="A88" s="32" t="s">
        <v>278</v>
      </c>
      <c r="B88" s="32" t="s">
        <v>112</v>
      </c>
      <c r="C88" s="32" t="s">
        <v>12</v>
      </c>
      <c r="D88" s="38">
        <v>15614.438</v>
      </c>
      <c r="E88" s="38">
        <v>26205.037</v>
      </c>
      <c r="F88" s="38">
        <v>0.59585636200000003</v>
      </c>
      <c r="G88" s="38">
        <f>($F$88 -  AVERAGE($F$78,$F$79,$F$80) ) / ($F$94 -  AVERAGE($F$78,$F$79,$F$80) ) * 100</f>
        <v>54.887822753242901</v>
      </c>
      <c r="H88" s="38">
        <v>30</v>
      </c>
      <c r="I88" s="41">
        <f>LN($G$88)</f>
        <v>4.0052915161391489</v>
      </c>
      <c r="J88" s="34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>
        <f>IF(ISTEXT($I$88),"",8)</f>
        <v>8</v>
      </c>
      <c r="V88" s="32">
        <f t="shared" si="8"/>
        <v>30</v>
      </c>
      <c r="W88" s="32">
        <f t="shared" si="9"/>
        <v>4.0052915161391489</v>
      </c>
      <c r="X88" s="32"/>
      <c r="Y88" s="32"/>
      <c r="Z88" s="22" t="s">
        <v>54</v>
      </c>
      <c r="AA88" s="30">
        <f>IF(AA85&gt;0,"",IFERROR(LN(2) /ABS(AA85),0))</f>
        <v>46.004491959693169</v>
      </c>
    </row>
    <row r="89" spans="1:30" ht="18.75" x14ac:dyDescent="0.35">
      <c r="A89" s="33" t="s">
        <v>279</v>
      </c>
      <c r="B89" s="33" t="s">
        <v>112</v>
      </c>
      <c r="C89" s="33" t="s">
        <v>12</v>
      </c>
      <c r="D89" s="39">
        <v>8214.7450000000008</v>
      </c>
      <c r="E89" s="39">
        <v>24396.363000000001</v>
      </c>
      <c r="F89" s="39">
        <v>0.33672006799999998</v>
      </c>
      <c r="G89" s="39">
        <f>($F$89 -  AVERAGE($F$78,$F$79,$F$80) ) / ($F$95 -  AVERAGE($F$78,$F$79,$F$80) ) * 100</f>
        <v>35.777469327809285</v>
      </c>
      <c r="H89" s="39">
        <v>30</v>
      </c>
      <c r="I89" s="40">
        <f>LN($G$89)</f>
        <v>3.5773183468986143</v>
      </c>
      <c r="J89" s="35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>
        <f>IF(ISTEXT($I$89),"",9)</f>
        <v>9</v>
      </c>
      <c r="V89" s="33">
        <f t="shared" si="8"/>
        <v>30</v>
      </c>
      <c r="W89" s="33">
        <f t="shared" si="9"/>
        <v>3.5773183468986143</v>
      </c>
      <c r="X89" s="33"/>
      <c r="Y89" s="33"/>
      <c r="Z89" s="22" t="s">
        <v>55</v>
      </c>
      <c r="AA89" s="30">
        <f>IF(AA85&gt;0,0,IFERROR(ABS(AA85 * 1000 / 0.5),0))</f>
        <v>30.13389132379708</v>
      </c>
    </row>
    <row r="90" spans="1:30" ht="15.75" thickBot="1" x14ac:dyDescent="0.3">
      <c r="A90" s="32" t="s">
        <v>280</v>
      </c>
      <c r="B90" s="32" t="s">
        <v>112</v>
      </c>
      <c r="C90" s="32" t="s">
        <v>12</v>
      </c>
      <c r="D90" s="38">
        <v>15216.634</v>
      </c>
      <c r="E90" s="38">
        <v>24611.046999999999</v>
      </c>
      <c r="F90" s="38">
        <v>0.61828470800000002</v>
      </c>
      <c r="G90" s="38">
        <f>($F$90 -  AVERAGE($F$78,$F$79,$F$80) ) / ($F$93 -  AVERAGE($F$78,$F$79,$F$80) ) * 100</f>
        <v>90.033988089727259</v>
      </c>
      <c r="H90" s="38">
        <v>15</v>
      </c>
      <c r="I90" s="41">
        <f>LN($G$90)</f>
        <v>4.5001872444815874</v>
      </c>
      <c r="J90" s="34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>
        <f>IF(ISTEXT($I$90),"",10)</f>
        <v>10</v>
      </c>
      <c r="V90" s="32">
        <f t="shared" si="8"/>
        <v>15</v>
      </c>
      <c r="W90" s="32">
        <f t="shared" si="9"/>
        <v>4.5001872444815874</v>
      </c>
      <c r="X90" s="32"/>
      <c r="Y90" s="32"/>
      <c r="Z90" s="27" t="s">
        <v>39</v>
      </c>
      <c r="AA90" s="28" t="s">
        <v>56</v>
      </c>
    </row>
    <row r="91" spans="1:30" x14ac:dyDescent="0.25">
      <c r="A91" s="33" t="s">
        <v>281</v>
      </c>
      <c r="B91" s="33" t="s">
        <v>112</v>
      </c>
      <c r="C91" s="33" t="s">
        <v>12</v>
      </c>
      <c r="D91" s="39">
        <v>14646.46</v>
      </c>
      <c r="E91" s="39">
        <v>25673.743999999999</v>
      </c>
      <c r="F91" s="39">
        <v>0.57048399299999997</v>
      </c>
      <c r="G91" s="39">
        <f>($F$91 -  AVERAGE($F$78,$F$79,$F$80) ) / ($F$94 -  AVERAGE($F$78,$F$79,$F$80) ) * 100</f>
        <v>52.545589554823799</v>
      </c>
      <c r="H91" s="39">
        <v>15</v>
      </c>
      <c r="I91" s="40">
        <f>LN($G$91)</f>
        <v>3.9616811652531658</v>
      </c>
      <c r="J91" s="35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>
        <f>IF(ISTEXT($I$91),"",11)</f>
        <v>11</v>
      </c>
      <c r="V91" s="33">
        <f t="shared" si="8"/>
        <v>15</v>
      </c>
      <c r="W91" s="33">
        <f t="shared" si="9"/>
        <v>3.9616811652531658</v>
      </c>
      <c r="X91" s="33"/>
      <c r="Y91" s="33"/>
    </row>
    <row r="92" spans="1:30" x14ac:dyDescent="0.25">
      <c r="A92" s="32" t="s">
        <v>282</v>
      </c>
      <c r="B92" s="32" t="s">
        <v>112</v>
      </c>
      <c r="C92" s="32" t="s">
        <v>12</v>
      </c>
      <c r="D92" s="38">
        <v>12603.293</v>
      </c>
      <c r="E92" s="38">
        <v>26136.973000000002</v>
      </c>
      <c r="F92" s="38">
        <v>0.48220170699999998</v>
      </c>
      <c r="G92" s="38">
        <f>($F$92 -  AVERAGE($F$78,$F$79,$F$80) ) / ($F$95 -  AVERAGE($F$78,$F$79,$F$80) ) * 100</f>
        <v>51.294341888926787</v>
      </c>
      <c r="H92" s="38">
        <v>15</v>
      </c>
      <c r="I92" s="41">
        <f>LN($G$92)</f>
        <v>3.9375804515310007</v>
      </c>
      <c r="J92" s="34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>
        <f>IF(ISTEXT($I$92),"",12)</f>
        <v>12</v>
      </c>
      <c r="V92" s="32">
        <f t="shared" si="8"/>
        <v>15</v>
      </c>
      <c r="W92" s="32">
        <f t="shared" si="9"/>
        <v>3.9375804515310007</v>
      </c>
      <c r="X92" s="32"/>
      <c r="Y92" s="32"/>
    </row>
    <row r="93" spans="1:30" x14ac:dyDescent="0.25">
      <c r="A93" s="33" t="s">
        <v>283</v>
      </c>
      <c r="B93" s="33" t="s">
        <v>112</v>
      </c>
      <c r="C93" s="33" t="s">
        <v>12</v>
      </c>
      <c r="D93" s="39">
        <v>16682.061000000002</v>
      </c>
      <c r="E93" s="39">
        <v>24297.263999999999</v>
      </c>
      <c r="F93" s="39">
        <v>0.68658187199999998</v>
      </c>
      <c r="G93" s="39">
        <f>($F$93 -  AVERAGE($F$78,$F$79,$F$80) ) / ($F$93 -  AVERAGE($F$78,$F$79,$F$80) ) * 100</f>
        <v>100</v>
      </c>
      <c r="H93" s="39">
        <v>0</v>
      </c>
      <c r="I93" s="40">
        <f>LN($G$93)</f>
        <v>4.6051701859880918</v>
      </c>
      <c r="J93" s="35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>
        <f>IF(ISTEXT($I$93),"",13)</f>
        <v>13</v>
      </c>
      <c r="V93" s="33">
        <f t="shared" si="8"/>
        <v>0</v>
      </c>
      <c r="W93" s="33">
        <f t="shared" si="9"/>
        <v>4.6051701859880918</v>
      </c>
      <c r="X93" s="33"/>
      <c r="Y93" s="33"/>
    </row>
    <row r="94" spans="1:30" x14ac:dyDescent="0.25">
      <c r="A94" s="32" t="s">
        <v>284</v>
      </c>
      <c r="B94" s="32" t="s">
        <v>112</v>
      </c>
      <c r="C94" s="32" t="s">
        <v>12</v>
      </c>
      <c r="D94" s="38">
        <v>28647.886999999999</v>
      </c>
      <c r="E94" s="38">
        <v>26414.866999999998</v>
      </c>
      <c r="F94" s="38">
        <v>1.0845364850000001</v>
      </c>
      <c r="G94" s="38">
        <f>($F$94 -  AVERAGE($F$78,$F$79,$F$80) ) / ($F$94 -  AVERAGE($F$78,$F$79,$F$80) ) * 100</f>
        <v>100</v>
      </c>
      <c r="H94" s="38">
        <v>0</v>
      </c>
      <c r="I94" s="41">
        <f>LN($G$94)</f>
        <v>4.6051701859880918</v>
      </c>
      <c r="J94" s="34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>
        <f>IF(ISTEXT($I$94),"",14)</f>
        <v>14</v>
      </c>
      <c r="V94" s="32">
        <f t="shared" si="8"/>
        <v>0</v>
      </c>
      <c r="W94" s="32">
        <f t="shared" si="9"/>
        <v>4.6051701859880918</v>
      </c>
      <c r="X94" s="32"/>
      <c r="Y94" s="32"/>
    </row>
    <row r="95" spans="1:30" x14ac:dyDescent="0.25">
      <c r="A95" s="33" t="s">
        <v>285</v>
      </c>
      <c r="B95" s="33" t="s">
        <v>112</v>
      </c>
      <c r="C95" s="33" t="s">
        <v>12</v>
      </c>
      <c r="D95" s="39">
        <v>23525.815999999999</v>
      </c>
      <c r="E95" s="39">
        <v>25058.076000000001</v>
      </c>
      <c r="F95" s="39">
        <v>0.93885165000000004</v>
      </c>
      <c r="G95" s="39">
        <f>($F$95 -  AVERAGE($F$78,$F$79,$F$80) ) / ($F$95 -  AVERAGE($F$78,$F$79,$F$80) ) * 100</f>
        <v>100</v>
      </c>
      <c r="H95" s="39">
        <v>0</v>
      </c>
      <c r="I95" s="40">
        <f>LN($G$95)</f>
        <v>4.6051701859880918</v>
      </c>
      <c r="J95" s="35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>
        <f>IF(ISTEXT($I$95),"",15)</f>
        <v>15</v>
      </c>
      <c r="V95" s="33">
        <f t="shared" si="8"/>
        <v>0</v>
      </c>
      <c r="W95" s="33">
        <f t="shared" si="9"/>
        <v>4.6051701859880918</v>
      </c>
      <c r="X95" s="33"/>
      <c r="Y95" s="33"/>
    </row>
    <row r="96" spans="1:30" x14ac:dyDescent="0.25">
      <c r="A96" s="32"/>
      <c r="B96" s="32"/>
      <c r="C96" s="32"/>
      <c r="D96" s="38"/>
      <c r="E96" s="38"/>
      <c r="F96" s="38"/>
      <c r="G96" s="38"/>
      <c r="H96" s="38"/>
      <c r="I96" s="38"/>
      <c r="J96" s="34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</row>
    <row r="97" spans="1:30" ht="15.75" thickBot="1" x14ac:dyDescent="0.3">
      <c r="A97" s="32"/>
      <c r="B97" s="32"/>
      <c r="C97" s="32"/>
      <c r="D97" s="38"/>
      <c r="E97" s="38"/>
      <c r="F97" s="38"/>
      <c r="G97" s="38"/>
      <c r="H97" s="38"/>
      <c r="I97" s="38"/>
      <c r="J97" s="34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1:30" ht="16.5" thickTop="1" thickBot="1" x14ac:dyDescent="0.3">
      <c r="A98" s="33" t="s">
        <v>6</v>
      </c>
      <c r="B98" s="33" t="s">
        <v>129</v>
      </c>
      <c r="C98" s="33" t="s">
        <v>13</v>
      </c>
      <c r="D98" s="39">
        <v>1.429</v>
      </c>
      <c r="E98" s="39">
        <v>37229.300999999999</v>
      </c>
      <c r="F98" s="39">
        <v>3.8383700000000003E-5</v>
      </c>
      <c r="G98" s="39"/>
      <c r="H98" s="39"/>
      <c r="I98" s="39"/>
      <c r="J98" s="35"/>
      <c r="K98" s="33"/>
      <c r="L98" s="33"/>
      <c r="M98" s="33"/>
      <c r="N98" s="33"/>
      <c r="O98" s="33"/>
      <c r="P98" s="33"/>
      <c r="Q98" s="33"/>
      <c r="R98" s="33" t="s">
        <v>130</v>
      </c>
      <c r="S98" s="33"/>
      <c r="T98" s="33">
        <v>8</v>
      </c>
      <c r="U98" s="33"/>
      <c r="V98" s="33"/>
      <c r="W98" s="33"/>
      <c r="X98" s="33"/>
      <c r="Y98" s="33"/>
      <c r="Z98" s="9" t="s">
        <v>45</v>
      </c>
      <c r="AA98" s="9" t="s">
        <v>47</v>
      </c>
      <c r="AB98" s="9" t="s">
        <v>48</v>
      </c>
      <c r="AC98" s="9" t="s">
        <v>49</v>
      </c>
      <c r="AD98" s="9" t="s">
        <v>50</v>
      </c>
    </row>
    <row r="99" spans="1:30" ht="15.75" thickTop="1" x14ac:dyDescent="0.25">
      <c r="A99" s="32" t="s">
        <v>8</v>
      </c>
      <c r="B99" s="32" t="s">
        <v>129</v>
      </c>
      <c r="C99" s="32" t="s">
        <v>13</v>
      </c>
      <c r="D99" s="38">
        <v>1</v>
      </c>
      <c r="E99" s="38">
        <v>37141.370999999999</v>
      </c>
      <c r="F99" s="38">
        <v>2.6924154199908239E-5</v>
      </c>
      <c r="G99" s="38"/>
      <c r="H99" s="38"/>
      <c r="I99" s="38"/>
      <c r="J99" s="34"/>
      <c r="K99" s="32"/>
      <c r="L99" s="32"/>
      <c r="M99" s="32"/>
      <c r="N99" s="32"/>
      <c r="O99" s="32"/>
      <c r="P99" s="32"/>
      <c r="Q99" s="32"/>
      <c r="R99" s="32" t="s">
        <v>45</v>
      </c>
      <c r="S99" s="32"/>
      <c r="T99" s="32">
        <v>138</v>
      </c>
      <c r="U99" s="32"/>
      <c r="V99" s="32"/>
      <c r="W99" s="32"/>
      <c r="X99" s="32"/>
      <c r="Y99" s="32"/>
      <c r="Z99" s="10">
        <f>$H$101</f>
        <v>120</v>
      </c>
      <c r="AA99" s="11">
        <f>IF(ISTEXT($I$101),TEXT($G$101/100,"0.00%"),$G$101 / 100)</f>
        <v>0.20814522173855327</v>
      </c>
      <c r="AB99" s="11">
        <f>IF(ISTEXT($I$102),TEXT($G$102/100,"0.00%"),$G$102 / 100)</f>
        <v>0.18040237965845629</v>
      </c>
      <c r="AC99" s="11">
        <f>IF(ISTEXT($I$103),TEXT($G$103/100,"0.00%"),$G$103 / 100)</f>
        <v>0.21282438138639559</v>
      </c>
      <c r="AD99" s="11">
        <f>IFERROR(AVERAGE($AA$99:$AC$99),"")</f>
        <v>0.20045732759446841</v>
      </c>
    </row>
    <row r="100" spans="1:30" x14ac:dyDescent="0.25">
      <c r="A100" s="33" t="s">
        <v>9</v>
      </c>
      <c r="B100" s="33" t="s">
        <v>129</v>
      </c>
      <c r="C100" s="33" t="s">
        <v>13</v>
      </c>
      <c r="D100" s="39">
        <v>1.151</v>
      </c>
      <c r="E100" s="39">
        <v>36262.148000000001</v>
      </c>
      <c r="F100" s="39">
        <v>3.17411E-5</v>
      </c>
      <c r="G100" s="39"/>
      <c r="H100" s="39"/>
      <c r="I100" s="39"/>
      <c r="J100" s="35"/>
      <c r="K100" s="33"/>
      <c r="L100" s="33"/>
      <c r="M100" s="33"/>
      <c r="N100" s="33"/>
      <c r="O100" s="33"/>
      <c r="P100" s="33"/>
      <c r="Q100" s="33"/>
      <c r="R100" s="33" t="s">
        <v>46</v>
      </c>
      <c r="S100" s="33"/>
      <c r="T100" s="33">
        <v>152</v>
      </c>
      <c r="U100" s="33"/>
      <c r="V100" s="33"/>
      <c r="W100" s="33"/>
      <c r="X100" s="33"/>
      <c r="Y100" s="33"/>
      <c r="Z100" s="10">
        <f>$H$104</f>
        <v>60</v>
      </c>
      <c r="AA100" s="11">
        <f>IF(ISTEXT($I$104),TEXT($G$104/100,"0.00%"),$G$104 / 100)</f>
        <v>0.26980342998992424</v>
      </c>
      <c r="AB100" s="11">
        <f>IF(ISTEXT($I$105),TEXT($G$105/100,"0.00%"),$G$105 / 100)</f>
        <v>0.23578213828079217</v>
      </c>
      <c r="AC100" s="11">
        <f>IF(ISTEXT($I$106),TEXT($G$106/100,"0.00%"),$G$106 / 100)</f>
        <v>0.2133683984792398</v>
      </c>
      <c r="AD100" s="11">
        <f>IFERROR(AVERAGE($AA$100:$AC$100),"")</f>
        <v>0.23965132224998542</v>
      </c>
    </row>
    <row r="101" spans="1:30" x14ac:dyDescent="0.25">
      <c r="A101" s="32" t="s">
        <v>286</v>
      </c>
      <c r="B101" s="32" t="s">
        <v>129</v>
      </c>
      <c r="C101" s="32" t="s">
        <v>13</v>
      </c>
      <c r="D101" s="38">
        <v>39414.468999999997</v>
      </c>
      <c r="E101" s="38">
        <v>26272.84</v>
      </c>
      <c r="F101" s="38">
        <v>1.5001982659999999</v>
      </c>
      <c r="G101" s="38">
        <f>($F$101 -  AVERAGE($F$98,$F$99,$F$100) ) / ($F$113 -  AVERAGE($F$98,$F$99,$F$100) ) * 100</f>
        <v>20.814522173855327</v>
      </c>
      <c r="H101" s="38">
        <v>120</v>
      </c>
      <c r="I101" s="41">
        <f>LN($G$101)</f>
        <v>3.0356509245273515</v>
      </c>
      <c r="J101" s="34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>
        <f>IF(ISTEXT($I$101),"",1)</f>
        <v>1</v>
      </c>
      <c r="V101" s="32">
        <f t="shared" ref="V101:V115" si="10">IFERROR(INDEX($H$101:$H$115,SMALL($U$101:$U$115,ROW(W1)),1),"")</f>
        <v>120</v>
      </c>
      <c r="W101" s="32">
        <f t="shared" ref="W101:W115" si="11">IFERROR(INDEX($I$101:$I$115,SMALL($U$101:$U$115,ROW(I1)),1),"")</f>
        <v>3.0356509245273515</v>
      </c>
      <c r="X101" s="32"/>
      <c r="Y101" s="32"/>
      <c r="Z101" s="10">
        <f>$H$107</f>
        <v>30</v>
      </c>
      <c r="AA101" s="11">
        <f>IF(ISTEXT($I$107),TEXT($G$107/100,"0.00%"),$G$107 / 100)</f>
        <v>0.37978464427811054</v>
      </c>
      <c r="AB101" s="11">
        <f>IF(ISTEXT($I$108),TEXT($G$108/100,"0.00%"),$G$108 / 100)</f>
        <v>0.27625003678717591</v>
      </c>
      <c r="AC101" s="11">
        <f>IF(ISTEXT($I$109),TEXT($G$109/100,"0.00%"),$G$109 / 100)</f>
        <v>0.24638380084857978</v>
      </c>
      <c r="AD101" s="11">
        <f>IFERROR(AVERAGE($AA$101:$AC$101),"")</f>
        <v>0.3008061606379554</v>
      </c>
    </row>
    <row r="102" spans="1:30" x14ac:dyDescent="0.25">
      <c r="A102" s="33" t="s">
        <v>287</v>
      </c>
      <c r="B102" s="33" t="s">
        <v>129</v>
      </c>
      <c r="C102" s="33" t="s">
        <v>13</v>
      </c>
      <c r="D102" s="39">
        <v>44511.457000000002</v>
      </c>
      <c r="E102" s="39">
        <v>24991.822</v>
      </c>
      <c r="F102" s="39">
        <v>1.781040894</v>
      </c>
      <c r="G102" s="39">
        <f>($F$102 -  AVERAGE($F$98,$F$99,$F$100) ) / ($F$114 -  AVERAGE($F$98,$F$99,$F$100) ) * 100</f>
        <v>18.04023796584563</v>
      </c>
      <c r="H102" s="39">
        <v>120</v>
      </c>
      <c r="I102" s="40">
        <f>LN($G$102)</f>
        <v>2.8926047055588757</v>
      </c>
      <c r="J102" s="35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>
        <f>IF(ISTEXT($I$102),"",2)</f>
        <v>2</v>
      </c>
      <c r="V102" s="33">
        <f t="shared" si="10"/>
        <v>120</v>
      </c>
      <c r="W102" s="33">
        <f t="shared" si="11"/>
        <v>2.8926047055588757</v>
      </c>
      <c r="X102" s="33"/>
      <c r="Y102" s="33"/>
      <c r="Z102" s="10">
        <f>$H$110</f>
        <v>15</v>
      </c>
      <c r="AA102" s="11">
        <f>IF(ISTEXT($I$110),TEXT($G$110/100,"0.00%"),$G$110 / 100)</f>
        <v>0.5329681141349043</v>
      </c>
      <c r="AB102" s="11">
        <f>IF(ISTEXT($I$111),TEXT($G$111/100,"0.00%"),$G$111 / 100)</f>
        <v>0.34339622152120908</v>
      </c>
      <c r="AC102" s="11">
        <f>IF(ISTEXT($I$112),TEXT($G$112/100,"0.00%"),$G$112 / 100)</f>
        <v>0.31370303142873024</v>
      </c>
      <c r="AD102" s="11">
        <f>IFERROR(AVERAGE($AA$102:$AC$102),"")</f>
        <v>0.39668912236161452</v>
      </c>
    </row>
    <row r="103" spans="1:30" ht="15.75" thickBot="1" x14ac:dyDescent="0.3">
      <c r="A103" s="32" t="s">
        <v>288</v>
      </c>
      <c r="B103" s="32" t="s">
        <v>129</v>
      </c>
      <c r="C103" s="32" t="s">
        <v>13</v>
      </c>
      <c r="D103" s="38">
        <v>77994.672000000006</v>
      </c>
      <c r="E103" s="38">
        <v>26115.01</v>
      </c>
      <c r="F103" s="38">
        <v>2.9865840370000001</v>
      </c>
      <c r="G103" s="38">
        <f>($F$103 -  AVERAGE($F$98,$F$99,$F$100) ) / ($F$115 -  AVERAGE($F$98,$F$99,$F$100) ) * 100</f>
        <v>21.282438138639559</v>
      </c>
      <c r="H103" s="38">
        <v>120</v>
      </c>
      <c r="I103" s="41">
        <f>LN($G$103)</f>
        <v>3.0578822320945127</v>
      </c>
      <c r="J103" s="34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>
        <f>IF(ISTEXT($I$103),"",3)</f>
        <v>3</v>
      </c>
      <c r="V103" s="32">
        <f t="shared" si="10"/>
        <v>120</v>
      </c>
      <c r="W103" s="32">
        <f t="shared" si="11"/>
        <v>3.0578822320945127</v>
      </c>
      <c r="X103" s="32"/>
      <c r="Y103" s="32"/>
      <c r="Z103" s="12">
        <f>$H$113</f>
        <v>0</v>
      </c>
      <c r="AA103" s="13">
        <f>IF(ISTEXT($I$113),TEXT($G$113/100,"0.00%"),$G$113 / 100)</f>
        <v>1</v>
      </c>
      <c r="AB103" s="13">
        <f>IF(ISTEXT($I$114),TEXT($G$114/100,"0.00%"),$G$114 / 100)</f>
        <v>1</v>
      </c>
      <c r="AC103" s="13">
        <f>IF(ISTEXT($I$115),TEXT($G$115/100,"0.00%"),$G$115 / 100)</f>
        <v>1</v>
      </c>
      <c r="AD103" s="13">
        <f>IFERROR(AVERAGE($AA$103:$AC$103),"")</f>
        <v>1</v>
      </c>
    </row>
    <row r="104" spans="1:30" ht="16.5" thickTop="1" thickBot="1" x14ac:dyDescent="0.3">
      <c r="A104" s="33" t="s">
        <v>289</v>
      </c>
      <c r="B104" s="33" t="s">
        <v>129</v>
      </c>
      <c r="C104" s="33" t="s">
        <v>13</v>
      </c>
      <c r="D104" s="39">
        <v>49818.495999999999</v>
      </c>
      <c r="E104" s="39">
        <v>25619.053</v>
      </c>
      <c r="F104" s="39">
        <v>1.9445877250000001</v>
      </c>
      <c r="G104" s="39">
        <f>($F$104 -  AVERAGE($F$98,$F$99,$F$100) ) / ($F$113 -  AVERAGE($F$98,$F$99,$F$100) ) * 100</f>
        <v>26.980342998992423</v>
      </c>
      <c r="H104" s="39">
        <v>60</v>
      </c>
      <c r="I104" s="40">
        <f>LN($G$104)</f>
        <v>3.2951085637822843</v>
      </c>
      <c r="J104" s="35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>
        <f>IF(ISTEXT($I$104),"",4)</f>
        <v>4</v>
      </c>
      <c r="V104" s="33">
        <f t="shared" si="10"/>
        <v>60</v>
      </c>
      <c r="W104" s="33">
        <f t="shared" si="11"/>
        <v>3.2951085637822843</v>
      </c>
      <c r="X104" s="33"/>
      <c r="Y104" s="33"/>
    </row>
    <row r="105" spans="1:30" x14ac:dyDescent="0.25">
      <c r="A105" s="32" t="s">
        <v>290</v>
      </c>
      <c r="B105" s="32" t="s">
        <v>129</v>
      </c>
      <c r="C105" s="32" t="s">
        <v>13</v>
      </c>
      <c r="D105" s="38">
        <v>57821.574000000001</v>
      </c>
      <c r="E105" s="38">
        <v>24839.865000000002</v>
      </c>
      <c r="F105" s="38">
        <v>2.3277732790000001</v>
      </c>
      <c r="G105" s="38">
        <f>($F$105 -  AVERAGE($F$98,$F$99,$F$100) ) / ($F$114 -  AVERAGE($F$98,$F$99,$F$100) ) * 100</f>
        <v>23.578213828079218</v>
      </c>
      <c r="H105" s="38">
        <v>60</v>
      </c>
      <c r="I105" s="41">
        <f>LN($G$105)</f>
        <v>3.1603231427947649</v>
      </c>
      <c r="J105" s="34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>
        <f>IF(ISTEXT($I$105),"",5)</f>
        <v>5</v>
      </c>
      <c r="V105" s="32">
        <f t="shared" si="10"/>
        <v>60</v>
      </c>
      <c r="W105" s="32">
        <f t="shared" si="11"/>
        <v>3.1603231427947649</v>
      </c>
      <c r="X105" s="32"/>
      <c r="Y105" s="32"/>
      <c r="Z105" s="20" t="s">
        <v>51</v>
      </c>
      <c r="AA105" s="29">
        <f>IFERROR(SLOPE($W$101:$W$115,$V$101:$V$115),"")</f>
        <v>-1.0597831974896612E-2</v>
      </c>
    </row>
    <row r="106" spans="1:30" x14ac:dyDescent="0.25">
      <c r="A106" s="33" t="s">
        <v>291</v>
      </c>
      <c r="B106" s="33" t="s">
        <v>129</v>
      </c>
      <c r="C106" s="33" t="s">
        <v>13</v>
      </c>
      <c r="D106" s="39">
        <v>80655.016000000003</v>
      </c>
      <c r="E106" s="39">
        <v>26936.92</v>
      </c>
      <c r="F106" s="39">
        <v>2.9942181959999998</v>
      </c>
      <c r="G106" s="39">
        <f>($F$106 -  AVERAGE($F$98,$F$99,$F$100) ) / ($F$115 -  AVERAGE($F$98,$F$99,$F$100) ) * 100</f>
        <v>21.336839847923979</v>
      </c>
      <c r="H106" s="39">
        <v>60</v>
      </c>
      <c r="I106" s="40">
        <f>LN($G$106)</f>
        <v>3.0604351490560804</v>
      </c>
      <c r="J106" s="35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>
        <f>IF(ISTEXT($I$106),"",6)</f>
        <v>6</v>
      </c>
      <c r="V106" s="33">
        <f t="shared" si="10"/>
        <v>60</v>
      </c>
      <c r="W106" s="33">
        <f t="shared" si="11"/>
        <v>3.0604351490560804</v>
      </c>
      <c r="X106" s="33"/>
      <c r="Y106" s="33"/>
      <c r="Z106" s="22" t="s">
        <v>52</v>
      </c>
      <c r="AA106" s="23">
        <f>IFERROR(INTERCEPT($W$101:$W$115,$V$101:$V$115),"")</f>
        <v>4.0392757241605466</v>
      </c>
    </row>
    <row r="107" spans="1:30" ht="17.25" x14ac:dyDescent="0.25">
      <c r="A107" s="32" t="s">
        <v>292</v>
      </c>
      <c r="B107" s="32" t="s">
        <v>129</v>
      </c>
      <c r="C107" s="32" t="s">
        <v>13</v>
      </c>
      <c r="D107" s="38">
        <v>74528.391000000003</v>
      </c>
      <c r="E107" s="38">
        <v>27227.412</v>
      </c>
      <c r="F107" s="38">
        <v>2.7372557849999999</v>
      </c>
      <c r="G107" s="38">
        <f>($F$107 -  AVERAGE($F$98,$F$99,$F$100) ) / ($F$113 -  AVERAGE($F$98,$F$99,$F$100) ) * 100</f>
        <v>37.978464427811055</v>
      </c>
      <c r="H107" s="38">
        <v>30</v>
      </c>
      <c r="I107" s="41">
        <f>LN($G$107)</f>
        <v>3.6370192734928235</v>
      </c>
      <c r="J107" s="34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>
        <f>IF(ISTEXT($I$107),"",7)</f>
        <v>7</v>
      </c>
      <c r="V107" s="32">
        <f t="shared" si="10"/>
        <v>30</v>
      </c>
      <c r="W107" s="32">
        <f t="shared" si="11"/>
        <v>3.6370192734928235</v>
      </c>
      <c r="X107" s="32"/>
      <c r="Y107" s="32"/>
      <c r="Z107" s="22" t="s">
        <v>53</v>
      </c>
      <c r="AA107" s="26">
        <f>IFERROR(CORREL($W$101:$W$115,$V$101:$V$115)^2,"")</f>
        <v>0.59387933721784014</v>
      </c>
    </row>
    <row r="108" spans="1:30" ht="18" x14ac:dyDescent="0.35">
      <c r="A108" s="33" t="s">
        <v>293</v>
      </c>
      <c r="B108" s="33" t="s">
        <v>129</v>
      </c>
      <c r="C108" s="33" t="s">
        <v>13</v>
      </c>
      <c r="D108" s="39">
        <v>22986.553</v>
      </c>
      <c r="E108" s="39">
        <v>8428.3510000000006</v>
      </c>
      <c r="F108" s="39">
        <v>2.7272894779999999</v>
      </c>
      <c r="G108" s="39">
        <f>($F$108 -  AVERAGE($F$98,$F$99,$F$100) ) / ($F$114 -  AVERAGE($F$98,$F$99,$F$100) ) * 100</f>
        <v>27.62500367871759</v>
      </c>
      <c r="H108" s="39">
        <v>30</v>
      </c>
      <c r="I108" s="40">
        <f>LN($G$108)</f>
        <v>3.3187212930041556</v>
      </c>
      <c r="J108" s="35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>
        <f>IF(ISTEXT($I$108),"",8)</f>
        <v>8</v>
      </c>
      <c r="V108" s="33">
        <f t="shared" si="10"/>
        <v>30</v>
      </c>
      <c r="W108" s="33">
        <f t="shared" si="11"/>
        <v>3.3187212930041556</v>
      </c>
      <c r="X108" s="33"/>
      <c r="Y108" s="33"/>
      <c r="Z108" s="22" t="s">
        <v>54</v>
      </c>
      <c r="AA108" s="30">
        <f>IF(AA105&gt;0,"",IFERROR(LN(2) /ABS(AA105),0))</f>
        <v>65.404620699952872</v>
      </c>
    </row>
    <row r="109" spans="1:30" ht="18.75" x14ac:dyDescent="0.35">
      <c r="A109" s="32" t="s">
        <v>294</v>
      </c>
      <c r="B109" s="32" t="s">
        <v>129</v>
      </c>
      <c r="C109" s="32" t="s">
        <v>13</v>
      </c>
      <c r="D109" s="38">
        <v>91952.016000000003</v>
      </c>
      <c r="E109" s="38">
        <v>26594.778999999999</v>
      </c>
      <c r="F109" s="38">
        <v>3.4575213429999998</v>
      </c>
      <c r="G109" s="38">
        <f>($F$109 -  AVERAGE($F$98,$F$99,$F$100) ) / ($F$115 -  AVERAGE($F$98,$F$99,$F$100) ) * 100</f>
        <v>24.638380084857978</v>
      </c>
      <c r="H109" s="38">
        <v>30</v>
      </c>
      <c r="I109" s="41">
        <f>LN($G$109)</f>
        <v>3.2043053931947978</v>
      </c>
      <c r="J109" s="34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>
        <f>IF(ISTEXT($I$109),"",9)</f>
        <v>9</v>
      </c>
      <c r="V109" s="32">
        <f t="shared" si="10"/>
        <v>30</v>
      </c>
      <c r="W109" s="32">
        <f t="shared" si="11"/>
        <v>3.2043053931947978</v>
      </c>
      <c r="X109" s="32"/>
      <c r="Y109" s="32"/>
      <c r="Z109" s="22" t="s">
        <v>55</v>
      </c>
      <c r="AA109" s="30">
        <f>IF(AA105&gt;0,0,IFERROR(ABS(AA105 * 1000 / 0.5),0))</f>
        <v>21.195663949793222</v>
      </c>
    </row>
    <row r="110" spans="1:30" ht="15.75" thickBot="1" x14ac:dyDescent="0.3">
      <c r="A110" s="33" t="s">
        <v>295</v>
      </c>
      <c r="B110" s="33" t="s">
        <v>129</v>
      </c>
      <c r="C110" s="33" t="s">
        <v>13</v>
      </c>
      <c r="D110" s="39">
        <v>107947.414</v>
      </c>
      <c r="E110" s="39">
        <v>28101.824000000001</v>
      </c>
      <c r="F110" s="39">
        <v>3.8412956399999998</v>
      </c>
      <c r="G110" s="39">
        <f>($F$110 -  AVERAGE($F$98,$F$99,$F$100) ) / ($F$113 -  AVERAGE($F$98,$F$99,$F$100) ) * 100</f>
        <v>53.296811413490431</v>
      </c>
      <c r="H110" s="39">
        <v>15</v>
      </c>
      <c r="I110" s="40">
        <f>LN($G$110)</f>
        <v>3.9758765059956378</v>
      </c>
      <c r="J110" s="35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>
        <f>IF(ISTEXT($I$110),"",10)</f>
        <v>10</v>
      </c>
      <c r="V110" s="33">
        <f t="shared" si="10"/>
        <v>15</v>
      </c>
      <c r="W110" s="33">
        <f t="shared" si="11"/>
        <v>3.9758765059956378</v>
      </c>
      <c r="X110" s="33"/>
      <c r="Y110" s="33"/>
      <c r="Z110" s="27" t="s">
        <v>39</v>
      </c>
      <c r="AA110" s="28" t="s">
        <v>56</v>
      </c>
    </row>
    <row r="111" spans="1:30" x14ac:dyDescent="0.25">
      <c r="A111" s="32" t="s">
        <v>296</v>
      </c>
      <c r="B111" s="32" t="s">
        <v>129</v>
      </c>
      <c r="C111" s="32" t="s">
        <v>13</v>
      </c>
      <c r="D111" s="38">
        <v>87119.523000000001</v>
      </c>
      <c r="E111" s="38">
        <v>25697.572</v>
      </c>
      <c r="F111" s="38">
        <v>3.3901849949999998</v>
      </c>
      <c r="G111" s="38">
        <f>($F$111 -  AVERAGE($F$98,$F$99,$F$100) ) / ($F$114 -  AVERAGE($F$98,$F$99,$F$100) ) * 100</f>
        <v>34.33962215212091</v>
      </c>
      <c r="H111" s="38">
        <v>15</v>
      </c>
      <c r="I111" s="41">
        <f>LN($G$111)</f>
        <v>3.536299852267295</v>
      </c>
      <c r="J111" s="34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>
        <f>IF(ISTEXT($I$111),"",11)</f>
        <v>11</v>
      </c>
      <c r="V111" s="32">
        <f t="shared" si="10"/>
        <v>15</v>
      </c>
      <c r="W111" s="32">
        <f t="shared" si="11"/>
        <v>3.536299852267295</v>
      </c>
      <c r="X111" s="32"/>
      <c r="Y111" s="32"/>
    </row>
    <row r="112" spans="1:30" x14ac:dyDescent="0.25">
      <c r="A112" s="33" t="s">
        <v>297</v>
      </c>
      <c r="B112" s="33" t="s">
        <v>129</v>
      </c>
      <c r="C112" s="33" t="s">
        <v>13</v>
      </c>
      <c r="D112" s="39">
        <v>121173.039</v>
      </c>
      <c r="E112" s="39">
        <v>27525.513999999999</v>
      </c>
      <c r="F112" s="39">
        <v>4.4022080389999996</v>
      </c>
      <c r="G112" s="39">
        <f>($F$112 -  AVERAGE($F$98,$F$99,$F$100) ) / ($F$115 -  AVERAGE($F$98,$F$99,$F$100) ) * 100</f>
        <v>31.370303142873023</v>
      </c>
      <c r="H112" s="39">
        <v>15</v>
      </c>
      <c r="I112" s="40">
        <f>LN($G$112)</f>
        <v>3.4458616856201298</v>
      </c>
      <c r="J112" s="35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>
        <f>IF(ISTEXT($I$112),"",12)</f>
        <v>12</v>
      </c>
      <c r="V112" s="33">
        <f t="shared" si="10"/>
        <v>15</v>
      </c>
      <c r="W112" s="33">
        <f t="shared" si="11"/>
        <v>3.4458616856201298</v>
      </c>
      <c r="X112" s="33"/>
      <c r="Y112" s="33"/>
    </row>
    <row r="113" spans="1:30" x14ac:dyDescent="0.25">
      <c r="A113" s="32" t="s">
        <v>298</v>
      </c>
      <c r="B113" s="32" t="s">
        <v>129</v>
      </c>
      <c r="C113" s="32" t="s">
        <v>13</v>
      </c>
      <c r="D113" s="38">
        <v>187592.45300000001</v>
      </c>
      <c r="E113" s="38">
        <v>26027.986000000001</v>
      </c>
      <c r="F113" s="38">
        <v>7.2073364800000004</v>
      </c>
      <c r="G113" s="38">
        <f>($F$113 -  AVERAGE($F$98,$F$99,$F$100) ) / ($F$113 -  AVERAGE($F$98,$F$99,$F$100) ) * 100</f>
        <v>100</v>
      </c>
      <c r="H113" s="38">
        <v>0</v>
      </c>
      <c r="I113" s="41">
        <f>LN($G$113)</f>
        <v>4.6051701859880918</v>
      </c>
      <c r="J113" s="34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>
        <f>IF(ISTEXT($I$113),"",13)</f>
        <v>13</v>
      </c>
      <c r="V113" s="32">
        <f t="shared" si="10"/>
        <v>0</v>
      </c>
      <c r="W113" s="32">
        <f t="shared" si="11"/>
        <v>4.6051701859880918</v>
      </c>
      <c r="X113" s="32"/>
      <c r="Y113" s="32"/>
    </row>
    <row r="114" spans="1:30" x14ac:dyDescent="0.25">
      <c r="A114" s="33" t="s">
        <v>299</v>
      </c>
      <c r="B114" s="33" t="s">
        <v>129</v>
      </c>
      <c r="C114" s="33" t="s">
        <v>13</v>
      </c>
      <c r="D114" s="39">
        <v>317052.90600000002</v>
      </c>
      <c r="E114" s="39">
        <v>32114.9</v>
      </c>
      <c r="F114" s="39">
        <v>9.8724550289999993</v>
      </c>
      <c r="G114" s="39">
        <f>($F$114 -  AVERAGE($F$98,$F$99,$F$100) ) / ($F$114 -  AVERAGE($F$98,$F$99,$F$100) ) * 100</f>
        <v>100</v>
      </c>
      <c r="H114" s="39">
        <v>0</v>
      </c>
      <c r="I114" s="40">
        <f>LN($G$114)</f>
        <v>4.6051701859880918</v>
      </c>
      <c r="J114" s="35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>
        <f>IF(ISTEXT($I$114),"",14)</f>
        <v>14</v>
      </c>
      <c r="V114" s="33">
        <f t="shared" si="10"/>
        <v>0</v>
      </c>
      <c r="W114" s="33">
        <f t="shared" si="11"/>
        <v>4.6051701859880918</v>
      </c>
      <c r="X114" s="33"/>
      <c r="Y114" s="33"/>
    </row>
    <row r="115" spans="1:30" x14ac:dyDescent="0.25">
      <c r="A115" s="32" t="s">
        <v>300</v>
      </c>
      <c r="B115" s="32" t="s">
        <v>129</v>
      </c>
      <c r="C115" s="32" t="s">
        <v>13</v>
      </c>
      <c r="D115" s="38">
        <v>365075.46899999998</v>
      </c>
      <c r="E115" s="38">
        <v>26015.548999999999</v>
      </c>
      <c r="F115" s="38">
        <v>14.032971939999999</v>
      </c>
      <c r="G115" s="38">
        <f>($F$115 -  AVERAGE($F$98,$F$99,$F$100) ) / ($F$115 -  AVERAGE($F$98,$F$99,$F$100) ) * 100</f>
        <v>100</v>
      </c>
      <c r="H115" s="38">
        <v>0</v>
      </c>
      <c r="I115" s="41">
        <f>LN($G$115)</f>
        <v>4.6051701859880918</v>
      </c>
      <c r="J115" s="34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>
        <f>IF(ISTEXT($I$115),"",15)</f>
        <v>15</v>
      </c>
      <c r="V115" s="32">
        <f t="shared" si="10"/>
        <v>0</v>
      </c>
      <c r="W115" s="32">
        <f t="shared" si="11"/>
        <v>4.6051701859880918</v>
      </c>
      <c r="X115" s="32"/>
      <c r="Y115" s="32"/>
    </row>
    <row r="116" spans="1:30" ht="15.75" thickBot="1" x14ac:dyDescent="0.3">
      <c r="A116" s="33"/>
      <c r="B116" s="33"/>
      <c r="C116" s="33"/>
      <c r="D116" s="39"/>
      <c r="E116" s="39"/>
      <c r="F116" s="39"/>
      <c r="G116" s="39"/>
      <c r="H116" s="39"/>
      <c r="I116" s="39"/>
      <c r="J116" s="35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</row>
    <row r="117" spans="1:30" ht="16.5" thickTop="1" thickBot="1" x14ac:dyDescent="0.3">
      <c r="A117" s="32" t="s">
        <v>6</v>
      </c>
      <c r="B117" s="32" t="s">
        <v>146</v>
      </c>
      <c r="C117" s="32" t="s">
        <v>14</v>
      </c>
      <c r="D117" s="38">
        <v>1</v>
      </c>
      <c r="E117" s="38">
        <v>37229.300999999999</v>
      </c>
      <c r="F117" s="38">
        <v>2.6860563404077881E-5</v>
      </c>
      <c r="G117" s="38"/>
      <c r="H117" s="38"/>
      <c r="I117" s="38"/>
      <c r="J117" s="34"/>
      <c r="K117" s="32"/>
      <c r="L117" s="32"/>
      <c r="M117" s="32"/>
      <c r="N117" s="32"/>
      <c r="O117" s="32"/>
      <c r="P117" s="32"/>
      <c r="Q117" s="32"/>
      <c r="R117" s="32" t="s">
        <v>147</v>
      </c>
      <c r="S117" s="32"/>
      <c r="T117" s="32">
        <v>9</v>
      </c>
      <c r="U117" s="32"/>
      <c r="V117" s="32"/>
      <c r="W117" s="32"/>
      <c r="X117" s="32"/>
      <c r="Y117" s="32"/>
      <c r="Z117" s="9" t="s">
        <v>45</v>
      </c>
      <c r="AA117" s="9" t="s">
        <v>47</v>
      </c>
      <c r="AB117" s="9" t="s">
        <v>48</v>
      </c>
      <c r="AC117" s="9" t="s">
        <v>49</v>
      </c>
      <c r="AD117" s="9" t="s">
        <v>50</v>
      </c>
    </row>
    <row r="118" spans="1:30" ht="15.75" thickTop="1" x14ac:dyDescent="0.25">
      <c r="A118" s="33" t="s">
        <v>8</v>
      </c>
      <c r="B118" s="33" t="s">
        <v>146</v>
      </c>
      <c r="C118" s="33" t="s">
        <v>14</v>
      </c>
      <c r="D118" s="39">
        <v>1.4930000000000001</v>
      </c>
      <c r="E118" s="39">
        <v>37141.370999999999</v>
      </c>
      <c r="F118" s="39">
        <v>4.0197800000000003E-5</v>
      </c>
      <c r="G118" s="39"/>
      <c r="H118" s="39"/>
      <c r="I118" s="39"/>
      <c r="J118" s="35"/>
      <c r="K118" s="33"/>
      <c r="L118" s="33"/>
      <c r="M118" s="33"/>
      <c r="N118" s="33"/>
      <c r="O118" s="33"/>
      <c r="P118" s="33"/>
      <c r="Q118" s="33"/>
      <c r="R118" s="33" t="s">
        <v>45</v>
      </c>
      <c r="S118" s="33"/>
      <c r="T118" s="33">
        <v>157</v>
      </c>
      <c r="U118" s="33"/>
      <c r="V118" s="33"/>
      <c r="W118" s="33"/>
      <c r="X118" s="33"/>
      <c r="Y118" s="33"/>
      <c r="Z118" s="10">
        <f>$H$120</f>
        <v>120</v>
      </c>
      <c r="AA118" s="11">
        <f>IF(ISTEXT($I$120),TEXT($G$120/100,"0.00%"),$G$120 / 100)</f>
        <v>0.77622203844462723</v>
      </c>
      <c r="AB118" s="11">
        <f>IF(ISTEXT($I$121),TEXT($G$121/100,"0.00%"),$G$121 / 100)</f>
        <v>0.64732725255737877</v>
      </c>
      <c r="AC118" s="11">
        <f>IF(ISTEXT($I$122),TEXT($G$122/100,"0.00%"),$G$122 / 100)</f>
        <v>0.57820587837520609</v>
      </c>
      <c r="AD118" s="11">
        <f>IFERROR(AVERAGE($AA$118:$AC$118),"")</f>
        <v>0.66725172312573733</v>
      </c>
    </row>
    <row r="119" spans="1:30" x14ac:dyDescent="0.25">
      <c r="A119" s="32" t="s">
        <v>9</v>
      </c>
      <c r="B119" s="32" t="s">
        <v>146</v>
      </c>
      <c r="C119" s="32" t="s">
        <v>14</v>
      </c>
      <c r="D119" s="38">
        <v>2.0790000000000002</v>
      </c>
      <c r="E119" s="38">
        <v>36262.148000000001</v>
      </c>
      <c r="F119" s="38">
        <v>5.73325E-5</v>
      </c>
      <c r="G119" s="38"/>
      <c r="H119" s="38"/>
      <c r="I119" s="38"/>
      <c r="J119" s="34"/>
      <c r="K119" s="32"/>
      <c r="L119" s="32"/>
      <c r="M119" s="32"/>
      <c r="N119" s="32"/>
      <c r="O119" s="32"/>
      <c r="P119" s="32"/>
      <c r="Q119" s="32"/>
      <c r="R119" s="32" t="s">
        <v>46</v>
      </c>
      <c r="S119" s="32"/>
      <c r="T119" s="32">
        <v>171</v>
      </c>
      <c r="U119" s="32"/>
      <c r="V119" s="32"/>
      <c r="W119" s="32"/>
      <c r="X119" s="32"/>
      <c r="Y119" s="32"/>
      <c r="Z119" s="10">
        <f>$H$123</f>
        <v>60</v>
      </c>
      <c r="AA119" s="11">
        <f>IF(ISTEXT($I$123),TEXT($G$123/100,"0.00%"),$G$123 / 100)</f>
        <v>0.64299238005638781</v>
      </c>
      <c r="AB119" s="11">
        <f>IF(ISTEXT($I$124),TEXT($G$124/100,"0.00%"),$G$124 / 100)</f>
        <v>0.61884740101352442</v>
      </c>
      <c r="AC119" s="11">
        <f>IF(ISTEXT($I$125),TEXT($G$125/100,"0.00%"),$G$125 / 100)</f>
        <v>0.54349259675421246</v>
      </c>
      <c r="AD119" s="11">
        <f>IFERROR(AVERAGE($AA$119:$AC$119),"")</f>
        <v>0.60177745927470827</v>
      </c>
    </row>
    <row r="120" spans="1:30" x14ac:dyDescent="0.25">
      <c r="A120" s="33" t="s">
        <v>301</v>
      </c>
      <c r="B120" s="33" t="s">
        <v>146</v>
      </c>
      <c r="C120" s="33" t="s">
        <v>14</v>
      </c>
      <c r="D120" s="39">
        <v>104027.375</v>
      </c>
      <c r="E120" s="39">
        <v>22718.388999999999</v>
      </c>
      <c r="F120" s="39">
        <v>4.5789943559999999</v>
      </c>
      <c r="G120" s="39">
        <f>($F$120 -  AVERAGE($F$117,$F$118,$F$119) ) / ($F$132 -  AVERAGE($F$117,$F$118,$F$119) ) * 100</f>
        <v>77.622203844462717</v>
      </c>
      <c r="H120" s="39">
        <v>120</v>
      </c>
      <c r="I120" s="40">
        <f>LN($G$120)</f>
        <v>4.3518535182774869</v>
      </c>
      <c r="J120" s="35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>
        <f>IF(ISTEXT($I$120),"",1)</f>
        <v>1</v>
      </c>
      <c r="V120" s="33">
        <f t="shared" ref="V120:V134" si="12">IFERROR(INDEX($H$120:$H$134,SMALL($U$120:$U$134,ROW(W1)),1),"")</f>
        <v>120</v>
      </c>
      <c r="W120" s="33">
        <f t="shared" ref="W120:W134" si="13">IFERROR(INDEX($I$120:$I$134,SMALL($U$120:$U$134,ROW(I1)),1),"")</f>
        <v>4.3518535182774869</v>
      </c>
      <c r="X120" s="33"/>
      <c r="Y120" s="33"/>
      <c r="Z120" s="10">
        <f>$H$126</f>
        <v>30</v>
      </c>
      <c r="AA120" s="11">
        <f>IF(ISTEXT($I$126),TEXT($G$126/100,"0.00%"),$G$126 / 100)</f>
        <v>0.6432732071617201</v>
      </c>
      <c r="AB120" s="11">
        <f>IF(ISTEXT($I$127),TEXT($G$127/100,"0.00%"),$G$127 / 100)</f>
        <v>0.67533725055556648</v>
      </c>
      <c r="AC120" s="11">
        <f>IF(ISTEXT($I$128),TEXT($G$128/100,"0.00%"),$G$128 / 100)</f>
        <v>0.57443119365824236</v>
      </c>
      <c r="AD120" s="11">
        <f>IFERROR(AVERAGE($AA$120:$AC$120),"")</f>
        <v>0.63101388379184298</v>
      </c>
    </row>
    <row r="121" spans="1:30" x14ac:dyDescent="0.25">
      <c r="A121" s="32" t="s">
        <v>302</v>
      </c>
      <c r="B121" s="32" t="s">
        <v>146</v>
      </c>
      <c r="C121" s="32" t="s">
        <v>14</v>
      </c>
      <c r="D121" s="38">
        <v>98034.358999999997</v>
      </c>
      <c r="E121" s="38">
        <v>25961.118999999999</v>
      </c>
      <c r="F121" s="38">
        <v>3.7761992850000001</v>
      </c>
      <c r="G121" s="38">
        <f>($F$121 -  AVERAGE($F$117,$F$118,$F$119) ) / ($F$133 -  AVERAGE($F$117,$F$118,$F$119) ) * 100</f>
        <v>64.732725255737876</v>
      </c>
      <c r="H121" s="38">
        <v>120</v>
      </c>
      <c r="I121" s="41">
        <f>LN($G$121)</f>
        <v>4.1702668735673099</v>
      </c>
      <c r="J121" s="34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>
        <f>IF(ISTEXT($I$121),"",2)</f>
        <v>2</v>
      </c>
      <c r="V121" s="32">
        <f t="shared" si="12"/>
        <v>120</v>
      </c>
      <c r="W121" s="32">
        <f t="shared" si="13"/>
        <v>4.1702668735673099</v>
      </c>
      <c r="X121" s="32"/>
      <c r="Y121" s="32"/>
      <c r="Z121" s="10">
        <f>$H$129</f>
        <v>15</v>
      </c>
      <c r="AA121" s="11">
        <f>IF(ISTEXT($I$129),TEXT($G$129/100,"0.00%"),$G$129 / 100)</f>
        <v>0.64363510529713086</v>
      </c>
      <c r="AB121" s="11">
        <f>IF(ISTEXT($I$130),TEXT($G$130/100,"0.00%"),$G$130 / 100)</f>
        <v>0.73424888104778407</v>
      </c>
      <c r="AC121" s="11">
        <f>IF(ISTEXT($I$131),TEXT($G$131/100,"0.00%"),$G$131 / 100)</f>
        <v>0.6495530674042419</v>
      </c>
      <c r="AD121" s="11">
        <f>IFERROR(AVERAGE($AA$121:$AC$121),"")</f>
        <v>0.67581235124971883</v>
      </c>
    </row>
    <row r="122" spans="1:30" ht="15.75" thickBot="1" x14ac:dyDescent="0.3">
      <c r="A122" s="33" t="s">
        <v>303</v>
      </c>
      <c r="B122" s="33" t="s">
        <v>146</v>
      </c>
      <c r="C122" s="33" t="s">
        <v>14</v>
      </c>
      <c r="D122" s="39">
        <v>109050.273</v>
      </c>
      <c r="E122" s="39">
        <v>24686.059000000001</v>
      </c>
      <c r="F122" s="39">
        <v>4.4174840949999998</v>
      </c>
      <c r="G122" s="39">
        <f>($F$122 -  AVERAGE($F$117,$F$118,$F$119) ) / ($F$134 -  AVERAGE($F$117,$F$118,$F$119) ) * 100</f>
        <v>57.820587837520613</v>
      </c>
      <c r="H122" s="39">
        <v>120</v>
      </c>
      <c r="I122" s="40">
        <f>LN($G$122)</f>
        <v>4.0573449032179552</v>
      </c>
      <c r="J122" s="35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>
        <f>IF(ISTEXT($I$122),"",3)</f>
        <v>3</v>
      </c>
      <c r="V122" s="33">
        <f t="shared" si="12"/>
        <v>120</v>
      </c>
      <c r="W122" s="33">
        <f t="shared" si="13"/>
        <v>4.0573449032179552</v>
      </c>
      <c r="X122" s="33"/>
      <c r="Y122" s="33"/>
      <c r="Z122" s="12">
        <f>$H$132</f>
        <v>0</v>
      </c>
      <c r="AA122" s="13">
        <f>IF(ISTEXT($I$132),TEXT($G$132/100,"0.00%"),$G$132 / 100)</f>
        <v>1</v>
      </c>
      <c r="AB122" s="13">
        <f>IF(ISTEXT($I$133),TEXT($G$133/100,"0.00%"),$G$133 / 100)</f>
        <v>1</v>
      </c>
      <c r="AC122" s="13">
        <f>IF(ISTEXT($I$134),TEXT($G$134/100,"0.00%"),$G$134 / 100)</f>
        <v>1</v>
      </c>
      <c r="AD122" s="13">
        <f>IFERROR(AVERAGE($AA$122:$AC$122),"")</f>
        <v>1</v>
      </c>
    </row>
    <row r="123" spans="1:30" ht="16.5" thickTop="1" thickBot="1" x14ac:dyDescent="0.3">
      <c r="A123" s="32" t="s">
        <v>304</v>
      </c>
      <c r="B123" s="32" t="s">
        <v>146</v>
      </c>
      <c r="C123" s="32" t="s">
        <v>14</v>
      </c>
      <c r="D123" s="38">
        <v>97469.539000000004</v>
      </c>
      <c r="E123" s="38">
        <v>25696.745999999999</v>
      </c>
      <c r="F123" s="38">
        <v>3.7930693249999998</v>
      </c>
      <c r="G123" s="38">
        <f>($F$123 -  AVERAGE($F$117,$F$118,$F$119) ) / ($F$132 -  AVERAGE($F$117,$F$118,$F$119) ) * 100</f>
        <v>64.299238005638784</v>
      </c>
      <c r="H123" s="38">
        <v>60</v>
      </c>
      <c r="I123" s="41">
        <f>LN($G$123)</f>
        <v>4.1635477805612053</v>
      </c>
      <c r="J123" s="34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>
        <f>IF(ISTEXT($I$123),"",4)</f>
        <v>4</v>
      </c>
      <c r="V123" s="32">
        <f t="shared" si="12"/>
        <v>60</v>
      </c>
      <c r="W123" s="32">
        <f t="shared" si="13"/>
        <v>4.1635477805612053</v>
      </c>
      <c r="X123" s="32"/>
      <c r="Y123" s="32"/>
    </row>
    <row r="124" spans="1:30" x14ac:dyDescent="0.25">
      <c r="A124" s="33" t="s">
        <v>305</v>
      </c>
      <c r="B124" s="33" t="s">
        <v>146</v>
      </c>
      <c r="C124" s="33" t="s">
        <v>14</v>
      </c>
      <c r="D124" s="39">
        <v>90111.866999999998</v>
      </c>
      <c r="E124" s="39">
        <v>24961.298999999999</v>
      </c>
      <c r="F124" s="39">
        <v>3.6100632020000001</v>
      </c>
      <c r="G124" s="39">
        <f>($F$124 -  AVERAGE($F$117,$F$118,$F$119) ) / ($F$133 -  AVERAGE($F$117,$F$118,$F$119) ) * 100</f>
        <v>61.884740101352442</v>
      </c>
      <c r="H124" s="39">
        <v>60</v>
      </c>
      <c r="I124" s="40">
        <f>LN($G$124)</f>
        <v>4.1252736242797239</v>
      </c>
      <c r="J124" s="35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>
        <f>IF(ISTEXT($I$124),"",5)</f>
        <v>5</v>
      </c>
      <c r="V124" s="33">
        <f t="shared" si="12"/>
        <v>60</v>
      </c>
      <c r="W124" s="33">
        <f t="shared" si="13"/>
        <v>4.1252736242797239</v>
      </c>
      <c r="X124" s="33"/>
      <c r="Y124" s="33"/>
      <c r="Z124" s="20" t="s">
        <v>51</v>
      </c>
      <c r="AA124" s="31">
        <f>IFERROR(SLOPE($W$120:$W$134,$V$120:$V$134),"")</f>
        <v>-2.200765610045338E-3</v>
      </c>
    </row>
    <row r="125" spans="1:30" x14ac:dyDescent="0.25">
      <c r="A125" s="32" t="s">
        <v>306</v>
      </c>
      <c r="B125" s="32" t="s">
        <v>146</v>
      </c>
      <c r="C125" s="32" t="s">
        <v>14</v>
      </c>
      <c r="D125" s="38">
        <v>106147.227</v>
      </c>
      <c r="E125" s="38">
        <v>25563.615000000002</v>
      </c>
      <c r="F125" s="38">
        <v>4.1522776419999996</v>
      </c>
      <c r="G125" s="38">
        <f>($F$125 -  AVERAGE($F$117,$F$118,$F$119) ) / ($F$134 -  AVERAGE($F$117,$F$118,$F$119) ) * 100</f>
        <v>54.349259675421244</v>
      </c>
      <c r="H125" s="38">
        <v>60</v>
      </c>
      <c r="I125" s="41">
        <f>LN($G$125)</f>
        <v>3.9954309920470541</v>
      </c>
      <c r="J125" s="34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>
        <f>IF(ISTEXT($I$125),"",6)</f>
        <v>6</v>
      </c>
      <c r="V125" s="32">
        <f t="shared" si="12"/>
        <v>60</v>
      </c>
      <c r="W125" s="32">
        <f t="shared" si="13"/>
        <v>3.9954309920470541</v>
      </c>
      <c r="X125" s="32"/>
      <c r="Y125" s="32"/>
      <c r="Z125" s="22" t="s">
        <v>52</v>
      </c>
      <c r="AA125" s="23">
        <f>IFERROR(INTERCEPT($W$120:$W$134,$V$120:$V$134),"")</f>
        <v>4.3484440712870471</v>
      </c>
    </row>
    <row r="126" spans="1:30" ht="17.25" x14ac:dyDescent="0.25">
      <c r="A126" s="33" t="s">
        <v>307</v>
      </c>
      <c r="B126" s="33" t="s">
        <v>146</v>
      </c>
      <c r="C126" s="33" t="s">
        <v>14</v>
      </c>
      <c r="D126" s="39">
        <v>96806.702999999994</v>
      </c>
      <c r="E126" s="39">
        <v>25510.855</v>
      </c>
      <c r="F126" s="39">
        <v>3.7947259309999999</v>
      </c>
      <c r="G126" s="39">
        <f>($F$126 -  AVERAGE($F$117,$F$118,$F$119) ) / ($F$132 -  AVERAGE($F$117,$F$118,$F$119) ) * 100</f>
        <v>64.327320716172011</v>
      </c>
      <c r="H126" s="39">
        <v>30</v>
      </c>
      <c r="I126" s="40">
        <f>LN($G$126)</f>
        <v>4.1639844354987003</v>
      </c>
      <c r="J126" s="35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>
        <f>IF(ISTEXT($I$126),"",7)</f>
        <v>7</v>
      </c>
      <c r="V126" s="33">
        <f t="shared" si="12"/>
        <v>30</v>
      </c>
      <c r="W126" s="33">
        <f t="shared" si="13"/>
        <v>4.1639844354987003</v>
      </c>
      <c r="X126" s="33"/>
      <c r="Y126" s="33"/>
      <c r="Z126" s="22" t="s">
        <v>53</v>
      </c>
      <c r="AA126" s="26">
        <f>IFERROR(CORREL($W$120:$W$134,$V$120:$V$134)^2,"")</f>
        <v>0.223977311820417</v>
      </c>
    </row>
    <row r="127" spans="1:30" ht="18" x14ac:dyDescent="0.35">
      <c r="A127" s="32" t="s">
        <v>308</v>
      </c>
      <c r="B127" s="32" t="s">
        <v>146</v>
      </c>
      <c r="C127" s="32" t="s">
        <v>14</v>
      </c>
      <c r="D127" s="38">
        <v>122791.18799999999</v>
      </c>
      <c r="E127" s="38">
        <v>31168.484</v>
      </c>
      <c r="F127" s="38">
        <v>3.9395944959999998</v>
      </c>
      <c r="G127" s="38">
        <f>($F$127 -  AVERAGE($F$117,$F$118,$F$119) ) / ($F$133 -  AVERAGE($F$117,$F$118,$F$119) ) * 100</f>
        <v>67.533725055556644</v>
      </c>
      <c r="H127" s="38">
        <v>30</v>
      </c>
      <c r="I127" s="41">
        <f>LN($G$127)</f>
        <v>4.2126271035574394</v>
      </c>
      <c r="J127" s="34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>
        <f>IF(ISTEXT($I$127),"",8)</f>
        <v>8</v>
      </c>
      <c r="V127" s="32">
        <f t="shared" si="12"/>
        <v>30</v>
      </c>
      <c r="W127" s="32">
        <f t="shared" si="13"/>
        <v>4.2126271035574394</v>
      </c>
      <c r="X127" s="32"/>
      <c r="Y127" s="32"/>
      <c r="Z127" s="22" t="s">
        <v>54</v>
      </c>
      <c r="AA127" s="25">
        <f>IF(AA124&gt;0,"",IFERROR(LN(2) /ABS(AA124),0))</f>
        <v>314.95729367820582</v>
      </c>
    </row>
    <row r="128" spans="1:30" ht="18.75" x14ac:dyDescent="0.35">
      <c r="A128" s="33" t="s">
        <v>309</v>
      </c>
      <c r="B128" s="33" t="s">
        <v>146</v>
      </c>
      <c r="C128" s="33" t="s">
        <v>14</v>
      </c>
      <c r="D128" s="39">
        <v>113464.023</v>
      </c>
      <c r="E128" s="39">
        <v>25853.993999999999</v>
      </c>
      <c r="F128" s="39">
        <v>4.3886458319999999</v>
      </c>
      <c r="G128" s="39">
        <f>($F$128 -  AVERAGE($F$117,$F$118,$F$119) ) / ($F$134 -  AVERAGE($F$117,$F$118,$F$119) ) * 100</f>
        <v>57.443119365824238</v>
      </c>
      <c r="H128" s="39">
        <v>30</v>
      </c>
      <c r="I128" s="40">
        <f>LN($G$128)</f>
        <v>4.0507952297735059</v>
      </c>
      <c r="J128" s="35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>
        <f>IF(ISTEXT($I$128),"",9)</f>
        <v>9</v>
      </c>
      <c r="V128" s="33">
        <f t="shared" si="12"/>
        <v>30</v>
      </c>
      <c r="W128" s="33">
        <f t="shared" si="13"/>
        <v>4.0507952297735059</v>
      </c>
      <c r="X128" s="33"/>
      <c r="Y128" s="33"/>
      <c r="Z128" s="22" t="s">
        <v>55</v>
      </c>
      <c r="AA128" s="23">
        <f>IF(AA124&gt;0,0,IFERROR(ABS(AA124 * 1000 / 0.5),0))</f>
        <v>4.4015312200906758</v>
      </c>
    </row>
    <row r="129" spans="1:30" ht="15.75" thickBot="1" x14ac:dyDescent="0.3">
      <c r="A129" s="32" t="s">
        <v>310</v>
      </c>
      <c r="B129" s="32" t="s">
        <v>146</v>
      </c>
      <c r="C129" s="32" t="s">
        <v>14</v>
      </c>
      <c r="D129" s="38">
        <v>106395.758</v>
      </c>
      <c r="E129" s="38">
        <v>28022.032999999999</v>
      </c>
      <c r="F129" s="38">
        <v>3.796860777</v>
      </c>
      <c r="G129" s="38">
        <f>($F$129 -  AVERAGE($F$117,$F$118,$F$119) ) / ($F$132 -  AVERAGE($F$117,$F$118,$F$119) ) * 100</f>
        <v>64.363510529713082</v>
      </c>
      <c r="H129" s="38">
        <v>15</v>
      </c>
      <c r="I129" s="41">
        <f>LN($G$129)</f>
        <v>4.1645468658466074</v>
      </c>
      <c r="J129" s="34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>
        <f>IF(ISTEXT($I$129),"",10)</f>
        <v>10</v>
      </c>
      <c r="V129" s="32">
        <f t="shared" si="12"/>
        <v>15</v>
      </c>
      <c r="W129" s="32">
        <f t="shared" si="13"/>
        <v>4.1645468658466074</v>
      </c>
      <c r="X129" s="32"/>
      <c r="Y129" s="32"/>
      <c r="Z129" s="27" t="s">
        <v>39</v>
      </c>
      <c r="AA129" s="28" t="s">
        <v>56</v>
      </c>
    </row>
    <row r="130" spans="1:30" x14ac:dyDescent="0.25">
      <c r="A130" s="33" t="s">
        <v>311</v>
      </c>
      <c r="B130" s="33" t="s">
        <v>146</v>
      </c>
      <c r="C130" s="33" t="s">
        <v>14</v>
      </c>
      <c r="D130" s="39">
        <v>114519.30499999999</v>
      </c>
      <c r="E130" s="39">
        <v>26736.525000000001</v>
      </c>
      <c r="F130" s="39">
        <v>4.2832531530000004</v>
      </c>
      <c r="G130" s="39">
        <f>($F$130 -  AVERAGE($F$117,$F$118,$F$119) ) / ($F$133 -  AVERAGE($F$117,$F$118,$F$119) ) * 100</f>
        <v>73.424888104778404</v>
      </c>
      <c r="H130" s="39">
        <v>15</v>
      </c>
      <c r="I130" s="40">
        <f>LN($G$130)</f>
        <v>4.2962629531445158</v>
      </c>
      <c r="J130" s="35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>
        <f>IF(ISTEXT($I$130),"",11)</f>
        <v>11</v>
      </c>
      <c r="V130" s="33">
        <f t="shared" si="12"/>
        <v>15</v>
      </c>
      <c r="W130" s="33">
        <f t="shared" si="13"/>
        <v>4.2962629531445158</v>
      </c>
      <c r="X130" s="33"/>
      <c r="Y130" s="33"/>
    </row>
    <row r="131" spans="1:30" x14ac:dyDescent="0.25">
      <c r="A131" s="32" t="s">
        <v>312</v>
      </c>
      <c r="B131" s="32" t="s">
        <v>146</v>
      </c>
      <c r="C131" s="32" t="s">
        <v>14</v>
      </c>
      <c r="D131" s="38">
        <v>138716.45300000001</v>
      </c>
      <c r="E131" s="38">
        <v>27952.541000000001</v>
      </c>
      <c r="F131" s="38">
        <v>4.9625704150000001</v>
      </c>
      <c r="G131" s="38">
        <f>($F$131 -  AVERAGE($F$117,$F$118,$F$119) ) / ($F$134 -  AVERAGE($F$117,$F$118,$F$119) ) * 100</f>
        <v>64.955306740424192</v>
      </c>
      <c r="H131" s="38">
        <v>15</v>
      </c>
      <c r="I131" s="41">
        <f>LN($G$131)</f>
        <v>4.1736994447893165</v>
      </c>
      <c r="J131" s="34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>
        <f>IF(ISTEXT($I$131),"",12)</f>
        <v>12</v>
      </c>
      <c r="V131" s="32">
        <f t="shared" si="12"/>
        <v>15</v>
      </c>
      <c r="W131" s="32">
        <f t="shared" si="13"/>
        <v>4.1736994447893165</v>
      </c>
      <c r="X131" s="32"/>
      <c r="Y131" s="32"/>
    </row>
    <row r="132" spans="1:30" x14ac:dyDescent="0.25">
      <c r="A132" s="33" t="s">
        <v>313</v>
      </c>
      <c r="B132" s="33" t="s">
        <v>146</v>
      </c>
      <c r="C132" s="33" t="s">
        <v>14</v>
      </c>
      <c r="D132" s="39">
        <v>156957.766</v>
      </c>
      <c r="E132" s="39">
        <v>26607.223000000002</v>
      </c>
      <c r="F132" s="39">
        <v>5.8990660540000004</v>
      </c>
      <c r="G132" s="39">
        <f>($F$132 -  AVERAGE($F$117,$F$118,$F$119) ) / ($F$132 -  AVERAGE($F$117,$F$118,$F$119) ) * 100</f>
        <v>100</v>
      </c>
      <c r="H132" s="39">
        <v>0</v>
      </c>
      <c r="I132" s="40">
        <f>LN($G$132)</f>
        <v>4.6051701859880918</v>
      </c>
      <c r="J132" s="35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>
        <f>IF(ISTEXT($I$132),"",13)</f>
        <v>13</v>
      </c>
      <c r="V132" s="33">
        <f t="shared" si="12"/>
        <v>0</v>
      </c>
      <c r="W132" s="33">
        <f t="shared" si="13"/>
        <v>4.6051701859880918</v>
      </c>
      <c r="X132" s="33"/>
      <c r="Y132" s="33"/>
    </row>
    <row r="133" spans="1:30" x14ac:dyDescent="0.25">
      <c r="A133" s="32" t="s">
        <v>314</v>
      </c>
      <c r="B133" s="32" t="s">
        <v>146</v>
      </c>
      <c r="C133" s="32" t="s">
        <v>14</v>
      </c>
      <c r="D133" s="38">
        <v>167100.15599999999</v>
      </c>
      <c r="E133" s="38">
        <v>28644.914000000001</v>
      </c>
      <c r="F133" s="38">
        <v>5.8335017520000001</v>
      </c>
      <c r="G133" s="38">
        <f>($F$133 -  AVERAGE($F$117,$F$118,$F$119) ) / ($F$133 -  AVERAGE($F$117,$F$118,$F$119) ) * 100</f>
        <v>100</v>
      </c>
      <c r="H133" s="38">
        <v>0</v>
      </c>
      <c r="I133" s="41">
        <f>LN($G$133)</f>
        <v>4.6051701859880918</v>
      </c>
      <c r="J133" s="34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>
        <f>IF(ISTEXT($I$133),"",14)</f>
        <v>14</v>
      </c>
      <c r="V133" s="32">
        <f t="shared" si="12"/>
        <v>0</v>
      </c>
      <c r="W133" s="32">
        <f t="shared" si="13"/>
        <v>4.6051701859880918</v>
      </c>
      <c r="X133" s="32"/>
      <c r="Y133" s="32"/>
    </row>
    <row r="134" spans="1:30" x14ac:dyDescent="0.25">
      <c r="A134" s="33" t="s">
        <v>315</v>
      </c>
      <c r="B134" s="33" t="s">
        <v>146</v>
      </c>
      <c r="C134" s="33" t="s">
        <v>14</v>
      </c>
      <c r="D134" s="39">
        <v>221834.78099999999</v>
      </c>
      <c r="E134" s="39">
        <v>29036.138999999999</v>
      </c>
      <c r="F134" s="39">
        <v>7.6399545059999996</v>
      </c>
      <c r="G134" s="39">
        <f>($F$134 -  AVERAGE($F$117,$F$118,$F$119) ) / ($F$134 -  AVERAGE($F$117,$F$118,$F$119) ) * 100</f>
        <v>100</v>
      </c>
      <c r="H134" s="39">
        <v>0</v>
      </c>
      <c r="I134" s="40">
        <f>LN($G$134)</f>
        <v>4.6051701859880918</v>
      </c>
      <c r="J134" s="35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>
        <f>IF(ISTEXT($I$134),"",15)</f>
        <v>15</v>
      </c>
      <c r="V134" s="33">
        <f t="shared" si="12"/>
        <v>0</v>
      </c>
      <c r="W134" s="33">
        <f t="shared" si="13"/>
        <v>4.6051701859880918</v>
      </c>
      <c r="X134" s="33"/>
      <c r="Y134" s="33"/>
    </row>
    <row r="135" spans="1:30" ht="15.75" thickBot="1" x14ac:dyDescent="0.3">
      <c r="A135" s="32"/>
      <c r="B135" s="32"/>
      <c r="C135" s="32"/>
      <c r="D135" s="38"/>
      <c r="E135" s="38"/>
      <c r="F135" s="38"/>
      <c r="G135" s="38"/>
      <c r="H135" s="38"/>
      <c r="I135" s="38"/>
      <c r="J135" s="34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</row>
    <row r="136" spans="1:30" ht="16.5" thickTop="1" thickBot="1" x14ac:dyDescent="0.3">
      <c r="A136" s="33" t="s">
        <v>6</v>
      </c>
      <c r="B136" s="33" t="s">
        <v>163</v>
      </c>
      <c r="C136" s="33" t="s">
        <v>15</v>
      </c>
      <c r="D136" s="39">
        <v>1</v>
      </c>
      <c r="E136" s="39">
        <v>37229.300999999999</v>
      </c>
      <c r="F136" s="39">
        <v>2.6860563404077881E-5</v>
      </c>
      <c r="G136" s="39"/>
      <c r="H136" s="39"/>
      <c r="I136" s="39"/>
      <c r="J136" s="35"/>
      <c r="K136" s="33"/>
      <c r="L136" s="33"/>
      <c r="M136" s="33"/>
      <c r="N136" s="33"/>
      <c r="O136" s="33"/>
      <c r="P136" s="33"/>
      <c r="Q136" s="33"/>
      <c r="R136" s="33" t="s">
        <v>164</v>
      </c>
      <c r="S136" s="33"/>
      <c r="T136" s="33">
        <v>10</v>
      </c>
      <c r="U136" s="33"/>
      <c r="V136" s="33"/>
      <c r="W136" s="33"/>
      <c r="X136" s="33"/>
      <c r="Y136" s="33"/>
      <c r="Z136" s="9" t="s">
        <v>45</v>
      </c>
      <c r="AA136" s="9" t="s">
        <v>47</v>
      </c>
      <c r="AB136" s="9" t="s">
        <v>48</v>
      </c>
      <c r="AC136" s="9" t="s">
        <v>49</v>
      </c>
      <c r="AD136" s="9" t="s">
        <v>50</v>
      </c>
    </row>
    <row r="137" spans="1:30" ht="15.75" thickTop="1" x14ac:dyDescent="0.25">
      <c r="A137" s="32" t="s">
        <v>8</v>
      </c>
      <c r="B137" s="32" t="s">
        <v>163</v>
      </c>
      <c r="C137" s="32" t="s">
        <v>15</v>
      </c>
      <c r="D137" s="38">
        <v>2.5590000000000002</v>
      </c>
      <c r="E137" s="38">
        <v>37141.370999999999</v>
      </c>
      <c r="F137" s="38">
        <v>6.8898899999999999E-5</v>
      </c>
      <c r="G137" s="38"/>
      <c r="H137" s="38"/>
      <c r="I137" s="38"/>
      <c r="J137" s="34"/>
      <c r="K137" s="32"/>
      <c r="L137" s="32"/>
      <c r="M137" s="32"/>
      <c r="N137" s="32"/>
      <c r="O137" s="32"/>
      <c r="P137" s="32"/>
      <c r="Q137" s="32"/>
      <c r="R137" s="32" t="s">
        <v>45</v>
      </c>
      <c r="S137" s="32"/>
      <c r="T137" s="32">
        <v>176</v>
      </c>
      <c r="U137" s="32"/>
      <c r="V137" s="32"/>
      <c r="W137" s="32"/>
      <c r="X137" s="32"/>
      <c r="Y137" s="32"/>
      <c r="Z137" s="10">
        <f>$H$139</f>
        <v>120</v>
      </c>
      <c r="AA137" s="11">
        <f>IF(ISTEXT($I$139),TEXT($G$139/100,"0.00%"),$G$139 / 100)</f>
        <v>0.69524148394184948</v>
      </c>
      <c r="AB137" s="11">
        <f>IF(ISTEXT($I$140),TEXT($G$140/100,"0.00%"),$G$140 / 100)</f>
        <v>0.92560103239640024</v>
      </c>
      <c r="AC137" s="11">
        <f>IF(ISTEXT($I$141),TEXT($G$141/100,"0.00%"),$G$141 / 100)</f>
        <v>0.81278454831837432</v>
      </c>
      <c r="AD137" s="11">
        <f>IFERROR(AVERAGE($AA$137:$AC$137),"")</f>
        <v>0.81120902155220798</v>
      </c>
    </row>
    <row r="138" spans="1:30" x14ac:dyDescent="0.25">
      <c r="A138" s="33" t="s">
        <v>9</v>
      </c>
      <c r="B138" s="33" t="s">
        <v>163</v>
      </c>
      <c r="C138" s="33" t="s">
        <v>15</v>
      </c>
      <c r="D138" s="39">
        <v>1.5329999999999999</v>
      </c>
      <c r="E138" s="39">
        <v>36262.148000000001</v>
      </c>
      <c r="F138" s="39">
        <v>4.2275499999999999E-5</v>
      </c>
      <c r="G138" s="39"/>
      <c r="H138" s="39"/>
      <c r="I138" s="39"/>
      <c r="J138" s="35"/>
      <c r="K138" s="33"/>
      <c r="L138" s="33"/>
      <c r="M138" s="33"/>
      <c r="N138" s="33"/>
      <c r="O138" s="33"/>
      <c r="P138" s="33"/>
      <c r="Q138" s="33"/>
      <c r="R138" s="33" t="s">
        <v>46</v>
      </c>
      <c r="S138" s="33"/>
      <c r="T138" s="33">
        <v>190</v>
      </c>
      <c r="U138" s="33"/>
      <c r="V138" s="33"/>
      <c r="W138" s="33"/>
      <c r="X138" s="33"/>
      <c r="Y138" s="33"/>
      <c r="Z138" s="10">
        <f>$H$142</f>
        <v>60</v>
      </c>
      <c r="AA138" s="11">
        <f>IF(ISTEXT($I$142),TEXT($G$142/100,"0.00%"),$G$142 / 100)</f>
        <v>0.66703864834406834</v>
      </c>
      <c r="AB138" s="11">
        <f>IF(ISTEXT($I$143),TEXT($G$143/100,"0.00%"),$G$143 / 100)</f>
        <v>0.71286456089185535</v>
      </c>
      <c r="AC138" s="11">
        <f>IF(ISTEXT($I$144),TEXT($G$144/100,"0.00%"),$G$144 / 100)</f>
        <v>0.68149657820272613</v>
      </c>
      <c r="AD138" s="11">
        <f>IFERROR(AVERAGE($AA$138:$AC$138),"")</f>
        <v>0.68713326247954998</v>
      </c>
    </row>
    <row r="139" spans="1:30" x14ac:dyDescent="0.25">
      <c r="A139" s="32" t="s">
        <v>316</v>
      </c>
      <c r="B139" s="32" t="s">
        <v>163</v>
      </c>
      <c r="C139" s="32" t="s">
        <v>15</v>
      </c>
      <c r="D139" s="38">
        <v>120883.883</v>
      </c>
      <c r="E139" s="38">
        <v>26272.84</v>
      </c>
      <c r="F139" s="38">
        <v>4.601096912</v>
      </c>
      <c r="G139" s="38">
        <f>($F$139 -  AVERAGE($F$136,$F$137,$F$138) ) / ($F$151 -  AVERAGE($F$136,$F$137,$F$138) ) * 100</f>
        <v>69.524148394184948</v>
      </c>
      <c r="H139" s="38">
        <v>120</v>
      </c>
      <c r="I139" s="41">
        <f>LN($G$139)</f>
        <v>4.2416741511300149</v>
      </c>
      <c r="J139" s="34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>
        <f>IF(ISTEXT($I$139),"",1)</f>
        <v>1</v>
      </c>
      <c r="V139" s="32">
        <f t="shared" ref="V139:V153" si="14">IFERROR(INDEX($H$139:$H$153,SMALL($U$139:$U$153,ROW(W1)),1),"")</f>
        <v>120</v>
      </c>
      <c r="W139" s="32">
        <f t="shared" ref="W139:W153" si="15">IFERROR(INDEX($I$139:$I$153,SMALL($U$139:$U$153,ROW(I1)),1),"")</f>
        <v>4.2416741511300149</v>
      </c>
      <c r="X139" s="32"/>
      <c r="Y139" s="32"/>
      <c r="Z139" s="10">
        <f>$H$145</f>
        <v>30</v>
      </c>
      <c r="AA139" s="11">
        <f>IF(ISTEXT($I$145),TEXT($G$145/100,"0.00%"),$G$145 / 100)</f>
        <v>0.67227745981581455</v>
      </c>
      <c r="AB139" s="11">
        <f>IF(ISTEXT($I$146),TEXT($G$146/100,"0.00%"),$G$146 / 100)</f>
        <v>0.83791977478839863</v>
      </c>
      <c r="AC139" s="11">
        <f>IF(ISTEXT($I$147),TEXT($G$147/100,"0.00%"),$G$147 / 100)</f>
        <v>0.71081325672012274</v>
      </c>
      <c r="AD139" s="11">
        <f>IFERROR(AVERAGE($AA$139:$AC$139),"")</f>
        <v>0.74033683044144538</v>
      </c>
    </row>
    <row r="140" spans="1:30" x14ac:dyDescent="0.25">
      <c r="A140" s="33" t="s">
        <v>317</v>
      </c>
      <c r="B140" s="33" t="s">
        <v>163</v>
      </c>
      <c r="C140" s="33" t="s">
        <v>15</v>
      </c>
      <c r="D140" s="39">
        <v>124823.94500000001</v>
      </c>
      <c r="E140" s="39">
        <v>24991.822</v>
      </c>
      <c r="F140" s="39">
        <v>4.9945916309999996</v>
      </c>
      <c r="G140" s="39">
        <f>($F$140 -  AVERAGE($F$136,$F$137,$F$138) ) / ($F$152 -  AVERAGE($F$136,$F$137,$F$138) ) * 100</f>
        <v>92.560103239640029</v>
      </c>
      <c r="H140" s="39">
        <v>120</v>
      </c>
      <c r="I140" s="40">
        <f>LN($G$140)</f>
        <v>4.527858198265525</v>
      </c>
      <c r="J140" s="35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>
        <f>IF(ISTEXT($I$140),"",2)</f>
        <v>2</v>
      </c>
      <c r="V140" s="33">
        <f t="shared" si="14"/>
        <v>120</v>
      </c>
      <c r="W140" s="33">
        <f t="shared" si="15"/>
        <v>4.527858198265525</v>
      </c>
      <c r="X140" s="33"/>
      <c r="Y140" s="33"/>
      <c r="Z140" s="10">
        <f>$H$148</f>
        <v>15</v>
      </c>
      <c r="AA140" s="11">
        <f>IF(ISTEXT($I$148),TEXT($G$148/100,"0.00%"),$G$148 / 100)</f>
        <v>0.66255445399666124</v>
      </c>
      <c r="AB140" s="11">
        <f>IF(ISTEXT($I$149),TEXT($G$149/100,"0.00%"),$G$149 / 100)</f>
        <v>0.80963417190203724</v>
      </c>
      <c r="AC140" s="11">
        <f>IF(ISTEXT($I$150),TEXT($G$150/100,"0.00%"),$G$150 / 100)</f>
        <v>0.72261202166081606</v>
      </c>
      <c r="AD140" s="11">
        <f>IFERROR(AVERAGE($AA$140:$AC$140),"")</f>
        <v>0.73160021585317148</v>
      </c>
    </row>
    <row r="141" spans="1:30" ht="15.75" thickBot="1" x14ac:dyDescent="0.3">
      <c r="A141" s="32" t="s">
        <v>318</v>
      </c>
      <c r="B141" s="32" t="s">
        <v>163</v>
      </c>
      <c r="C141" s="32" t="s">
        <v>15</v>
      </c>
      <c r="D141" s="38">
        <v>119390.125</v>
      </c>
      <c r="E141" s="38">
        <v>26115.01</v>
      </c>
      <c r="F141" s="38">
        <v>4.5717051230000001</v>
      </c>
      <c r="G141" s="38">
        <f>($F$141 -  AVERAGE($F$136,$F$137,$F$138) ) / ($F$153 -  AVERAGE($F$136,$F$137,$F$138) ) * 100</f>
        <v>81.278454831837436</v>
      </c>
      <c r="H141" s="38">
        <v>120</v>
      </c>
      <c r="I141" s="41">
        <f>LN($G$141)</f>
        <v>4.3978809732144004</v>
      </c>
      <c r="J141" s="34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>
        <f>IF(ISTEXT($I$141),"",3)</f>
        <v>3</v>
      </c>
      <c r="V141" s="32">
        <f t="shared" si="14"/>
        <v>120</v>
      </c>
      <c r="W141" s="32">
        <f t="shared" si="15"/>
        <v>4.3978809732144004</v>
      </c>
      <c r="X141" s="32"/>
      <c r="Y141" s="32"/>
      <c r="Z141" s="12">
        <f>$H$151</f>
        <v>0</v>
      </c>
      <c r="AA141" s="13">
        <f>IF(ISTEXT($I$151),TEXT($G$151/100,"0.00%"),$G$151 / 100)</f>
        <v>1</v>
      </c>
      <c r="AB141" s="13">
        <f>IF(ISTEXT($I$152),TEXT($G$152/100,"0.00%"),$G$152 / 100)</f>
        <v>1</v>
      </c>
      <c r="AC141" s="13">
        <f>IF(ISTEXT($I$153),TEXT($G$153/100,"0.00%"),$G$153 / 100)</f>
        <v>1</v>
      </c>
      <c r="AD141" s="13">
        <f>IFERROR(AVERAGE($AA$141:$AC$141),"")</f>
        <v>1</v>
      </c>
    </row>
    <row r="142" spans="1:30" ht="16.5" thickTop="1" thickBot="1" x14ac:dyDescent="0.3">
      <c r="A142" s="33" t="s">
        <v>319</v>
      </c>
      <c r="B142" s="33" t="s">
        <v>163</v>
      </c>
      <c r="C142" s="33" t="s">
        <v>15</v>
      </c>
      <c r="D142" s="39">
        <v>113094.102</v>
      </c>
      <c r="E142" s="39">
        <v>25619.053</v>
      </c>
      <c r="F142" s="39">
        <v>4.4144528679999997</v>
      </c>
      <c r="G142" s="39">
        <f>($F$142 -  AVERAGE($F$136,$F$137,$F$138) ) / ($F$151 -  AVERAGE($F$136,$F$137,$F$138) ) * 100</f>
        <v>66.703864834406829</v>
      </c>
      <c r="H142" s="39">
        <v>60</v>
      </c>
      <c r="I142" s="40">
        <f>LN($G$142)</f>
        <v>4.2002628947872456</v>
      </c>
      <c r="J142" s="35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>
        <f>IF(ISTEXT($I$142),"",4)</f>
        <v>4</v>
      </c>
      <c r="V142" s="33">
        <f t="shared" si="14"/>
        <v>60</v>
      </c>
      <c r="W142" s="33">
        <f t="shared" si="15"/>
        <v>4.2002628947872456</v>
      </c>
      <c r="X142" s="33"/>
      <c r="Y142" s="33"/>
    </row>
    <row r="143" spans="1:30" x14ac:dyDescent="0.25">
      <c r="A143" s="32" t="s">
        <v>320</v>
      </c>
      <c r="B143" s="32" t="s">
        <v>163</v>
      </c>
      <c r="C143" s="32" t="s">
        <v>15</v>
      </c>
      <c r="D143" s="38">
        <v>95550.641000000003</v>
      </c>
      <c r="E143" s="38">
        <v>24839.865000000002</v>
      </c>
      <c r="F143" s="38">
        <v>3.8466650680000001</v>
      </c>
      <c r="G143" s="38">
        <f>($F$143 -  AVERAGE($F$136,$F$137,$F$138) ) / ($F$152 -  AVERAGE($F$136,$F$137,$F$138) ) * 100</f>
        <v>71.286456089185535</v>
      </c>
      <c r="H143" s="38">
        <v>60</v>
      </c>
      <c r="I143" s="41">
        <f>LN($G$143)</f>
        <v>4.2667063527027818</v>
      </c>
      <c r="J143" s="34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>
        <f>IF(ISTEXT($I$143),"",5)</f>
        <v>5</v>
      </c>
      <c r="V143" s="32">
        <f t="shared" si="14"/>
        <v>60</v>
      </c>
      <c r="W143" s="32">
        <f t="shared" si="15"/>
        <v>4.2667063527027818</v>
      </c>
      <c r="X143" s="32"/>
      <c r="Y143" s="32"/>
      <c r="Z143" s="20" t="s">
        <v>51</v>
      </c>
      <c r="AA143" s="21">
        <f>IFERROR(SLOPE($W$139:$W$153,$V$139:$V$153),"")</f>
        <v>-8.6480139467090913E-4</v>
      </c>
    </row>
    <row r="144" spans="1:30" x14ac:dyDescent="0.25">
      <c r="A144" s="33" t="s">
        <v>321</v>
      </c>
      <c r="B144" s="33" t="s">
        <v>163</v>
      </c>
      <c r="C144" s="33" t="s">
        <v>15</v>
      </c>
      <c r="D144" s="39">
        <v>103255.984</v>
      </c>
      <c r="E144" s="39">
        <v>26936.92</v>
      </c>
      <c r="F144" s="39">
        <v>3.833251315</v>
      </c>
      <c r="G144" s="39">
        <f>($F$144 -  AVERAGE($F$136,$F$137,$F$138) ) / ($F$153 -  AVERAGE($F$136,$F$137,$F$138) ) * 100</f>
        <v>68.149657820272608</v>
      </c>
      <c r="H144" s="39">
        <v>60</v>
      </c>
      <c r="I144" s="40">
        <f>LN($G$144)</f>
        <v>4.2217061371508109</v>
      </c>
      <c r="J144" s="35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>
        <f>IF(ISTEXT($I$144),"",6)</f>
        <v>6</v>
      </c>
      <c r="V144" s="33">
        <f t="shared" si="14"/>
        <v>60</v>
      </c>
      <c r="W144" s="33">
        <f t="shared" si="15"/>
        <v>4.2217061371508109</v>
      </c>
      <c r="X144" s="33"/>
      <c r="Y144" s="33"/>
      <c r="Z144" s="22" t="s">
        <v>52</v>
      </c>
      <c r="AA144" s="23">
        <f>IFERROR(INTERCEPT($W$139:$W$153,$V$139:$V$153),"")</f>
        <v>4.4015593739561334</v>
      </c>
    </row>
    <row r="145" spans="1:30" ht="17.25" x14ac:dyDescent="0.25">
      <c r="A145" s="32" t="s">
        <v>322</v>
      </c>
      <c r="B145" s="32" t="s">
        <v>163</v>
      </c>
      <c r="C145" s="32" t="s">
        <v>15</v>
      </c>
      <c r="D145" s="38">
        <v>121138.102</v>
      </c>
      <c r="E145" s="38">
        <v>27227.412</v>
      </c>
      <c r="F145" s="38">
        <v>4.449122891</v>
      </c>
      <c r="G145" s="38">
        <f>($F$145 -  AVERAGE($F$136,$F$137,$F$138) ) / ($F$151 -  AVERAGE($F$136,$F$137,$F$138) ) * 100</f>
        <v>67.22774598158145</v>
      </c>
      <c r="H145" s="38">
        <v>30</v>
      </c>
      <c r="I145" s="41">
        <f>LN($G$145)</f>
        <v>4.2080860489455505</v>
      </c>
      <c r="J145" s="34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>
        <f>IF(ISTEXT($I$145),"",7)</f>
        <v>7</v>
      </c>
      <c r="V145" s="32">
        <f t="shared" si="14"/>
        <v>30</v>
      </c>
      <c r="W145" s="32">
        <f t="shared" si="15"/>
        <v>4.2080860489455505</v>
      </c>
      <c r="X145" s="32"/>
      <c r="Y145" s="32"/>
      <c r="Z145" s="22" t="s">
        <v>53</v>
      </c>
      <c r="AA145" s="24">
        <f>IFERROR(CORREL($W$139:$W$153,$V$139:$V$153)^2,"")</f>
        <v>5.779254210420233E-2</v>
      </c>
    </row>
    <row r="146" spans="1:30" ht="18" x14ac:dyDescent="0.35">
      <c r="A146" s="33" t="s">
        <v>323</v>
      </c>
      <c r="B146" s="33" t="s">
        <v>163</v>
      </c>
      <c r="C146" s="33" t="s">
        <v>15</v>
      </c>
      <c r="D146" s="39">
        <v>38108.480000000003</v>
      </c>
      <c r="E146" s="39">
        <v>8428.3510000000006</v>
      </c>
      <c r="F146" s="39">
        <v>4.5214633329999998</v>
      </c>
      <c r="G146" s="39">
        <f>($F$146 -  AVERAGE($F$136,$F$137,$F$138) ) / ($F$152 -  AVERAGE($F$136,$F$137,$F$138) ) * 100</f>
        <v>83.791977478839868</v>
      </c>
      <c r="H146" s="39">
        <v>30</v>
      </c>
      <c r="I146" s="40">
        <f>LN($G$146)</f>
        <v>4.4283372687625091</v>
      </c>
      <c r="J146" s="35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>
        <f>IF(ISTEXT($I$146),"",8)</f>
        <v>8</v>
      </c>
      <c r="V146" s="33">
        <f t="shared" si="14"/>
        <v>30</v>
      </c>
      <c r="W146" s="33">
        <f t="shared" si="15"/>
        <v>4.4283372687625091</v>
      </c>
      <c r="X146" s="33"/>
      <c r="Y146" s="33"/>
      <c r="Z146" s="22" t="s">
        <v>54</v>
      </c>
      <c r="AA146" s="25">
        <f>IF(AA143&gt;0,"",IFERROR(LN(2) /ABS(AA143),0))</f>
        <v>801.51024828505854</v>
      </c>
    </row>
    <row r="147" spans="1:30" ht="18.75" x14ac:dyDescent="0.35">
      <c r="A147" s="32" t="s">
        <v>324</v>
      </c>
      <c r="B147" s="32" t="s">
        <v>163</v>
      </c>
      <c r="C147" s="32" t="s">
        <v>15</v>
      </c>
      <c r="D147" s="38">
        <v>106329.875</v>
      </c>
      <c r="E147" s="38">
        <v>26594.778999999999</v>
      </c>
      <c r="F147" s="38">
        <v>3.9981484709999999</v>
      </c>
      <c r="G147" s="38">
        <f>($F$147 -  AVERAGE($F$136,$F$137,$F$138) ) / ($F$153 -  AVERAGE($F$136,$F$137,$F$138) ) * 100</f>
        <v>71.081325672012269</v>
      </c>
      <c r="H147" s="38">
        <v>30</v>
      </c>
      <c r="I147" s="41">
        <f>LN($G$147)</f>
        <v>4.2638246535347655</v>
      </c>
      <c r="J147" s="34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>
        <f>IF(ISTEXT($I$147),"",9)</f>
        <v>9</v>
      </c>
      <c r="V147" s="32">
        <f t="shared" si="14"/>
        <v>30</v>
      </c>
      <c r="W147" s="32">
        <f t="shared" si="15"/>
        <v>4.2638246535347655</v>
      </c>
      <c r="X147" s="32"/>
      <c r="Y147" s="32"/>
      <c r="Z147" s="22" t="s">
        <v>55</v>
      </c>
      <c r="AA147" s="23">
        <f>IF(AA143&gt;0,0,IFERROR(ABS(AA143 * 1000 / 0.5),0))</f>
        <v>1.7296027893418182</v>
      </c>
    </row>
    <row r="148" spans="1:30" ht="15.75" thickBot="1" x14ac:dyDescent="0.3">
      <c r="A148" s="33" t="s">
        <v>325</v>
      </c>
      <c r="B148" s="33" t="s">
        <v>163</v>
      </c>
      <c r="C148" s="33" t="s">
        <v>15</v>
      </c>
      <c r="D148" s="39">
        <v>123220.227</v>
      </c>
      <c r="E148" s="39">
        <v>28101.824000000001</v>
      </c>
      <c r="F148" s="39">
        <v>4.3847768389999997</v>
      </c>
      <c r="G148" s="39">
        <f>($F$148 -  AVERAGE($F$136,$F$137,$F$138) ) / ($F$151 -  AVERAGE($F$136,$F$137,$F$138) ) * 100</f>
        <v>66.255445399666129</v>
      </c>
      <c r="H148" s="39">
        <v>15</v>
      </c>
      <c r="I148" s="40">
        <f>LN($G$148)</f>
        <v>4.1935176562004726</v>
      </c>
      <c r="J148" s="35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>
        <f>IF(ISTEXT($I$148),"",10)</f>
        <v>10</v>
      </c>
      <c r="V148" s="33">
        <f t="shared" si="14"/>
        <v>15</v>
      </c>
      <c r="W148" s="33">
        <f t="shared" si="15"/>
        <v>4.1935176562004726</v>
      </c>
      <c r="X148" s="33"/>
      <c r="Y148" s="33"/>
      <c r="Z148" s="27" t="s">
        <v>39</v>
      </c>
      <c r="AA148" s="28" t="s">
        <v>56</v>
      </c>
    </row>
    <row r="149" spans="1:30" x14ac:dyDescent="0.25">
      <c r="A149" s="32" t="s">
        <v>326</v>
      </c>
      <c r="B149" s="32" t="s">
        <v>163</v>
      </c>
      <c r="C149" s="32" t="s">
        <v>15</v>
      </c>
      <c r="D149" s="38">
        <v>112268.43</v>
      </c>
      <c r="E149" s="38">
        <v>25697.572</v>
      </c>
      <c r="F149" s="38">
        <v>4.3688341450000001</v>
      </c>
      <c r="G149" s="38">
        <f>($F$149 -  AVERAGE($F$136,$F$137,$F$138) ) / ($F$152 -  AVERAGE($F$136,$F$137,$F$138) ) * 100</f>
        <v>80.963417190203728</v>
      </c>
      <c r="H149" s="38">
        <v>15</v>
      </c>
      <c r="I149" s="41">
        <f>LN($G$149)</f>
        <v>4.3939974130254296</v>
      </c>
      <c r="J149" s="34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>
        <f>IF(ISTEXT($I$149),"",11)</f>
        <v>11</v>
      </c>
      <c r="V149" s="32">
        <f t="shared" si="14"/>
        <v>15</v>
      </c>
      <c r="W149" s="32">
        <f t="shared" si="15"/>
        <v>4.3939974130254296</v>
      </c>
      <c r="X149" s="32"/>
      <c r="Y149" s="32"/>
    </row>
    <row r="150" spans="1:30" x14ac:dyDescent="0.25">
      <c r="A150" s="33" t="s">
        <v>327</v>
      </c>
      <c r="B150" s="33" t="s">
        <v>163</v>
      </c>
      <c r="C150" s="33" t="s">
        <v>15</v>
      </c>
      <c r="D150" s="39">
        <v>111877.80499999999</v>
      </c>
      <c r="E150" s="39">
        <v>27525.513999999999</v>
      </c>
      <c r="F150" s="39">
        <v>4.0645128369999997</v>
      </c>
      <c r="G150" s="39">
        <f>($F$150 -  AVERAGE($F$136,$F$137,$F$138) ) / ($F$153 -  AVERAGE($F$136,$F$137,$F$138) ) * 100</f>
        <v>72.261202166081603</v>
      </c>
      <c r="H150" s="39">
        <v>15</v>
      </c>
      <c r="I150" s="40">
        <f>LN($G$150)</f>
        <v>4.2802873622553603</v>
      </c>
      <c r="J150" s="35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>
        <f>IF(ISTEXT($I$150),"",12)</f>
        <v>12</v>
      </c>
      <c r="V150" s="33">
        <f t="shared" si="14"/>
        <v>15</v>
      </c>
      <c r="W150" s="33">
        <f t="shared" si="15"/>
        <v>4.2802873622553603</v>
      </c>
      <c r="X150" s="33"/>
      <c r="Y150" s="33"/>
    </row>
    <row r="151" spans="1:30" x14ac:dyDescent="0.25">
      <c r="A151" s="32" t="s">
        <v>328</v>
      </c>
      <c r="B151" s="32" t="s">
        <v>163</v>
      </c>
      <c r="C151" s="32" t="s">
        <v>15</v>
      </c>
      <c r="D151" s="38">
        <v>172252.266</v>
      </c>
      <c r="E151" s="38">
        <v>26027.986000000001</v>
      </c>
      <c r="F151" s="38">
        <v>6.6179636799999999</v>
      </c>
      <c r="G151" s="38">
        <f>($F$151 -  AVERAGE($F$136,$F$137,$F$138) ) / ($F$151 -  AVERAGE($F$136,$F$137,$F$138) ) * 100</f>
        <v>100</v>
      </c>
      <c r="H151" s="38">
        <v>0</v>
      </c>
      <c r="I151" s="41">
        <f>LN($G$151)</f>
        <v>4.6051701859880918</v>
      </c>
      <c r="J151" s="34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>
        <f>IF(ISTEXT($I$151),"",13)</f>
        <v>13</v>
      </c>
      <c r="V151" s="32">
        <f t="shared" si="14"/>
        <v>0</v>
      </c>
      <c r="W151" s="32">
        <f t="shared" si="15"/>
        <v>4.6051701859880918</v>
      </c>
      <c r="X151" s="32"/>
      <c r="Y151" s="32"/>
    </row>
    <row r="152" spans="1:30" x14ac:dyDescent="0.25">
      <c r="A152" s="33" t="s">
        <v>329</v>
      </c>
      <c r="B152" s="33" t="s">
        <v>163</v>
      </c>
      <c r="C152" s="33" t="s">
        <v>15</v>
      </c>
      <c r="D152" s="39">
        <v>173293.56299999999</v>
      </c>
      <c r="E152" s="39">
        <v>32114.9</v>
      </c>
      <c r="F152" s="39">
        <v>5.3960486569999997</v>
      </c>
      <c r="G152" s="39">
        <f>($F$152 -  AVERAGE($F$136,$F$137,$F$138) ) / ($F$152 -  AVERAGE($F$136,$F$137,$F$138) ) * 100</f>
        <v>100</v>
      </c>
      <c r="H152" s="39">
        <v>0</v>
      </c>
      <c r="I152" s="40">
        <f>LN($G$152)</f>
        <v>4.6051701859880918</v>
      </c>
      <c r="J152" s="35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>
        <f>IF(ISTEXT($I$152),"",14)</f>
        <v>14</v>
      </c>
      <c r="V152" s="33">
        <f t="shared" si="14"/>
        <v>0</v>
      </c>
      <c r="W152" s="33">
        <f t="shared" si="15"/>
        <v>4.6051701859880918</v>
      </c>
      <c r="X152" s="33"/>
      <c r="Y152" s="33"/>
    </row>
    <row r="153" spans="1:30" x14ac:dyDescent="0.25">
      <c r="A153" s="32" t="s">
        <v>330</v>
      </c>
      <c r="B153" s="32" t="s">
        <v>163</v>
      </c>
      <c r="C153" s="32" t="s">
        <v>15</v>
      </c>
      <c r="D153" s="38">
        <v>146330.53099999999</v>
      </c>
      <c r="E153" s="38">
        <v>26015.548999999999</v>
      </c>
      <c r="F153" s="38">
        <v>5.6247335390000002</v>
      </c>
      <c r="G153" s="38">
        <f>($F$153 -  AVERAGE($F$136,$F$137,$F$138) ) / ($F$153 -  AVERAGE($F$136,$F$137,$F$138) ) * 100</f>
        <v>100</v>
      </c>
      <c r="H153" s="38">
        <v>0</v>
      </c>
      <c r="I153" s="41">
        <f>LN($G$153)</f>
        <v>4.6051701859880918</v>
      </c>
      <c r="J153" s="34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>
        <f>IF(ISTEXT($I$153),"",15)</f>
        <v>15</v>
      </c>
      <c r="V153" s="32">
        <f t="shared" si="14"/>
        <v>0</v>
      </c>
      <c r="W153" s="32">
        <f t="shared" si="15"/>
        <v>4.6051701859880918</v>
      </c>
      <c r="X153" s="32"/>
      <c r="Y153" s="32"/>
    </row>
    <row r="154" spans="1:30" ht="15.75" thickBot="1" x14ac:dyDescent="0.3">
      <c r="A154" s="33"/>
      <c r="B154" s="33"/>
      <c r="C154" s="33"/>
      <c r="D154" s="39"/>
      <c r="E154" s="39"/>
      <c r="F154" s="39"/>
      <c r="G154" s="39"/>
      <c r="H154" s="39"/>
      <c r="I154" s="39"/>
      <c r="J154" s="35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</row>
    <row r="155" spans="1:30" ht="16.5" thickTop="1" thickBot="1" x14ac:dyDescent="0.3">
      <c r="A155" s="32" t="s">
        <v>6</v>
      </c>
      <c r="B155" s="32" t="s">
        <v>16</v>
      </c>
      <c r="C155" s="32" t="s">
        <v>17</v>
      </c>
      <c r="D155" s="38">
        <v>1</v>
      </c>
      <c r="E155" s="38">
        <v>37229.300999999999</v>
      </c>
      <c r="F155" s="38">
        <v>2.6860563404077881E-5</v>
      </c>
      <c r="G155" s="38"/>
      <c r="H155" s="38"/>
      <c r="I155" s="38"/>
      <c r="J155" s="34"/>
      <c r="K155" s="32"/>
      <c r="L155" s="32"/>
      <c r="M155" s="32"/>
      <c r="N155" s="32"/>
      <c r="O155" s="32"/>
      <c r="P155" s="32"/>
      <c r="Q155" s="32"/>
      <c r="R155" s="32" t="s">
        <v>59</v>
      </c>
      <c r="S155" s="32"/>
      <c r="T155" s="32">
        <v>11</v>
      </c>
      <c r="U155" s="32"/>
      <c r="V155" s="32"/>
      <c r="W155" s="32"/>
      <c r="X155" s="32"/>
      <c r="Y155" s="32"/>
      <c r="Z155" s="9" t="s">
        <v>45</v>
      </c>
      <c r="AA155" s="9" t="s">
        <v>47</v>
      </c>
      <c r="AB155" s="9" t="s">
        <v>48</v>
      </c>
      <c r="AC155" s="9" t="s">
        <v>49</v>
      </c>
      <c r="AD155" s="9" t="s">
        <v>50</v>
      </c>
    </row>
    <row r="156" spans="1:30" ht="15.75" thickTop="1" x14ac:dyDescent="0.25">
      <c r="A156" s="33" t="s">
        <v>8</v>
      </c>
      <c r="B156" s="33" t="s">
        <v>16</v>
      </c>
      <c r="C156" s="33" t="s">
        <v>17</v>
      </c>
      <c r="D156" s="39">
        <v>1</v>
      </c>
      <c r="E156" s="39">
        <v>37141.370999999999</v>
      </c>
      <c r="F156" s="39">
        <v>2.6924154199908239E-5</v>
      </c>
      <c r="G156" s="39"/>
      <c r="H156" s="39"/>
      <c r="I156" s="39"/>
      <c r="J156" s="35"/>
      <c r="K156" s="33"/>
      <c r="L156" s="33"/>
      <c r="M156" s="33"/>
      <c r="N156" s="33"/>
      <c r="O156" s="33"/>
      <c r="P156" s="33"/>
      <c r="Q156" s="33"/>
      <c r="R156" s="33" t="s">
        <v>45</v>
      </c>
      <c r="S156" s="33"/>
      <c r="T156" s="33">
        <v>195</v>
      </c>
      <c r="U156" s="33"/>
      <c r="V156" s="33"/>
      <c r="W156" s="33"/>
      <c r="X156" s="33"/>
      <c r="Y156" s="33"/>
      <c r="Z156" s="10">
        <f>$H$158</f>
        <v>120</v>
      </c>
      <c r="AA156" s="11">
        <f>IF(ISTEXT($I$158),TEXT($G$158/100,"0.00%"),$G$158 / 100)</f>
        <v>0.38621334433007837</v>
      </c>
      <c r="AB156" s="11">
        <f>IF(ISTEXT($I$159),TEXT($G$159/100,"0.00%"),$G$159 / 100)</f>
        <v>0.42778423355622036</v>
      </c>
      <c r="AC156" s="11">
        <f>IF(ISTEXT($I$160),TEXT($G$160/100,"0.00%"),$G$160 / 100)</f>
        <v>0.52868953004751595</v>
      </c>
      <c r="AD156" s="11">
        <f>IFERROR(AVERAGE($AA$156:$AC$156),"")</f>
        <v>0.44756236931127152</v>
      </c>
    </row>
    <row r="157" spans="1:30" x14ac:dyDescent="0.25">
      <c r="A157" s="32" t="s">
        <v>9</v>
      </c>
      <c r="B157" s="32" t="s">
        <v>16</v>
      </c>
      <c r="C157" s="32" t="s">
        <v>17</v>
      </c>
      <c r="D157" s="38">
        <v>1.5289999999999999</v>
      </c>
      <c r="E157" s="38">
        <v>36262.148000000001</v>
      </c>
      <c r="F157" s="38">
        <v>4.2165200000000001E-5</v>
      </c>
      <c r="G157" s="38"/>
      <c r="H157" s="38"/>
      <c r="I157" s="38"/>
      <c r="J157" s="34"/>
      <c r="K157" s="32"/>
      <c r="L157" s="32"/>
      <c r="M157" s="32"/>
      <c r="N157" s="32"/>
      <c r="O157" s="32"/>
      <c r="P157" s="32"/>
      <c r="Q157" s="32"/>
      <c r="R157" s="32" t="s">
        <v>46</v>
      </c>
      <c r="S157" s="32"/>
      <c r="T157" s="32">
        <v>209</v>
      </c>
      <c r="U157" s="32"/>
      <c r="V157" s="32"/>
      <c r="W157" s="32"/>
      <c r="X157" s="32"/>
      <c r="Y157" s="32"/>
      <c r="Z157" s="10">
        <f>$H$161</f>
        <v>60</v>
      </c>
      <c r="AA157" s="11">
        <f>IF(ISTEXT($I$161),TEXT($G$161/100,"0.00%"),$G$161 / 100)</f>
        <v>0.38774542474721374</v>
      </c>
      <c r="AB157" s="11">
        <f>IF(ISTEXT($I$162),TEXT($G$162/100,"0.00%"),$G$162 / 100)</f>
        <v>0.52858737673951461</v>
      </c>
      <c r="AC157" s="11">
        <f>IF(ISTEXT($I$163),TEXT($G$163/100,"0.00%"),$G$163 / 100)</f>
        <v>0.54831647392256289</v>
      </c>
      <c r="AD157" s="11">
        <f>IFERROR(AVERAGE($AA$157:$AC$157),"")</f>
        <v>0.48821642513643043</v>
      </c>
    </row>
    <row r="158" spans="1:30" x14ac:dyDescent="0.25">
      <c r="A158" s="33" t="s">
        <v>331</v>
      </c>
      <c r="B158" s="33" t="s">
        <v>16</v>
      </c>
      <c r="C158" s="33" t="s">
        <v>17</v>
      </c>
      <c r="D158" s="39">
        <v>176945.65599999999</v>
      </c>
      <c r="E158" s="39">
        <v>28574.391</v>
      </c>
      <c r="F158" s="39">
        <v>6.1924558950000002</v>
      </c>
      <c r="G158" s="39">
        <f>($F$158 -  AVERAGE($F$155,$F$156,$F$157) ) / ($F$170 -  AVERAGE($F$155,$F$156,$F$157) ) * 100</f>
        <v>38.621334433007839</v>
      </c>
      <c r="H158" s="39">
        <v>120</v>
      </c>
      <c r="I158" s="40">
        <f>LN($G$158)</f>
        <v>3.6538048293036853</v>
      </c>
      <c r="J158" s="35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>
        <f>IF(ISTEXT($I$158),"",1)</f>
        <v>1</v>
      </c>
      <c r="V158" s="33">
        <f t="shared" ref="V158:V172" si="16">IFERROR(INDEX($H$158:$H$172,SMALL($U$158:$U$172,ROW(W1)),1),"")</f>
        <v>120</v>
      </c>
      <c r="W158" s="33">
        <f t="shared" ref="W158:W172" si="17">IFERROR(INDEX($I$158:$I$172,SMALL($U$158:$U$172,ROW(I1)),1),"")</f>
        <v>3.6538048293036853</v>
      </c>
      <c r="X158" s="33"/>
      <c r="Y158" s="33"/>
      <c r="Z158" s="10">
        <f>$H$164</f>
        <v>30</v>
      </c>
      <c r="AA158" s="11">
        <f>IF(ISTEXT($I$164),TEXT($G$164/100,"0.00%"),$G$164 / 100)</f>
        <v>0.44634167599747504</v>
      </c>
      <c r="AB158" s="11">
        <f>IF(ISTEXT($I$165),TEXT($G$165/100,"0.00%"),$G$165 / 100)</f>
        <v>0.5828763915772659</v>
      </c>
      <c r="AC158" s="11">
        <f>IF(ISTEXT($I$166),TEXT($G$166/100,"0.00%"),$G$166 / 100)</f>
        <v>0.64633130071718459</v>
      </c>
      <c r="AD158" s="11">
        <f>IFERROR(AVERAGE($AA$158:$AC$158),"")</f>
        <v>0.55851645609730849</v>
      </c>
    </row>
    <row r="159" spans="1:30" x14ac:dyDescent="0.25">
      <c r="A159" s="32" t="s">
        <v>332</v>
      </c>
      <c r="B159" s="32" t="s">
        <v>16</v>
      </c>
      <c r="C159" s="32" t="s">
        <v>17</v>
      </c>
      <c r="D159" s="38">
        <v>109470.664</v>
      </c>
      <c r="E159" s="38">
        <v>29937.096000000001</v>
      </c>
      <c r="F159" s="38">
        <v>3.6566894799999998</v>
      </c>
      <c r="G159" s="38">
        <f>($F$159 -  AVERAGE($F$155,$F$156,$F$157) ) / ($F$171 -  AVERAGE($F$155,$F$156,$F$157) ) * 100</f>
        <v>42.778423355622039</v>
      </c>
      <c r="H159" s="38">
        <v>120</v>
      </c>
      <c r="I159" s="41">
        <f>LN($G$159)</f>
        <v>3.7560338482678159</v>
      </c>
      <c r="J159" s="34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>
        <f>IF(ISTEXT($I$159),"",2)</f>
        <v>2</v>
      </c>
      <c r="V159" s="32">
        <f t="shared" si="16"/>
        <v>120</v>
      </c>
      <c r="W159" s="32">
        <f t="shared" si="17"/>
        <v>3.7560338482678159</v>
      </c>
      <c r="X159" s="32"/>
      <c r="Y159" s="32"/>
      <c r="Z159" s="10">
        <f>$H$167</f>
        <v>15</v>
      </c>
      <c r="AA159" s="11">
        <f>IF(ISTEXT($I$167),TEXT($G$167/100,"0.00%"),$G$167 / 100)</f>
        <v>0.54861798506682646</v>
      </c>
      <c r="AB159" s="11">
        <f>IF(ISTEXT($I$168),TEXT($G$168/100,"0.00%"),$G$168 / 100)</f>
        <v>0.73702852098555693</v>
      </c>
      <c r="AC159" s="11">
        <f>IF(ISTEXT($I$169),TEXT($G$169/100,"0.00%"),$G$169 / 100)</f>
        <v>0.70082545821537323</v>
      </c>
      <c r="AD159" s="11">
        <f>IFERROR(AVERAGE($AA$159:$AC$159),"")</f>
        <v>0.66215732142258554</v>
      </c>
    </row>
    <row r="160" spans="1:30" ht="15.75" thickBot="1" x14ac:dyDescent="0.3">
      <c r="A160" s="33" t="s">
        <v>333</v>
      </c>
      <c r="B160" s="33" t="s">
        <v>16</v>
      </c>
      <c r="C160" s="33" t="s">
        <v>17</v>
      </c>
      <c r="D160" s="39">
        <v>132967.875</v>
      </c>
      <c r="E160" s="39">
        <v>30204.155999999999</v>
      </c>
      <c r="F160" s="39">
        <v>4.4023039410000004</v>
      </c>
      <c r="G160" s="39">
        <f>($F$160 -  AVERAGE($F$155,$F$156,$F$157) ) / ($F$172 -  AVERAGE($F$155,$F$156,$F$157) ) * 100</f>
        <v>52.868953004751596</v>
      </c>
      <c r="H160" s="39">
        <v>120</v>
      </c>
      <c r="I160" s="40">
        <f>LN($G$160)</f>
        <v>3.9678162668500545</v>
      </c>
      <c r="J160" s="35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>
        <f>IF(ISTEXT($I$160),"",3)</f>
        <v>3</v>
      </c>
      <c r="V160" s="33">
        <f t="shared" si="16"/>
        <v>120</v>
      </c>
      <c r="W160" s="33">
        <f t="shared" si="17"/>
        <v>3.9678162668500545</v>
      </c>
      <c r="X160" s="33"/>
      <c r="Y160" s="33"/>
      <c r="Z160" s="12">
        <f>$H$170</f>
        <v>0</v>
      </c>
      <c r="AA160" s="13">
        <f>IF(ISTEXT($I$170),TEXT($G$170/100,"0.00%"),$G$170 / 100)</f>
        <v>1</v>
      </c>
      <c r="AB160" s="13">
        <f>IF(ISTEXT($I$171),TEXT($G$171/100,"0.00%"),$G$171 / 100)</f>
        <v>1</v>
      </c>
      <c r="AC160" s="13">
        <f>IF(ISTEXT($I$172),TEXT($G$172/100,"0.00%"),$G$172 / 100)</f>
        <v>1</v>
      </c>
      <c r="AD160" s="13">
        <f>IFERROR(AVERAGE($AA$160:$AC$160),"")</f>
        <v>1</v>
      </c>
    </row>
    <row r="161" spans="1:27" ht="16.5" thickTop="1" thickBot="1" x14ac:dyDescent="0.3">
      <c r="A161" s="32" t="s">
        <v>334</v>
      </c>
      <c r="B161" s="32" t="s">
        <v>16</v>
      </c>
      <c r="C161" s="32" t="s">
        <v>17</v>
      </c>
      <c r="D161" s="38">
        <v>196255.40599999999</v>
      </c>
      <c r="E161" s="38">
        <v>31567.436000000002</v>
      </c>
      <c r="F161" s="38">
        <v>6.2170207929999997</v>
      </c>
      <c r="G161" s="38">
        <f>($F$161 -  AVERAGE($F$155,$F$156,$F$157) ) / ($F$170 -  AVERAGE($F$155,$F$156,$F$157) ) * 100</f>
        <v>38.774542474721372</v>
      </c>
      <c r="H161" s="38">
        <v>60</v>
      </c>
      <c r="I161" s="41">
        <f>LN($G$161)</f>
        <v>3.6577639095015986</v>
      </c>
      <c r="J161" s="34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>
        <f>IF(ISTEXT($I$161),"",4)</f>
        <v>4</v>
      </c>
      <c r="V161" s="32">
        <f t="shared" si="16"/>
        <v>60</v>
      </c>
      <c r="W161" s="32">
        <f t="shared" si="17"/>
        <v>3.6577639095015986</v>
      </c>
      <c r="X161" s="32"/>
      <c r="Y161" s="32"/>
    </row>
    <row r="162" spans="1:27" x14ac:dyDescent="0.25">
      <c r="A162" s="33" t="s">
        <v>335</v>
      </c>
      <c r="B162" s="33" t="s">
        <v>16</v>
      </c>
      <c r="C162" s="33" t="s">
        <v>17</v>
      </c>
      <c r="D162" s="39">
        <v>121809.19500000001</v>
      </c>
      <c r="E162" s="39">
        <v>26958.809000000001</v>
      </c>
      <c r="F162" s="39">
        <v>4.5183448200000003</v>
      </c>
      <c r="G162" s="39">
        <f>($F$162 -  AVERAGE($F$155,$F$156,$F$157) ) / ($F$171 -  AVERAGE($F$155,$F$156,$F$157) ) * 100</f>
        <v>52.85873767395146</v>
      </c>
      <c r="H162" s="39">
        <v>60</v>
      </c>
      <c r="I162" s="40">
        <f>LN($G$162)</f>
        <v>3.9676230283376772</v>
      </c>
      <c r="J162" s="35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>
        <f>IF(ISTEXT($I$162),"",5)</f>
        <v>5</v>
      </c>
      <c r="V162" s="33">
        <f t="shared" si="16"/>
        <v>60</v>
      </c>
      <c r="W162" s="33">
        <f t="shared" si="17"/>
        <v>3.9676230283376772</v>
      </c>
      <c r="X162" s="33"/>
      <c r="Y162" s="33"/>
      <c r="Z162" s="20" t="s">
        <v>51</v>
      </c>
      <c r="AA162" s="31">
        <f>IFERROR(SLOPE($W$158:$W$172,$V$158:$V$172),"")</f>
        <v>-5.59460243966461E-3</v>
      </c>
    </row>
    <row r="163" spans="1:27" x14ac:dyDescent="0.25">
      <c r="A163" s="32" t="s">
        <v>336</v>
      </c>
      <c r="B163" s="32" t="s">
        <v>16</v>
      </c>
      <c r="C163" s="32" t="s">
        <v>17</v>
      </c>
      <c r="D163" s="38">
        <v>140831.609</v>
      </c>
      <c r="E163" s="38">
        <v>30845.346000000001</v>
      </c>
      <c r="F163" s="38">
        <v>4.5657328340000003</v>
      </c>
      <c r="G163" s="38">
        <f>($F$163 -  AVERAGE($F$155,$F$156,$F$157) ) / ($F$172 -  AVERAGE($F$155,$F$156,$F$157) ) * 100</f>
        <v>54.831647392256286</v>
      </c>
      <c r="H163" s="38">
        <v>60</v>
      </c>
      <c r="I163" s="41">
        <f>LN($G$163)</f>
        <v>4.0042675344188474</v>
      </c>
      <c r="J163" s="34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>
        <f>IF(ISTEXT($I$163),"",6)</f>
        <v>6</v>
      </c>
      <c r="V163" s="32">
        <f t="shared" si="16"/>
        <v>60</v>
      </c>
      <c r="W163" s="32">
        <f t="shared" si="17"/>
        <v>4.0042675344188474</v>
      </c>
      <c r="X163" s="32"/>
      <c r="Y163" s="32"/>
      <c r="Z163" s="22" t="s">
        <v>52</v>
      </c>
      <c r="AA163" s="23">
        <f>IFERROR(INTERCEPT($W$158:$W$172,$V$158:$V$172),"")</f>
        <v>4.3457550662805398</v>
      </c>
    </row>
    <row r="164" spans="1:27" ht="17.25" x14ac:dyDescent="0.25">
      <c r="A164" s="33" t="s">
        <v>337</v>
      </c>
      <c r="B164" s="33" t="s">
        <v>16</v>
      </c>
      <c r="C164" s="33" t="s">
        <v>17</v>
      </c>
      <c r="D164" s="39">
        <v>216538.75</v>
      </c>
      <c r="E164" s="39">
        <v>30257.486000000001</v>
      </c>
      <c r="F164" s="39">
        <v>7.1565347499999996</v>
      </c>
      <c r="G164" s="39">
        <f>($F$164 -  AVERAGE($F$155,$F$156,$F$157) ) / ($F$170 -  AVERAGE($F$155,$F$156,$F$157) ) * 100</f>
        <v>44.634167599747506</v>
      </c>
      <c r="H164" s="39">
        <v>30</v>
      </c>
      <c r="I164" s="40">
        <f>LN($G$164)</f>
        <v>3.7984996554095414</v>
      </c>
      <c r="J164" s="35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>
        <f>IF(ISTEXT($I$164),"",7)</f>
        <v>7</v>
      </c>
      <c r="V164" s="33">
        <f t="shared" si="16"/>
        <v>30</v>
      </c>
      <c r="W164" s="33">
        <f t="shared" si="17"/>
        <v>3.7984996554095414</v>
      </c>
      <c r="X164" s="33"/>
      <c r="Y164" s="33"/>
      <c r="Z164" s="22" t="s">
        <v>53</v>
      </c>
      <c r="AA164" s="26">
        <f>IFERROR(CORREL($W$158:$W$172,$V$158:$V$172)^2,"")</f>
        <v>0.56698737513600594</v>
      </c>
    </row>
    <row r="165" spans="1:27" ht="18" x14ac:dyDescent="0.35">
      <c r="A165" s="32" t="s">
        <v>338</v>
      </c>
      <c r="B165" s="32" t="s">
        <v>16</v>
      </c>
      <c r="C165" s="32" t="s">
        <v>17</v>
      </c>
      <c r="D165" s="38">
        <v>164341.141</v>
      </c>
      <c r="E165" s="38">
        <v>32984.32</v>
      </c>
      <c r="F165" s="38">
        <v>4.9824019719999999</v>
      </c>
      <c r="G165" s="38">
        <f>($F$165 -  AVERAGE($F$155,$F$156,$F$157) ) / ($F$171 -  AVERAGE($F$155,$F$156,$F$157) ) * 100</f>
        <v>58.287639157726588</v>
      </c>
      <c r="H165" s="38">
        <v>30</v>
      </c>
      <c r="I165" s="41">
        <f>LN($G$165)</f>
        <v>4.0653900495684594</v>
      </c>
      <c r="J165" s="34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>
        <f>IF(ISTEXT($I$165),"",8)</f>
        <v>8</v>
      </c>
      <c r="V165" s="32">
        <f t="shared" si="16"/>
        <v>30</v>
      </c>
      <c r="W165" s="32">
        <f t="shared" si="17"/>
        <v>4.0653900495684594</v>
      </c>
      <c r="X165" s="32"/>
      <c r="Y165" s="32"/>
      <c r="Z165" s="22" t="s">
        <v>54</v>
      </c>
      <c r="AA165" s="25">
        <f>IF(AA162&gt;0,"",IFERROR(LN(2) /ABS(AA162),0))</f>
        <v>123.8956991198643</v>
      </c>
    </row>
    <row r="166" spans="1:27" ht="18.75" x14ac:dyDescent="0.35">
      <c r="A166" s="33" t="s">
        <v>339</v>
      </c>
      <c r="B166" s="33" t="s">
        <v>16</v>
      </c>
      <c r="C166" s="33" t="s">
        <v>17</v>
      </c>
      <c r="D166" s="39">
        <v>151261.09400000001</v>
      </c>
      <c r="E166" s="39">
        <v>28105.629000000001</v>
      </c>
      <c r="F166" s="39">
        <v>5.3818789819999999</v>
      </c>
      <c r="G166" s="39">
        <f>($F$166 -  AVERAGE($F$155,$F$156,$F$157) ) / ($F$172 -  AVERAGE($F$155,$F$156,$F$157) ) * 100</f>
        <v>64.633130071718455</v>
      </c>
      <c r="H166" s="39">
        <v>30</v>
      </c>
      <c r="I166" s="40">
        <f>LN($G$166)</f>
        <v>4.16872712873365</v>
      </c>
      <c r="J166" s="35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>
        <f>IF(ISTEXT($I$166),"",9)</f>
        <v>9</v>
      </c>
      <c r="V166" s="33">
        <f t="shared" si="16"/>
        <v>30</v>
      </c>
      <c r="W166" s="33">
        <f t="shared" si="17"/>
        <v>4.16872712873365</v>
      </c>
      <c r="X166" s="33"/>
      <c r="Y166" s="33"/>
      <c r="Z166" s="22" t="s">
        <v>55</v>
      </c>
      <c r="AA166" s="30">
        <f>IF(AA162&gt;0,0,IFERROR(ABS(AA162 * 1000 / 0.5),0))</f>
        <v>11.189204879329219</v>
      </c>
    </row>
    <row r="167" spans="1:27" ht="15.75" thickBot="1" x14ac:dyDescent="0.3">
      <c r="A167" s="32" t="s">
        <v>340</v>
      </c>
      <c r="B167" s="32" t="s">
        <v>16</v>
      </c>
      <c r="C167" s="32" t="s">
        <v>17</v>
      </c>
      <c r="D167" s="38">
        <v>274758.78100000002</v>
      </c>
      <c r="E167" s="38">
        <v>31235.363000000001</v>
      </c>
      <c r="F167" s="38">
        <v>8.7964010859999995</v>
      </c>
      <c r="G167" s="38">
        <f>($F$167 -  AVERAGE($F$155,$F$156,$F$157) ) / ($F$170 -  AVERAGE($F$155,$F$156,$F$157) ) * 100</f>
        <v>54.861798506682646</v>
      </c>
      <c r="H167" s="38">
        <v>15</v>
      </c>
      <c r="I167" s="41">
        <f>LN($G$167)</f>
        <v>4.0048172685426788</v>
      </c>
      <c r="J167" s="34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>
        <f>IF(ISTEXT($I$167),"",10)</f>
        <v>10</v>
      </c>
      <c r="V167" s="32">
        <f t="shared" si="16"/>
        <v>15</v>
      </c>
      <c r="W167" s="32">
        <f t="shared" si="17"/>
        <v>4.0048172685426788</v>
      </c>
      <c r="X167" s="32"/>
      <c r="Y167" s="32"/>
      <c r="Z167" s="27" t="s">
        <v>39</v>
      </c>
      <c r="AA167" s="28" t="s">
        <v>34</v>
      </c>
    </row>
    <row r="168" spans="1:27" x14ac:dyDescent="0.25">
      <c r="A168" s="33" t="s">
        <v>341</v>
      </c>
      <c r="B168" s="33" t="s">
        <v>16</v>
      </c>
      <c r="C168" s="33" t="s">
        <v>17</v>
      </c>
      <c r="D168" s="39">
        <v>65345.82</v>
      </c>
      <c r="E168" s="39">
        <v>10372.222</v>
      </c>
      <c r="F168" s="39">
        <v>6.3000791920000001</v>
      </c>
      <c r="G168" s="39">
        <f>($F$168 -  AVERAGE($F$155,$F$156,$F$157) ) / ($F$171 -  AVERAGE($F$155,$F$156,$F$157) ) * 100</f>
        <v>73.702852098555695</v>
      </c>
      <c r="H168" s="39">
        <v>15</v>
      </c>
      <c r="I168" s="40">
        <f>LN($G$168)</f>
        <v>4.3000414972057497</v>
      </c>
      <c r="J168" s="35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>
        <f>IF(ISTEXT($I$168),"",11)</f>
        <v>11</v>
      </c>
      <c r="V168" s="33">
        <f t="shared" si="16"/>
        <v>15</v>
      </c>
      <c r="W168" s="33">
        <f t="shared" si="17"/>
        <v>4.3000414972057497</v>
      </c>
      <c r="X168" s="33"/>
      <c r="Y168" s="33"/>
    </row>
    <row r="169" spans="1:27" x14ac:dyDescent="0.25">
      <c r="A169" s="32" t="s">
        <v>342</v>
      </c>
      <c r="B169" s="32" t="s">
        <v>16</v>
      </c>
      <c r="C169" s="32" t="s">
        <v>17</v>
      </c>
      <c r="D169" s="38">
        <v>204966.42199999999</v>
      </c>
      <c r="E169" s="38">
        <v>35123.218999999997</v>
      </c>
      <c r="F169" s="38">
        <v>5.8356388690000003</v>
      </c>
      <c r="G169" s="38">
        <f>($F$169 -  AVERAGE($F$155,$F$156,$F$157) ) / ($F$172 -  AVERAGE($F$155,$F$156,$F$157) ) * 100</f>
        <v>70.082545821537323</v>
      </c>
      <c r="H169" s="38">
        <v>15</v>
      </c>
      <c r="I169" s="41">
        <f>LN($G$169)</f>
        <v>4.2496737733304331</v>
      </c>
      <c r="J169" s="34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>
        <f>IF(ISTEXT($I$169),"",12)</f>
        <v>12</v>
      </c>
      <c r="V169" s="32">
        <f t="shared" si="16"/>
        <v>15</v>
      </c>
      <c r="W169" s="32">
        <f t="shared" si="17"/>
        <v>4.2496737733304331</v>
      </c>
      <c r="X169" s="32"/>
      <c r="Y169" s="32"/>
    </row>
    <row r="170" spans="1:27" x14ac:dyDescent="0.25">
      <c r="A170" s="33" t="s">
        <v>343</v>
      </c>
      <c r="B170" s="33" t="s">
        <v>16</v>
      </c>
      <c r="C170" s="33" t="s">
        <v>17</v>
      </c>
      <c r="D170" s="39">
        <v>493418.03100000002</v>
      </c>
      <c r="E170" s="39">
        <v>30773.773000000001</v>
      </c>
      <c r="F170" s="39">
        <v>16.03371907</v>
      </c>
      <c r="G170" s="39">
        <f>($F$170 -  AVERAGE($F$155,$F$156,$F$157) ) / ($F$170 -  AVERAGE($F$155,$F$156,$F$157) ) * 100</f>
        <v>100</v>
      </c>
      <c r="H170" s="39">
        <v>0</v>
      </c>
      <c r="I170" s="40">
        <f>LN($G$170)</f>
        <v>4.6051701859880918</v>
      </c>
      <c r="J170" s="35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>
        <f>IF(ISTEXT($I$170),"",13)</f>
        <v>13</v>
      </c>
      <c r="V170" s="33">
        <f t="shared" si="16"/>
        <v>0</v>
      </c>
      <c r="W170" s="33">
        <f t="shared" si="17"/>
        <v>4.6051701859880918</v>
      </c>
      <c r="X170" s="33"/>
      <c r="Y170" s="33"/>
    </row>
    <row r="171" spans="1:27" x14ac:dyDescent="0.25">
      <c r="A171" s="32" t="s">
        <v>344</v>
      </c>
      <c r="B171" s="32" t="s">
        <v>16</v>
      </c>
      <c r="C171" s="32" t="s">
        <v>17</v>
      </c>
      <c r="D171" s="38">
        <v>260599.609</v>
      </c>
      <c r="E171" s="38">
        <v>30486.855</v>
      </c>
      <c r="F171" s="38">
        <v>8.5479334950000005</v>
      </c>
      <c r="G171" s="38">
        <f>($F$171 -  AVERAGE($F$155,$F$156,$F$157) ) / ($F$171 -  AVERAGE($F$155,$F$156,$F$157) ) * 100</f>
        <v>100</v>
      </c>
      <c r="H171" s="38">
        <v>0</v>
      </c>
      <c r="I171" s="41">
        <f>LN($G$171)</f>
        <v>4.6051701859880918</v>
      </c>
      <c r="J171" s="34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>
        <f>IF(ISTEXT($I$171),"",14)</f>
        <v>14</v>
      </c>
      <c r="V171" s="32">
        <f t="shared" si="16"/>
        <v>0</v>
      </c>
      <c r="W171" s="32">
        <f t="shared" si="17"/>
        <v>4.6051701859880918</v>
      </c>
      <c r="X171" s="32"/>
      <c r="Y171" s="32"/>
    </row>
    <row r="172" spans="1:27" x14ac:dyDescent="0.25">
      <c r="A172" s="33" t="s">
        <v>345</v>
      </c>
      <c r="B172" s="33" t="s">
        <v>16</v>
      </c>
      <c r="C172" s="33" t="s">
        <v>17</v>
      </c>
      <c r="D172" s="39">
        <v>274947.71899999998</v>
      </c>
      <c r="E172" s="39">
        <v>33019.637000000002</v>
      </c>
      <c r="F172" s="39">
        <v>8.3267941140000001</v>
      </c>
      <c r="G172" s="39">
        <f>($F$172 -  AVERAGE($F$155,$F$156,$F$157) ) / ($F$172 -  AVERAGE($F$155,$F$156,$F$157) ) * 100</f>
        <v>100</v>
      </c>
      <c r="H172" s="39">
        <v>0</v>
      </c>
      <c r="I172" s="40">
        <f>LN($G$172)</f>
        <v>4.6051701859880918</v>
      </c>
      <c r="J172" s="35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>
        <f>IF(ISTEXT($I$172),"",15)</f>
        <v>15</v>
      </c>
      <c r="V172" s="33">
        <f t="shared" si="16"/>
        <v>0</v>
      </c>
      <c r="W172" s="33">
        <f t="shared" si="17"/>
        <v>4.6051701859880918</v>
      </c>
      <c r="X172" s="33"/>
      <c r="Y172" s="33"/>
    </row>
  </sheetData>
  <conditionalFormatting sqref="I5">
    <cfRule type="expression" dxfId="441" priority="385">
      <formula>ISTEXT($I$5)</formula>
    </cfRule>
  </conditionalFormatting>
  <conditionalFormatting sqref="I6">
    <cfRule type="expression" dxfId="440" priority="384">
      <formula>ISTEXT($I$6)</formula>
    </cfRule>
  </conditionalFormatting>
  <conditionalFormatting sqref="I7">
    <cfRule type="expression" dxfId="439" priority="383">
      <formula>ISTEXT($I$7)</formula>
    </cfRule>
  </conditionalFormatting>
  <conditionalFormatting sqref="I8">
    <cfRule type="expression" dxfId="438" priority="382">
      <formula>ISTEXT($I$8)</formula>
    </cfRule>
  </conditionalFormatting>
  <conditionalFormatting sqref="I9">
    <cfRule type="expression" dxfId="437" priority="381">
      <formula>ISTEXT($I$9)</formula>
    </cfRule>
  </conditionalFormatting>
  <conditionalFormatting sqref="I10">
    <cfRule type="expression" dxfId="436" priority="380">
      <formula>ISTEXT($I$10)</formula>
    </cfRule>
  </conditionalFormatting>
  <conditionalFormatting sqref="I11">
    <cfRule type="expression" dxfId="435" priority="379">
      <formula>ISTEXT($I$11)</formula>
    </cfRule>
  </conditionalFormatting>
  <conditionalFormatting sqref="I12">
    <cfRule type="expression" dxfId="434" priority="378">
      <formula>ISTEXT($I$12)</formula>
    </cfRule>
  </conditionalFormatting>
  <conditionalFormatting sqref="I13">
    <cfRule type="expression" dxfId="433" priority="377">
      <formula>ISTEXT($I$13)</formula>
    </cfRule>
  </conditionalFormatting>
  <conditionalFormatting sqref="I14">
    <cfRule type="expression" dxfId="432" priority="376">
      <formula>ISTEXT($I$14)</formula>
    </cfRule>
  </conditionalFormatting>
  <conditionalFormatting sqref="I15">
    <cfRule type="expression" dxfId="431" priority="375">
      <formula>ISTEXT($I$15)</formula>
    </cfRule>
  </conditionalFormatting>
  <conditionalFormatting sqref="I16">
    <cfRule type="expression" dxfId="430" priority="374">
      <formula>ISTEXT($I$16)</formula>
    </cfRule>
  </conditionalFormatting>
  <conditionalFormatting sqref="I17">
    <cfRule type="expression" dxfId="429" priority="373">
      <formula>ISTEXT($I$17)</formula>
    </cfRule>
  </conditionalFormatting>
  <conditionalFormatting sqref="I18">
    <cfRule type="expression" dxfId="428" priority="372">
      <formula>ISTEXT($I$18)</formula>
    </cfRule>
  </conditionalFormatting>
  <conditionalFormatting sqref="I19">
    <cfRule type="expression" dxfId="427" priority="371">
      <formula>ISTEXT($I$19)</formula>
    </cfRule>
  </conditionalFormatting>
  <conditionalFormatting sqref="I24">
    <cfRule type="expression" dxfId="426" priority="370">
      <formula>ISTEXT($I$24)</formula>
    </cfRule>
  </conditionalFormatting>
  <conditionalFormatting sqref="I25">
    <cfRule type="expression" dxfId="425" priority="369">
      <formula>ISTEXT($I$25)</formula>
    </cfRule>
  </conditionalFormatting>
  <conditionalFormatting sqref="I26">
    <cfRule type="expression" dxfId="424" priority="368">
      <formula>ISTEXT($I$26)</formula>
    </cfRule>
  </conditionalFormatting>
  <conditionalFormatting sqref="I27">
    <cfRule type="expression" dxfId="423" priority="367">
      <formula>ISTEXT($I$27)</formula>
    </cfRule>
  </conditionalFormatting>
  <conditionalFormatting sqref="I28">
    <cfRule type="expression" dxfId="422" priority="366">
      <formula>ISTEXT($I$28)</formula>
    </cfRule>
  </conditionalFormatting>
  <conditionalFormatting sqref="I29">
    <cfRule type="expression" dxfId="421" priority="365">
      <formula>ISTEXT($I$29)</formula>
    </cfRule>
  </conditionalFormatting>
  <conditionalFormatting sqref="I30">
    <cfRule type="expression" dxfId="420" priority="364">
      <formula>ISTEXT($I$30)</formula>
    </cfRule>
  </conditionalFormatting>
  <conditionalFormatting sqref="I31">
    <cfRule type="expression" dxfId="419" priority="363">
      <formula>ISTEXT($I$31)</formula>
    </cfRule>
  </conditionalFormatting>
  <conditionalFormatting sqref="I32">
    <cfRule type="expression" dxfId="418" priority="362">
      <formula>ISTEXT($I$32)</formula>
    </cfRule>
  </conditionalFormatting>
  <conditionalFormatting sqref="I33">
    <cfRule type="expression" dxfId="417" priority="361">
      <formula>ISTEXT($I$33)</formula>
    </cfRule>
  </conditionalFormatting>
  <conditionalFormatting sqref="I34">
    <cfRule type="expression" dxfId="416" priority="360">
      <formula>ISTEXT($I$34)</formula>
    </cfRule>
  </conditionalFormatting>
  <conditionalFormatting sqref="I35">
    <cfRule type="expression" dxfId="415" priority="359">
      <formula>ISTEXT($I$35)</formula>
    </cfRule>
  </conditionalFormatting>
  <conditionalFormatting sqref="I36">
    <cfRule type="expression" dxfId="414" priority="358">
      <formula>ISTEXT($I$36)</formula>
    </cfRule>
  </conditionalFormatting>
  <conditionalFormatting sqref="I37">
    <cfRule type="expression" dxfId="413" priority="357">
      <formula>ISTEXT($I$37)</formula>
    </cfRule>
  </conditionalFormatting>
  <conditionalFormatting sqref="I38">
    <cfRule type="expression" dxfId="412" priority="356">
      <formula>ISTEXT($I$38)</formula>
    </cfRule>
  </conditionalFormatting>
  <conditionalFormatting sqref="I43">
    <cfRule type="expression" dxfId="411" priority="355">
      <formula>ISTEXT($I$43)</formula>
    </cfRule>
  </conditionalFormatting>
  <conditionalFormatting sqref="I44">
    <cfRule type="expression" dxfId="410" priority="354">
      <formula>ISTEXT($I$44)</formula>
    </cfRule>
  </conditionalFormatting>
  <conditionalFormatting sqref="I45">
    <cfRule type="expression" dxfId="409" priority="353">
      <formula>ISTEXT($I$45)</formula>
    </cfRule>
  </conditionalFormatting>
  <conditionalFormatting sqref="I46">
    <cfRule type="expression" dxfId="408" priority="352">
      <formula>ISTEXT($I$46)</formula>
    </cfRule>
  </conditionalFormatting>
  <conditionalFormatting sqref="I47">
    <cfRule type="expression" dxfId="407" priority="351">
      <formula>ISTEXT($I$47)</formula>
    </cfRule>
  </conditionalFormatting>
  <conditionalFormatting sqref="I48">
    <cfRule type="expression" dxfId="406" priority="350">
      <formula>ISTEXT($I$48)</formula>
    </cfRule>
  </conditionalFormatting>
  <conditionalFormatting sqref="I49">
    <cfRule type="expression" dxfId="405" priority="349">
      <formula>ISTEXT($I$49)</formula>
    </cfRule>
  </conditionalFormatting>
  <conditionalFormatting sqref="I50">
    <cfRule type="expression" dxfId="404" priority="348">
      <formula>ISTEXT($I$50)</formula>
    </cfRule>
  </conditionalFormatting>
  <conditionalFormatting sqref="I51">
    <cfRule type="expression" dxfId="403" priority="347">
      <formula>ISTEXT($I$51)</formula>
    </cfRule>
  </conditionalFormatting>
  <conditionalFormatting sqref="I52">
    <cfRule type="expression" dxfId="402" priority="346">
      <formula>ISTEXT($I$52)</formula>
    </cfRule>
  </conditionalFormatting>
  <conditionalFormatting sqref="I53">
    <cfRule type="expression" dxfId="401" priority="345">
      <formula>ISTEXT($I$53)</formula>
    </cfRule>
  </conditionalFormatting>
  <conditionalFormatting sqref="I54">
    <cfRule type="expression" dxfId="400" priority="344">
      <formula>ISTEXT($I$54)</formula>
    </cfRule>
  </conditionalFormatting>
  <conditionalFormatting sqref="I55">
    <cfRule type="expression" dxfId="399" priority="343">
      <formula>ISTEXT($I$55)</formula>
    </cfRule>
  </conditionalFormatting>
  <conditionalFormatting sqref="I56">
    <cfRule type="expression" dxfId="398" priority="342">
      <formula>ISTEXT($I$56)</formula>
    </cfRule>
  </conditionalFormatting>
  <conditionalFormatting sqref="I57">
    <cfRule type="expression" dxfId="397" priority="341">
      <formula>ISTEXT($I$57)</formula>
    </cfRule>
  </conditionalFormatting>
  <conditionalFormatting sqref="I62">
    <cfRule type="expression" dxfId="396" priority="340">
      <formula>ISTEXT($I$62)</formula>
    </cfRule>
  </conditionalFormatting>
  <conditionalFormatting sqref="I63">
    <cfRule type="expression" dxfId="395" priority="339">
      <formula>ISTEXT($I$63)</formula>
    </cfRule>
  </conditionalFormatting>
  <conditionalFormatting sqref="I64">
    <cfRule type="expression" dxfId="394" priority="338">
      <formula>ISTEXT($I$64)</formula>
    </cfRule>
  </conditionalFormatting>
  <conditionalFormatting sqref="I65">
    <cfRule type="expression" dxfId="393" priority="337">
      <formula>ISTEXT($I$65)</formula>
    </cfRule>
  </conditionalFormatting>
  <conditionalFormatting sqref="I66">
    <cfRule type="expression" dxfId="392" priority="336">
      <formula>ISTEXT($I$66)</formula>
    </cfRule>
  </conditionalFormatting>
  <conditionalFormatting sqref="I67">
    <cfRule type="expression" dxfId="391" priority="335">
      <formula>ISTEXT($I$67)</formula>
    </cfRule>
  </conditionalFormatting>
  <conditionalFormatting sqref="I68">
    <cfRule type="expression" dxfId="390" priority="334">
      <formula>ISTEXT($I$68)</formula>
    </cfRule>
  </conditionalFormatting>
  <conditionalFormatting sqref="I69">
    <cfRule type="expression" dxfId="389" priority="333">
      <formula>ISTEXT($I$69)</formula>
    </cfRule>
  </conditionalFormatting>
  <conditionalFormatting sqref="I70">
    <cfRule type="expression" dxfId="388" priority="332">
      <formula>ISTEXT($I$70)</formula>
    </cfRule>
  </conditionalFormatting>
  <conditionalFormatting sqref="I71">
    <cfRule type="expression" dxfId="387" priority="331">
      <formula>ISTEXT($I$71)</formula>
    </cfRule>
  </conditionalFormatting>
  <conditionalFormatting sqref="I72">
    <cfRule type="expression" dxfId="386" priority="330">
      <formula>ISTEXT($I$72)</formula>
    </cfRule>
  </conditionalFormatting>
  <conditionalFormatting sqref="I73">
    <cfRule type="expression" dxfId="385" priority="329">
      <formula>ISTEXT($I$73)</formula>
    </cfRule>
  </conditionalFormatting>
  <conditionalFormatting sqref="I74">
    <cfRule type="expression" dxfId="384" priority="328">
      <formula>ISTEXT($I$74)</formula>
    </cfRule>
  </conditionalFormatting>
  <conditionalFormatting sqref="I75">
    <cfRule type="expression" dxfId="383" priority="327">
      <formula>ISTEXT($I$75)</formula>
    </cfRule>
  </conditionalFormatting>
  <conditionalFormatting sqref="I76">
    <cfRule type="expression" dxfId="382" priority="326">
      <formula>ISTEXT($I$76)</formula>
    </cfRule>
  </conditionalFormatting>
  <conditionalFormatting sqref="I81">
    <cfRule type="expression" dxfId="381" priority="325">
      <formula>ISTEXT($I$81)</formula>
    </cfRule>
  </conditionalFormatting>
  <conditionalFormatting sqref="I82">
    <cfRule type="expression" dxfId="380" priority="324">
      <formula>ISTEXT($I$82)</formula>
    </cfRule>
  </conditionalFormatting>
  <conditionalFormatting sqref="I83">
    <cfRule type="expression" dxfId="379" priority="323">
      <formula>ISTEXT($I$83)</formula>
    </cfRule>
  </conditionalFormatting>
  <conditionalFormatting sqref="I84">
    <cfRule type="expression" dxfId="378" priority="322">
      <formula>ISTEXT($I$84)</formula>
    </cfRule>
  </conditionalFormatting>
  <conditionalFormatting sqref="I85">
    <cfRule type="expression" dxfId="377" priority="321">
      <formula>ISTEXT($I$85)</formula>
    </cfRule>
  </conditionalFormatting>
  <conditionalFormatting sqref="I86">
    <cfRule type="expression" dxfId="376" priority="320">
      <formula>ISTEXT($I$86)</formula>
    </cfRule>
  </conditionalFormatting>
  <conditionalFormatting sqref="I87">
    <cfRule type="expression" dxfId="375" priority="319">
      <formula>ISTEXT($I$87)</formula>
    </cfRule>
  </conditionalFormatting>
  <conditionalFormatting sqref="I88">
    <cfRule type="expression" dxfId="374" priority="318">
      <formula>ISTEXT($I$88)</formula>
    </cfRule>
  </conditionalFormatting>
  <conditionalFormatting sqref="I89">
    <cfRule type="expression" dxfId="373" priority="317">
      <formula>ISTEXT($I$89)</formula>
    </cfRule>
  </conditionalFormatting>
  <conditionalFormatting sqref="I90">
    <cfRule type="expression" dxfId="372" priority="316">
      <formula>ISTEXT($I$90)</formula>
    </cfRule>
  </conditionalFormatting>
  <conditionalFormatting sqref="I91">
    <cfRule type="expression" dxfId="371" priority="315">
      <formula>ISTEXT($I$91)</formula>
    </cfRule>
  </conditionalFormatting>
  <conditionalFormatting sqref="I92">
    <cfRule type="expression" dxfId="370" priority="314">
      <formula>ISTEXT($I$92)</formula>
    </cfRule>
  </conditionalFormatting>
  <conditionalFormatting sqref="I93">
    <cfRule type="expression" dxfId="369" priority="313">
      <formula>ISTEXT($I$93)</formula>
    </cfRule>
  </conditionalFormatting>
  <conditionalFormatting sqref="I94">
    <cfRule type="expression" dxfId="368" priority="312">
      <formula>ISTEXT($I$94)</formula>
    </cfRule>
  </conditionalFormatting>
  <conditionalFormatting sqref="I95">
    <cfRule type="expression" dxfId="367" priority="311">
      <formula>ISTEXT($I$95)</formula>
    </cfRule>
  </conditionalFormatting>
  <conditionalFormatting sqref="I101">
    <cfRule type="expression" dxfId="366" priority="280">
      <formula>ISTEXT($I$101)</formula>
    </cfRule>
  </conditionalFormatting>
  <conditionalFormatting sqref="I102">
    <cfRule type="expression" dxfId="365" priority="279">
      <formula>ISTEXT($I$102)</formula>
    </cfRule>
  </conditionalFormatting>
  <conditionalFormatting sqref="I103">
    <cfRule type="expression" dxfId="364" priority="278">
      <formula>ISTEXT($I$103)</formula>
    </cfRule>
  </conditionalFormatting>
  <conditionalFormatting sqref="I104">
    <cfRule type="expression" dxfId="363" priority="277">
      <formula>ISTEXT($I$104)</formula>
    </cfRule>
  </conditionalFormatting>
  <conditionalFormatting sqref="I105">
    <cfRule type="expression" dxfId="362" priority="276">
      <formula>ISTEXT($I$105)</formula>
    </cfRule>
  </conditionalFormatting>
  <conditionalFormatting sqref="I106">
    <cfRule type="expression" dxfId="361" priority="275">
      <formula>ISTEXT($I$106)</formula>
    </cfRule>
  </conditionalFormatting>
  <conditionalFormatting sqref="I107">
    <cfRule type="expression" dxfId="360" priority="274">
      <formula>ISTEXT($I$107)</formula>
    </cfRule>
  </conditionalFormatting>
  <conditionalFormatting sqref="I108">
    <cfRule type="expression" dxfId="359" priority="273">
      <formula>ISTEXT($I$108)</formula>
    </cfRule>
  </conditionalFormatting>
  <conditionalFormatting sqref="I109">
    <cfRule type="expression" dxfId="358" priority="272">
      <formula>ISTEXT($I$109)</formula>
    </cfRule>
  </conditionalFormatting>
  <conditionalFormatting sqref="I110">
    <cfRule type="expression" dxfId="357" priority="271">
      <formula>ISTEXT($I$110)</formula>
    </cfRule>
  </conditionalFormatting>
  <conditionalFormatting sqref="I111">
    <cfRule type="expression" dxfId="356" priority="270">
      <formula>ISTEXT($I$111)</formula>
    </cfRule>
  </conditionalFormatting>
  <conditionalFormatting sqref="I112">
    <cfRule type="expression" dxfId="355" priority="269">
      <formula>ISTEXT($I$112)</formula>
    </cfRule>
  </conditionalFormatting>
  <conditionalFormatting sqref="I113">
    <cfRule type="expression" dxfId="354" priority="268">
      <formula>ISTEXT($I$113)</formula>
    </cfRule>
  </conditionalFormatting>
  <conditionalFormatting sqref="I114">
    <cfRule type="expression" dxfId="353" priority="267">
      <formula>ISTEXT($I$114)</formula>
    </cfRule>
  </conditionalFormatting>
  <conditionalFormatting sqref="I115">
    <cfRule type="expression" dxfId="352" priority="266">
      <formula>ISTEXT($I$115)</formula>
    </cfRule>
  </conditionalFormatting>
  <conditionalFormatting sqref="I120">
    <cfRule type="expression" dxfId="351" priority="265">
      <formula>ISTEXT($I$120)</formula>
    </cfRule>
  </conditionalFormatting>
  <conditionalFormatting sqref="I121">
    <cfRule type="expression" dxfId="350" priority="264">
      <formula>ISTEXT($I$121)</formula>
    </cfRule>
  </conditionalFormatting>
  <conditionalFormatting sqref="I122">
    <cfRule type="expression" dxfId="349" priority="263">
      <formula>ISTEXT($I$122)</formula>
    </cfRule>
  </conditionalFormatting>
  <conditionalFormatting sqref="I123">
    <cfRule type="expression" dxfId="348" priority="262">
      <formula>ISTEXT($I$123)</formula>
    </cfRule>
  </conditionalFormatting>
  <conditionalFormatting sqref="I124">
    <cfRule type="expression" dxfId="347" priority="261">
      <formula>ISTEXT($I$124)</formula>
    </cfRule>
  </conditionalFormatting>
  <conditionalFormatting sqref="I125">
    <cfRule type="expression" dxfId="346" priority="260">
      <formula>ISTEXT($I$125)</formula>
    </cfRule>
  </conditionalFormatting>
  <conditionalFormatting sqref="I126">
    <cfRule type="expression" dxfId="345" priority="259">
      <formula>ISTEXT($I$126)</formula>
    </cfRule>
  </conditionalFormatting>
  <conditionalFormatting sqref="I127">
    <cfRule type="expression" dxfId="344" priority="258">
      <formula>ISTEXT($I$127)</formula>
    </cfRule>
  </conditionalFormatting>
  <conditionalFormatting sqref="I128">
    <cfRule type="expression" dxfId="343" priority="257">
      <formula>ISTEXT($I$128)</formula>
    </cfRule>
  </conditionalFormatting>
  <conditionalFormatting sqref="I129">
    <cfRule type="expression" dxfId="342" priority="256">
      <formula>ISTEXT($I$129)</formula>
    </cfRule>
  </conditionalFormatting>
  <conditionalFormatting sqref="I130">
    <cfRule type="expression" dxfId="341" priority="255">
      <formula>ISTEXT($I$130)</formula>
    </cfRule>
  </conditionalFormatting>
  <conditionalFormatting sqref="I131">
    <cfRule type="expression" dxfId="340" priority="254">
      <formula>ISTEXT($I$131)</formula>
    </cfRule>
  </conditionalFormatting>
  <conditionalFormatting sqref="I132">
    <cfRule type="expression" dxfId="339" priority="253">
      <formula>ISTEXT($I$132)</formula>
    </cfRule>
  </conditionalFormatting>
  <conditionalFormatting sqref="I133">
    <cfRule type="expression" dxfId="338" priority="252">
      <formula>ISTEXT($I$133)</formula>
    </cfRule>
  </conditionalFormatting>
  <conditionalFormatting sqref="I134">
    <cfRule type="expression" dxfId="337" priority="251">
      <formula>ISTEXT($I$134)</formula>
    </cfRule>
  </conditionalFormatting>
  <conditionalFormatting sqref="I139">
    <cfRule type="expression" dxfId="336" priority="250">
      <formula>ISTEXT($I$139)</formula>
    </cfRule>
  </conditionalFormatting>
  <conditionalFormatting sqref="I140">
    <cfRule type="expression" dxfId="335" priority="249">
      <formula>ISTEXT($I$140)</formula>
    </cfRule>
  </conditionalFormatting>
  <conditionalFormatting sqref="I141">
    <cfRule type="expression" dxfId="334" priority="248">
      <formula>ISTEXT($I$141)</formula>
    </cfRule>
  </conditionalFormatting>
  <conditionalFormatting sqref="I142">
    <cfRule type="expression" dxfId="333" priority="247">
      <formula>ISTEXT($I$142)</formula>
    </cfRule>
  </conditionalFormatting>
  <conditionalFormatting sqref="I143">
    <cfRule type="expression" dxfId="332" priority="246">
      <formula>ISTEXT($I$143)</formula>
    </cfRule>
  </conditionalFormatting>
  <conditionalFormatting sqref="I144">
    <cfRule type="expression" dxfId="331" priority="245">
      <formula>ISTEXT($I$144)</formula>
    </cfRule>
  </conditionalFormatting>
  <conditionalFormatting sqref="I145">
    <cfRule type="expression" dxfId="330" priority="244">
      <formula>ISTEXT($I$145)</formula>
    </cfRule>
  </conditionalFormatting>
  <conditionalFormatting sqref="I146">
    <cfRule type="expression" dxfId="329" priority="243">
      <formula>ISTEXT($I$146)</formula>
    </cfRule>
  </conditionalFormatting>
  <conditionalFormatting sqref="I147">
    <cfRule type="expression" dxfId="328" priority="242">
      <formula>ISTEXT($I$147)</formula>
    </cfRule>
  </conditionalFormatting>
  <conditionalFormatting sqref="I148">
    <cfRule type="expression" dxfId="327" priority="241">
      <formula>ISTEXT($I$148)</formula>
    </cfRule>
  </conditionalFormatting>
  <conditionalFormatting sqref="I149">
    <cfRule type="expression" dxfId="326" priority="240">
      <formula>ISTEXT($I$149)</formula>
    </cfRule>
  </conditionalFormatting>
  <conditionalFormatting sqref="I150">
    <cfRule type="expression" dxfId="325" priority="239">
      <formula>ISTEXT($I$150)</formula>
    </cfRule>
  </conditionalFormatting>
  <conditionalFormatting sqref="I151">
    <cfRule type="expression" dxfId="324" priority="238">
      <formula>ISTEXT($I$151)</formula>
    </cfRule>
  </conditionalFormatting>
  <conditionalFormatting sqref="I152">
    <cfRule type="expression" dxfId="323" priority="237">
      <formula>ISTEXT($I$152)</formula>
    </cfRule>
  </conditionalFormatting>
  <conditionalFormatting sqref="I153">
    <cfRule type="expression" dxfId="322" priority="236">
      <formula>ISTEXT($I$153)</formula>
    </cfRule>
  </conditionalFormatting>
  <conditionalFormatting sqref="I158">
    <cfRule type="expression" dxfId="321" priority="235">
      <formula>ISTEXT($I$158)</formula>
    </cfRule>
  </conditionalFormatting>
  <conditionalFormatting sqref="I159">
    <cfRule type="expression" dxfId="320" priority="234">
      <formula>ISTEXT($I$159)</formula>
    </cfRule>
  </conditionalFormatting>
  <conditionalFormatting sqref="I160">
    <cfRule type="expression" dxfId="319" priority="233">
      <formula>ISTEXT($I$160)</formula>
    </cfRule>
  </conditionalFormatting>
  <conditionalFormatting sqref="I161">
    <cfRule type="expression" dxfId="318" priority="232">
      <formula>ISTEXT($I$161)</formula>
    </cfRule>
  </conditionalFormatting>
  <conditionalFormatting sqref="I162">
    <cfRule type="expression" dxfId="317" priority="231">
      <formula>ISTEXT($I$162)</formula>
    </cfRule>
  </conditionalFormatting>
  <conditionalFormatting sqref="I163">
    <cfRule type="expression" dxfId="316" priority="230">
      <formula>ISTEXT($I$163)</formula>
    </cfRule>
  </conditionalFormatting>
  <conditionalFormatting sqref="I164">
    <cfRule type="expression" dxfId="315" priority="229">
      <formula>ISTEXT($I$164)</formula>
    </cfRule>
  </conditionalFormatting>
  <conditionalFormatting sqref="I165">
    <cfRule type="expression" dxfId="314" priority="228">
      <formula>ISTEXT($I$165)</formula>
    </cfRule>
  </conditionalFormatting>
  <conditionalFormatting sqref="I166">
    <cfRule type="expression" dxfId="313" priority="227">
      <formula>ISTEXT($I$166)</formula>
    </cfRule>
  </conditionalFormatting>
  <conditionalFormatting sqref="I167">
    <cfRule type="expression" dxfId="312" priority="226">
      <formula>ISTEXT($I$167)</formula>
    </cfRule>
  </conditionalFormatting>
  <conditionalFormatting sqref="I168">
    <cfRule type="expression" dxfId="311" priority="225">
      <formula>ISTEXT($I$168)</formula>
    </cfRule>
  </conditionalFormatting>
  <conditionalFormatting sqref="I169">
    <cfRule type="expression" dxfId="310" priority="224">
      <formula>ISTEXT($I$169)</formula>
    </cfRule>
  </conditionalFormatting>
  <conditionalFormatting sqref="I170">
    <cfRule type="expression" dxfId="309" priority="223">
      <formula>ISTEXT($I$170)</formula>
    </cfRule>
  </conditionalFormatting>
  <conditionalFormatting sqref="I171">
    <cfRule type="expression" dxfId="308" priority="222">
      <formula>ISTEXT($I$171)</formula>
    </cfRule>
  </conditionalFormatting>
  <conditionalFormatting sqref="I172">
    <cfRule type="expression" dxfId="307" priority="221">
      <formula>ISTEXT($I$172)</formula>
    </cfRule>
  </conditionalFormatting>
  <conditionalFormatting sqref="AA3">
    <cfRule type="expression" dxfId="306" priority="220">
      <formula>ISTEXT($AA$3)</formula>
    </cfRule>
  </conditionalFormatting>
  <conditionalFormatting sqref="AB3">
    <cfRule type="expression" dxfId="305" priority="219">
      <formula>ISTEXT($AB$3)</formula>
    </cfRule>
  </conditionalFormatting>
  <conditionalFormatting sqref="AC3">
    <cfRule type="expression" dxfId="304" priority="218">
      <formula>ISTEXT($AC$3)</formula>
    </cfRule>
  </conditionalFormatting>
  <conditionalFormatting sqref="AD3">
    <cfRule type="expression" dxfId="303" priority="217">
      <formula>ISTEXT($AD$3)</formula>
    </cfRule>
  </conditionalFormatting>
  <conditionalFormatting sqref="AA4">
    <cfRule type="expression" dxfId="302" priority="216">
      <formula>ISTEXT($AA$4)</formula>
    </cfRule>
  </conditionalFormatting>
  <conditionalFormatting sqref="AB4">
    <cfRule type="expression" dxfId="301" priority="215">
      <formula>ISTEXT($AB$4)</formula>
    </cfRule>
  </conditionalFormatting>
  <conditionalFormatting sqref="AC4">
    <cfRule type="expression" dxfId="300" priority="214">
      <formula>ISTEXT($AC$4)</formula>
    </cfRule>
  </conditionalFormatting>
  <conditionalFormatting sqref="AD4">
    <cfRule type="expression" dxfId="299" priority="213">
      <formula>ISTEXT($AD$4)</formula>
    </cfRule>
  </conditionalFormatting>
  <conditionalFormatting sqref="AA5">
    <cfRule type="expression" dxfId="298" priority="212">
      <formula>ISTEXT($AA$5)</formula>
    </cfRule>
  </conditionalFormatting>
  <conditionalFormatting sqref="AB5">
    <cfRule type="expression" dxfId="297" priority="211">
      <formula>ISTEXT($AB$5)</formula>
    </cfRule>
  </conditionalFormatting>
  <conditionalFormatting sqref="AC5">
    <cfRule type="expression" dxfId="296" priority="210">
      <formula>ISTEXT($AC$5)</formula>
    </cfRule>
  </conditionalFormatting>
  <conditionalFormatting sqref="AD5">
    <cfRule type="expression" dxfId="295" priority="209">
      <formula>ISTEXT($AD$5)</formula>
    </cfRule>
  </conditionalFormatting>
  <conditionalFormatting sqref="AA6">
    <cfRule type="expression" dxfId="294" priority="208">
      <formula>ISTEXT($AA$6)</formula>
    </cfRule>
  </conditionalFormatting>
  <conditionalFormatting sqref="AB6">
    <cfRule type="expression" dxfId="293" priority="207">
      <formula>ISTEXT($AB$6)</formula>
    </cfRule>
  </conditionalFormatting>
  <conditionalFormatting sqref="AC6">
    <cfRule type="expression" dxfId="292" priority="206">
      <formula>ISTEXT($AC$6)</formula>
    </cfRule>
  </conditionalFormatting>
  <conditionalFormatting sqref="AD6">
    <cfRule type="expression" dxfId="291" priority="205">
      <formula>ISTEXT($AD$6)</formula>
    </cfRule>
  </conditionalFormatting>
  <conditionalFormatting sqref="AA7">
    <cfRule type="expression" dxfId="290" priority="204">
      <formula>ISTEXT($AA$7)</formula>
    </cfRule>
  </conditionalFormatting>
  <conditionalFormatting sqref="AB7">
    <cfRule type="expression" dxfId="289" priority="203">
      <formula>ISTEXT($AB$7)</formula>
    </cfRule>
  </conditionalFormatting>
  <conditionalFormatting sqref="AC7">
    <cfRule type="expression" dxfId="288" priority="202">
      <formula>ISTEXT($AC$7)</formula>
    </cfRule>
  </conditionalFormatting>
  <conditionalFormatting sqref="AD7">
    <cfRule type="expression" dxfId="287" priority="201">
      <formula>ISTEXT($AD$7)</formula>
    </cfRule>
  </conditionalFormatting>
  <conditionalFormatting sqref="AA22">
    <cfRule type="expression" dxfId="286" priority="200">
      <formula>ISTEXT($AA$22)</formula>
    </cfRule>
  </conditionalFormatting>
  <conditionalFormatting sqref="AB22">
    <cfRule type="expression" dxfId="285" priority="199">
      <formula>ISTEXT($AB$22)</formula>
    </cfRule>
  </conditionalFormatting>
  <conditionalFormatting sqref="AC22">
    <cfRule type="expression" dxfId="284" priority="198">
      <formula>ISTEXT($AC$22)</formula>
    </cfRule>
  </conditionalFormatting>
  <conditionalFormatting sqref="AD22">
    <cfRule type="expression" dxfId="283" priority="197">
      <formula>ISTEXT($AD$22)</formula>
    </cfRule>
  </conditionalFormatting>
  <conditionalFormatting sqref="AA23">
    <cfRule type="expression" dxfId="282" priority="196">
      <formula>ISTEXT($AA$23)</formula>
    </cfRule>
  </conditionalFormatting>
  <conditionalFormatting sqref="AB23">
    <cfRule type="expression" dxfId="281" priority="195">
      <formula>ISTEXT($AB$23)</formula>
    </cfRule>
  </conditionalFormatting>
  <conditionalFormatting sqref="AC23">
    <cfRule type="expression" dxfId="280" priority="194">
      <formula>ISTEXT($AC$23)</formula>
    </cfRule>
  </conditionalFormatting>
  <conditionalFormatting sqref="AD23">
    <cfRule type="expression" dxfId="279" priority="193">
      <formula>ISTEXT($AD$23)</formula>
    </cfRule>
  </conditionalFormatting>
  <conditionalFormatting sqref="AA24">
    <cfRule type="expression" dxfId="278" priority="192">
      <formula>ISTEXT($AA$24)</formula>
    </cfRule>
  </conditionalFormatting>
  <conditionalFormatting sqref="AB24">
    <cfRule type="expression" dxfId="277" priority="191">
      <formula>ISTEXT($AB$24)</formula>
    </cfRule>
  </conditionalFormatting>
  <conditionalFormatting sqref="AC24">
    <cfRule type="expression" dxfId="276" priority="190">
      <formula>ISTEXT($AC$24)</formula>
    </cfRule>
  </conditionalFormatting>
  <conditionalFormatting sqref="AD24">
    <cfRule type="expression" dxfId="275" priority="189">
      <formula>ISTEXT($AD$24)</formula>
    </cfRule>
  </conditionalFormatting>
  <conditionalFormatting sqref="AA25">
    <cfRule type="expression" dxfId="274" priority="188">
      <formula>ISTEXT($AA$25)</formula>
    </cfRule>
  </conditionalFormatting>
  <conditionalFormatting sqref="AB25">
    <cfRule type="expression" dxfId="273" priority="187">
      <formula>ISTEXT($AB$25)</formula>
    </cfRule>
  </conditionalFormatting>
  <conditionalFormatting sqref="AC25">
    <cfRule type="expression" dxfId="272" priority="186">
      <formula>ISTEXT($AC$25)</formula>
    </cfRule>
  </conditionalFormatting>
  <conditionalFormatting sqref="AD25">
    <cfRule type="expression" dxfId="271" priority="185">
      <formula>ISTEXT($AD$25)</formula>
    </cfRule>
  </conditionalFormatting>
  <conditionalFormatting sqref="AA26">
    <cfRule type="expression" dxfId="270" priority="184">
      <formula>ISTEXT($AA$26)</formula>
    </cfRule>
  </conditionalFormatting>
  <conditionalFormatting sqref="AB26">
    <cfRule type="expression" dxfId="269" priority="183">
      <formula>ISTEXT($AB$26)</formula>
    </cfRule>
  </conditionalFormatting>
  <conditionalFormatting sqref="AC26">
    <cfRule type="expression" dxfId="268" priority="182">
      <formula>ISTEXT($AC$26)</formula>
    </cfRule>
  </conditionalFormatting>
  <conditionalFormatting sqref="AD26">
    <cfRule type="expression" dxfId="267" priority="181">
      <formula>ISTEXT($AD$26)</formula>
    </cfRule>
  </conditionalFormatting>
  <conditionalFormatting sqref="AA41">
    <cfRule type="expression" dxfId="266" priority="180">
      <formula>ISTEXT($AA$41)</formula>
    </cfRule>
  </conditionalFormatting>
  <conditionalFormatting sqref="AB41">
    <cfRule type="expression" dxfId="265" priority="179">
      <formula>ISTEXT($AB$41)</formula>
    </cfRule>
  </conditionalFormatting>
  <conditionalFormatting sqref="AC41">
    <cfRule type="expression" dxfId="264" priority="178">
      <formula>ISTEXT($AC$41)</formula>
    </cfRule>
  </conditionalFormatting>
  <conditionalFormatting sqref="AD41">
    <cfRule type="expression" dxfId="263" priority="177">
      <formula>ISTEXT($AD$41)</formula>
    </cfRule>
  </conditionalFormatting>
  <conditionalFormatting sqref="AA42">
    <cfRule type="expression" dxfId="262" priority="176">
      <formula>ISTEXT($AA$42)</formula>
    </cfRule>
  </conditionalFormatting>
  <conditionalFormatting sqref="AB42">
    <cfRule type="expression" dxfId="261" priority="175">
      <formula>ISTEXT($AB$42)</formula>
    </cfRule>
  </conditionalFormatting>
  <conditionalFormatting sqref="AC42">
    <cfRule type="expression" dxfId="260" priority="174">
      <formula>ISTEXT($AC$42)</formula>
    </cfRule>
  </conditionalFormatting>
  <conditionalFormatting sqref="AD42">
    <cfRule type="expression" dxfId="259" priority="173">
      <formula>ISTEXT($AD$42)</formula>
    </cfRule>
  </conditionalFormatting>
  <conditionalFormatting sqref="AA43">
    <cfRule type="expression" dxfId="258" priority="172">
      <formula>ISTEXT($AA$43)</formula>
    </cfRule>
  </conditionalFormatting>
  <conditionalFormatting sqref="AB43">
    <cfRule type="expression" dxfId="257" priority="171">
      <formula>ISTEXT($AB$43)</formula>
    </cfRule>
  </conditionalFormatting>
  <conditionalFormatting sqref="AC43">
    <cfRule type="expression" dxfId="256" priority="170">
      <formula>ISTEXT($AC$43)</formula>
    </cfRule>
  </conditionalFormatting>
  <conditionalFormatting sqref="AD43">
    <cfRule type="expression" dxfId="255" priority="169">
      <formula>ISTEXT($AD$43)</formula>
    </cfRule>
  </conditionalFormatting>
  <conditionalFormatting sqref="AA44">
    <cfRule type="expression" dxfId="254" priority="168">
      <formula>ISTEXT($AA$44)</formula>
    </cfRule>
  </conditionalFormatting>
  <conditionalFormatting sqref="AB44">
    <cfRule type="expression" dxfId="253" priority="167">
      <formula>ISTEXT($AB$44)</formula>
    </cfRule>
  </conditionalFormatting>
  <conditionalFormatting sqref="AC44">
    <cfRule type="expression" dxfId="252" priority="166">
      <formula>ISTEXT($AC$44)</formula>
    </cfRule>
  </conditionalFormatting>
  <conditionalFormatting sqref="AD44">
    <cfRule type="expression" dxfId="251" priority="165">
      <formula>ISTEXT($AD$44)</formula>
    </cfRule>
  </conditionalFormatting>
  <conditionalFormatting sqref="AA45">
    <cfRule type="expression" dxfId="250" priority="164">
      <formula>ISTEXT($AA$45)</formula>
    </cfRule>
  </conditionalFormatting>
  <conditionalFormatting sqref="AB45">
    <cfRule type="expression" dxfId="249" priority="163">
      <formula>ISTEXT($AB$45)</formula>
    </cfRule>
  </conditionalFormatting>
  <conditionalFormatting sqref="AC45">
    <cfRule type="expression" dxfId="248" priority="162">
      <formula>ISTEXT($AC$45)</formula>
    </cfRule>
  </conditionalFormatting>
  <conditionalFormatting sqref="AD45">
    <cfRule type="expression" dxfId="247" priority="161">
      <formula>ISTEXT($AD$45)</formula>
    </cfRule>
  </conditionalFormatting>
  <conditionalFormatting sqref="AA60">
    <cfRule type="expression" dxfId="246" priority="160">
      <formula>ISTEXT($AA$60)</formula>
    </cfRule>
  </conditionalFormatting>
  <conditionalFormatting sqref="AB60">
    <cfRule type="expression" dxfId="245" priority="159">
      <formula>ISTEXT($AB$60)</formula>
    </cfRule>
  </conditionalFormatting>
  <conditionalFormatting sqref="AC60">
    <cfRule type="expression" dxfId="244" priority="158">
      <formula>ISTEXT($AC$60)</formula>
    </cfRule>
  </conditionalFormatting>
  <conditionalFormatting sqref="AD60">
    <cfRule type="expression" dxfId="243" priority="157">
      <formula>ISTEXT($AD$60)</formula>
    </cfRule>
  </conditionalFormatting>
  <conditionalFormatting sqref="AA61">
    <cfRule type="expression" dxfId="242" priority="156">
      <formula>ISTEXT($AA$61)</formula>
    </cfRule>
  </conditionalFormatting>
  <conditionalFormatting sqref="AB61">
    <cfRule type="expression" dxfId="241" priority="155">
      <formula>ISTEXT($AB$61)</formula>
    </cfRule>
  </conditionalFormatting>
  <conditionalFormatting sqref="AC61">
    <cfRule type="expression" dxfId="240" priority="154">
      <formula>ISTEXT($AC$61)</formula>
    </cfRule>
  </conditionalFormatting>
  <conditionalFormatting sqref="AD61">
    <cfRule type="expression" dxfId="239" priority="153">
      <formula>ISTEXT($AD$61)</formula>
    </cfRule>
  </conditionalFormatting>
  <conditionalFormatting sqref="AA62">
    <cfRule type="expression" dxfId="238" priority="152">
      <formula>ISTEXT($AA$62)</formula>
    </cfRule>
  </conditionalFormatting>
  <conditionalFormatting sqref="AB62">
    <cfRule type="expression" dxfId="237" priority="151">
      <formula>ISTEXT($AB$62)</formula>
    </cfRule>
  </conditionalFormatting>
  <conditionalFormatting sqref="AC62">
    <cfRule type="expression" dxfId="236" priority="150">
      <formula>ISTEXT($AC$62)</formula>
    </cfRule>
  </conditionalFormatting>
  <conditionalFormatting sqref="AD62">
    <cfRule type="expression" dxfId="235" priority="149">
      <formula>ISTEXT($AD$62)</formula>
    </cfRule>
  </conditionalFormatting>
  <conditionalFormatting sqref="AA63">
    <cfRule type="expression" dxfId="234" priority="148">
      <formula>ISTEXT($AA$63)</formula>
    </cfRule>
  </conditionalFormatting>
  <conditionalFormatting sqref="AB63">
    <cfRule type="expression" dxfId="233" priority="147">
      <formula>ISTEXT($AB$63)</formula>
    </cfRule>
  </conditionalFormatting>
  <conditionalFormatting sqref="AC63">
    <cfRule type="expression" dxfId="232" priority="146">
      <formula>ISTEXT($AC$63)</formula>
    </cfRule>
  </conditionalFormatting>
  <conditionalFormatting sqref="AD63">
    <cfRule type="expression" dxfId="231" priority="145">
      <formula>ISTEXT($AD$63)</formula>
    </cfRule>
  </conditionalFormatting>
  <conditionalFormatting sqref="AA64">
    <cfRule type="expression" dxfId="230" priority="144">
      <formula>ISTEXT($AA$64)</formula>
    </cfRule>
  </conditionalFormatting>
  <conditionalFormatting sqref="AB64">
    <cfRule type="expression" dxfId="229" priority="143">
      <formula>ISTEXT($AB$64)</formula>
    </cfRule>
  </conditionalFormatting>
  <conditionalFormatting sqref="AC64">
    <cfRule type="expression" dxfId="228" priority="142">
      <formula>ISTEXT($AC$64)</formula>
    </cfRule>
  </conditionalFormatting>
  <conditionalFormatting sqref="AD64">
    <cfRule type="expression" dxfId="227" priority="141">
      <formula>ISTEXT($AD$64)</formula>
    </cfRule>
  </conditionalFormatting>
  <conditionalFormatting sqref="AA79">
    <cfRule type="expression" dxfId="226" priority="140">
      <formula>ISTEXT($AA$79)</formula>
    </cfRule>
  </conditionalFormatting>
  <conditionalFormatting sqref="AB79">
    <cfRule type="expression" dxfId="225" priority="139">
      <formula>ISTEXT($AB$79)</formula>
    </cfRule>
  </conditionalFormatting>
  <conditionalFormatting sqref="AC79">
    <cfRule type="expression" dxfId="224" priority="138">
      <formula>ISTEXT($AC$79)</formula>
    </cfRule>
  </conditionalFormatting>
  <conditionalFormatting sqref="AD79">
    <cfRule type="expression" dxfId="223" priority="137">
      <formula>ISTEXT($AD$79)</formula>
    </cfRule>
  </conditionalFormatting>
  <conditionalFormatting sqref="AA80">
    <cfRule type="expression" dxfId="222" priority="136">
      <formula>ISTEXT($AA$80)</formula>
    </cfRule>
  </conditionalFormatting>
  <conditionalFormatting sqref="AB80">
    <cfRule type="expression" dxfId="221" priority="135">
      <formula>ISTEXT($AB$80)</formula>
    </cfRule>
  </conditionalFormatting>
  <conditionalFormatting sqref="AC80">
    <cfRule type="expression" dxfId="220" priority="134">
      <formula>ISTEXT($AC$80)</formula>
    </cfRule>
  </conditionalFormatting>
  <conditionalFormatting sqref="AD80">
    <cfRule type="expression" dxfId="219" priority="133">
      <formula>ISTEXT($AD$80)</formula>
    </cfRule>
  </conditionalFormatting>
  <conditionalFormatting sqref="AA81">
    <cfRule type="expression" dxfId="218" priority="132">
      <formula>ISTEXT($AA$81)</formula>
    </cfRule>
  </conditionalFormatting>
  <conditionalFormatting sqref="AB81">
    <cfRule type="expression" dxfId="217" priority="131">
      <formula>ISTEXT($AB$81)</formula>
    </cfRule>
  </conditionalFormatting>
  <conditionalFormatting sqref="AC81">
    <cfRule type="expression" dxfId="216" priority="130">
      <formula>ISTEXT($AC$81)</formula>
    </cfRule>
  </conditionalFormatting>
  <conditionalFormatting sqref="AD81">
    <cfRule type="expression" dxfId="215" priority="129">
      <formula>ISTEXT($AD$81)</formula>
    </cfRule>
  </conditionalFormatting>
  <conditionalFormatting sqref="AA82">
    <cfRule type="expression" dxfId="214" priority="128">
      <formula>ISTEXT($AA$82)</formula>
    </cfRule>
  </conditionalFormatting>
  <conditionalFormatting sqref="AB82">
    <cfRule type="expression" dxfId="213" priority="127">
      <formula>ISTEXT($AB$82)</formula>
    </cfRule>
  </conditionalFormatting>
  <conditionalFormatting sqref="AC82">
    <cfRule type="expression" dxfId="212" priority="126">
      <formula>ISTEXT($AC$82)</formula>
    </cfRule>
  </conditionalFormatting>
  <conditionalFormatting sqref="AD82">
    <cfRule type="expression" dxfId="211" priority="125">
      <formula>ISTEXT($AD$82)</formula>
    </cfRule>
  </conditionalFormatting>
  <conditionalFormatting sqref="AA83">
    <cfRule type="expression" dxfId="210" priority="124">
      <formula>ISTEXT($AA$83)</formula>
    </cfRule>
  </conditionalFormatting>
  <conditionalFormatting sqref="AB83">
    <cfRule type="expression" dxfId="209" priority="123">
      <formula>ISTEXT($AB$83)</formula>
    </cfRule>
  </conditionalFormatting>
  <conditionalFormatting sqref="AC83">
    <cfRule type="expression" dxfId="208" priority="122">
      <formula>ISTEXT($AC$83)</formula>
    </cfRule>
  </conditionalFormatting>
  <conditionalFormatting sqref="AD83">
    <cfRule type="expression" dxfId="207" priority="121">
      <formula>ISTEXT($AD$83)</formula>
    </cfRule>
  </conditionalFormatting>
  <conditionalFormatting sqref="AA99">
    <cfRule type="expression" dxfId="206" priority="80">
      <formula>ISTEXT($AA$99)</formula>
    </cfRule>
  </conditionalFormatting>
  <conditionalFormatting sqref="AB99">
    <cfRule type="expression" dxfId="205" priority="79">
      <formula>ISTEXT($AB$99)</formula>
    </cfRule>
  </conditionalFormatting>
  <conditionalFormatting sqref="AC99">
    <cfRule type="expression" dxfId="204" priority="78">
      <formula>ISTEXT($AC$99)</formula>
    </cfRule>
  </conditionalFormatting>
  <conditionalFormatting sqref="AD99">
    <cfRule type="expression" dxfId="203" priority="77">
      <formula>ISTEXT($AD$99)</formula>
    </cfRule>
  </conditionalFormatting>
  <conditionalFormatting sqref="AA100">
    <cfRule type="expression" dxfId="202" priority="76">
      <formula>ISTEXT($AA$100)</formula>
    </cfRule>
  </conditionalFormatting>
  <conditionalFormatting sqref="AB100">
    <cfRule type="expression" dxfId="201" priority="75">
      <formula>ISTEXT($AB$100)</formula>
    </cfRule>
  </conditionalFormatting>
  <conditionalFormatting sqref="AC100">
    <cfRule type="expression" dxfId="200" priority="74">
      <formula>ISTEXT($AC$100)</formula>
    </cfRule>
  </conditionalFormatting>
  <conditionalFormatting sqref="AD100">
    <cfRule type="expression" dxfId="199" priority="73">
      <formula>ISTEXT($AD$100)</formula>
    </cfRule>
  </conditionalFormatting>
  <conditionalFormatting sqref="AA101">
    <cfRule type="expression" dxfId="198" priority="72">
      <formula>ISTEXT($AA$101)</formula>
    </cfRule>
  </conditionalFormatting>
  <conditionalFormatting sqref="AB101">
    <cfRule type="expression" dxfId="197" priority="71">
      <formula>ISTEXT($AB$101)</formula>
    </cfRule>
  </conditionalFormatting>
  <conditionalFormatting sqref="AC101">
    <cfRule type="expression" dxfId="196" priority="70">
      <formula>ISTEXT($AC$101)</formula>
    </cfRule>
  </conditionalFormatting>
  <conditionalFormatting sqref="AD101">
    <cfRule type="expression" dxfId="195" priority="69">
      <formula>ISTEXT($AD$101)</formula>
    </cfRule>
  </conditionalFormatting>
  <conditionalFormatting sqref="AA102">
    <cfRule type="expression" dxfId="194" priority="68">
      <formula>ISTEXT($AA$102)</formula>
    </cfRule>
  </conditionalFormatting>
  <conditionalFormatting sqref="AB102">
    <cfRule type="expression" dxfId="193" priority="67">
      <formula>ISTEXT($AB$102)</formula>
    </cfRule>
  </conditionalFormatting>
  <conditionalFormatting sqref="AC102">
    <cfRule type="expression" dxfId="192" priority="66">
      <formula>ISTEXT($AC$102)</formula>
    </cfRule>
  </conditionalFormatting>
  <conditionalFormatting sqref="AD102">
    <cfRule type="expression" dxfId="191" priority="65">
      <formula>ISTEXT($AD$102)</formula>
    </cfRule>
  </conditionalFormatting>
  <conditionalFormatting sqref="AA103">
    <cfRule type="expression" dxfId="190" priority="64">
      <formula>ISTEXT($AA$103)</formula>
    </cfRule>
  </conditionalFormatting>
  <conditionalFormatting sqref="AB103">
    <cfRule type="expression" dxfId="189" priority="63">
      <formula>ISTEXT($AB$103)</formula>
    </cfRule>
  </conditionalFormatting>
  <conditionalFormatting sqref="AC103">
    <cfRule type="expression" dxfId="188" priority="62">
      <formula>ISTEXT($AC$103)</formula>
    </cfRule>
  </conditionalFormatting>
  <conditionalFormatting sqref="AD103">
    <cfRule type="expression" dxfId="187" priority="61">
      <formula>ISTEXT($AD$103)</formula>
    </cfRule>
  </conditionalFormatting>
  <conditionalFormatting sqref="AA118">
    <cfRule type="expression" dxfId="186" priority="60">
      <formula>ISTEXT($AA$118)</formula>
    </cfRule>
  </conditionalFormatting>
  <conditionalFormatting sqref="AB118">
    <cfRule type="expression" dxfId="185" priority="59">
      <formula>ISTEXT($AB$118)</formula>
    </cfRule>
  </conditionalFormatting>
  <conditionalFormatting sqref="AC118">
    <cfRule type="expression" dxfId="184" priority="58">
      <formula>ISTEXT($AC$118)</formula>
    </cfRule>
  </conditionalFormatting>
  <conditionalFormatting sqref="AD118">
    <cfRule type="expression" dxfId="183" priority="57">
      <formula>ISTEXT($AD$118)</formula>
    </cfRule>
  </conditionalFormatting>
  <conditionalFormatting sqref="AA119">
    <cfRule type="expression" dxfId="182" priority="56">
      <formula>ISTEXT($AA$119)</formula>
    </cfRule>
  </conditionalFormatting>
  <conditionalFormatting sqref="AB119">
    <cfRule type="expression" dxfId="181" priority="55">
      <formula>ISTEXT($AB$119)</formula>
    </cfRule>
  </conditionalFormatting>
  <conditionalFormatting sqref="AC119">
    <cfRule type="expression" dxfId="180" priority="54">
      <formula>ISTEXT($AC$119)</formula>
    </cfRule>
  </conditionalFormatting>
  <conditionalFormatting sqref="AD119">
    <cfRule type="expression" dxfId="179" priority="53">
      <formula>ISTEXT($AD$119)</formula>
    </cfRule>
  </conditionalFormatting>
  <conditionalFormatting sqref="AA120">
    <cfRule type="expression" dxfId="178" priority="52">
      <formula>ISTEXT($AA$120)</formula>
    </cfRule>
  </conditionalFormatting>
  <conditionalFormatting sqref="AB120">
    <cfRule type="expression" dxfId="177" priority="51">
      <formula>ISTEXT($AB$120)</formula>
    </cfRule>
  </conditionalFormatting>
  <conditionalFormatting sqref="AC120">
    <cfRule type="expression" dxfId="176" priority="50">
      <formula>ISTEXT($AC$120)</formula>
    </cfRule>
  </conditionalFormatting>
  <conditionalFormatting sqref="AD120">
    <cfRule type="expression" dxfId="175" priority="49">
      <formula>ISTEXT($AD$120)</formula>
    </cfRule>
  </conditionalFormatting>
  <conditionalFormatting sqref="AA121">
    <cfRule type="expression" dxfId="174" priority="48">
      <formula>ISTEXT($AA$121)</formula>
    </cfRule>
  </conditionalFormatting>
  <conditionalFormatting sqref="AB121">
    <cfRule type="expression" dxfId="173" priority="47">
      <formula>ISTEXT($AB$121)</formula>
    </cfRule>
  </conditionalFormatting>
  <conditionalFormatting sqref="AC121">
    <cfRule type="expression" dxfId="172" priority="46">
      <formula>ISTEXT($AC$121)</formula>
    </cfRule>
  </conditionalFormatting>
  <conditionalFormatting sqref="AD121">
    <cfRule type="expression" dxfId="171" priority="45">
      <formula>ISTEXT($AD$121)</formula>
    </cfRule>
  </conditionalFormatting>
  <conditionalFormatting sqref="AA122">
    <cfRule type="expression" dxfId="170" priority="44">
      <formula>ISTEXT($AA$122)</formula>
    </cfRule>
  </conditionalFormatting>
  <conditionalFormatting sqref="AB122">
    <cfRule type="expression" dxfId="169" priority="43">
      <formula>ISTEXT($AB$122)</formula>
    </cfRule>
  </conditionalFormatting>
  <conditionalFormatting sqref="AC122">
    <cfRule type="expression" dxfId="168" priority="42">
      <formula>ISTEXT($AC$122)</formula>
    </cfRule>
  </conditionalFormatting>
  <conditionalFormatting sqref="AD122">
    <cfRule type="expression" dxfId="167" priority="41">
      <formula>ISTEXT($AD$122)</formula>
    </cfRule>
  </conditionalFormatting>
  <conditionalFormatting sqref="AA137">
    <cfRule type="expression" dxfId="166" priority="40">
      <formula>ISTEXT($AA$137)</formula>
    </cfRule>
  </conditionalFormatting>
  <conditionalFormatting sqref="AB137">
    <cfRule type="expression" dxfId="165" priority="39">
      <formula>ISTEXT($AB$137)</formula>
    </cfRule>
  </conditionalFormatting>
  <conditionalFormatting sqref="AC137">
    <cfRule type="expression" dxfId="164" priority="38">
      <formula>ISTEXT($AC$137)</formula>
    </cfRule>
  </conditionalFormatting>
  <conditionalFormatting sqref="AD137">
    <cfRule type="expression" dxfId="163" priority="37">
      <formula>ISTEXT($AD$137)</formula>
    </cfRule>
  </conditionalFormatting>
  <conditionalFormatting sqref="AA138">
    <cfRule type="expression" dxfId="162" priority="36">
      <formula>ISTEXT($AA$138)</formula>
    </cfRule>
  </conditionalFormatting>
  <conditionalFormatting sqref="AB138">
    <cfRule type="expression" dxfId="161" priority="35">
      <formula>ISTEXT($AB$138)</formula>
    </cfRule>
  </conditionalFormatting>
  <conditionalFormatting sqref="AC138">
    <cfRule type="expression" dxfId="160" priority="34">
      <formula>ISTEXT($AC$138)</formula>
    </cfRule>
  </conditionalFormatting>
  <conditionalFormatting sqref="AD138">
    <cfRule type="expression" dxfId="159" priority="33">
      <formula>ISTEXT($AD$138)</formula>
    </cfRule>
  </conditionalFormatting>
  <conditionalFormatting sqref="AA139">
    <cfRule type="expression" dxfId="158" priority="32">
      <formula>ISTEXT($AA$139)</formula>
    </cfRule>
  </conditionalFormatting>
  <conditionalFormatting sqref="AB139">
    <cfRule type="expression" dxfId="157" priority="31">
      <formula>ISTEXT($AB$139)</formula>
    </cfRule>
  </conditionalFormatting>
  <conditionalFormatting sqref="AC139">
    <cfRule type="expression" dxfId="156" priority="30">
      <formula>ISTEXT($AC$139)</formula>
    </cfRule>
  </conditionalFormatting>
  <conditionalFormatting sqref="AD139">
    <cfRule type="expression" dxfId="155" priority="29">
      <formula>ISTEXT($AD$139)</formula>
    </cfRule>
  </conditionalFormatting>
  <conditionalFormatting sqref="AA140">
    <cfRule type="expression" dxfId="154" priority="28">
      <formula>ISTEXT($AA$140)</formula>
    </cfRule>
  </conditionalFormatting>
  <conditionalFormatting sqref="AB140">
    <cfRule type="expression" dxfId="153" priority="27">
      <formula>ISTEXT($AB$140)</formula>
    </cfRule>
  </conditionalFormatting>
  <conditionalFormatting sqref="AC140">
    <cfRule type="expression" dxfId="152" priority="26">
      <formula>ISTEXT($AC$140)</formula>
    </cfRule>
  </conditionalFormatting>
  <conditionalFormatting sqref="AD140">
    <cfRule type="expression" dxfId="151" priority="25">
      <formula>ISTEXT($AD$140)</formula>
    </cfRule>
  </conditionalFormatting>
  <conditionalFormatting sqref="AA141">
    <cfRule type="expression" dxfId="150" priority="24">
      <formula>ISTEXT($AA$141)</formula>
    </cfRule>
  </conditionalFormatting>
  <conditionalFormatting sqref="AB141">
    <cfRule type="expression" dxfId="149" priority="23">
      <formula>ISTEXT($AB$141)</formula>
    </cfRule>
  </conditionalFormatting>
  <conditionalFormatting sqref="AC141">
    <cfRule type="expression" dxfId="148" priority="22">
      <formula>ISTEXT($AC$141)</formula>
    </cfRule>
  </conditionalFormatting>
  <conditionalFormatting sqref="AD141">
    <cfRule type="expression" dxfId="147" priority="21">
      <formula>ISTEXT($AD$141)</formula>
    </cfRule>
  </conditionalFormatting>
  <conditionalFormatting sqref="AA156">
    <cfRule type="expression" dxfId="146" priority="20">
      <formula>ISTEXT($AA$156)</formula>
    </cfRule>
  </conditionalFormatting>
  <conditionalFormatting sqref="AB156">
    <cfRule type="expression" dxfId="145" priority="19">
      <formula>ISTEXT($AB$156)</formula>
    </cfRule>
  </conditionalFormatting>
  <conditionalFormatting sqref="AC156">
    <cfRule type="expression" dxfId="144" priority="18">
      <formula>ISTEXT($AC$156)</formula>
    </cfRule>
  </conditionalFormatting>
  <conditionalFormatting sqref="AD156">
    <cfRule type="expression" dxfId="143" priority="17">
      <formula>ISTEXT($AD$156)</formula>
    </cfRule>
  </conditionalFormatting>
  <conditionalFormatting sqref="AA157">
    <cfRule type="expression" dxfId="142" priority="16">
      <formula>ISTEXT($AA$157)</formula>
    </cfRule>
  </conditionalFormatting>
  <conditionalFormatting sqref="AB157">
    <cfRule type="expression" dxfId="141" priority="15">
      <formula>ISTEXT($AB$157)</formula>
    </cfRule>
  </conditionalFormatting>
  <conditionalFormatting sqref="AC157">
    <cfRule type="expression" dxfId="140" priority="14">
      <formula>ISTEXT($AC$157)</formula>
    </cfRule>
  </conditionalFormatting>
  <conditionalFormatting sqref="AD157">
    <cfRule type="expression" dxfId="139" priority="13">
      <formula>ISTEXT($AD$157)</formula>
    </cfRule>
  </conditionalFormatting>
  <conditionalFormatting sqref="AA158">
    <cfRule type="expression" dxfId="138" priority="12">
      <formula>ISTEXT($AA$158)</formula>
    </cfRule>
  </conditionalFormatting>
  <conditionalFormatting sqref="AB158">
    <cfRule type="expression" dxfId="137" priority="11">
      <formula>ISTEXT($AB$158)</formula>
    </cfRule>
  </conditionalFormatting>
  <conditionalFormatting sqref="AC158">
    <cfRule type="expression" dxfId="136" priority="10">
      <formula>ISTEXT($AC$158)</formula>
    </cfRule>
  </conditionalFormatting>
  <conditionalFormatting sqref="AD158">
    <cfRule type="expression" dxfId="135" priority="9">
      <formula>ISTEXT($AD$158)</formula>
    </cfRule>
  </conditionalFormatting>
  <conditionalFormatting sqref="AA159">
    <cfRule type="expression" dxfId="134" priority="8">
      <formula>ISTEXT($AA$159)</formula>
    </cfRule>
  </conditionalFormatting>
  <conditionalFormatting sqref="AB159">
    <cfRule type="expression" dxfId="133" priority="7">
      <formula>ISTEXT($AB$159)</formula>
    </cfRule>
  </conditionalFormatting>
  <conditionalFormatting sqref="AC159">
    <cfRule type="expression" dxfId="132" priority="6">
      <formula>ISTEXT($AC$159)</formula>
    </cfRule>
  </conditionalFormatting>
  <conditionalFormatting sqref="AD159">
    <cfRule type="expression" dxfId="131" priority="5">
      <formula>ISTEXT($AD$159)</formula>
    </cfRule>
  </conditionalFormatting>
  <conditionalFormatting sqref="AA160">
    <cfRule type="expression" dxfId="130" priority="4">
      <formula>ISTEXT($AA$160)</formula>
    </cfRule>
  </conditionalFormatting>
  <conditionalFormatting sqref="AB160">
    <cfRule type="expression" dxfId="129" priority="3">
      <formula>ISTEXT($AB$160)</formula>
    </cfRule>
  </conditionalFormatting>
  <conditionalFormatting sqref="AC160">
    <cfRule type="expression" dxfId="128" priority="2">
      <formula>ISTEXT($AC$160)</formula>
    </cfRule>
  </conditionalFormatting>
  <conditionalFormatting sqref="AD160">
    <cfRule type="expression" dxfId="127" priority="1">
      <formula>ISTEXT($AD$160)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82"/>
  <sheetViews>
    <sheetView topLeftCell="D145" workbookViewId="0">
      <selection activeCell="Y145" sqref="T1:Y1048576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1.42578125" style="51" bestFit="1" customWidth="1"/>
    <col min="5" max="5" width="10.7109375" style="51" bestFit="1" customWidth="1"/>
    <col min="6" max="6" width="8.7109375" style="51" customWidth="1"/>
    <col min="7" max="7" width="12.5703125" style="51" bestFit="1" customWidth="1"/>
    <col min="8" max="8" width="11.7109375" style="51" bestFit="1" customWidth="1"/>
    <col min="9" max="9" width="14.85546875" style="51" bestFit="1" customWidth="1"/>
    <col min="10" max="10" width="8.7109375" style="8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8" bestFit="1" customWidth="1"/>
    <col min="27" max="29" width="21" style="8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36" t="s">
        <v>3</v>
      </c>
      <c r="E1" s="36" t="s">
        <v>4</v>
      </c>
      <c r="F1" s="36" t="s">
        <v>5</v>
      </c>
      <c r="G1" s="37" t="s">
        <v>40</v>
      </c>
      <c r="H1" s="37" t="s">
        <v>41</v>
      </c>
      <c r="I1" s="37" t="s">
        <v>42</v>
      </c>
      <c r="J1" s="7"/>
      <c r="K1" s="5"/>
      <c r="R1" s="6" t="s">
        <v>44</v>
      </c>
      <c r="Z1" s="19" t="s">
        <v>43</v>
      </c>
    </row>
    <row r="2" spans="1:30" ht="16.5" thickTop="1" thickBot="1" x14ac:dyDescent="0.3">
      <c r="A2" s="32" t="s">
        <v>6</v>
      </c>
      <c r="B2" s="32" t="s">
        <v>61</v>
      </c>
      <c r="C2" s="32" t="s">
        <v>7</v>
      </c>
      <c r="D2" s="38">
        <v>3.556</v>
      </c>
      <c r="E2" s="38">
        <v>37229.300999999999</v>
      </c>
      <c r="F2" s="38">
        <v>9.5516199999999999E-5</v>
      </c>
      <c r="G2" s="38"/>
      <c r="H2" s="38"/>
      <c r="I2" s="38"/>
      <c r="J2" s="34"/>
      <c r="K2" s="32"/>
      <c r="L2" s="32"/>
      <c r="M2" s="32"/>
      <c r="N2" s="32"/>
      <c r="O2" s="32"/>
      <c r="P2" s="32"/>
      <c r="Q2" s="32"/>
      <c r="R2" s="32" t="s">
        <v>373</v>
      </c>
      <c r="S2" s="32"/>
      <c r="T2" s="32">
        <v>1</v>
      </c>
      <c r="U2" s="32"/>
      <c r="V2" s="32"/>
      <c r="W2" s="32"/>
      <c r="X2" s="32"/>
      <c r="Y2" s="32"/>
      <c r="Z2" s="9" t="s">
        <v>45</v>
      </c>
      <c r="AA2" s="9" t="s">
        <v>47</v>
      </c>
      <c r="AB2" s="9" t="s">
        <v>48</v>
      </c>
      <c r="AC2" s="9" t="s">
        <v>49</v>
      </c>
      <c r="AD2" s="9" t="s">
        <v>50</v>
      </c>
    </row>
    <row r="3" spans="1:30" ht="15.75" thickTop="1" x14ac:dyDescent="0.25">
      <c r="A3" s="33" t="s">
        <v>8</v>
      </c>
      <c r="B3" s="33" t="s">
        <v>61</v>
      </c>
      <c r="C3" s="33" t="s">
        <v>7</v>
      </c>
      <c r="D3" s="39">
        <v>3.085</v>
      </c>
      <c r="E3" s="39">
        <v>37141.370999999999</v>
      </c>
      <c r="F3" s="39">
        <v>8.3060999999999996E-5</v>
      </c>
      <c r="G3" s="39"/>
      <c r="H3" s="39"/>
      <c r="I3" s="39"/>
      <c r="J3" s="35"/>
      <c r="K3" s="33"/>
      <c r="L3" s="33"/>
      <c r="M3" s="33"/>
      <c r="N3" s="33"/>
      <c r="O3" s="33"/>
      <c r="P3" s="33"/>
      <c r="Q3" s="33"/>
      <c r="R3" s="33" t="s">
        <v>45</v>
      </c>
      <c r="S3" s="33"/>
      <c r="T3" s="33">
        <v>5</v>
      </c>
      <c r="U3" s="33"/>
      <c r="V3" s="33"/>
      <c r="W3" s="33"/>
      <c r="X3" s="33"/>
      <c r="Y3" s="33"/>
      <c r="Z3" s="10">
        <f>$H$5</f>
        <v>120</v>
      </c>
      <c r="AA3" s="49">
        <f>IF(ISTEXT($I$5),TEXT($G$5/100,"0.00%"),$G$5 / 100)</f>
        <v>1.139745526625777</v>
      </c>
      <c r="AB3" s="11">
        <f>IF(ISTEXT($I$6),TEXT($G$6/100,"0.00%"),$G$6 / 100)</f>
        <v>0.90861960876836034</v>
      </c>
      <c r="AC3" s="11">
        <f>IF(ISTEXT($I$7),TEXT($G$7/100,"0.00%"),$G$7 / 100)</f>
        <v>0.83615318717597065</v>
      </c>
      <c r="AD3" s="11">
        <f>IFERROR(AVERAGE($AA$3:$AC$3),"")</f>
        <v>0.96150610752336929</v>
      </c>
    </row>
    <row r="4" spans="1:30" ht="15.75" thickBot="1" x14ac:dyDescent="0.3">
      <c r="A4" s="32" t="s">
        <v>9</v>
      </c>
      <c r="B4" s="32" t="s">
        <v>61</v>
      </c>
      <c r="C4" s="32" t="s">
        <v>7</v>
      </c>
      <c r="D4" s="38">
        <v>3.823</v>
      </c>
      <c r="E4" s="38">
        <v>36262.148000000001</v>
      </c>
      <c r="F4" s="38">
        <v>1.0542700000000001E-4</v>
      </c>
      <c r="G4" s="38"/>
      <c r="H4" s="38"/>
      <c r="I4" s="38"/>
      <c r="J4" s="34"/>
      <c r="K4" s="32"/>
      <c r="L4" s="32"/>
      <c r="M4" s="32"/>
      <c r="N4" s="32"/>
      <c r="O4" s="32"/>
      <c r="P4" s="32"/>
      <c r="Q4" s="32"/>
      <c r="R4" s="32" t="s">
        <v>46</v>
      </c>
      <c r="S4" s="32"/>
      <c r="T4" s="32">
        <v>10</v>
      </c>
      <c r="U4" s="32"/>
      <c r="V4" s="32"/>
      <c r="W4" s="32"/>
      <c r="X4" s="32"/>
      <c r="Y4" s="32"/>
      <c r="Z4" s="12">
        <f>$H$8</f>
        <v>0</v>
      </c>
      <c r="AA4" s="13">
        <f>IF(ISTEXT($I$8),TEXT($G$8/100,"0.00%"),$G$8 / 100)</f>
        <v>1</v>
      </c>
      <c r="AB4" s="13">
        <f>IF(ISTEXT($I$9),TEXT($G$9/100,"0.00%"),$G$9 / 100)</f>
        <v>1</v>
      </c>
      <c r="AC4" s="13">
        <f>IF(ISTEXT($I$10),TEXT($G$10/100,"0.00%"),$G$10 / 100)</f>
        <v>1</v>
      </c>
      <c r="AD4" s="13">
        <f>IFERROR(AVERAGE($AA$4:$AC$4),"")</f>
        <v>1</v>
      </c>
    </row>
    <row r="5" spans="1:30" ht="16.5" thickTop="1" thickBot="1" x14ac:dyDescent="0.3">
      <c r="A5" s="33" t="s">
        <v>346</v>
      </c>
      <c r="B5" s="33" t="s">
        <v>61</v>
      </c>
      <c r="C5" s="33" t="s">
        <v>7</v>
      </c>
      <c r="D5" s="39">
        <v>65678.812999999995</v>
      </c>
      <c r="E5" s="39">
        <v>29668.594000000001</v>
      </c>
      <c r="F5" s="39">
        <v>2.213748754</v>
      </c>
      <c r="G5" s="39">
        <f>($F$5 -  AVERAGE($F$2,$F$3,$F$4) ) / ($F$8 -  AVERAGE($F$2,$F$3,$F$4) ) * 100</f>
        <v>113.97455266257769</v>
      </c>
      <c r="H5" s="39">
        <v>120</v>
      </c>
      <c r="I5" s="40">
        <f>LN($G$5)</f>
        <v>4.7359752012186087</v>
      </c>
      <c r="J5" s="35"/>
      <c r="K5" s="33"/>
      <c r="L5" s="33"/>
      <c r="M5" s="33"/>
      <c r="N5" s="33"/>
      <c r="O5" s="33"/>
      <c r="P5" s="33"/>
      <c r="Q5" s="33"/>
      <c r="R5" s="33"/>
      <c r="S5" s="33"/>
      <c r="T5" s="33"/>
      <c r="U5" s="33">
        <f>IF(ISTEXT($I$5),"",1)</f>
        <v>1</v>
      </c>
      <c r="V5" s="33">
        <f t="shared" ref="V5:V10" si="0">IFERROR(INDEX($H$5:$H$10,SMALL($U$5:$U$10,ROW(W1)),1),"")</f>
        <v>120</v>
      </c>
      <c r="W5" s="33">
        <f t="shared" ref="W5:W10" si="1">IFERROR(INDEX($I$5:$I$10,SMALL($U$5:$U$10,ROW(I1)),1),"")</f>
        <v>4.7359752012186087</v>
      </c>
      <c r="X5" s="33"/>
      <c r="Y5" s="33"/>
    </row>
    <row r="6" spans="1:30" x14ac:dyDescent="0.25">
      <c r="A6" s="32" t="s">
        <v>347</v>
      </c>
      <c r="B6" s="32" t="s">
        <v>61</v>
      </c>
      <c r="C6" s="32" t="s">
        <v>7</v>
      </c>
      <c r="D6" s="38">
        <v>61393.004000000001</v>
      </c>
      <c r="E6" s="38">
        <v>28617.383000000002</v>
      </c>
      <c r="F6" s="38">
        <v>2.1453046210000002</v>
      </c>
      <c r="G6" s="38">
        <f>($F$6 -  AVERAGE($F$2,$F$3,$F$4) ) / ($F$9 -  AVERAGE($F$2,$F$3,$F$4) ) * 100</f>
        <v>90.861960876836037</v>
      </c>
      <c r="H6" s="38">
        <v>120</v>
      </c>
      <c r="I6" s="41">
        <f>LN($G$6)</f>
        <v>4.5093414413974822</v>
      </c>
      <c r="J6" s="34"/>
      <c r="K6" s="32"/>
      <c r="L6" s="32"/>
      <c r="M6" s="32"/>
      <c r="N6" s="32"/>
      <c r="O6" s="32"/>
      <c r="P6" s="32"/>
      <c r="Q6" s="32"/>
      <c r="R6" s="32"/>
      <c r="S6" s="32"/>
      <c r="T6" s="32"/>
      <c r="U6" s="32">
        <f>IF(ISTEXT($I$6),"",2)</f>
        <v>2</v>
      </c>
      <c r="V6" s="32">
        <f t="shared" si="0"/>
        <v>120</v>
      </c>
      <c r="W6" s="32">
        <f t="shared" si="1"/>
        <v>4.5093414413974822</v>
      </c>
      <c r="X6" s="32"/>
      <c r="Y6" s="32"/>
      <c r="Z6" s="20" t="s">
        <v>51</v>
      </c>
      <c r="AA6" s="21">
        <f>IFERROR(SLOPE($W$5:$W$10,$V$5:$V$10),"")</f>
        <v>-3.9990881609676984E-4</v>
      </c>
    </row>
    <row r="7" spans="1:30" x14ac:dyDescent="0.25">
      <c r="A7" s="33" t="s">
        <v>348</v>
      </c>
      <c r="B7" s="33" t="s">
        <v>61</v>
      </c>
      <c r="C7" s="33" t="s">
        <v>7</v>
      </c>
      <c r="D7" s="39">
        <v>47590.237999999998</v>
      </c>
      <c r="E7" s="39">
        <v>26574.002</v>
      </c>
      <c r="F7" s="39">
        <v>1.7908570189999999</v>
      </c>
      <c r="G7" s="39">
        <f>($F$7 -  AVERAGE($F$2,$F$3,$F$4) ) / ($F$10 -  AVERAGE($F$2,$F$3,$F$4) ) * 100</f>
        <v>83.615318717597063</v>
      </c>
      <c r="H7" s="39">
        <v>120</v>
      </c>
      <c r="I7" s="40">
        <f>LN($G$7)</f>
        <v>4.4262267415533474</v>
      </c>
      <c r="J7" s="35"/>
      <c r="K7" s="33"/>
      <c r="L7" s="33"/>
      <c r="M7" s="33"/>
      <c r="N7" s="33"/>
      <c r="O7" s="33"/>
      <c r="P7" s="33"/>
      <c r="Q7" s="33"/>
      <c r="R7" s="33"/>
      <c r="S7" s="33"/>
      <c r="T7" s="33"/>
      <c r="U7" s="33">
        <f>IF(ISTEXT($I$7),"",3)</f>
        <v>3</v>
      </c>
      <c r="V7" s="33">
        <f t="shared" si="0"/>
        <v>120</v>
      </c>
      <c r="W7" s="33">
        <f t="shared" si="1"/>
        <v>4.4262267415533474</v>
      </c>
      <c r="X7" s="33"/>
      <c r="Y7" s="33"/>
      <c r="Z7" s="22" t="s">
        <v>52</v>
      </c>
      <c r="AA7" s="23">
        <f>IFERROR(INTERCEPT($W$5:$W$10,$V$5:$V$10),"")</f>
        <v>4.6051701859880927</v>
      </c>
    </row>
    <row r="8" spans="1:30" ht="17.25" x14ac:dyDescent="0.25">
      <c r="A8" s="32" t="s">
        <v>221</v>
      </c>
      <c r="B8" s="32" t="s">
        <v>61</v>
      </c>
      <c r="C8" s="32" t="s">
        <v>7</v>
      </c>
      <c r="D8" s="38">
        <v>59772.824000000001</v>
      </c>
      <c r="E8" s="38">
        <v>30773.773000000001</v>
      </c>
      <c r="F8" s="38">
        <v>1.9423300480000001</v>
      </c>
      <c r="G8" s="38">
        <f>($F$8 -  AVERAGE($F$2,$F$3,$F$4) ) / ($F$8 -  AVERAGE($F$2,$F$3,$F$4) ) * 100</f>
        <v>100</v>
      </c>
      <c r="H8" s="38">
        <v>0</v>
      </c>
      <c r="I8" s="41">
        <f>LN($G$8)</f>
        <v>4.6051701859880918</v>
      </c>
      <c r="J8" s="34"/>
      <c r="K8" s="32"/>
      <c r="L8" s="32"/>
      <c r="M8" s="32"/>
      <c r="N8" s="32"/>
      <c r="O8" s="32"/>
      <c r="P8" s="32"/>
      <c r="Q8" s="32"/>
      <c r="R8" s="32"/>
      <c r="S8" s="32"/>
      <c r="T8" s="32"/>
      <c r="U8" s="32">
        <f>IF(ISTEXT($I$8),"",4)</f>
        <v>4</v>
      </c>
      <c r="V8" s="32">
        <f t="shared" si="0"/>
        <v>0</v>
      </c>
      <c r="W8" s="32">
        <f t="shared" si="1"/>
        <v>4.6051701859880918</v>
      </c>
      <c r="X8" s="32"/>
      <c r="Y8" s="32"/>
      <c r="Z8" s="22" t="s">
        <v>53</v>
      </c>
      <c r="AA8" s="24">
        <f>IFERROR(CORREL($W$5:$W$10,$V$5:$V$10)^2,"")</f>
        <v>6.2968652618850221E-2</v>
      </c>
    </row>
    <row r="9" spans="1:30" ht="18" x14ac:dyDescent="0.35">
      <c r="A9" s="33" t="s">
        <v>222</v>
      </c>
      <c r="B9" s="33" t="s">
        <v>61</v>
      </c>
      <c r="C9" s="33" t="s">
        <v>7</v>
      </c>
      <c r="D9" s="39">
        <v>71980.976999999999</v>
      </c>
      <c r="E9" s="39">
        <v>30486.855</v>
      </c>
      <c r="F9" s="39">
        <v>2.361049607</v>
      </c>
      <c r="G9" s="39">
        <f>($F$9 -  AVERAGE($F$2,$F$3,$F$4) ) / ($F$9 -  AVERAGE($F$2,$F$3,$F$4) ) * 100</f>
        <v>100</v>
      </c>
      <c r="H9" s="39">
        <v>0</v>
      </c>
      <c r="I9" s="40">
        <f>LN($G$9)</f>
        <v>4.6051701859880918</v>
      </c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3">
        <f>IF(ISTEXT($I$9),"",5)</f>
        <v>5</v>
      </c>
      <c r="V9" s="33">
        <f t="shared" si="0"/>
        <v>0</v>
      </c>
      <c r="W9" s="33">
        <f t="shared" si="1"/>
        <v>4.6051701859880918</v>
      </c>
      <c r="X9" s="33"/>
      <c r="Y9" s="33"/>
      <c r="Z9" s="22" t="s">
        <v>54</v>
      </c>
      <c r="AA9" s="25">
        <f>IF(AA6&gt;0,"",IFERROR(LN(2) /ABS(AA6),0))</f>
        <v>1733.263065628985</v>
      </c>
    </row>
    <row r="10" spans="1:30" ht="18.75" x14ac:dyDescent="0.35">
      <c r="A10" s="32" t="s">
        <v>223</v>
      </c>
      <c r="B10" s="32" t="s">
        <v>61</v>
      </c>
      <c r="C10" s="32" t="s">
        <v>7</v>
      </c>
      <c r="D10" s="38">
        <v>70720.218999999997</v>
      </c>
      <c r="E10" s="38">
        <v>33019.637000000002</v>
      </c>
      <c r="F10" s="38">
        <v>2.1417624609999999</v>
      </c>
      <c r="G10" s="38">
        <f>($F$10 -  AVERAGE($F$2,$F$3,$F$4) ) / ($F$10 -  AVERAGE($F$2,$F$3,$F$4) ) * 100</f>
        <v>100</v>
      </c>
      <c r="H10" s="38">
        <v>0</v>
      </c>
      <c r="I10" s="41">
        <f>LN($G$10)</f>
        <v>4.6051701859880918</v>
      </c>
      <c r="J10" s="34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>
        <f>IF(ISTEXT($I$10),"",6)</f>
        <v>6</v>
      </c>
      <c r="V10" s="32">
        <f t="shared" si="0"/>
        <v>0</v>
      </c>
      <c r="W10" s="32">
        <f t="shared" si="1"/>
        <v>4.6051701859880918</v>
      </c>
      <c r="X10" s="32"/>
      <c r="Y10" s="32"/>
      <c r="Z10" s="22" t="s">
        <v>55</v>
      </c>
      <c r="AA10" s="26">
        <f>IF(AA6&gt;0,0,IFERROR(ABS(AA6 * 1000 / 0.5),0))</f>
        <v>0.79981763219353963</v>
      </c>
    </row>
    <row r="11" spans="1:30" ht="15.75" thickBot="1" x14ac:dyDescent="0.3">
      <c r="A11" s="33"/>
      <c r="B11" s="33"/>
      <c r="C11" s="33"/>
      <c r="D11" s="39"/>
      <c r="E11" s="39"/>
      <c r="F11" s="39"/>
      <c r="G11" s="39"/>
      <c r="H11" s="39"/>
      <c r="I11" s="40"/>
      <c r="J11" s="35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27" t="s">
        <v>39</v>
      </c>
      <c r="AA11" s="28" t="s">
        <v>56</v>
      </c>
    </row>
    <row r="12" spans="1:30" x14ac:dyDescent="0.25">
      <c r="A12" s="32"/>
      <c r="B12" s="32"/>
      <c r="C12" s="32"/>
      <c r="D12" s="38"/>
      <c r="E12" s="38"/>
      <c r="F12" s="38"/>
      <c r="G12" s="38"/>
      <c r="H12" s="38"/>
      <c r="I12" s="41"/>
      <c r="J12" s="34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30" x14ac:dyDescent="0.25">
      <c r="A13" s="33"/>
      <c r="B13" s="33"/>
      <c r="C13" s="33"/>
      <c r="D13" s="39"/>
      <c r="E13" s="39"/>
      <c r="F13" s="39"/>
      <c r="G13" s="39"/>
      <c r="H13" s="39"/>
      <c r="I13" s="40"/>
      <c r="J13" s="35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30" x14ac:dyDescent="0.25">
      <c r="A14" s="32"/>
      <c r="B14" s="32"/>
      <c r="C14" s="32"/>
      <c r="D14" s="38"/>
      <c r="E14" s="38"/>
      <c r="F14" s="38"/>
      <c r="G14" s="38"/>
      <c r="H14" s="38"/>
      <c r="I14" s="41"/>
      <c r="J14" s="34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</row>
    <row r="15" spans="1:30" x14ac:dyDescent="0.25">
      <c r="A15" s="33"/>
      <c r="B15" s="33"/>
      <c r="C15" s="33"/>
      <c r="D15" s="39"/>
      <c r="E15" s="39"/>
      <c r="F15" s="39"/>
      <c r="G15" s="39"/>
      <c r="H15" s="39"/>
      <c r="I15" s="40"/>
      <c r="J15" s="35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30" x14ac:dyDescent="0.25">
      <c r="A16" s="32"/>
      <c r="B16" s="32"/>
      <c r="C16" s="32"/>
      <c r="D16" s="38"/>
      <c r="E16" s="38"/>
      <c r="F16" s="38"/>
      <c r="G16" s="38"/>
      <c r="H16" s="38"/>
      <c r="I16" s="41"/>
      <c r="J16" s="34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</row>
    <row r="17" spans="1:30" x14ac:dyDescent="0.25">
      <c r="A17" s="33"/>
      <c r="B17" s="33"/>
      <c r="C17" s="33"/>
      <c r="D17" s="39"/>
      <c r="E17" s="39"/>
      <c r="F17" s="39"/>
      <c r="G17" s="39"/>
      <c r="H17" s="39"/>
      <c r="I17" s="40"/>
      <c r="J17" s="35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30" x14ac:dyDescent="0.25">
      <c r="A18" s="32"/>
      <c r="B18" s="32"/>
      <c r="C18" s="32"/>
      <c r="D18" s="38"/>
      <c r="E18" s="38"/>
      <c r="F18" s="38"/>
      <c r="G18" s="38"/>
      <c r="H18" s="38"/>
      <c r="I18" s="41"/>
      <c r="J18" s="34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30" x14ac:dyDescent="0.25">
      <c r="A19" s="33"/>
      <c r="B19" s="33"/>
      <c r="C19" s="33"/>
      <c r="D19" s="39"/>
      <c r="E19" s="39"/>
      <c r="F19" s="39"/>
      <c r="G19" s="39"/>
      <c r="H19" s="39"/>
      <c r="I19" s="40"/>
      <c r="J19" s="35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30" x14ac:dyDescent="0.25">
      <c r="A20" s="32"/>
      <c r="B20" s="32"/>
      <c r="C20" s="32"/>
      <c r="D20" s="38"/>
      <c r="E20" s="38"/>
      <c r="F20" s="38"/>
      <c r="G20" s="38"/>
      <c r="H20" s="38"/>
      <c r="I20" s="41"/>
      <c r="J20" s="34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</row>
    <row r="21" spans="1:30" ht="15.75" thickBot="1" x14ac:dyDescent="0.3">
      <c r="A21" s="33"/>
      <c r="B21" s="33"/>
      <c r="C21" s="33"/>
      <c r="D21" s="39"/>
      <c r="E21" s="39"/>
      <c r="F21" s="39"/>
      <c r="G21" s="39"/>
      <c r="H21" s="39"/>
      <c r="I21" s="39"/>
      <c r="J21" s="35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</row>
    <row r="22" spans="1:30" ht="16.5" thickTop="1" thickBot="1" x14ac:dyDescent="0.3">
      <c r="A22" s="32" t="s">
        <v>6</v>
      </c>
      <c r="B22" s="32" t="s">
        <v>78</v>
      </c>
      <c r="C22" s="32" t="s">
        <v>10</v>
      </c>
      <c r="D22" s="38">
        <v>1</v>
      </c>
      <c r="E22" s="38">
        <v>37229.300999999999</v>
      </c>
      <c r="F22" s="38">
        <v>2.6860563404077881E-5</v>
      </c>
      <c r="G22" s="38"/>
      <c r="H22" s="38"/>
      <c r="I22" s="38"/>
      <c r="J22" s="34"/>
      <c r="K22" s="32"/>
      <c r="L22" s="32"/>
      <c r="M22" s="32"/>
      <c r="N22" s="32"/>
      <c r="O22" s="32"/>
      <c r="P22" s="32"/>
      <c r="Q22" s="32"/>
      <c r="R22" s="32" t="s">
        <v>374</v>
      </c>
      <c r="S22" s="32"/>
      <c r="T22" s="32">
        <v>2</v>
      </c>
      <c r="U22" s="32"/>
      <c r="V22" s="32"/>
      <c r="W22" s="32"/>
      <c r="X22" s="32"/>
      <c r="Y22" s="32"/>
      <c r="Z22" s="9" t="s">
        <v>45</v>
      </c>
      <c r="AA22" s="9" t="s">
        <v>47</v>
      </c>
      <c r="AB22" s="9" t="s">
        <v>48</v>
      </c>
      <c r="AC22" s="9" t="s">
        <v>49</v>
      </c>
      <c r="AD22" s="9" t="s">
        <v>50</v>
      </c>
    </row>
    <row r="23" spans="1:30" ht="15.75" thickTop="1" x14ac:dyDescent="0.25">
      <c r="A23" s="33" t="s">
        <v>8</v>
      </c>
      <c r="B23" s="33" t="s">
        <v>78</v>
      </c>
      <c r="C23" s="33" t="s">
        <v>10</v>
      </c>
      <c r="D23" s="39">
        <v>1</v>
      </c>
      <c r="E23" s="39">
        <v>37141.370999999999</v>
      </c>
      <c r="F23" s="39">
        <v>2.6924154199908239E-5</v>
      </c>
      <c r="G23" s="39"/>
      <c r="H23" s="39"/>
      <c r="I23" s="39"/>
      <c r="J23" s="35"/>
      <c r="K23" s="33"/>
      <c r="L23" s="33"/>
      <c r="M23" s="33"/>
      <c r="N23" s="33"/>
      <c r="O23" s="33"/>
      <c r="P23" s="33"/>
      <c r="Q23" s="33"/>
      <c r="R23" s="33" t="s">
        <v>45</v>
      </c>
      <c r="S23" s="33"/>
      <c r="T23" s="33">
        <v>25</v>
      </c>
      <c r="U23" s="33"/>
      <c r="V23" s="33"/>
      <c r="W23" s="33"/>
      <c r="X23" s="33"/>
      <c r="Y23" s="33"/>
      <c r="Z23" s="10">
        <f>$H$25</f>
        <v>120</v>
      </c>
      <c r="AA23" s="11">
        <f>IF(ISTEXT($I$25),TEXT($G$25/100,"0.00%"),$G$25 / 100)</f>
        <v>0.58511111094952517</v>
      </c>
      <c r="AB23" s="11">
        <f>IF(ISTEXT($I$26),TEXT($G$26/100,"0.00%"),$G$26 / 100)</f>
        <v>0.39467316856156143</v>
      </c>
      <c r="AC23" s="11">
        <f>IF(ISTEXT($I$27),TEXT($G$27/100,"0.00%"),$G$27 / 100)</f>
        <v>0.6377180798519595</v>
      </c>
      <c r="AD23" s="11">
        <f>IFERROR(AVERAGE($AA$23:$AC$23),"")</f>
        <v>0.53916745312101533</v>
      </c>
    </row>
    <row r="24" spans="1:30" ht="15.75" thickBot="1" x14ac:dyDescent="0.3">
      <c r="A24" s="32" t="s">
        <v>9</v>
      </c>
      <c r="B24" s="32" t="s">
        <v>78</v>
      </c>
      <c r="C24" s="32" t="s">
        <v>10</v>
      </c>
      <c r="D24" s="38">
        <v>1.419</v>
      </c>
      <c r="E24" s="38">
        <v>36262.148000000001</v>
      </c>
      <c r="F24" s="38">
        <v>3.9131699999999997E-5</v>
      </c>
      <c r="G24" s="38"/>
      <c r="H24" s="38"/>
      <c r="I24" s="38"/>
      <c r="J24" s="34"/>
      <c r="K24" s="32"/>
      <c r="L24" s="32"/>
      <c r="M24" s="32"/>
      <c r="N24" s="32"/>
      <c r="O24" s="32"/>
      <c r="P24" s="32"/>
      <c r="Q24" s="32"/>
      <c r="R24" s="32" t="s">
        <v>46</v>
      </c>
      <c r="S24" s="32"/>
      <c r="T24" s="32">
        <v>30</v>
      </c>
      <c r="U24" s="32"/>
      <c r="V24" s="32"/>
      <c r="W24" s="32"/>
      <c r="X24" s="32"/>
      <c r="Y24" s="32"/>
      <c r="Z24" s="12">
        <f>$H$28</f>
        <v>0</v>
      </c>
      <c r="AA24" s="13">
        <f>IF(ISTEXT($I$28),TEXT($G$28/100,"0.00%"),$G$28 / 100)</f>
        <v>1</v>
      </c>
      <c r="AB24" s="13">
        <f>IF(ISTEXT($I$29),TEXT($G$29/100,"0.00%"),$G$29 / 100)</f>
        <v>1</v>
      </c>
      <c r="AC24" s="13">
        <f>IF(ISTEXT($I$30),TEXT($G$30/100,"0.00%"),$G$30 / 100)</f>
        <v>1</v>
      </c>
      <c r="AD24" s="13">
        <f>IFERROR(AVERAGE($AA$24:$AC$24),"")</f>
        <v>1</v>
      </c>
    </row>
    <row r="25" spans="1:30" ht="16.5" thickTop="1" thickBot="1" x14ac:dyDescent="0.3">
      <c r="A25" s="33" t="s">
        <v>349</v>
      </c>
      <c r="B25" s="33" t="s">
        <v>78</v>
      </c>
      <c r="C25" s="33" t="s">
        <v>10</v>
      </c>
      <c r="D25" s="39">
        <v>24017.307000000001</v>
      </c>
      <c r="E25" s="39">
        <v>22275.146000000001</v>
      </c>
      <c r="F25" s="39">
        <v>1.0782109799999999</v>
      </c>
      <c r="G25" s="39">
        <f>($F$25 -  AVERAGE($F$22,$F$23,$F$24) ) / ($F$28 -  AVERAGE($F$22,$F$23,$F$24) ) * 100</f>
        <v>58.511111094952518</v>
      </c>
      <c r="H25" s="39">
        <v>120</v>
      </c>
      <c r="I25" s="40">
        <f>LN($G$25)</f>
        <v>4.0692166694498271</v>
      </c>
      <c r="J25" s="35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>
        <f>IF(ISTEXT($I$25),"",1)</f>
        <v>1</v>
      </c>
      <c r="V25" s="33">
        <f t="shared" ref="V25:V30" si="2">IFERROR(INDEX($H$25:$H$30,SMALL($U$25:$U$30,ROW(W1)),1),"")</f>
        <v>120</v>
      </c>
      <c r="W25" s="33">
        <f t="shared" ref="W25:W30" si="3">IFERROR(INDEX($I$25:$I$30,SMALL($U$25:$U$30,ROW(I1)),1),"")</f>
        <v>4.0692166694498271</v>
      </c>
      <c r="X25" s="33"/>
      <c r="Y25" s="33"/>
    </row>
    <row r="26" spans="1:30" x14ac:dyDescent="0.25">
      <c r="A26" s="32" t="s">
        <v>350</v>
      </c>
      <c r="B26" s="32" t="s">
        <v>78</v>
      </c>
      <c r="C26" s="32" t="s">
        <v>10</v>
      </c>
      <c r="D26" s="38">
        <v>18482.268</v>
      </c>
      <c r="E26" s="38">
        <v>22940.936000000002</v>
      </c>
      <c r="F26" s="38">
        <v>0.80564576799999998</v>
      </c>
      <c r="G26" s="38">
        <f>($F$26 -  AVERAGE($F$22,$F$23,$F$24) ) / ($F$29 -  AVERAGE($F$22,$F$23,$F$24) ) * 100</f>
        <v>39.467316856156145</v>
      </c>
      <c r="H26" s="38">
        <v>120</v>
      </c>
      <c r="I26" s="41">
        <f>LN($G$26)</f>
        <v>3.6754729080419426</v>
      </c>
      <c r="J26" s="34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>
        <f>IF(ISTEXT($I$26),"",2)</f>
        <v>2</v>
      </c>
      <c r="V26" s="32">
        <f t="shared" si="2"/>
        <v>120</v>
      </c>
      <c r="W26" s="32">
        <f t="shared" si="3"/>
        <v>3.6754729080419426</v>
      </c>
      <c r="X26" s="32"/>
      <c r="Y26" s="32"/>
      <c r="Z26" s="20" t="s">
        <v>51</v>
      </c>
      <c r="AA26" s="31">
        <f>IFERROR(SLOPE($W$25:$W$30,$V$25:$V$30),"")</f>
        <v>-5.320860469138251E-3</v>
      </c>
    </row>
    <row r="27" spans="1:30" x14ac:dyDescent="0.25">
      <c r="A27" s="33" t="s">
        <v>351</v>
      </c>
      <c r="B27" s="33" t="s">
        <v>78</v>
      </c>
      <c r="C27" s="33" t="s">
        <v>10</v>
      </c>
      <c r="D27" s="39">
        <v>27011.817999999999</v>
      </c>
      <c r="E27" s="39">
        <v>24862.974999999999</v>
      </c>
      <c r="F27" s="39">
        <v>1.086427429</v>
      </c>
      <c r="G27" s="39">
        <f>($F$27 -  AVERAGE($F$22,$F$23,$F$24) ) / ($F$30 -  AVERAGE($F$22,$F$23,$F$24) ) * 100</f>
        <v>63.771807985195949</v>
      </c>
      <c r="H27" s="39">
        <v>120</v>
      </c>
      <c r="I27" s="40">
        <f>LN($G$27)</f>
        <v>4.1553112115827355</v>
      </c>
      <c r="J27" s="35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>
        <f>IF(ISTEXT($I$27),"",3)</f>
        <v>3</v>
      </c>
      <c r="V27" s="33">
        <f t="shared" si="2"/>
        <v>120</v>
      </c>
      <c r="W27" s="33">
        <f t="shared" si="3"/>
        <v>4.1553112115827355</v>
      </c>
      <c r="X27" s="33"/>
      <c r="Y27" s="33"/>
      <c r="Z27" s="22" t="s">
        <v>52</v>
      </c>
      <c r="AA27" s="23">
        <f>IFERROR(INTERCEPT($W$25:$W$30,$V$25:$V$30),"")</f>
        <v>4.6051701859880918</v>
      </c>
    </row>
    <row r="28" spans="1:30" ht="17.25" x14ac:dyDescent="0.25">
      <c r="A28" s="32" t="s">
        <v>237</v>
      </c>
      <c r="B28" s="32" t="s">
        <v>78</v>
      </c>
      <c r="C28" s="32" t="s">
        <v>10</v>
      </c>
      <c r="D28" s="38">
        <v>44773.144999999997</v>
      </c>
      <c r="E28" s="38">
        <v>24297.263999999999</v>
      </c>
      <c r="F28" s="38">
        <v>1.8427237320000001</v>
      </c>
      <c r="G28" s="38">
        <f>($F$28 -  AVERAGE($F$22,$F$23,$F$24) ) / ($F$28 -  AVERAGE($F$22,$F$23,$F$24) ) * 100</f>
        <v>100</v>
      </c>
      <c r="H28" s="38">
        <v>0</v>
      </c>
      <c r="I28" s="41">
        <f>LN($G$28)</f>
        <v>4.6051701859880918</v>
      </c>
      <c r="J28" s="34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>
        <f>IF(ISTEXT($I$28),"",4)</f>
        <v>4</v>
      </c>
      <c r="V28" s="32">
        <f t="shared" si="2"/>
        <v>0</v>
      </c>
      <c r="W28" s="32">
        <f t="shared" si="3"/>
        <v>4.6051701859880918</v>
      </c>
      <c r="X28" s="32"/>
      <c r="Y28" s="32"/>
      <c r="Z28" s="22" t="s">
        <v>53</v>
      </c>
      <c r="AA28" s="26">
        <f>IFERROR(CORREL($W$25:$W$30,$V$25:$V$30)^2,"")</f>
        <v>0.82369023754196646</v>
      </c>
    </row>
    <row r="29" spans="1:30" ht="18" x14ac:dyDescent="0.35">
      <c r="A29" s="33" t="s">
        <v>238</v>
      </c>
      <c r="B29" s="33" t="s">
        <v>78</v>
      </c>
      <c r="C29" s="33" t="s">
        <v>10</v>
      </c>
      <c r="D29" s="39">
        <v>53919.375</v>
      </c>
      <c r="E29" s="39">
        <v>26414.866999999998</v>
      </c>
      <c r="F29" s="39">
        <v>2.0412510500000001</v>
      </c>
      <c r="G29" s="39">
        <f>($F$29 -  AVERAGE($F$22,$F$23,$F$24) ) / ($F$29 -  AVERAGE($F$22,$F$23,$F$24) ) * 100</f>
        <v>100</v>
      </c>
      <c r="H29" s="39">
        <v>0</v>
      </c>
      <c r="I29" s="40">
        <f>LN($G$29)</f>
        <v>4.6051701859880918</v>
      </c>
      <c r="J29" s="35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>
        <f>IF(ISTEXT($I$29),"",5)</f>
        <v>5</v>
      </c>
      <c r="V29" s="33">
        <f t="shared" si="2"/>
        <v>0</v>
      </c>
      <c r="W29" s="33">
        <f t="shared" si="3"/>
        <v>4.6051701859880918</v>
      </c>
      <c r="X29" s="33"/>
      <c r="Y29" s="33"/>
      <c r="Z29" s="22" t="s">
        <v>54</v>
      </c>
      <c r="AA29" s="25">
        <f>IF(AA26&gt;0,"",IFERROR(LN(2) /ABS(AA26),0))</f>
        <v>130.26975328150357</v>
      </c>
    </row>
    <row r="30" spans="1:30" ht="18.75" x14ac:dyDescent="0.35">
      <c r="A30" s="32" t="s">
        <v>239</v>
      </c>
      <c r="B30" s="32" t="s">
        <v>78</v>
      </c>
      <c r="C30" s="32" t="s">
        <v>10</v>
      </c>
      <c r="D30" s="38">
        <v>42688.925999999999</v>
      </c>
      <c r="E30" s="38">
        <v>25058.076000000001</v>
      </c>
      <c r="F30" s="38">
        <v>1.7035995100000001</v>
      </c>
      <c r="G30" s="38">
        <f>($F$30 -  AVERAGE($F$22,$F$23,$F$24) ) / ($F$30 -  AVERAGE($F$22,$F$23,$F$24) ) * 100</f>
        <v>100</v>
      </c>
      <c r="H30" s="38">
        <v>0</v>
      </c>
      <c r="I30" s="41">
        <f>LN($G$30)</f>
        <v>4.6051701859880918</v>
      </c>
      <c r="J30" s="34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>
        <f>IF(ISTEXT($I$30),"",6)</f>
        <v>6</v>
      </c>
      <c r="V30" s="32">
        <f t="shared" si="2"/>
        <v>0</v>
      </c>
      <c r="W30" s="32">
        <f t="shared" si="3"/>
        <v>4.6051701859880918</v>
      </c>
      <c r="X30" s="32"/>
      <c r="Y30" s="32"/>
      <c r="Z30" s="22" t="s">
        <v>55</v>
      </c>
      <c r="AA30" s="30">
        <f>IF(AA26&gt;0,0,IFERROR(ABS(AA26 * 1000 / 0.5),0))</f>
        <v>10.641720938276501</v>
      </c>
    </row>
    <row r="31" spans="1:30" ht="15.75" thickBot="1" x14ac:dyDescent="0.3">
      <c r="A31" s="33"/>
      <c r="B31" s="33"/>
      <c r="C31" s="33"/>
      <c r="D31" s="39"/>
      <c r="E31" s="39"/>
      <c r="F31" s="39"/>
      <c r="G31" s="39"/>
      <c r="H31" s="39"/>
      <c r="I31" s="40"/>
      <c r="J31" s="35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27" t="s">
        <v>39</v>
      </c>
      <c r="AA31" s="28" t="s">
        <v>56</v>
      </c>
    </row>
    <row r="32" spans="1:30" x14ac:dyDescent="0.25">
      <c r="A32" s="32"/>
      <c r="B32" s="32"/>
      <c r="C32" s="32"/>
      <c r="D32" s="38"/>
      <c r="E32" s="38"/>
      <c r="F32" s="38"/>
      <c r="G32" s="38"/>
      <c r="H32" s="38"/>
      <c r="I32" s="41"/>
      <c r="J32" s="34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1:30" x14ac:dyDescent="0.25">
      <c r="A33" s="33"/>
      <c r="B33" s="33"/>
      <c r="C33" s="33"/>
      <c r="D33" s="39"/>
      <c r="E33" s="39"/>
      <c r="F33" s="39"/>
      <c r="G33" s="39"/>
      <c r="H33" s="39"/>
      <c r="I33" s="40"/>
      <c r="J33" s="35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</row>
    <row r="34" spans="1:30" x14ac:dyDescent="0.25">
      <c r="A34" s="32"/>
      <c r="B34" s="32"/>
      <c r="C34" s="32"/>
      <c r="D34" s="38"/>
      <c r="E34" s="38"/>
      <c r="F34" s="38"/>
      <c r="G34" s="38"/>
      <c r="H34" s="38"/>
      <c r="I34" s="41"/>
      <c r="J34" s="34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1:30" x14ac:dyDescent="0.25">
      <c r="A35" s="33"/>
      <c r="B35" s="33"/>
      <c r="C35" s="33"/>
      <c r="D35" s="39"/>
      <c r="E35" s="39"/>
      <c r="F35" s="39"/>
      <c r="G35" s="39"/>
      <c r="H35" s="39"/>
      <c r="I35" s="40"/>
      <c r="J35" s="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</row>
    <row r="36" spans="1:30" x14ac:dyDescent="0.25">
      <c r="A36" s="32"/>
      <c r="B36" s="32"/>
      <c r="C36" s="32"/>
      <c r="D36" s="38"/>
      <c r="E36" s="38"/>
      <c r="F36" s="38"/>
      <c r="G36" s="38"/>
      <c r="H36" s="38"/>
      <c r="I36" s="41"/>
      <c r="J36" s="34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1:30" x14ac:dyDescent="0.25">
      <c r="A37" s="33"/>
      <c r="B37" s="33"/>
      <c r="C37" s="33"/>
      <c r="D37" s="39"/>
      <c r="E37" s="39"/>
      <c r="F37" s="39"/>
      <c r="G37" s="39"/>
      <c r="H37" s="39"/>
      <c r="I37" s="40"/>
      <c r="J37" s="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</row>
    <row r="38" spans="1:30" x14ac:dyDescent="0.25">
      <c r="A38" s="32"/>
      <c r="B38" s="32"/>
      <c r="C38" s="32"/>
      <c r="D38" s="38"/>
      <c r="E38" s="38"/>
      <c r="F38" s="38"/>
      <c r="G38" s="38"/>
      <c r="H38" s="38"/>
      <c r="I38" s="41"/>
      <c r="J38" s="34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1:30" x14ac:dyDescent="0.25">
      <c r="A39" s="33"/>
      <c r="B39" s="33"/>
      <c r="C39" s="33"/>
      <c r="D39" s="39"/>
      <c r="E39" s="39"/>
      <c r="F39" s="39"/>
      <c r="G39" s="39"/>
      <c r="H39" s="39"/>
      <c r="I39" s="40"/>
      <c r="J39" s="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</row>
    <row r="40" spans="1:30" x14ac:dyDescent="0.25">
      <c r="A40" s="32"/>
      <c r="B40" s="32"/>
      <c r="C40" s="32"/>
      <c r="D40" s="38"/>
      <c r="E40" s="38"/>
      <c r="F40" s="38"/>
      <c r="G40" s="38"/>
      <c r="H40" s="38"/>
      <c r="I40" s="41"/>
      <c r="J40" s="34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1:30" ht="15.75" thickBot="1" x14ac:dyDescent="0.3">
      <c r="A41" s="33"/>
      <c r="B41" s="33"/>
      <c r="C41" s="33"/>
      <c r="D41" s="39"/>
      <c r="E41" s="39"/>
      <c r="F41" s="39"/>
      <c r="G41" s="39"/>
      <c r="H41" s="39"/>
      <c r="I41" s="39"/>
      <c r="J41" s="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</row>
    <row r="42" spans="1:30" ht="16.5" thickTop="1" thickBot="1" x14ac:dyDescent="0.3">
      <c r="A42" s="32" t="s">
        <v>6</v>
      </c>
      <c r="B42" s="32" t="s">
        <v>207</v>
      </c>
      <c r="C42" s="32" t="s">
        <v>208</v>
      </c>
      <c r="D42" s="38">
        <v>1.0509999999999999</v>
      </c>
      <c r="E42" s="38">
        <v>37229.300999999999</v>
      </c>
      <c r="F42" s="38">
        <v>2.82305E-5</v>
      </c>
      <c r="G42" s="38"/>
      <c r="H42" s="38"/>
      <c r="I42" s="38"/>
      <c r="J42" s="34"/>
      <c r="K42" s="32"/>
      <c r="L42" s="32"/>
      <c r="M42" s="32"/>
      <c r="N42" s="32"/>
      <c r="O42" s="32"/>
      <c r="P42" s="32"/>
      <c r="Q42" s="32"/>
      <c r="R42" s="32" t="s">
        <v>381</v>
      </c>
      <c r="S42" s="32"/>
      <c r="T42" s="32">
        <v>3</v>
      </c>
      <c r="U42" s="32"/>
      <c r="V42" s="32"/>
      <c r="W42" s="32"/>
      <c r="X42" s="32"/>
      <c r="Y42" s="32"/>
      <c r="Z42" s="9" t="s">
        <v>45</v>
      </c>
      <c r="AA42" s="9" t="s">
        <v>47</v>
      </c>
      <c r="AB42" s="9" t="s">
        <v>48</v>
      </c>
      <c r="AC42" s="9" t="s">
        <v>49</v>
      </c>
      <c r="AD42" s="9" t="s">
        <v>50</v>
      </c>
    </row>
    <row r="43" spans="1:30" ht="15.75" thickTop="1" x14ac:dyDescent="0.25">
      <c r="A43" s="33" t="s">
        <v>8</v>
      </c>
      <c r="B43" s="33" t="s">
        <v>207</v>
      </c>
      <c r="C43" s="33" t="s">
        <v>208</v>
      </c>
      <c r="D43" s="39">
        <v>1.2569999999999999</v>
      </c>
      <c r="E43" s="39">
        <v>37141.370999999999</v>
      </c>
      <c r="F43" s="39">
        <v>3.3843700000000003E-5</v>
      </c>
      <c r="G43" s="39"/>
      <c r="H43" s="39"/>
      <c r="I43" s="39"/>
      <c r="J43" s="35"/>
      <c r="K43" s="33"/>
      <c r="L43" s="33"/>
      <c r="M43" s="33"/>
      <c r="N43" s="33"/>
      <c r="O43" s="33"/>
      <c r="P43" s="33"/>
      <c r="Q43" s="33"/>
      <c r="R43" s="33" t="s">
        <v>45</v>
      </c>
      <c r="S43" s="33"/>
      <c r="T43" s="33">
        <v>45</v>
      </c>
      <c r="U43" s="33"/>
      <c r="V43" s="33"/>
      <c r="W43" s="33"/>
      <c r="X43" s="33"/>
      <c r="Y43" s="33"/>
      <c r="Z43" s="10">
        <f>$H$45</f>
        <v>120</v>
      </c>
      <c r="AA43" s="11">
        <f>IF(ISTEXT($I$45),TEXT($G$45/100,"0.00%"),$G$45 / 100)</f>
        <v>0.5665439664271622</v>
      </c>
      <c r="AB43" s="11">
        <f>IF(ISTEXT($I$46),TEXT($G$46/100,"0.00%"),$G$46 / 100)</f>
        <v>0.20307776360817392</v>
      </c>
      <c r="AC43" s="11">
        <f>IF(ISTEXT($I$47),TEXT($G$47/100,"0.00%"),$G$47 / 100)</f>
        <v>0.27092115824995844</v>
      </c>
      <c r="AD43" s="11">
        <f>IFERROR(AVERAGE($AA$43:$AC$43),"")</f>
        <v>0.3468476294284315</v>
      </c>
    </row>
    <row r="44" spans="1:30" ht="15.75" thickBot="1" x14ac:dyDescent="0.3">
      <c r="A44" s="32" t="s">
        <v>9</v>
      </c>
      <c r="B44" s="32" t="s">
        <v>207</v>
      </c>
      <c r="C44" s="32" t="s">
        <v>208</v>
      </c>
      <c r="D44" s="38">
        <v>1</v>
      </c>
      <c r="E44" s="38">
        <v>36262.148000000001</v>
      </c>
      <c r="F44" s="38">
        <v>2.757696537998797E-5</v>
      </c>
      <c r="G44" s="38"/>
      <c r="H44" s="38"/>
      <c r="I44" s="38"/>
      <c r="J44" s="34"/>
      <c r="K44" s="32"/>
      <c r="L44" s="32"/>
      <c r="M44" s="32"/>
      <c r="N44" s="32"/>
      <c r="O44" s="32"/>
      <c r="P44" s="32"/>
      <c r="Q44" s="32"/>
      <c r="R44" s="32" t="s">
        <v>46</v>
      </c>
      <c r="S44" s="32"/>
      <c r="T44" s="32">
        <v>50</v>
      </c>
      <c r="U44" s="32"/>
      <c r="V44" s="32"/>
      <c r="W44" s="32"/>
      <c r="X44" s="32"/>
      <c r="Y44" s="32"/>
      <c r="Z44" s="12">
        <f>$H$48</f>
        <v>0</v>
      </c>
      <c r="AA44" s="13">
        <f>IF(ISTEXT($I$48),TEXT($G$48/100,"0.00%"),$G$48 / 100)</f>
        <v>1</v>
      </c>
      <c r="AB44" s="13">
        <f>IF(ISTEXT($I$49),TEXT($G$49/100,"0.00%"),$G$49 / 100)</f>
        <v>1</v>
      </c>
      <c r="AC44" s="13">
        <f>IF(ISTEXT($I$50),TEXT($G$50/100,"0.00%"),$G$50 / 100)</f>
        <v>1</v>
      </c>
      <c r="AD44" s="13">
        <f>IFERROR(AVERAGE($AA$44:$AC$44),"")</f>
        <v>1</v>
      </c>
    </row>
    <row r="45" spans="1:30" ht="16.5" thickTop="1" thickBot="1" x14ac:dyDescent="0.3">
      <c r="A45" s="33" t="s">
        <v>352</v>
      </c>
      <c r="B45" s="33" t="s">
        <v>207</v>
      </c>
      <c r="C45" s="33" t="s">
        <v>208</v>
      </c>
      <c r="D45" s="39">
        <v>1108.942</v>
      </c>
      <c r="E45" s="39">
        <v>22275.146000000001</v>
      </c>
      <c r="F45" s="39">
        <v>4.9783826000000003E-2</v>
      </c>
      <c r="G45" s="39">
        <f>($F$45 -  AVERAGE($F$42,$F$43,$F$44) ) / ($F$48 -  AVERAGE($F$42,$F$43,$F$44) ) * 100</f>
        <v>56.654396642716222</v>
      </c>
      <c r="H45" s="39">
        <v>120</v>
      </c>
      <c r="I45" s="40">
        <f>LN($G$45)</f>
        <v>4.0369695951017635</v>
      </c>
      <c r="J45" s="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>
        <f>IF(ISTEXT($I$45),"",1)</f>
        <v>1</v>
      </c>
      <c r="V45" s="33">
        <f t="shared" ref="V45:V50" si="4">IFERROR(INDEX($H$45:$H$50,SMALL($U$45:$U$50,ROW(W1)),1),"")</f>
        <v>120</v>
      </c>
      <c r="W45" s="33">
        <f t="shared" ref="W45:W50" si="5">IFERROR(INDEX($I$45:$I$50,SMALL($U$45:$U$50,ROW(I1)),1),"")</f>
        <v>4.0369695951017635</v>
      </c>
      <c r="X45" s="33"/>
      <c r="Y45" s="33"/>
    </row>
    <row r="46" spans="1:30" x14ac:dyDescent="0.25">
      <c r="A46" s="32" t="s">
        <v>353</v>
      </c>
      <c r="B46" s="32" t="s">
        <v>207</v>
      </c>
      <c r="C46" s="32" t="s">
        <v>208</v>
      </c>
      <c r="D46" s="38">
        <v>558.62099999999998</v>
      </c>
      <c r="E46" s="38">
        <v>22940.936000000002</v>
      </c>
      <c r="F46" s="38">
        <v>2.4350401000000001E-2</v>
      </c>
      <c r="G46" s="38">
        <f>($F$46 -  AVERAGE($F$42,$F$43,$F$44) ) / ($F$49 -  AVERAGE($F$42,$F$43,$F$44) ) * 100</f>
        <v>20.307776360817392</v>
      </c>
      <c r="H46" s="38">
        <v>120</v>
      </c>
      <c r="I46" s="41">
        <f>LN($G$46)</f>
        <v>3.011003884655858</v>
      </c>
      <c r="J46" s="34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>
        <f>IF(ISTEXT($I$46),"",2)</f>
        <v>2</v>
      </c>
      <c r="V46" s="32">
        <f t="shared" si="4"/>
        <v>120</v>
      </c>
      <c r="W46" s="32">
        <f t="shared" si="5"/>
        <v>3.011003884655858</v>
      </c>
      <c r="X46" s="32"/>
      <c r="Y46" s="32"/>
      <c r="Z46" s="20" t="s">
        <v>51</v>
      </c>
      <c r="AA46" s="31">
        <f>IFERROR(SLOPE($W$45:$W$50,$V$45:$V$50),"")</f>
        <v>-9.6341508933777322E-3</v>
      </c>
    </row>
    <row r="47" spans="1:30" x14ac:dyDescent="0.25">
      <c r="A47" s="33" t="s">
        <v>354</v>
      </c>
      <c r="B47" s="33" t="s">
        <v>207</v>
      </c>
      <c r="C47" s="33" t="s">
        <v>208</v>
      </c>
      <c r="D47" s="39">
        <v>691.47400000000005</v>
      </c>
      <c r="E47" s="39">
        <v>24862.974999999999</v>
      </c>
      <c r="F47" s="39">
        <v>2.7811394E-2</v>
      </c>
      <c r="G47" s="39">
        <f>($F$47 -  AVERAGE($F$42,$F$43,$F$44) ) / ($F$50 -  AVERAGE($F$42,$F$43,$F$44) ) * 100</f>
        <v>27.092115824995844</v>
      </c>
      <c r="H47" s="39">
        <v>120</v>
      </c>
      <c r="I47" s="40">
        <f>LN($G$47)</f>
        <v>3.2992427565906706</v>
      </c>
      <c r="J47" s="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>
        <f>IF(ISTEXT($I$47),"",3)</f>
        <v>3</v>
      </c>
      <c r="V47" s="33">
        <f t="shared" si="4"/>
        <v>120</v>
      </c>
      <c r="W47" s="33">
        <f t="shared" si="5"/>
        <v>3.2992427565906706</v>
      </c>
      <c r="X47" s="33"/>
      <c r="Y47" s="33"/>
      <c r="Z47" s="22" t="s">
        <v>52</v>
      </c>
      <c r="AA47" s="23">
        <f>IFERROR(INTERCEPT($W$45:$W$50,$V$45:$V$50),"")</f>
        <v>4.6051701859880918</v>
      </c>
    </row>
    <row r="48" spans="1:30" ht="17.25" x14ac:dyDescent="0.25">
      <c r="A48" s="32" t="s">
        <v>253</v>
      </c>
      <c r="B48" s="32" t="s">
        <v>207</v>
      </c>
      <c r="C48" s="32" t="s">
        <v>208</v>
      </c>
      <c r="D48" s="38">
        <v>2134.5140000000001</v>
      </c>
      <c r="E48" s="38">
        <v>24297.263999999999</v>
      </c>
      <c r="F48" s="38">
        <v>8.7849973999999997E-2</v>
      </c>
      <c r="G48" s="38">
        <f>($F$48 -  AVERAGE($F$42,$F$43,$F$44) ) / ($F$48 -  AVERAGE($F$42,$F$43,$F$44) ) * 100</f>
        <v>100</v>
      </c>
      <c r="H48" s="38">
        <v>0</v>
      </c>
      <c r="I48" s="41">
        <f>LN($G$48)</f>
        <v>4.6051701859880918</v>
      </c>
      <c r="J48" s="34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>
        <f>IF(ISTEXT($I$48),"",4)</f>
        <v>4</v>
      </c>
      <c r="V48" s="32">
        <f t="shared" si="4"/>
        <v>0</v>
      </c>
      <c r="W48" s="32">
        <f t="shared" si="5"/>
        <v>4.6051701859880918</v>
      </c>
      <c r="X48" s="32"/>
      <c r="Y48" s="32"/>
      <c r="Z48" s="22" t="s">
        <v>53</v>
      </c>
      <c r="AA48" s="26">
        <f>IFERROR(CORREL($W$45:$W$50,$V$45:$V$50)^2,"")</f>
        <v>0.78167045217506503</v>
      </c>
    </row>
    <row r="49" spans="1:30" ht="18" x14ac:dyDescent="0.35">
      <c r="A49" s="33" t="s">
        <v>254</v>
      </c>
      <c r="B49" s="33" t="s">
        <v>207</v>
      </c>
      <c r="C49" s="33" t="s">
        <v>208</v>
      </c>
      <c r="D49" s="39">
        <v>3164.2240000000002</v>
      </c>
      <c r="E49" s="39">
        <v>26414.866999999998</v>
      </c>
      <c r="F49" s="39">
        <v>0.119789511</v>
      </c>
      <c r="G49" s="39">
        <f>($F$49 -  AVERAGE($F$42,$F$43,$F$44) ) / ($F$49 -  AVERAGE($F$42,$F$43,$F$44) ) * 100</f>
        <v>100</v>
      </c>
      <c r="H49" s="39">
        <v>0</v>
      </c>
      <c r="I49" s="40">
        <f>LN($G$49)</f>
        <v>4.6051701859880918</v>
      </c>
      <c r="J49" s="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>
        <f>IF(ISTEXT($I$49),"",5)</f>
        <v>5</v>
      </c>
      <c r="V49" s="33">
        <f t="shared" si="4"/>
        <v>0</v>
      </c>
      <c r="W49" s="33">
        <f t="shared" si="5"/>
        <v>4.6051701859880918</v>
      </c>
      <c r="X49" s="33"/>
      <c r="Y49" s="33"/>
      <c r="Z49" s="22" t="s">
        <v>54</v>
      </c>
      <c r="AA49" s="30">
        <f>IF(AA46&gt;0,"",IFERROR(LN(2) /ABS(AA46),0))</f>
        <v>71.94688854587038</v>
      </c>
    </row>
    <row r="50" spans="1:30" ht="18.75" x14ac:dyDescent="0.35">
      <c r="A50" s="32" t="s">
        <v>255</v>
      </c>
      <c r="B50" s="32" t="s">
        <v>207</v>
      </c>
      <c r="C50" s="32" t="s">
        <v>208</v>
      </c>
      <c r="D50" s="38">
        <v>2570.3200000000002</v>
      </c>
      <c r="E50" s="38">
        <v>25058.076000000001</v>
      </c>
      <c r="F50" s="38">
        <v>0.102574515</v>
      </c>
      <c r="G50" s="38">
        <f>($F$50 -  AVERAGE($F$42,$F$43,$F$44) ) / ($F$50 -  AVERAGE($F$42,$F$43,$F$44) ) * 100</f>
        <v>100</v>
      </c>
      <c r="H50" s="38">
        <v>0</v>
      </c>
      <c r="I50" s="41">
        <f>LN($G$50)</f>
        <v>4.6051701859880918</v>
      </c>
      <c r="J50" s="34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>
        <f>IF(ISTEXT($I$50),"",6)</f>
        <v>6</v>
      </c>
      <c r="V50" s="32">
        <f t="shared" si="4"/>
        <v>0</v>
      </c>
      <c r="W50" s="32">
        <f t="shared" si="5"/>
        <v>4.6051701859880918</v>
      </c>
      <c r="X50" s="32"/>
      <c r="Y50" s="32"/>
      <c r="Z50" s="22" t="s">
        <v>55</v>
      </c>
      <c r="AA50" s="30">
        <f>IF(AA46&gt;0,0,IFERROR(ABS(AA46 * 1000 / 0.5),0))</f>
        <v>19.268301786755465</v>
      </c>
    </row>
    <row r="51" spans="1:30" ht="15.75" thickBot="1" x14ac:dyDescent="0.3">
      <c r="A51" s="33"/>
      <c r="B51" s="33"/>
      <c r="C51" s="33"/>
      <c r="D51" s="39"/>
      <c r="E51" s="39"/>
      <c r="F51" s="39"/>
      <c r="G51" s="39"/>
      <c r="H51" s="39"/>
      <c r="I51" s="40"/>
      <c r="J51" s="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27" t="s">
        <v>39</v>
      </c>
      <c r="AA51" s="28" t="s">
        <v>56</v>
      </c>
    </row>
    <row r="52" spans="1:30" x14ac:dyDescent="0.25">
      <c r="A52" s="32"/>
      <c r="B52" s="32"/>
      <c r="C52" s="32"/>
      <c r="D52" s="38"/>
      <c r="E52" s="38"/>
      <c r="F52" s="38"/>
      <c r="G52" s="38"/>
      <c r="H52" s="38"/>
      <c r="I52" s="41"/>
      <c r="J52" s="34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</row>
    <row r="53" spans="1:30" x14ac:dyDescent="0.25">
      <c r="A53" s="33"/>
      <c r="B53" s="33"/>
      <c r="C53" s="33"/>
      <c r="D53" s="39"/>
      <c r="E53" s="39"/>
      <c r="F53" s="39"/>
      <c r="G53" s="39"/>
      <c r="H53" s="39"/>
      <c r="I53" s="40"/>
      <c r="J53" s="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</row>
    <row r="54" spans="1:30" x14ac:dyDescent="0.25">
      <c r="A54" s="32"/>
      <c r="B54" s="32"/>
      <c r="C54" s="32"/>
      <c r="D54" s="38"/>
      <c r="E54" s="38"/>
      <c r="F54" s="38"/>
      <c r="G54" s="38"/>
      <c r="H54" s="38"/>
      <c r="I54" s="41"/>
      <c r="J54" s="34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</row>
    <row r="55" spans="1:30" x14ac:dyDescent="0.25">
      <c r="A55" s="33"/>
      <c r="B55" s="33"/>
      <c r="C55" s="33"/>
      <c r="D55" s="39"/>
      <c r="E55" s="39"/>
      <c r="F55" s="39"/>
      <c r="G55" s="39"/>
      <c r="H55" s="39"/>
      <c r="I55" s="40"/>
      <c r="J55" s="35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</row>
    <row r="56" spans="1:30" x14ac:dyDescent="0.25">
      <c r="A56" s="32"/>
      <c r="B56" s="32"/>
      <c r="C56" s="32"/>
      <c r="D56" s="38"/>
      <c r="E56" s="38"/>
      <c r="F56" s="38"/>
      <c r="G56" s="38"/>
      <c r="H56" s="38"/>
      <c r="I56" s="41"/>
      <c r="J56" s="34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</row>
    <row r="57" spans="1:30" x14ac:dyDescent="0.25">
      <c r="A57" s="33"/>
      <c r="B57" s="33"/>
      <c r="C57" s="33"/>
      <c r="D57" s="39"/>
      <c r="E57" s="39"/>
      <c r="F57" s="39"/>
      <c r="G57" s="39"/>
      <c r="H57" s="39"/>
      <c r="I57" s="40"/>
      <c r="J57" s="35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</row>
    <row r="58" spans="1:30" x14ac:dyDescent="0.25">
      <c r="A58" s="32"/>
      <c r="B58" s="32"/>
      <c r="C58" s="32"/>
      <c r="D58" s="38"/>
      <c r="E58" s="38"/>
      <c r="F58" s="38"/>
      <c r="G58" s="38"/>
      <c r="H58" s="38"/>
      <c r="I58" s="41"/>
      <c r="J58" s="34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</row>
    <row r="59" spans="1:30" x14ac:dyDescent="0.25">
      <c r="A59" s="33"/>
      <c r="B59" s="33"/>
      <c r="C59" s="33"/>
      <c r="D59" s="39"/>
      <c r="E59" s="39"/>
      <c r="F59" s="39"/>
      <c r="G59" s="39"/>
      <c r="H59" s="39"/>
      <c r="I59" s="40"/>
      <c r="J59" s="35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</row>
    <row r="60" spans="1:30" x14ac:dyDescent="0.25">
      <c r="A60" s="32"/>
      <c r="B60" s="32"/>
      <c r="C60" s="32"/>
      <c r="D60" s="38"/>
      <c r="E60" s="38"/>
      <c r="F60" s="38"/>
      <c r="G60" s="38"/>
      <c r="H60" s="38"/>
      <c r="I60" s="41"/>
      <c r="J60" s="34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</row>
    <row r="61" spans="1:30" ht="15.75" thickBot="1" x14ac:dyDescent="0.3">
      <c r="A61" s="33"/>
      <c r="B61" s="33"/>
      <c r="C61" s="33"/>
      <c r="D61" s="39"/>
      <c r="E61" s="39"/>
      <c r="F61" s="39"/>
      <c r="G61" s="39"/>
      <c r="H61" s="39"/>
      <c r="I61" s="39"/>
      <c r="J61" s="35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</row>
    <row r="62" spans="1:30" ht="16.5" thickTop="1" thickBot="1" x14ac:dyDescent="0.3">
      <c r="A62" s="32" t="s">
        <v>6</v>
      </c>
      <c r="B62" s="32" t="s">
        <v>95</v>
      </c>
      <c r="C62" s="32" t="s">
        <v>11</v>
      </c>
      <c r="D62" s="38">
        <v>1.1140000000000001</v>
      </c>
      <c r="E62" s="38">
        <v>37229.300999999999</v>
      </c>
      <c r="F62" s="38">
        <v>2.9922700000000001E-5</v>
      </c>
      <c r="G62" s="38"/>
      <c r="H62" s="38"/>
      <c r="I62" s="38"/>
      <c r="J62" s="34"/>
      <c r="K62" s="32"/>
      <c r="L62" s="32"/>
      <c r="M62" s="32"/>
      <c r="N62" s="32"/>
      <c r="O62" s="32"/>
      <c r="P62" s="32"/>
      <c r="Q62" s="32"/>
      <c r="R62" s="32" t="s">
        <v>375</v>
      </c>
      <c r="S62" s="32"/>
      <c r="T62" s="32">
        <v>4</v>
      </c>
      <c r="U62" s="32"/>
      <c r="V62" s="32"/>
      <c r="W62" s="32"/>
      <c r="X62" s="32"/>
      <c r="Y62" s="32"/>
      <c r="Z62" s="9" t="s">
        <v>45</v>
      </c>
      <c r="AA62" s="9" t="s">
        <v>47</v>
      </c>
      <c r="AB62" s="9" t="s">
        <v>48</v>
      </c>
      <c r="AC62" s="9" t="s">
        <v>49</v>
      </c>
      <c r="AD62" s="9" t="s">
        <v>50</v>
      </c>
    </row>
    <row r="63" spans="1:30" ht="15.75" thickTop="1" x14ac:dyDescent="0.25">
      <c r="A63" s="33" t="s">
        <v>8</v>
      </c>
      <c r="B63" s="33" t="s">
        <v>95</v>
      </c>
      <c r="C63" s="33" t="s">
        <v>11</v>
      </c>
      <c r="D63" s="39">
        <v>1</v>
      </c>
      <c r="E63" s="39">
        <v>37141.370999999999</v>
      </c>
      <c r="F63" s="39">
        <v>2.6924154199908239E-5</v>
      </c>
      <c r="G63" s="39"/>
      <c r="H63" s="39"/>
      <c r="I63" s="39"/>
      <c r="J63" s="35"/>
      <c r="K63" s="33"/>
      <c r="L63" s="33"/>
      <c r="M63" s="33"/>
      <c r="N63" s="33"/>
      <c r="O63" s="33"/>
      <c r="P63" s="33"/>
      <c r="Q63" s="33"/>
      <c r="R63" s="33" t="s">
        <v>45</v>
      </c>
      <c r="S63" s="33"/>
      <c r="T63" s="33">
        <v>65</v>
      </c>
      <c r="U63" s="33"/>
      <c r="V63" s="33"/>
      <c r="W63" s="33"/>
      <c r="X63" s="33"/>
      <c r="Y63" s="33"/>
      <c r="Z63" s="10">
        <f>$H$65</f>
        <v>120</v>
      </c>
      <c r="AA63" s="49">
        <f>IF(ISTEXT($I$65),TEXT($G$65/100,"0.00%"),$G$65 / 100)</f>
        <v>1.5448412764701138</v>
      </c>
      <c r="AB63" s="49">
        <f>IF(ISTEXT($I$66),TEXT($G$66/100,"0.00%"),$G$66 / 100)</f>
        <v>2.136909944116804</v>
      </c>
      <c r="AC63" s="49">
        <f>IF(ISTEXT($I$67),TEXT($G$67/100,"0.00%"),$G$67 / 100)</f>
        <v>3.7199861284887059</v>
      </c>
      <c r="AD63" s="49">
        <f>IFERROR(AVERAGE($AA$63:$AC$63),"")</f>
        <v>2.4672457830252079</v>
      </c>
    </row>
    <row r="64" spans="1:30" ht="15.75" thickBot="1" x14ac:dyDescent="0.3">
      <c r="A64" s="32" t="s">
        <v>9</v>
      </c>
      <c r="B64" s="32" t="s">
        <v>95</v>
      </c>
      <c r="C64" s="32" t="s">
        <v>11</v>
      </c>
      <c r="D64" s="38">
        <v>1</v>
      </c>
      <c r="E64" s="38">
        <v>36262.148000000001</v>
      </c>
      <c r="F64" s="38">
        <v>2.757696537998797E-5</v>
      </c>
      <c r="G64" s="38"/>
      <c r="H64" s="38"/>
      <c r="I64" s="38"/>
      <c r="J64" s="34"/>
      <c r="K64" s="32"/>
      <c r="L64" s="32"/>
      <c r="M64" s="32"/>
      <c r="N64" s="32"/>
      <c r="O64" s="32"/>
      <c r="P64" s="32"/>
      <c r="Q64" s="32"/>
      <c r="R64" s="32" t="s">
        <v>46</v>
      </c>
      <c r="S64" s="32"/>
      <c r="T64" s="32">
        <v>70</v>
      </c>
      <c r="U64" s="32"/>
      <c r="V64" s="32"/>
      <c r="W64" s="32"/>
      <c r="X64" s="32"/>
      <c r="Y64" s="32"/>
      <c r="Z64" s="12">
        <f>$H$68</f>
        <v>0</v>
      </c>
      <c r="AA64" s="13">
        <f>IF(ISTEXT($I$68),TEXT($G$68/100,"0.00%"),$G$68 / 100)</f>
        <v>1</v>
      </c>
      <c r="AB64" s="13">
        <f>IF(ISTEXT($I$69),TEXT($G$69/100,"0.00%"),$G$69 / 100)</f>
        <v>1</v>
      </c>
      <c r="AC64" s="13">
        <f>IF(ISTEXT($I$70),TEXT($G$70/100,"0.00%"),$G$70 / 100)</f>
        <v>1</v>
      </c>
      <c r="AD64" s="13">
        <f>IFERROR(AVERAGE($AA$64:$AC$64),"")</f>
        <v>1</v>
      </c>
    </row>
    <row r="65" spans="1:27" ht="16.5" thickTop="1" thickBot="1" x14ac:dyDescent="0.3">
      <c r="A65" s="33" t="s">
        <v>355</v>
      </c>
      <c r="B65" s="33" t="s">
        <v>95</v>
      </c>
      <c r="C65" s="33" t="s">
        <v>11</v>
      </c>
      <c r="D65" s="39">
        <v>43335.675999999999</v>
      </c>
      <c r="E65" s="39">
        <v>29668.594000000001</v>
      </c>
      <c r="F65" s="39">
        <v>1.4606582299999999</v>
      </c>
      <c r="G65" s="39">
        <f>($F$65 -  AVERAGE($F$62,$F$63,$F$64) ) / ($F$68 -  AVERAGE($F$62,$F$63,$F$64) ) * 100</f>
        <v>154.48412764701138</v>
      </c>
      <c r="H65" s="39">
        <v>120</v>
      </c>
      <c r="I65" s="40">
        <f>LN($G$65)</f>
        <v>5.0400913573840329</v>
      </c>
      <c r="J65" s="35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>
        <f>IF(ISTEXT($I$65),"",1)</f>
        <v>1</v>
      </c>
      <c r="V65" s="33">
        <f t="shared" ref="V65:V70" si="6">IFERROR(INDEX($H$65:$H$70,SMALL($U$65:$U$70,ROW(W1)),1),"")</f>
        <v>120</v>
      </c>
      <c r="W65" s="33">
        <f t="shared" ref="W65:W70" si="7">IFERROR(INDEX($I$65:$I$70,SMALL($U$65:$U$70,ROW(I1)),1),"")</f>
        <v>5.0400913573840329</v>
      </c>
      <c r="X65" s="33"/>
      <c r="Y65" s="33"/>
    </row>
    <row r="66" spans="1:27" x14ac:dyDescent="0.25">
      <c r="A66" s="32" t="s">
        <v>356</v>
      </c>
      <c r="B66" s="32" t="s">
        <v>95</v>
      </c>
      <c r="C66" s="32" t="s">
        <v>11</v>
      </c>
      <c r="D66" s="38">
        <v>51366.351999999999</v>
      </c>
      <c r="E66" s="38">
        <v>28617.383000000002</v>
      </c>
      <c r="F66" s="38">
        <v>1.7949353370000001</v>
      </c>
      <c r="G66" s="38">
        <f>($F$66 -  AVERAGE($F$62,$F$63,$F$64) ) / ($F$69 -  AVERAGE($F$62,$F$63,$F$64) ) * 100</f>
        <v>213.69099441168041</v>
      </c>
      <c r="H66" s="38">
        <v>120</v>
      </c>
      <c r="I66" s="41">
        <f>LN($G$66)</f>
        <v>5.3645310201721852</v>
      </c>
      <c r="J66" s="34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>
        <f>IF(ISTEXT($I$66),"",2)</f>
        <v>2</v>
      </c>
      <c r="V66" s="32">
        <f t="shared" si="6"/>
        <v>120</v>
      </c>
      <c r="W66" s="32">
        <f t="shared" si="7"/>
        <v>5.3645310201721852</v>
      </c>
      <c r="X66" s="32"/>
      <c r="Y66" s="32"/>
      <c r="Z66" s="20" t="s">
        <v>51</v>
      </c>
      <c r="AA66" s="31">
        <f>IFERROR(SLOPE($W$65:$W$70,$V$65:$V$70),"")</f>
        <v>6.9666720693256981E-3</v>
      </c>
    </row>
    <row r="67" spans="1:27" x14ac:dyDescent="0.25">
      <c r="A67" s="33" t="s">
        <v>357</v>
      </c>
      <c r="B67" s="33" t="s">
        <v>95</v>
      </c>
      <c r="C67" s="33" t="s">
        <v>11</v>
      </c>
      <c r="D67" s="39">
        <v>51769.832000000002</v>
      </c>
      <c r="E67" s="39">
        <v>26574.002</v>
      </c>
      <c r="F67" s="39">
        <v>1.9481383350000001</v>
      </c>
      <c r="G67" s="39">
        <f>($F$67 -  AVERAGE($F$62,$F$63,$F$64) ) / ($F$70 -  AVERAGE($F$62,$F$63,$F$64) ) * 100</f>
        <v>371.99861284887061</v>
      </c>
      <c r="H67" s="39">
        <v>120</v>
      </c>
      <c r="I67" s="40">
        <f>LN($G$67)</f>
        <v>5.9188901253653086</v>
      </c>
      <c r="J67" s="35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>
        <f>IF(ISTEXT($I$67),"",3)</f>
        <v>3</v>
      </c>
      <c r="V67" s="33">
        <f t="shared" si="6"/>
        <v>120</v>
      </c>
      <c r="W67" s="33">
        <f t="shared" si="7"/>
        <v>5.9188901253653086</v>
      </c>
      <c r="X67" s="33"/>
      <c r="Y67" s="33"/>
      <c r="Z67" s="22" t="s">
        <v>52</v>
      </c>
      <c r="AA67" s="23">
        <f>IFERROR(INTERCEPT($W$65:$W$70,$V$65:$V$70),"")</f>
        <v>4.6051701859880918</v>
      </c>
    </row>
    <row r="68" spans="1:27" ht="17.25" x14ac:dyDescent="0.25">
      <c r="A68" s="32" t="s">
        <v>268</v>
      </c>
      <c r="B68" s="32" t="s">
        <v>95</v>
      </c>
      <c r="C68" s="32" t="s">
        <v>11</v>
      </c>
      <c r="D68" s="38">
        <v>29097.123</v>
      </c>
      <c r="E68" s="38">
        <v>30773.773000000001</v>
      </c>
      <c r="F68" s="38">
        <v>0.94551691800000004</v>
      </c>
      <c r="G68" s="38">
        <f>($F$68 -  AVERAGE($F$62,$F$63,$F$64) ) / ($F$68 -  AVERAGE($F$62,$F$63,$F$64) ) * 100</f>
        <v>100</v>
      </c>
      <c r="H68" s="38">
        <v>0</v>
      </c>
      <c r="I68" s="41">
        <f>LN($G$68)</f>
        <v>4.6051701859880918</v>
      </c>
      <c r="J68" s="34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>
        <f>IF(ISTEXT($I$68),"",4)</f>
        <v>4</v>
      </c>
      <c r="V68" s="32">
        <f t="shared" si="6"/>
        <v>0</v>
      </c>
      <c r="W68" s="32">
        <f t="shared" si="7"/>
        <v>4.6051701859880918</v>
      </c>
      <c r="X68" s="32"/>
      <c r="Y68" s="32"/>
      <c r="Z68" s="22" t="s">
        <v>53</v>
      </c>
      <c r="AA68" s="26">
        <f>IFERROR(CORREL($W$65:$W$70,$V$65:$V$70)^2,"")</f>
        <v>0.72635335964469883</v>
      </c>
    </row>
    <row r="69" spans="1:27" ht="18" x14ac:dyDescent="0.35">
      <c r="A69" s="33" t="s">
        <v>269</v>
      </c>
      <c r="B69" s="33" t="s">
        <v>95</v>
      </c>
      <c r="C69" s="33" t="s">
        <v>11</v>
      </c>
      <c r="D69" s="39">
        <v>25608.43</v>
      </c>
      <c r="E69" s="39">
        <v>30486.855</v>
      </c>
      <c r="F69" s="39">
        <v>0.83998267500000001</v>
      </c>
      <c r="G69" s="39">
        <f>($F$69 -  AVERAGE($F$62,$F$63,$F$64) ) / ($F$69 -  AVERAGE($F$62,$F$63,$F$64) ) * 100</f>
        <v>100</v>
      </c>
      <c r="H69" s="39">
        <v>0</v>
      </c>
      <c r="I69" s="40">
        <f>LN($G$69)</f>
        <v>4.6051701859880918</v>
      </c>
      <c r="J69" s="35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>
        <f>IF(ISTEXT($I$69),"",5)</f>
        <v>5</v>
      </c>
      <c r="V69" s="33">
        <f t="shared" si="6"/>
        <v>0</v>
      </c>
      <c r="W69" s="33">
        <f t="shared" si="7"/>
        <v>4.6051701859880918</v>
      </c>
      <c r="X69" s="33"/>
      <c r="Y69" s="33"/>
      <c r="Z69" s="22" t="s">
        <v>54</v>
      </c>
      <c r="AA69" s="50" t="str">
        <f>IF(AA66&gt;0," &gt;480",IFERROR(LN(2) /ABS(AA66),0))</f>
        <v xml:space="preserve"> &gt;480</v>
      </c>
    </row>
    <row r="70" spans="1:27" ht="18.75" x14ac:dyDescent="0.35">
      <c r="A70" s="32" t="s">
        <v>270</v>
      </c>
      <c r="B70" s="32" t="s">
        <v>95</v>
      </c>
      <c r="C70" s="32" t="s">
        <v>11</v>
      </c>
      <c r="D70" s="38">
        <v>17292.900000000001</v>
      </c>
      <c r="E70" s="38">
        <v>33019.637000000002</v>
      </c>
      <c r="F70" s="38">
        <v>0.52371562999999999</v>
      </c>
      <c r="G70" s="38">
        <f>($F$70 -  AVERAGE($F$62,$F$63,$F$64) ) / ($F$70 -  AVERAGE($F$62,$F$63,$F$64) ) * 100</f>
        <v>100</v>
      </c>
      <c r="H70" s="38">
        <v>0</v>
      </c>
      <c r="I70" s="41">
        <f>LN($G$70)</f>
        <v>4.6051701859880918</v>
      </c>
      <c r="J70" s="34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>
        <f>IF(ISTEXT($I$70),"",6)</f>
        <v>6</v>
      </c>
      <c r="V70" s="32">
        <f t="shared" si="6"/>
        <v>0</v>
      </c>
      <c r="W70" s="32">
        <f t="shared" si="7"/>
        <v>4.6051701859880918</v>
      </c>
      <c r="X70" s="32"/>
      <c r="Y70" s="32"/>
      <c r="Z70" s="22" t="s">
        <v>55</v>
      </c>
      <c r="AA70" s="30">
        <f>IF(AA66&gt;0,0,IFERROR(ABS(AA66 * 1000 / 0.5),0))</f>
        <v>0</v>
      </c>
    </row>
    <row r="71" spans="1:27" ht="15.75" thickBot="1" x14ac:dyDescent="0.3">
      <c r="A71" s="33"/>
      <c r="B71" s="33"/>
      <c r="C71" s="33"/>
      <c r="D71" s="39"/>
      <c r="E71" s="39"/>
      <c r="F71" s="39"/>
      <c r="G71" s="39"/>
      <c r="H71" s="39"/>
      <c r="I71" s="40"/>
      <c r="J71" s="35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27" t="s">
        <v>39</v>
      </c>
      <c r="AA71" s="28" t="s">
        <v>56</v>
      </c>
    </row>
    <row r="72" spans="1:27" x14ac:dyDescent="0.25">
      <c r="A72" s="32"/>
      <c r="B72" s="32"/>
      <c r="C72" s="32"/>
      <c r="D72" s="38"/>
      <c r="E72" s="38"/>
      <c r="F72" s="38"/>
      <c r="G72" s="38"/>
      <c r="H72" s="38"/>
      <c r="I72" s="41"/>
      <c r="J72" s="34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</row>
    <row r="73" spans="1:27" x14ac:dyDescent="0.25">
      <c r="A73" s="33"/>
      <c r="B73" s="33"/>
      <c r="C73" s="33"/>
      <c r="D73" s="39"/>
      <c r="E73" s="39"/>
      <c r="F73" s="39"/>
      <c r="G73" s="39"/>
      <c r="H73" s="39"/>
      <c r="I73" s="40"/>
      <c r="J73" s="35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</row>
    <row r="74" spans="1:27" x14ac:dyDescent="0.25">
      <c r="A74" s="32"/>
      <c r="B74" s="32"/>
      <c r="C74" s="32"/>
      <c r="D74" s="38"/>
      <c r="E74" s="38"/>
      <c r="F74" s="38"/>
      <c r="G74" s="38"/>
      <c r="H74" s="38"/>
      <c r="I74" s="41"/>
      <c r="J74" s="34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</row>
    <row r="75" spans="1:27" x14ac:dyDescent="0.25">
      <c r="A75" s="33"/>
      <c r="B75" s="33"/>
      <c r="C75" s="33"/>
      <c r="D75" s="39"/>
      <c r="E75" s="39"/>
      <c r="F75" s="39"/>
      <c r="G75" s="39"/>
      <c r="H75" s="39"/>
      <c r="I75" s="40"/>
      <c r="J75" s="35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</row>
    <row r="76" spans="1:27" x14ac:dyDescent="0.25">
      <c r="A76" s="32"/>
      <c r="B76" s="32"/>
      <c r="C76" s="32"/>
      <c r="D76" s="38"/>
      <c r="E76" s="38"/>
      <c r="F76" s="38"/>
      <c r="G76" s="38"/>
      <c r="H76" s="38"/>
      <c r="I76" s="41"/>
      <c r="J76" s="34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</row>
    <row r="77" spans="1:27" x14ac:dyDescent="0.25">
      <c r="A77" s="33"/>
      <c r="B77" s="33"/>
      <c r="C77" s="33"/>
      <c r="D77" s="39"/>
      <c r="E77" s="39"/>
      <c r="F77" s="39"/>
      <c r="G77" s="39"/>
      <c r="H77" s="39"/>
      <c r="I77" s="40"/>
      <c r="J77" s="35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</row>
    <row r="78" spans="1:27" x14ac:dyDescent="0.25">
      <c r="A78" s="32"/>
      <c r="B78" s="32"/>
      <c r="C78" s="32"/>
      <c r="D78" s="38"/>
      <c r="E78" s="38"/>
      <c r="F78" s="38"/>
      <c r="G78" s="38"/>
      <c r="H78" s="38"/>
      <c r="I78" s="41"/>
      <c r="J78" s="34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</row>
    <row r="79" spans="1:27" x14ac:dyDescent="0.25">
      <c r="A79" s="33"/>
      <c r="B79" s="33"/>
      <c r="C79" s="33"/>
      <c r="D79" s="39"/>
      <c r="E79" s="39"/>
      <c r="F79" s="39"/>
      <c r="G79" s="39"/>
      <c r="H79" s="39"/>
      <c r="I79" s="40"/>
      <c r="J79" s="35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</row>
    <row r="80" spans="1:27" x14ac:dyDescent="0.25">
      <c r="A80" s="32"/>
      <c r="B80" s="32"/>
      <c r="C80" s="32"/>
      <c r="D80" s="38"/>
      <c r="E80" s="38"/>
      <c r="F80" s="38"/>
      <c r="G80" s="38"/>
      <c r="H80" s="38"/>
      <c r="I80" s="41"/>
      <c r="J80" s="34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</row>
    <row r="81" spans="1:30" ht="15.75" thickBot="1" x14ac:dyDescent="0.3">
      <c r="A81" s="33"/>
      <c r="B81" s="33"/>
      <c r="C81" s="33"/>
      <c r="D81" s="39"/>
      <c r="E81" s="39"/>
      <c r="F81" s="39"/>
      <c r="G81" s="39"/>
      <c r="H81" s="39"/>
      <c r="I81" s="39"/>
      <c r="J81" s="35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</row>
    <row r="82" spans="1:30" ht="16.5" thickTop="1" thickBot="1" x14ac:dyDescent="0.3">
      <c r="A82" s="32" t="s">
        <v>6</v>
      </c>
      <c r="B82" s="32" t="s">
        <v>112</v>
      </c>
      <c r="C82" s="32" t="s">
        <v>12</v>
      </c>
      <c r="D82" s="38">
        <v>63.58</v>
      </c>
      <c r="E82" s="38">
        <v>37229.300999999999</v>
      </c>
      <c r="F82" s="38">
        <v>1.707795E-3</v>
      </c>
      <c r="G82" s="38"/>
      <c r="H82" s="38"/>
      <c r="I82" s="38"/>
      <c r="J82" s="34"/>
      <c r="K82" s="32"/>
      <c r="L82" s="32"/>
      <c r="M82" s="32"/>
      <c r="N82" s="32"/>
      <c r="O82" s="32"/>
      <c r="P82" s="32"/>
      <c r="Q82" s="32"/>
      <c r="R82" s="32" t="s">
        <v>376</v>
      </c>
      <c r="S82" s="32"/>
      <c r="T82" s="32">
        <v>5</v>
      </c>
      <c r="U82" s="32"/>
      <c r="V82" s="32"/>
      <c r="W82" s="32"/>
      <c r="X82" s="32"/>
      <c r="Y82" s="32"/>
      <c r="Z82" s="9" t="s">
        <v>45</v>
      </c>
      <c r="AA82" s="9" t="s">
        <v>47</v>
      </c>
      <c r="AB82" s="9" t="s">
        <v>48</v>
      </c>
      <c r="AC82" s="9" t="s">
        <v>49</v>
      </c>
      <c r="AD82" s="9" t="s">
        <v>50</v>
      </c>
    </row>
    <row r="83" spans="1:30" ht="15.75" thickTop="1" x14ac:dyDescent="0.25">
      <c r="A83" s="33" t="s">
        <v>8</v>
      </c>
      <c r="B83" s="33" t="s">
        <v>112</v>
      </c>
      <c r="C83" s="33" t="s">
        <v>12</v>
      </c>
      <c r="D83" s="39">
        <v>36.292000000000002</v>
      </c>
      <c r="E83" s="39">
        <v>37141.370999999999</v>
      </c>
      <c r="F83" s="39">
        <v>9.7713100000000001E-4</v>
      </c>
      <c r="G83" s="39"/>
      <c r="H83" s="39"/>
      <c r="I83" s="39"/>
      <c r="J83" s="35"/>
      <c r="K83" s="33"/>
      <c r="L83" s="33"/>
      <c r="M83" s="33"/>
      <c r="N83" s="33"/>
      <c r="O83" s="33"/>
      <c r="P83" s="33"/>
      <c r="Q83" s="33"/>
      <c r="R83" s="33" t="s">
        <v>45</v>
      </c>
      <c r="S83" s="33"/>
      <c r="T83" s="33">
        <v>85</v>
      </c>
      <c r="U83" s="33"/>
      <c r="V83" s="33"/>
      <c r="W83" s="33"/>
      <c r="X83" s="33"/>
      <c r="Y83" s="33"/>
      <c r="Z83" s="10">
        <f>$H$85</f>
        <v>120</v>
      </c>
      <c r="AA83" s="49">
        <f>IF(ISTEXT($I$85),TEXT($G$85/100,"0.00%"),$G$85 / 100)</f>
        <v>1.2277531857127819</v>
      </c>
      <c r="AB83" s="11">
        <f>IF(ISTEXT($I$86),TEXT($G$86/100,"0.00%"),$G$86 / 100)</f>
        <v>0.6457143136688227</v>
      </c>
      <c r="AC83" s="11">
        <f>IF(ISTEXT($I$87),TEXT($G$87/100,"0.00%"),$G$87 / 100)</f>
        <v>0.697933935269475</v>
      </c>
      <c r="AD83" s="11">
        <f>IFERROR(AVERAGE($AA$83:$AC$83),"")</f>
        <v>0.85713381155035995</v>
      </c>
    </row>
    <row r="84" spans="1:30" ht="15.75" thickBot="1" x14ac:dyDescent="0.3">
      <c r="A84" s="32" t="s">
        <v>9</v>
      </c>
      <c r="B84" s="32" t="s">
        <v>112</v>
      </c>
      <c r="C84" s="32" t="s">
        <v>12</v>
      </c>
      <c r="D84" s="38">
        <v>41.997</v>
      </c>
      <c r="E84" s="38">
        <v>36262.148000000001</v>
      </c>
      <c r="F84" s="38">
        <v>1.1581499999999999E-3</v>
      </c>
      <c r="G84" s="38"/>
      <c r="H84" s="38"/>
      <c r="I84" s="38"/>
      <c r="J84" s="34"/>
      <c r="K84" s="32"/>
      <c r="L84" s="32"/>
      <c r="M84" s="32"/>
      <c r="N84" s="32"/>
      <c r="O84" s="32"/>
      <c r="P84" s="32"/>
      <c r="Q84" s="32"/>
      <c r="R84" s="32" t="s">
        <v>46</v>
      </c>
      <c r="S84" s="32"/>
      <c r="T84" s="32">
        <v>90</v>
      </c>
      <c r="U84" s="32"/>
      <c r="V84" s="32"/>
      <c r="W84" s="32"/>
      <c r="X84" s="32"/>
      <c r="Y84" s="32"/>
      <c r="Z84" s="12">
        <f>$H$88</f>
        <v>0</v>
      </c>
      <c r="AA84" s="13">
        <f>IF(ISTEXT($I$88),TEXT($G$88/100,"0.00%"),$G$88 / 100)</f>
        <v>1</v>
      </c>
      <c r="AB84" s="13">
        <f>IF(ISTEXT($I$89),TEXT($G$89/100,"0.00%"),$G$89 / 100)</f>
        <v>1</v>
      </c>
      <c r="AC84" s="13">
        <f>IF(ISTEXT($I$90),TEXT($G$90/100,"0.00%"),$G$90 / 100)</f>
        <v>1</v>
      </c>
      <c r="AD84" s="13">
        <f>IFERROR(AVERAGE($AA$84:$AC$84),"")</f>
        <v>1</v>
      </c>
    </row>
    <row r="85" spans="1:30" ht="16.5" thickTop="1" thickBot="1" x14ac:dyDescent="0.3">
      <c r="A85" s="33" t="s">
        <v>358</v>
      </c>
      <c r="B85" s="33" t="s">
        <v>112</v>
      </c>
      <c r="C85" s="33" t="s">
        <v>12</v>
      </c>
      <c r="D85" s="39">
        <v>18770.403999999999</v>
      </c>
      <c r="E85" s="39">
        <v>22275.146000000001</v>
      </c>
      <c r="F85" s="39">
        <v>0.84266132299999996</v>
      </c>
      <c r="G85" s="39">
        <f>($F$85 -  AVERAGE($F$82,$F$83,$F$84) ) / ($F$88 -  AVERAGE($F$82,$F$83,$F$84) ) * 100</f>
        <v>122.77531857127819</v>
      </c>
      <c r="H85" s="39">
        <v>120</v>
      </c>
      <c r="I85" s="40">
        <f>LN($G$85)</f>
        <v>4.8103560066788402</v>
      </c>
      <c r="J85" s="35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>
        <f>IF(ISTEXT($I$85),"",1)</f>
        <v>1</v>
      </c>
      <c r="V85" s="33">
        <f t="shared" ref="V85:V90" si="8">IFERROR(INDEX($H$85:$H$90,SMALL($U$85:$U$90,ROW(W1)),1),"")</f>
        <v>120</v>
      </c>
      <c r="W85" s="33">
        <f t="shared" ref="W85:W90" si="9">IFERROR(INDEX($I$85:$I$90,SMALL($U$85:$U$90,ROW(I1)),1),"")</f>
        <v>4.8103560066788402</v>
      </c>
      <c r="X85" s="33"/>
      <c r="Y85" s="33"/>
    </row>
    <row r="86" spans="1:30" x14ac:dyDescent="0.25">
      <c r="A86" s="32" t="s">
        <v>359</v>
      </c>
      <c r="B86" s="32" t="s">
        <v>112</v>
      </c>
      <c r="C86" s="32" t="s">
        <v>12</v>
      </c>
      <c r="D86" s="38">
        <v>16075.966</v>
      </c>
      <c r="E86" s="38">
        <v>22940.936000000002</v>
      </c>
      <c r="F86" s="38">
        <v>0.70075458099999999</v>
      </c>
      <c r="G86" s="38">
        <f>($F$86 -  AVERAGE($F$82,$F$83,$F$84) ) / ($F$89 -  AVERAGE($F$82,$F$83,$F$84) ) * 100</f>
        <v>64.571431366882265</v>
      </c>
      <c r="H86" s="38">
        <v>120</v>
      </c>
      <c r="I86" s="41">
        <f>LN($G$86)</f>
        <v>4.1677720740693411</v>
      </c>
      <c r="J86" s="34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>
        <f>IF(ISTEXT($I$86),"",2)</f>
        <v>2</v>
      </c>
      <c r="V86" s="32">
        <f t="shared" si="8"/>
        <v>120</v>
      </c>
      <c r="W86" s="32">
        <f t="shared" si="9"/>
        <v>4.1677720740693411</v>
      </c>
      <c r="X86" s="32"/>
      <c r="Y86" s="32"/>
      <c r="Z86" s="20" t="s">
        <v>51</v>
      </c>
      <c r="AA86" s="31">
        <f>IFERROR(SLOPE($W$85:$W$90,$V$85:$V$90),"")</f>
        <v>-1.6440086681619376E-3</v>
      </c>
    </row>
    <row r="87" spans="1:30" x14ac:dyDescent="0.25">
      <c r="A87" s="33" t="s">
        <v>360</v>
      </c>
      <c r="B87" s="33" t="s">
        <v>112</v>
      </c>
      <c r="C87" s="33" t="s">
        <v>12</v>
      </c>
      <c r="D87" s="39">
        <v>16301.245000000001</v>
      </c>
      <c r="E87" s="39">
        <v>24862.974999999999</v>
      </c>
      <c r="F87" s="39">
        <v>0.65564338099999997</v>
      </c>
      <c r="G87" s="39">
        <f>($F$87 -  AVERAGE($F$82,$F$83,$F$84) ) / ($F$90 -  AVERAGE($F$82,$F$83,$F$84) ) * 100</f>
        <v>69.793393526947497</v>
      </c>
      <c r="H87" s="39">
        <v>120</v>
      </c>
      <c r="I87" s="40">
        <f>LN($G$87)</f>
        <v>4.2455393566777966</v>
      </c>
      <c r="J87" s="35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>
        <f>IF(ISTEXT($I$87),"",3)</f>
        <v>3</v>
      </c>
      <c r="V87" s="33">
        <f t="shared" si="8"/>
        <v>120</v>
      </c>
      <c r="W87" s="33">
        <f t="shared" si="9"/>
        <v>4.2455393566777966</v>
      </c>
      <c r="X87" s="33"/>
      <c r="Y87" s="33"/>
      <c r="Z87" s="22" t="s">
        <v>52</v>
      </c>
      <c r="AA87" s="23">
        <f>IFERROR(INTERCEPT($W$85:$W$90,$V$85:$V$90),"")</f>
        <v>4.6051701859880927</v>
      </c>
    </row>
    <row r="88" spans="1:30" ht="17.25" x14ac:dyDescent="0.25">
      <c r="A88" s="32" t="s">
        <v>283</v>
      </c>
      <c r="B88" s="32" t="s">
        <v>112</v>
      </c>
      <c r="C88" s="32" t="s">
        <v>12</v>
      </c>
      <c r="D88" s="38">
        <v>16682.061000000002</v>
      </c>
      <c r="E88" s="38">
        <v>24297.263999999999</v>
      </c>
      <c r="F88" s="38">
        <v>0.68658187199999998</v>
      </c>
      <c r="G88" s="38">
        <f>($F$88 -  AVERAGE($F$82,$F$83,$F$84) ) / ($F$88 -  AVERAGE($F$82,$F$83,$F$84) ) * 100</f>
        <v>100</v>
      </c>
      <c r="H88" s="38">
        <v>0</v>
      </c>
      <c r="I88" s="41">
        <f>LN($G$88)</f>
        <v>4.6051701859880918</v>
      </c>
      <c r="J88" s="34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>
        <f>IF(ISTEXT($I$88),"",4)</f>
        <v>4</v>
      </c>
      <c r="V88" s="32">
        <f t="shared" si="8"/>
        <v>0</v>
      </c>
      <c r="W88" s="32">
        <f t="shared" si="9"/>
        <v>4.6051701859880918</v>
      </c>
      <c r="X88" s="32"/>
      <c r="Y88" s="32"/>
      <c r="Z88" s="22" t="s">
        <v>53</v>
      </c>
      <c r="AA88" s="26">
        <f>IFERROR(CORREL($W$85:$W$90,$V$85:$V$90)^2,"")</f>
        <v>0.19180322469170777</v>
      </c>
    </row>
    <row r="89" spans="1:30" ht="18" x14ac:dyDescent="0.35">
      <c r="A89" s="33" t="s">
        <v>284</v>
      </c>
      <c r="B89" s="33" t="s">
        <v>112</v>
      </c>
      <c r="C89" s="33" t="s">
        <v>12</v>
      </c>
      <c r="D89" s="39">
        <v>28647.886999999999</v>
      </c>
      <c r="E89" s="39">
        <v>26414.866999999998</v>
      </c>
      <c r="F89" s="39">
        <v>1.0845364850000001</v>
      </c>
      <c r="G89" s="39">
        <f>($F$89 -  AVERAGE($F$82,$F$83,$F$84) ) / ($F$89 -  AVERAGE($F$82,$F$83,$F$84) ) * 100</f>
        <v>100</v>
      </c>
      <c r="H89" s="39">
        <v>0</v>
      </c>
      <c r="I89" s="40">
        <f>LN($G$89)</f>
        <v>4.6051701859880918</v>
      </c>
      <c r="J89" s="35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>
        <f>IF(ISTEXT($I$89),"",5)</f>
        <v>5</v>
      </c>
      <c r="V89" s="33">
        <f t="shared" si="8"/>
        <v>0</v>
      </c>
      <c r="W89" s="33">
        <f t="shared" si="9"/>
        <v>4.6051701859880918</v>
      </c>
      <c r="X89" s="33"/>
      <c r="Y89" s="33"/>
      <c r="Z89" s="22" t="s">
        <v>54</v>
      </c>
      <c r="AA89" s="25">
        <f>IF(AA86&gt;0,"",IFERROR(LN(2) /ABS(AA86),0))</f>
        <v>421.62014956703933</v>
      </c>
    </row>
    <row r="90" spans="1:30" ht="18.75" x14ac:dyDescent="0.35">
      <c r="A90" s="32" t="s">
        <v>285</v>
      </c>
      <c r="B90" s="32" t="s">
        <v>112</v>
      </c>
      <c r="C90" s="32" t="s">
        <v>12</v>
      </c>
      <c r="D90" s="38">
        <v>23525.815999999999</v>
      </c>
      <c r="E90" s="38">
        <v>25058.076000000001</v>
      </c>
      <c r="F90" s="38">
        <v>0.93885165000000004</v>
      </c>
      <c r="G90" s="38">
        <f>($F$90 -  AVERAGE($F$82,$F$83,$F$84) ) / ($F$90 -  AVERAGE($F$82,$F$83,$F$84) ) * 100</f>
        <v>100</v>
      </c>
      <c r="H90" s="38">
        <v>0</v>
      </c>
      <c r="I90" s="41">
        <f>LN($G$90)</f>
        <v>4.6051701859880918</v>
      </c>
      <c r="J90" s="34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>
        <f>IF(ISTEXT($I$90),"",6)</f>
        <v>6</v>
      </c>
      <c r="V90" s="32">
        <f t="shared" si="8"/>
        <v>0</v>
      </c>
      <c r="W90" s="32">
        <f t="shared" si="9"/>
        <v>4.6051701859880918</v>
      </c>
      <c r="X90" s="32"/>
      <c r="Y90" s="32"/>
      <c r="Z90" s="22" t="s">
        <v>55</v>
      </c>
      <c r="AA90" s="23">
        <f>IF(AA86&gt;0,0,IFERROR(ABS(AA86 * 1000 / 0.5),0))</f>
        <v>3.2880173363238754</v>
      </c>
    </row>
    <row r="91" spans="1:30" ht="15.75" thickBot="1" x14ac:dyDescent="0.3">
      <c r="A91" s="33"/>
      <c r="B91" s="33"/>
      <c r="C91" s="33"/>
      <c r="D91" s="39"/>
      <c r="E91" s="39"/>
      <c r="F91" s="39"/>
      <c r="G91" s="39"/>
      <c r="H91" s="39"/>
      <c r="I91" s="40"/>
      <c r="J91" s="35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27" t="s">
        <v>39</v>
      </c>
      <c r="AA91" s="28" t="s">
        <v>56</v>
      </c>
    </row>
    <row r="92" spans="1:30" x14ac:dyDescent="0.25">
      <c r="A92" s="32"/>
      <c r="B92" s="32"/>
      <c r="C92" s="32"/>
      <c r="D92" s="38"/>
      <c r="E92" s="38"/>
      <c r="F92" s="38"/>
      <c r="G92" s="38"/>
      <c r="H92" s="38"/>
      <c r="I92" s="41"/>
      <c r="J92" s="34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</row>
    <row r="93" spans="1:30" x14ac:dyDescent="0.25">
      <c r="A93" s="33"/>
      <c r="B93" s="33"/>
      <c r="C93" s="33"/>
      <c r="D93" s="39"/>
      <c r="E93" s="39"/>
      <c r="F93" s="39"/>
      <c r="G93" s="39"/>
      <c r="H93" s="39"/>
      <c r="I93" s="40"/>
      <c r="J93" s="35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</row>
    <row r="94" spans="1:30" x14ac:dyDescent="0.25">
      <c r="A94" s="32"/>
      <c r="B94" s="32"/>
      <c r="C94" s="32"/>
      <c r="D94" s="38"/>
      <c r="E94" s="38"/>
      <c r="F94" s="38"/>
      <c r="G94" s="38"/>
      <c r="H94" s="38"/>
      <c r="I94" s="41"/>
      <c r="J94" s="34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</row>
    <row r="95" spans="1:30" x14ac:dyDescent="0.25">
      <c r="A95" s="33"/>
      <c r="B95" s="33"/>
      <c r="C95" s="33"/>
      <c r="D95" s="39"/>
      <c r="E95" s="39"/>
      <c r="F95" s="39"/>
      <c r="G95" s="39"/>
      <c r="H95" s="39"/>
      <c r="I95" s="40"/>
      <c r="J95" s="35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</row>
    <row r="96" spans="1:30" x14ac:dyDescent="0.25">
      <c r="A96" s="32"/>
      <c r="B96" s="32"/>
      <c r="C96" s="32"/>
      <c r="D96" s="38"/>
      <c r="E96" s="38"/>
      <c r="F96" s="38"/>
      <c r="G96" s="38"/>
      <c r="H96" s="38"/>
      <c r="I96" s="41"/>
      <c r="J96" s="34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</row>
    <row r="97" spans="1:30" x14ac:dyDescent="0.25">
      <c r="A97" s="33"/>
      <c r="B97" s="33"/>
      <c r="C97" s="33"/>
      <c r="D97" s="39"/>
      <c r="E97" s="39"/>
      <c r="F97" s="39"/>
      <c r="G97" s="39"/>
      <c r="H97" s="39"/>
      <c r="I97" s="40"/>
      <c r="J97" s="35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</row>
    <row r="98" spans="1:30" x14ac:dyDescent="0.25">
      <c r="A98" s="32"/>
      <c r="B98" s="32"/>
      <c r="C98" s="32"/>
      <c r="D98" s="38"/>
      <c r="E98" s="38"/>
      <c r="F98" s="38"/>
      <c r="G98" s="38"/>
      <c r="H98" s="38"/>
      <c r="I98" s="41"/>
      <c r="J98" s="34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</row>
    <row r="99" spans="1:30" x14ac:dyDescent="0.25">
      <c r="A99" s="33"/>
      <c r="B99" s="33"/>
      <c r="C99" s="33"/>
      <c r="D99" s="39"/>
      <c r="E99" s="39"/>
      <c r="F99" s="39"/>
      <c r="G99" s="39"/>
      <c r="H99" s="39"/>
      <c r="I99" s="40"/>
      <c r="J99" s="35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</row>
    <row r="100" spans="1:30" x14ac:dyDescent="0.25">
      <c r="A100" s="32"/>
      <c r="B100" s="32"/>
      <c r="C100" s="32"/>
      <c r="D100" s="38"/>
      <c r="E100" s="38"/>
      <c r="F100" s="38"/>
      <c r="G100" s="38"/>
      <c r="H100" s="38"/>
      <c r="I100" s="41"/>
      <c r="J100" s="34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</row>
    <row r="101" spans="1:30" x14ac:dyDescent="0.25">
      <c r="A101" s="33"/>
      <c r="B101" s="33"/>
      <c r="C101" s="33"/>
      <c r="D101" s="39"/>
      <c r="E101" s="39"/>
      <c r="F101" s="39"/>
      <c r="G101" s="39"/>
      <c r="H101" s="39"/>
      <c r="I101" s="39"/>
      <c r="J101" s="35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</row>
    <row r="102" spans="1:30" x14ac:dyDescent="0.25">
      <c r="A102" s="32"/>
      <c r="B102" s="32"/>
      <c r="C102" s="32"/>
      <c r="D102" s="38"/>
      <c r="E102" s="38"/>
      <c r="F102" s="38"/>
      <c r="G102" s="38"/>
      <c r="H102" s="38"/>
      <c r="I102" s="41"/>
      <c r="J102" s="34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</row>
    <row r="103" spans="1:30" ht="15.75" thickBot="1" x14ac:dyDescent="0.3">
      <c r="A103" s="33"/>
      <c r="B103" s="33"/>
      <c r="C103" s="33"/>
      <c r="D103" s="39"/>
      <c r="E103" s="39"/>
      <c r="F103" s="39"/>
      <c r="G103" s="39"/>
      <c r="H103" s="39"/>
      <c r="I103" s="39"/>
      <c r="J103" s="35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</row>
    <row r="104" spans="1:30" ht="16.5" thickTop="1" thickBot="1" x14ac:dyDescent="0.3">
      <c r="A104" s="32" t="s">
        <v>6</v>
      </c>
      <c r="B104" s="32" t="s">
        <v>129</v>
      </c>
      <c r="C104" s="32" t="s">
        <v>13</v>
      </c>
      <c r="D104" s="38">
        <v>1.429</v>
      </c>
      <c r="E104" s="38">
        <v>37229.300999999999</v>
      </c>
      <c r="F104" s="38">
        <v>3.8383700000000003E-5</v>
      </c>
      <c r="G104" s="38"/>
      <c r="H104" s="38"/>
      <c r="I104" s="38"/>
      <c r="J104" s="34"/>
      <c r="K104" s="32"/>
      <c r="L104" s="32"/>
      <c r="M104" s="32"/>
      <c r="N104" s="32"/>
      <c r="O104" s="32"/>
      <c r="P104" s="32"/>
      <c r="Q104" s="32"/>
      <c r="R104" s="32" t="s">
        <v>377</v>
      </c>
      <c r="S104" s="32"/>
      <c r="T104" s="32">
        <v>8</v>
      </c>
      <c r="U104" s="32"/>
      <c r="V104" s="32"/>
      <c r="W104" s="32"/>
      <c r="X104" s="32"/>
      <c r="Y104" s="32"/>
      <c r="Z104" s="9" t="s">
        <v>45</v>
      </c>
      <c r="AA104" s="9" t="s">
        <v>47</v>
      </c>
      <c r="AB104" s="9" t="s">
        <v>48</v>
      </c>
      <c r="AC104" s="9" t="s">
        <v>49</v>
      </c>
      <c r="AD104" s="9" t="s">
        <v>50</v>
      </c>
    </row>
    <row r="105" spans="1:30" ht="15.75" thickTop="1" x14ac:dyDescent="0.25">
      <c r="A105" s="33" t="s">
        <v>8</v>
      </c>
      <c r="B105" s="33" t="s">
        <v>129</v>
      </c>
      <c r="C105" s="33" t="s">
        <v>13</v>
      </c>
      <c r="D105" s="39">
        <v>1</v>
      </c>
      <c r="E105" s="39">
        <v>37141.370999999999</v>
      </c>
      <c r="F105" s="39">
        <v>2.6924154199908239E-5</v>
      </c>
      <c r="G105" s="39"/>
      <c r="H105" s="39"/>
      <c r="I105" s="39"/>
      <c r="J105" s="35"/>
      <c r="K105" s="33"/>
      <c r="L105" s="33"/>
      <c r="M105" s="33"/>
      <c r="N105" s="33"/>
      <c r="O105" s="33"/>
      <c r="P105" s="33"/>
      <c r="Q105" s="33"/>
      <c r="R105" s="33" t="s">
        <v>45</v>
      </c>
      <c r="S105" s="33"/>
      <c r="T105" s="33">
        <v>145</v>
      </c>
      <c r="U105" s="33"/>
      <c r="V105" s="33"/>
      <c r="W105" s="33"/>
      <c r="X105" s="33"/>
      <c r="Y105" s="33"/>
      <c r="Z105" s="10">
        <f>$H$107</f>
        <v>120</v>
      </c>
      <c r="AA105" s="11">
        <f>IF(ISTEXT($I$107),TEXT($G$107/100,"0.00%"),$G$107 / 100)</f>
        <v>0.41168452595951249</v>
      </c>
      <c r="AB105" s="11">
        <f>IF(ISTEXT($I$108),TEXT($G$108/100,"0.00%"),$G$108 / 100)</f>
        <v>0.29701266159139716</v>
      </c>
      <c r="AC105" s="11">
        <f>IF(ISTEXT($I$109),TEXT($G$109/100,"0.00%"),$G$109 / 100)</f>
        <v>0.11814702141872573</v>
      </c>
      <c r="AD105" s="11">
        <f>IFERROR(AVERAGE($AA$105:$AC$105),"")</f>
        <v>0.27561473632321176</v>
      </c>
    </row>
    <row r="106" spans="1:30" ht="15.75" thickBot="1" x14ac:dyDescent="0.3">
      <c r="A106" s="32" t="s">
        <v>9</v>
      </c>
      <c r="B106" s="32" t="s">
        <v>129</v>
      </c>
      <c r="C106" s="32" t="s">
        <v>13</v>
      </c>
      <c r="D106" s="38">
        <v>1.151</v>
      </c>
      <c r="E106" s="38">
        <v>36262.148000000001</v>
      </c>
      <c r="F106" s="38">
        <v>3.17411E-5</v>
      </c>
      <c r="G106" s="38"/>
      <c r="H106" s="38"/>
      <c r="I106" s="38"/>
      <c r="J106" s="34"/>
      <c r="K106" s="32"/>
      <c r="L106" s="32"/>
      <c r="M106" s="32"/>
      <c r="N106" s="32"/>
      <c r="O106" s="32"/>
      <c r="P106" s="32"/>
      <c r="Q106" s="32"/>
      <c r="R106" s="32" t="s">
        <v>46</v>
      </c>
      <c r="S106" s="32"/>
      <c r="T106" s="32">
        <v>150</v>
      </c>
      <c r="U106" s="32"/>
      <c r="V106" s="32"/>
      <c r="W106" s="32"/>
      <c r="X106" s="32"/>
      <c r="Y106" s="32"/>
      <c r="Z106" s="12">
        <f>$H$110</f>
        <v>0</v>
      </c>
      <c r="AA106" s="13">
        <f>IF(ISTEXT($I$110),TEXT($G$110/100,"0.00%"),$G$110 / 100)</f>
        <v>1</v>
      </c>
      <c r="AB106" s="13">
        <f>IF(ISTEXT($I$111),TEXT($G$111/100,"0.00%"),$G$111 / 100)</f>
        <v>1</v>
      </c>
      <c r="AC106" s="13">
        <f>IF(ISTEXT($I$112),TEXT($G$112/100,"0.00%"),$G$112 / 100)</f>
        <v>1</v>
      </c>
      <c r="AD106" s="13">
        <f>IFERROR(AVERAGE($AA$106:$AC$106),"")</f>
        <v>1</v>
      </c>
    </row>
    <row r="107" spans="1:30" ht="16.5" thickTop="1" thickBot="1" x14ac:dyDescent="0.3">
      <c r="A107" s="33" t="s">
        <v>361</v>
      </c>
      <c r="B107" s="33" t="s">
        <v>129</v>
      </c>
      <c r="C107" s="33" t="s">
        <v>13</v>
      </c>
      <c r="D107" s="39">
        <v>82783.656000000003</v>
      </c>
      <c r="E107" s="39">
        <v>27899.888999999999</v>
      </c>
      <c r="F107" s="39">
        <v>2.9671679339999999</v>
      </c>
      <c r="G107" s="39">
        <f>($F$107 -  AVERAGE($F$104,$F$105,$F$106) ) / ($F$110 -  AVERAGE($F$104,$F$105,$F$106) ) * 100</f>
        <v>41.168452595951251</v>
      </c>
      <c r="H107" s="39">
        <v>120</v>
      </c>
      <c r="I107" s="40">
        <f>LN($G$107)</f>
        <v>3.7176722493565126</v>
      </c>
      <c r="J107" s="35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>
        <f>IF(ISTEXT($I$107),"",1)</f>
        <v>1</v>
      </c>
      <c r="V107" s="33">
        <f t="shared" ref="V107:V112" si="10">IFERROR(INDEX($H$107:$H$112,SMALL($U$107:$U$112,ROW(W1)),1),"")</f>
        <v>120</v>
      </c>
      <c r="W107" s="33">
        <f t="shared" ref="W107:W112" si="11">IFERROR(INDEX($I$107:$I$112,SMALL($U$107:$U$112,ROW(I1)),1),"")</f>
        <v>3.7176722493565126</v>
      </c>
      <c r="X107" s="33"/>
      <c r="Y107" s="33"/>
    </row>
    <row r="108" spans="1:30" x14ac:dyDescent="0.25">
      <c r="A108" s="32" t="s">
        <v>362</v>
      </c>
      <c r="B108" s="32" t="s">
        <v>129</v>
      </c>
      <c r="C108" s="32" t="s">
        <v>13</v>
      </c>
      <c r="D108" s="38">
        <v>75815.202999999994</v>
      </c>
      <c r="E108" s="38">
        <v>25855.491999999998</v>
      </c>
      <c r="F108" s="38">
        <v>2.9322668859999999</v>
      </c>
      <c r="G108" s="38">
        <f>($F$108 -  AVERAGE($F$104,$F$105,$F$106) ) / ($F$111 -  AVERAGE($F$104,$F$105,$F$106) ) * 100</f>
        <v>29.701266159139717</v>
      </c>
      <c r="H108" s="38">
        <v>120</v>
      </c>
      <c r="I108" s="41">
        <f>LN($G$108)</f>
        <v>3.3911896765208183</v>
      </c>
      <c r="J108" s="34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>
        <f>IF(ISTEXT($I$108),"",2)</f>
        <v>2</v>
      </c>
      <c r="V108" s="32">
        <f t="shared" si="10"/>
        <v>120</v>
      </c>
      <c r="W108" s="32">
        <f t="shared" si="11"/>
        <v>3.3911896765208183</v>
      </c>
      <c r="X108" s="32"/>
      <c r="Y108" s="32"/>
      <c r="Z108" s="20" t="s">
        <v>51</v>
      </c>
      <c r="AA108" s="29">
        <f>IFERROR(SLOPE($W$107:$W$112,$V$107:$V$112),"")</f>
        <v>-1.1770288699814502E-2</v>
      </c>
    </row>
    <row r="109" spans="1:30" x14ac:dyDescent="0.25">
      <c r="A109" s="33" t="s">
        <v>363</v>
      </c>
      <c r="B109" s="33" t="s">
        <v>129</v>
      </c>
      <c r="C109" s="33" t="s">
        <v>13</v>
      </c>
      <c r="D109" s="39">
        <v>43109.41</v>
      </c>
      <c r="E109" s="39">
        <v>26001.127</v>
      </c>
      <c r="F109" s="39">
        <v>1.657982364</v>
      </c>
      <c r="G109" s="39">
        <f>($F$109 -  AVERAGE($F$104,$F$105,$F$106) ) / ($F$112 -  AVERAGE($F$104,$F$105,$F$106) ) * 100</f>
        <v>11.814702141872573</v>
      </c>
      <c r="H109" s="39">
        <v>120</v>
      </c>
      <c r="I109" s="40">
        <f>LN($G$109)</f>
        <v>2.4693447001537239</v>
      </c>
      <c r="J109" s="35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>
        <f>IF(ISTEXT($I$109),"",3)</f>
        <v>3</v>
      </c>
      <c r="V109" s="33">
        <f t="shared" si="10"/>
        <v>120</v>
      </c>
      <c r="W109" s="33">
        <f t="shared" si="11"/>
        <v>2.4693447001537239</v>
      </c>
      <c r="X109" s="33"/>
      <c r="Y109" s="33"/>
      <c r="Z109" s="22" t="s">
        <v>52</v>
      </c>
      <c r="AA109" s="23">
        <f>IFERROR(INTERCEPT($W$107:$W$112,$V$107:$V$112),"")</f>
        <v>4.6051701859880918</v>
      </c>
    </row>
    <row r="110" spans="1:30" ht="17.25" x14ac:dyDescent="0.25">
      <c r="A110" s="32" t="s">
        <v>298</v>
      </c>
      <c r="B110" s="32" t="s">
        <v>129</v>
      </c>
      <c r="C110" s="32" t="s">
        <v>13</v>
      </c>
      <c r="D110" s="38">
        <v>187592.45300000001</v>
      </c>
      <c r="E110" s="38">
        <v>26027.986000000001</v>
      </c>
      <c r="F110" s="38">
        <v>7.2073364800000004</v>
      </c>
      <c r="G110" s="38">
        <f>($F$110 -  AVERAGE($F$104,$F$105,$F$106) ) / ($F$110 -  AVERAGE($F$104,$F$105,$F$106) ) * 100</f>
        <v>100</v>
      </c>
      <c r="H110" s="38">
        <v>0</v>
      </c>
      <c r="I110" s="41">
        <f>LN($G$110)</f>
        <v>4.6051701859880918</v>
      </c>
      <c r="J110" s="34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>
        <f>IF(ISTEXT($I$110),"",4)</f>
        <v>4</v>
      </c>
      <c r="V110" s="32">
        <f t="shared" si="10"/>
        <v>0</v>
      </c>
      <c r="W110" s="32">
        <f t="shared" si="11"/>
        <v>4.6051701859880918</v>
      </c>
      <c r="X110" s="32"/>
      <c r="Y110" s="32"/>
      <c r="Z110" s="22" t="s">
        <v>53</v>
      </c>
      <c r="AA110" s="26">
        <f>IFERROR(CORREL($W$107:$W$112,$V$107:$V$112)^2,"")</f>
        <v>0.78117886031192441</v>
      </c>
    </row>
    <row r="111" spans="1:30" ht="18" x14ac:dyDescent="0.35">
      <c r="A111" s="33" t="s">
        <v>299</v>
      </c>
      <c r="B111" s="33" t="s">
        <v>129</v>
      </c>
      <c r="C111" s="33" t="s">
        <v>13</v>
      </c>
      <c r="D111" s="39">
        <v>317052.90600000002</v>
      </c>
      <c r="E111" s="39">
        <v>32114.9</v>
      </c>
      <c r="F111" s="39">
        <v>9.8724550289999993</v>
      </c>
      <c r="G111" s="39">
        <f>($F$111 -  AVERAGE($F$104,$F$105,$F$106) ) / ($F$111 -  AVERAGE($F$104,$F$105,$F$106) ) * 100</f>
        <v>100</v>
      </c>
      <c r="H111" s="39">
        <v>0</v>
      </c>
      <c r="I111" s="40">
        <f>LN($G$111)</f>
        <v>4.6051701859880918</v>
      </c>
      <c r="J111" s="35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>
        <f>IF(ISTEXT($I$111),"",5)</f>
        <v>5</v>
      </c>
      <c r="V111" s="33">
        <f t="shared" si="10"/>
        <v>0</v>
      </c>
      <c r="W111" s="33">
        <f t="shared" si="11"/>
        <v>4.6051701859880918</v>
      </c>
      <c r="X111" s="33"/>
      <c r="Y111" s="33"/>
      <c r="Z111" s="22" t="s">
        <v>54</v>
      </c>
      <c r="AA111" s="30">
        <f>IF(AA108&gt;0,"",IFERROR(LN(2) /ABS(AA108),0))</f>
        <v>58.88956492382971</v>
      </c>
    </row>
    <row r="112" spans="1:30" ht="18.75" x14ac:dyDescent="0.35">
      <c r="A112" s="32" t="s">
        <v>300</v>
      </c>
      <c r="B112" s="32" t="s">
        <v>129</v>
      </c>
      <c r="C112" s="32" t="s">
        <v>13</v>
      </c>
      <c r="D112" s="38">
        <v>365075.46899999998</v>
      </c>
      <c r="E112" s="38">
        <v>26015.548999999999</v>
      </c>
      <c r="F112" s="38">
        <v>14.032971939999999</v>
      </c>
      <c r="G112" s="38">
        <f>($F$112 -  AVERAGE($F$104,$F$105,$F$106) ) / ($F$112 -  AVERAGE($F$104,$F$105,$F$106) ) * 100</f>
        <v>100</v>
      </c>
      <c r="H112" s="38">
        <v>0</v>
      </c>
      <c r="I112" s="41">
        <f>LN($G$112)</f>
        <v>4.6051701859880918</v>
      </c>
      <c r="J112" s="34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>
        <f>IF(ISTEXT($I$112),"",6)</f>
        <v>6</v>
      </c>
      <c r="V112" s="32">
        <f t="shared" si="10"/>
        <v>0</v>
      </c>
      <c r="W112" s="32">
        <f t="shared" si="11"/>
        <v>4.6051701859880918</v>
      </c>
      <c r="X112" s="32"/>
      <c r="Y112" s="32"/>
      <c r="Z112" s="22" t="s">
        <v>55</v>
      </c>
      <c r="AA112" s="30">
        <f>IF(AA108&gt;0,0,IFERROR(ABS(AA108 * 1000 / 0.5),0))</f>
        <v>23.540577399629004</v>
      </c>
    </row>
    <row r="113" spans="1:30" ht="15.75" thickBot="1" x14ac:dyDescent="0.3">
      <c r="A113" s="33"/>
      <c r="B113" s="33"/>
      <c r="C113" s="33"/>
      <c r="D113" s="39"/>
      <c r="E113" s="39"/>
      <c r="F113" s="39"/>
      <c r="G113" s="39"/>
      <c r="H113" s="39"/>
      <c r="I113" s="40"/>
      <c r="J113" s="35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27" t="s">
        <v>39</v>
      </c>
      <c r="AA113" s="28" t="s">
        <v>56</v>
      </c>
    </row>
    <row r="114" spans="1:30" x14ac:dyDescent="0.25">
      <c r="A114" s="32"/>
      <c r="B114" s="32"/>
      <c r="C114" s="32"/>
      <c r="D114" s="38"/>
      <c r="E114" s="38"/>
      <c r="F114" s="38"/>
      <c r="G114" s="38"/>
      <c r="H114" s="38"/>
      <c r="I114" s="41"/>
      <c r="J114" s="34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</row>
    <row r="115" spans="1:30" x14ac:dyDescent="0.25">
      <c r="A115" s="33"/>
      <c r="B115" s="33"/>
      <c r="C115" s="33"/>
      <c r="D115" s="39"/>
      <c r="E115" s="39"/>
      <c r="F115" s="39"/>
      <c r="G115" s="39"/>
      <c r="H115" s="39"/>
      <c r="I115" s="40"/>
      <c r="J115" s="35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30" x14ac:dyDescent="0.25">
      <c r="A116" s="32"/>
      <c r="B116" s="32"/>
      <c r="C116" s="32"/>
      <c r="D116" s="38"/>
      <c r="E116" s="38"/>
      <c r="F116" s="38"/>
      <c r="G116" s="38"/>
      <c r="H116" s="38"/>
      <c r="I116" s="41"/>
      <c r="J116" s="34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</row>
    <row r="117" spans="1:30" x14ac:dyDescent="0.25">
      <c r="A117" s="33"/>
      <c r="B117" s="33"/>
      <c r="C117" s="33"/>
      <c r="D117" s="39"/>
      <c r="E117" s="39"/>
      <c r="F117" s="39"/>
      <c r="G117" s="39"/>
      <c r="H117" s="39"/>
      <c r="I117" s="40"/>
      <c r="J117" s="35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</row>
    <row r="118" spans="1:30" x14ac:dyDescent="0.25">
      <c r="A118" s="32"/>
      <c r="B118" s="32"/>
      <c r="C118" s="32"/>
      <c r="D118" s="38"/>
      <c r="E118" s="38"/>
      <c r="F118" s="38"/>
      <c r="G118" s="38"/>
      <c r="H118" s="38"/>
      <c r="I118" s="41"/>
      <c r="J118" s="34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</row>
    <row r="119" spans="1:30" x14ac:dyDescent="0.25">
      <c r="A119" s="33"/>
      <c r="B119" s="33"/>
      <c r="C119" s="33"/>
      <c r="D119" s="39"/>
      <c r="E119" s="39"/>
      <c r="F119" s="39"/>
      <c r="G119" s="39"/>
      <c r="H119" s="39"/>
      <c r="I119" s="40"/>
      <c r="J119" s="35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</row>
    <row r="120" spans="1:30" x14ac:dyDescent="0.25">
      <c r="A120" s="32"/>
      <c r="B120" s="32"/>
      <c r="C120" s="32"/>
      <c r="D120" s="38"/>
      <c r="E120" s="38"/>
      <c r="F120" s="38"/>
      <c r="G120" s="38"/>
      <c r="H120" s="38"/>
      <c r="I120" s="41"/>
      <c r="J120" s="34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</row>
    <row r="121" spans="1:30" x14ac:dyDescent="0.25">
      <c r="A121" s="33"/>
      <c r="B121" s="33"/>
      <c r="C121" s="33"/>
      <c r="D121" s="39"/>
      <c r="E121" s="39"/>
      <c r="F121" s="39"/>
      <c r="G121" s="39"/>
      <c r="H121" s="39"/>
      <c r="I121" s="40"/>
      <c r="J121" s="35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</row>
    <row r="122" spans="1:30" x14ac:dyDescent="0.25">
      <c r="A122" s="32"/>
      <c r="B122" s="32"/>
      <c r="C122" s="32"/>
      <c r="D122" s="38"/>
      <c r="E122" s="38"/>
      <c r="F122" s="38"/>
      <c r="G122" s="38"/>
      <c r="H122" s="38"/>
      <c r="I122" s="41"/>
      <c r="J122" s="34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</row>
    <row r="123" spans="1:30" ht="15.75" thickBot="1" x14ac:dyDescent="0.3">
      <c r="A123" s="33"/>
      <c r="B123" s="33"/>
      <c r="C123" s="33"/>
      <c r="D123" s="39"/>
      <c r="E123" s="39"/>
      <c r="F123" s="39"/>
      <c r="G123" s="39"/>
      <c r="H123" s="39"/>
      <c r="I123" s="39"/>
      <c r="J123" s="35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</row>
    <row r="124" spans="1:30" ht="16.5" thickTop="1" thickBot="1" x14ac:dyDescent="0.3">
      <c r="A124" s="32" t="s">
        <v>6</v>
      </c>
      <c r="B124" s="32" t="s">
        <v>146</v>
      </c>
      <c r="C124" s="32" t="s">
        <v>14</v>
      </c>
      <c r="D124" s="38">
        <v>1</v>
      </c>
      <c r="E124" s="38">
        <v>37229.300999999999</v>
      </c>
      <c r="F124" s="38">
        <v>2.6860563404077881E-5</v>
      </c>
      <c r="G124" s="38"/>
      <c r="H124" s="38"/>
      <c r="I124" s="38"/>
      <c r="J124" s="34"/>
      <c r="K124" s="32"/>
      <c r="L124" s="32"/>
      <c r="M124" s="32"/>
      <c r="N124" s="32"/>
      <c r="O124" s="32"/>
      <c r="P124" s="32"/>
      <c r="Q124" s="32"/>
      <c r="R124" s="32" t="s">
        <v>378</v>
      </c>
      <c r="S124" s="32"/>
      <c r="T124" s="32">
        <v>9</v>
      </c>
      <c r="U124" s="32"/>
      <c r="V124" s="32"/>
      <c r="W124" s="32"/>
      <c r="X124" s="32"/>
      <c r="Y124" s="32"/>
      <c r="Z124" s="9" t="s">
        <v>45</v>
      </c>
      <c r="AA124" s="9" t="s">
        <v>47</v>
      </c>
      <c r="AB124" s="9" t="s">
        <v>48</v>
      </c>
      <c r="AC124" s="9" t="s">
        <v>49</v>
      </c>
      <c r="AD124" s="9" t="s">
        <v>50</v>
      </c>
    </row>
    <row r="125" spans="1:30" ht="15.75" thickTop="1" x14ac:dyDescent="0.25">
      <c r="A125" s="33" t="s">
        <v>8</v>
      </c>
      <c r="B125" s="33" t="s">
        <v>146</v>
      </c>
      <c r="C125" s="33" t="s">
        <v>14</v>
      </c>
      <c r="D125" s="39">
        <v>1.4930000000000001</v>
      </c>
      <c r="E125" s="39">
        <v>37141.370999999999</v>
      </c>
      <c r="F125" s="39">
        <v>4.0197800000000003E-5</v>
      </c>
      <c r="G125" s="39"/>
      <c r="H125" s="39"/>
      <c r="I125" s="39"/>
      <c r="J125" s="35"/>
      <c r="K125" s="33"/>
      <c r="L125" s="33"/>
      <c r="M125" s="33"/>
      <c r="N125" s="33"/>
      <c r="O125" s="33"/>
      <c r="P125" s="33"/>
      <c r="Q125" s="33"/>
      <c r="R125" s="33" t="s">
        <v>45</v>
      </c>
      <c r="S125" s="33"/>
      <c r="T125" s="33">
        <v>165</v>
      </c>
      <c r="U125" s="33"/>
      <c r="V125" s="33"/>
      <c r="W125" s="33"/>
      <c r="X125" s="33"/>
      <c r="Y125" s="33"/>
      <c r="Z125" s="10">
        <f>$H$127</f>
        <v>120</v>
      </c>
      <c r="AA125" s="11">
        <f>IF(ISTEXT($I$127),TEXT($G$127/100,"0.00%"),$G$127 / 100)</f>
        <v>0.73540108689396855</v>
      </c>
      <c r="AB125" s="11">
        <f>IF(ISTEXT($I$128),TEXT($G$128/100,"0.00%"),$G$128 / 100)</f>
        <v>0.78987762641637249</v>
      </c>
      <c r="AC125" s="11">
        <f>IF(ISTEXT($I$129),TEXT($G$129/100,"0.00%"),$G$129 / 100)</f>
        <v>0.46912537924160447</v>
      </c>
      <c r="AD125" s="11">
        <f>IFERROR(AVERAGE($AA$125:$AC$125),"")</f>
        <v>0.66480136418398184</v>
      </c>
    </row>
    <row r="126" spans="1:30" ht="15.75" thickBot="1" x14ac:dyDescent="0.3">
      <c r="A126" s="32" t="s">
        <v>9</v>
      </c>
      <c r="B126" s="32" t="s">
        <v>146</v>
      </c>
      <c r="C126" s="32" t="s">
        <v>14</v>
      </c>
      <c r="D126" s="38">
        <v>2.0790000000000002</v>
      </c>
      <c r="E126" s="38">
        <v>36262.148000000001</v>
      </c>
      <c r="F126" s="38">
        <v>5.73325E-5</v>
      </c>
      <c r="G126" s="38"/>
      <c r="H126" s="38"/>
      <c r="I126" s="38"/>
      <c r="J126" s="34"/>
      <c r="K126" s="32"/>
      <c r="L126" s="32"/>
      <c r="M126" s="32"/>
      <c r="N126" s="32"/>
      <c r="O126" s="32"/>
      <c r="P126" s="32"/>
      <c r="Q126" s="32"/>
      <c r="R126" s="32" t="s">
        <v>46</v>
      </c>
      <c r="S126" s="32"/>
      <c r="T126" s="32">
        <v>170</v>
      </c>
      <c r="U126" s="32"/>
      <c r="V126" s="32"/>
      <c r="W126" s="32"/>
      <c r="X126" s="32"/>
      <c r="Y126" s="32"/>
      <c r="Z126" s="12">
        <f>$H$130</f>
        <v>0</v>
      </c>
      <c r="AA126" s="13">
        <f>IF(ISTEXT($I$130),TEXT($G$130/100,"0.00%"),$G$130 / 100)</f>
        <v>1</v>
      </c>
      <c r="AB126" s="13">
        <f>IF(ISTEXT($I$131),TEXT($G$131/100,"0.00%"),$G$131 / 100)</f>
        <v>1</v>
      </c>
      <c r="AC126" s="13">
        <f>IF(ISTEXT($I$132),TEXT($G$132/100,"0.00%"),$G$132 / 100)</f>
        <v>1</v>
      </c>
      <c r="AD126" s="13">
        <f>IFERROR(AVERAGE($AA$126:$AC$126),"")</f>
        <v>1</v>
      </c>
    </row>
    <row r="127" spans="1:30" ht="16.5" thickTop="1" thickBot="1" x14ac:dyDescent="0.3">
      <c r="A127" s="33" t="s">
        <v>364</v>
      </c>
      <c r="B127" s="33" t="s">
        <v>146</v>
      </c>
      <c r="C127" s="33" t="s">
        <v>14</v>
      </c>
      <c r="D127" s="39">
        <v>131017.641</v>
      </c>
      <c r="E127" s="39">
        <v>30200.988000000001</v>
      </c>
      <c r="F127" s="39">
        <v>4.3381905590000001</v>
      </c>
      <c r="G127" s="39">
        <f>($F$127 -  AVERAGE($F$124,$F$125,$F$126) ) / ($F$130 -  AVERAGE($F$124,$F$125,$F$126) ) * 100</f>
        <v>73.54010868939686</v>
      </c>
      <c r="H127" s="39">
        <v>120</v>
      </c>
      <c r="I127" s="40">
        <f>LN($G$127)</f>
        <v>4.2978309538350041</v>
      </c>
      <c r="J127" s="35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>
        <f>IF(ISTEXT($I$127),"",1)</f>
        <v>1</v>
      </c>
      <c r="V127" s="33">
        <f t="shared" ref="V127:V132" si="12">IFERROR(INDEX($H$127:$H$132,SMALL($U$127:$U$132,ROW(W1)),1),"")</f>
        <v>120</v>
      </c>
      <c r="W127" s="33">
        <f t="shared" ref="W127:W132" si="13">IFERROR(INDEX($I$127:$I$132,SMALL($U$127:$U$132,ROW(I1)),1),"")</f>
        <v>4.2978309538350041</v>
      </c>
      <c r="X127" s="33"/>
      <c r="Y127" s="33"/>
    </row>
    <row r="128" spans="1:30" x14ac:dyDescent="0.25">
      <c r="A128" s="32" t="s">
        <v>365</v>
      </c>
      <c r="B128" s="32" t="s">
        <v>146</v>
      </c>
      <c r="C128" s="32" t="s">
        <v>14</v>
      </c>
      <c r="D128" s="38">
        <v>117929.31299999999</v>
      </c>
      <c r="E128" s="38">
        <v>25593.625</v>
      </c>
      <c r="F128" s="38">
        <v>4.6077612300000004</v>
      </c>
      <c r="G128" s="38">
        <f>($F$128 -  AVERAGE($F$124,$F$125,$F$126) ) / ($F$131 -  AVERAGE($F$124,$F$125,$F$126) ) * 100</f>
        <v>78.987762641637246</v>
      </c>
      <c r="H128" s="38">
        <v>120</v>
      </c>
      <c r="I128" s="41">
        <f>LN($G$128)</f>
        <v>4.3692929371978559</v>
      </c>
      <c r="J128" s="34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>
        <f>IF(ISTEXT($I$128),"",2)</f>
        <v>2</v>
      </c>
      <c r="V128" s="32">
        <f t="shared" si="12"/>
        <v>120</v>
      </c>
      <c r="W128" s="32">
        <f t="shared" si="13"/>
        <v>4.3692929371978559</v>
      </c>
      <c r="X128" s="32"/>
      <c r="Y128" s="32"/>
      <c r="Z128" s="20" t="s">
        <v>51</v>
      </c>
      <c r="AA128" s="31">
        <f>IFERROR(SLOPE($W$127:$W$132,$V$127:$V$132),"")</f>
        <v>-3.6113935946349117E-3</v>
      </c>
    </row>
    <row r="129" spans="1:30" x14ac:dyDescent="0.25">
      <c r="A129" s="33" t="s">
        <v>366</v>
      </c>
      <c r="B129" s="33" t="s">
        <v>146</v>
      </c>
      <c r="C129" s="33" t="s">
        <v>14</v>
      </c>
      <c r="D129" s="39">
        <v>97874.031000000003</v>
      </c>
      <c r="E129" s="39">
        <v>27307.699000000001</v>
      </c>
      <c r="F129" s="39">
        <v>3.584118567</v>
      </c>
      <c r="G129" s="39">
        <f>($F$129 -  AVERAGE($F$124,$F$125,$F$126) ) / ($F$132 -  AVERAGE($F$124,$F$125,$F$126) ) * 100</f>
        <v>46.912537924160446</v>
      </c>
      <c r="H129" s="39">
        <v>120</v>
      </c>
      <c r="I129" s="40">
        <f>LN($G$129)</f>
        <v>3.8482849728628472</v>
      </c>
      <c r="J129" s="35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>
        <f>IF(ISTEXT($I$129),"",3)</f>
        <v>3</v>
      </c>
      <c r="V129" s="33">
        <f t="shared" si="12"/>
        <v>120</v>
      </c>
      <c r="W129" s="33">
        <f t="shared" si="13"/>
        <v>3.8482849728628472</v>
      </c>
      <c r="X129" s="33"/>
      <c r="Y129" s="33"/>
      <c r="Z129" s="22" t="s">
        <v>52</v>
      </c>
      <c r="AA129" s="23">
        <f>IFERROR(INTERCEPT($W$127:$W$132,$V$127:$V$132),"")</f>
        <v>4.6051701859880927</v>
      </c>
    </row>
    <row r="130" spans="1:30" ht="17.25" x14ac:dyDescent="0.25">
      <c r="A130" s="32" t="s">
        <v>313</v>
      </c>
      <c r="B130" s="32" t="s">
        <v>146</v>
      </c>
      <c r="C130" s="32" t="s">
        <v>14</v>
      </c>
      <c r="D130" s="38">
        <v>156957.766</v>
      </c>
      <c r="E130" s="38">
        <v>26607.223000000002</v>
      </c>
      <c r="F130" s="38">
        <v>5.8990660540000004</v>
      </c>
      <c r="G130" s="38">
        <f>($F$130 -  AVERAGE($F$124,$F$125,$F$126) ) / ($F$130 -  AVERAGE($F$124,$F$125,$F$126) ) * 100</f>
        <v>100</v>
      </c>
      <c r="H130" s="38">
        <v>0</v>
      </c>
      <c r="I130" s="41">
        <f>LN($G$130)</f>
        <v>4.6051701859880918</v>
      </c>
      <c r="J130" s="34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>
        <f>IF(ISTEXT($I$130),"",4)</f>
        <v>4</v>
      </c>
      <c r="V130" s="32">
        <f t="shared" si="12"/>
        <v>0</v>
      </c>
      <c r="W130" s="32">
        <f t="shared" si="13"/>
        <v>4.6051701859880918</v>
      </c>
      <c r="X130" s="32"/>
      <c r="Y130" s="32"/>
      <c r="Z130" s="22" t="s">
        <v>53</v>
      </c>
      <c r="AA130" s="26">
        <f>IFERROR(CORREL($W$127:$W$132,$V$127:$V$132)^2,"")</f>
        <v>0.63842350287847693</v>
      </c>
    </row>
    <row r="131" spans="1:30" ht="18" x14ac:dyDescent="0.35">
      <c r="A131" s="33" t="s">
        <v>314</v>
      </c>
      <c r="B131" s="33" t="s">
        <v>146</v>
      </c>
      <c r="C131" s="33" t="s">
        <v>14</v>
      </c>
      <c r="D131" s="39">
        <v>167100.15599999999</v>
      </c>
      <c r="E131" s="39">
        <v>28644.914000000001</v>
      </c>
      <c r="F131" s="39">
        <v>5.8335017520000001</v>
      </c>
      <c r="G131" s="39">
        <f>($F$131 -  AVERAGE($F$124,$F$125,$F$126) ) / ($F$131 -  AVERAGE($F$124,$F$125,$F$126) ) * 100</f>
        <v>100</v>
      </c>
      <c r="H131" s="39">
        <v>0</v>
      </c>
      <c r="I131" s="40">
        <f>LN($G$131)</f>
        <v>4.6051701859880918</v>
      </c>
      <c r="J131" s="35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>
        <f>IF(ISTEXT($I$131),"",5)</f>
        <v>5</v>
      </c>
      <c r="V131" s="33">
        <f t="shared" si="12"/>
        <v>0</v>
      </c>
      <c r="W131" s="33">
        <f t="shared" si="13"/>
        <v>4.6051701859880918</v>
      </c>
      <c r="X131" s="33"/>
      <c r="Y131" s="33"/>
      <c r="Z131" s="22" t="s">
        <v>54</v>
      </c>
      <c r="AA131" s="25">
        <f>IF(AA128&gt;0,"",IFERROR(LN(2) /ABS(AA128),0))</f>
        <v>191.93343577661685</v>
      </c>
    </row>
    <row r="132" spans="1:30" ht="18.75" x14ac:dyDescent="0.35">
      <c r="A132" s="32" t="s">
        <v>315</v>
      </c>
      <c r="B132" s="32" t="s">
        <v>146</v>
      </c>
      <c r="C132" s="32" t="s">
        <v>14</v>
      </c>
      <c r="D132" s="38">
        <v>221834.78099999999</v>
      </c>
      <c r="E132" s="38">
        <v>29036.138999999999</v>
      </c>
      <c r="F132" s="38">
        <v>7.6399545059999996</v>
      </c>
      <c r="G132" s="38">
        <f>($F$132 -  AVERAGE($F$124,$F$125,$F$126) ) / ($F$132 -  AVERAGE($F$124,$F$125,$F$126) ) * 100</f>
        <v>100</v>
      </c>
      <c r="H132" s="38">
        <v>0</v>
      </c>
      <c r="I132" s="41">
        <f>LN($G$132)</f>
        <v>4.6051701859880918</v>
      </c>
      <c r="J132" s="34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>
        <f>IF(ISTEXT($I$132),"",6)</f>
        <v>6</v>
      </c>
      <c r="V132" s="32">
        <f t="shared" si="12"/>
        <v>0</v>
      </c>
      <c r="W132" s="32">
        <f t="shared" si="13"/>
        <v>4.6051701859880918</v>
      </c>
      <c r="X132" s="32"/>
      <c r="Y132" s="32"/>
      <c r="Z132" s="22" t="s">
        <v>55</v>
      </c>
      <c r="AA132" s="23">
        <f>IF(AA128&gt;0,0,IFERROR(ABS(AA128 * 1000 / 0.5),0))</f>
        <v>7.2227871892698232</v>
      </c>
    </row>
    <row r="133" spans="1:30" ht="15.75" thickBot="1" x14ac:dyDescent="0.3">
      <c r="A133" s="33"/>
      <c r="B133" s="33"/>
      <c r="C133" s="33"/>
      <c r="D133" s="39"/>
      <c r="E133" s="39"/>
      <c r="F133" s="39"/>
      <c r="G133" s="39"/>
      <c r="H133" s="39"/>
      <c r="I133" s="40"/>
      <c r="J133" s="35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27" t="s">
        <v>39</v>
      </c>
      <c r="AA133" s="28" t="s">
        <v>56</v>
      </c>
    </row>
    <row r="134" spans="1:30" x14ac:dyDescent="0.25">
      <c r="A134" s="32"/>
      <c r="B134" s="32"/>
      <c r="C134" s="32"/>
      <c r="D134" s="38"/>
      <c r="E134" s="38"/>
      <c r="F134" s="38"/>
      <c r="G134" s="38"/>
      <c r="H134" s="38"/>
      <c r="I134" s="41"/>
      <c r="J134" s="34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</row>
    <row r="135" spans="1:30" x14ac:dyDescent="0.25">
      <c r="A135" s="33"/>
      <c r="B135" s="33"/>
      <c r="C135" s="33"/>
      <c r="D135" s="39"/>
      <c r="E135" s="39"/>
      <c r="F135" s="39"/>
      <c r="G135" s="39"/>
      <c r="H135" s="39"/>
      <c r="I135" s="40"/>
      <c r="J135" s="35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</row>
    <row r="136" spans="1:30" x14ac:dyDescent="0.25">
      <c r="A136" s="32"/>
      <c r="B136" s="32"/>
      <c r="C136" s="32"/>
      <c r="D136" s="38"/>
      <c r="E136" s="38"/>
      <c r="F136" s="38"/>
      <c r="G136" s="38"/>
      <c r="H136" s="38"/>
      <c r="I136" s="41"/>
      <c r="J136" s="34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</row>
    <row r="137" spans="1:30" x14ac:dyDescent="0.25">
      <c r="A137" s="33"/>
      <c r="B137" s="33"/>
      <c r="C137" s="33"/>
      <c r="D137" s="39"/>
      <c r="E137" s="39"/>
      <c r="F137" s="39"/>
      <c r="G137" s="39"/>
      <c r="H137" s="39"/>
      <c r="I137" s="40"/>
      <c r="J137" s="35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</row>
    <row r="138" spans="1:30" x14ac:dyDescent="0.25">
      <c r="A138" s="32"/>
      <c r="B138" s="32"/>
      <c r="C138" s="32"/>
      <c r="D138" s="38"/>
      <c r="E138" s="38"/>
      <c r="F138" s="38"/>
      <c r="G138" s="38"/>
      <c r="H138" s="38"/>
      <c r="I138" s="41"/>
      <c r="J138" s="34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</row>
    <row r="139" spans="1:30" x14ac:dyDescent="0.25">
      <c r="A139" s="33"/>
      <c r="B139" s="33"/>
      <c r="C139" s="33"/>
      <c r="D139" s="39"/>
      <c r="E139" s="39"/>
      <c r="F139" s="39"/>
      <c r="G139" s="39"/>
      <c r="H139" s="39"/>
      <c r="I139" s="40"/>
      <c r="J139" s="35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</row>
    <row r="140" spans="1:30" x14ac:dyDescent="0.25">
      <c r="A140" s="32"/>
      <c r="B140" s="32"/>
      <c r="C140" s="32"/>
      <c r="D140" s="38"/>
      <c r="E140" s="38"/>
      <c r="F140" s="38"/>
      <c r="G140" s="38"/>
      <c r="H140" s="38"/>
      <c r="I140" s="41"/>
      <c r="J140" s="34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</row>
    <row r="141" spans="1:30" x14ac:dyDescent="0.25">
      <c r="A141" s="33"/>
      <c r="B141" s="33"/>
      <c r="C141" s="33"/>
      <c r="D141" s="39"/>
      <c r="E141" s="39"/>
      <c r="F141" s="39"/>
      <c r="G141" s="39"/>
      <c r="H141" s="39"/>
      <c r="I141" s="40"/>
      <c r="J141" s="35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</row>
    <row r="142" spans="1:30" x14ac:dyDescent="0.25">
      <c r="A142" s="32"/>
      <c r="B142" s="32"/>
      <c r="C142" s="32"/>
      <c r="D142" s="38"/>
      <c r="E142" s="38"/>
      <c r="F142" s="38"/>
      <c r="G142" s="38"/>
      <c r="H142" s="38"/>
      <c r="I142" s="41"/>
      <c r="J142" s="34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</row>
    <row r="143" spans="1:30" ht="15.75" thickBot="1" x14ac:dyDescent="0.3">
      <c r="A143" s="33"/>
      <c r="B143" s="33"/>
      <c r="C143" s="33"/>
      <c r="D143" s="39"/>
      <c r="E143" s="39"/>
      <c r="F143" s="39"/>
      <c r="G143" s="39"/>
      <c r="H143" s="39"/>
      <c r="I143" s="39"/>
      <c r="J143" s="35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</row>
    <row r="144" spans="1:30" ht="16.5" thickTop="1" thickBot="1" x14ac:dyDescent="0.3">
      <c r="A144" s="32" t="s">
        <v>6</v>
      </c>
      <c r="B144" s="32" t="s">
        <v>163</v>
      </c>
      <c r="C144" s="32" t="s">
        <v>15</v>
      </c>
      <c r="D144" s="38">
        <v>1</v>
      </c>
      <c r="E144" s="38">
        <v>37229.300999999999</v>
      </c>
      <c r="F144" s="38">
        <v>2.6860563404077881E-5</v>
      </c>
      <c r="G144" s="38"/>
      <c r="H144" s="38"/>
      <c r="I144" s="38"/>
      <c r="J144" s="34"/>
      <c r="K144" s="32"/>
      <c r="L144" s="32"/>
      <c r="M144" s="32"/>
      <c r="N144" s="32"/>
      <c r="O144" s="32"/>
      <c r="P144" s="32"/>
      <c r="Q144" s="32"/>
      <c r="R144" s="32" t="s">
        <v>379</v>
      </c>
      <c r="S144" s="32"/>
      <c r="T144" s="32">
        <v>10</v>
      </c>
      <c r="U144" s="32"/>
      <c r="V144" s="32"/>
      <c r="W144" s="32"/>
      <c r="X144" s="32"/>
      <c r="Y144" s="32"/>
      <c r="Z144" s="9" t="s">
        <v>45</v>
      </c>
      <c r="AA144" s="9" t="s">
        <v>47</v>
      </c>
      <c r="AB144" s="9" t="s">
        <v>48</v>
      </c>
      <c r="AC144" s="9" t="s">
        <v>49</v>
      </c>
      <c r="AD144" s="9" t="s">
        <v>50</v>
      </c>
    </row>
    <row r="145" spans="1:30" ht="15.75" thickTop="1" x14ac:dyDescent="0.25">
      <c r="A145" s="33" t="s">
        <v>8</v>
      </c>
      <c r="B145" s="33" t="s">
        <v>163</v>
      </c>
      <c r="C145" s="33" t="s">
        <v>15</v>
      </c>
      <c r="D145" s="39">
        <v>2.5590000000000002</v>
      </c>
      <c r="E145" s="39">
        <v>37141.370999999999</v>
      </c>
      <c r="F145" s="39">
        <v>6.8898899999999999E-5</v>
      </c>
      <c r="G145" s="39"/>
      <c r="H145" s="39"/>
      <c r="I145" s="39"/>
      <c r="J145" s="35"/>
      <c r="K145" s="33"/>
      <c r="L145" s="33"/>
      <c r="M145" s="33"/>
      <c r="N145" s="33"/>
      <c r="O145" s="33"/>
      <c r="P145" s="33"/>
      <c r="Q145" s="33"/>
      <c r="R145" s="33" t="s">
        <v>45</v>
      </c>
      <c r="S145" s="33"/>
      <c r="T145" s="33">
        <v>185</v>
      </c>
      <c r="U145" s="33"/>
      <c r="V145" s="33"/>
      <c r="W145" s="33"/>
      <c r="X145" s="33"/>
      <c r="Y145" s="33"/>
      <c r="Z145" s="10">
        <f>$H$147</f>
        <v>120</v>
      </c>
      <c r="AA145" s="11">
        <f>IF(ISTEXT($I$147),TEXT($G$147/100,"0.00%"),$G$147 / 100)</f>
        <v>0.488703935803734</v>
      </c>
      <c r="AB145" s="11">
        <f>IF(ISTEXT($I$148),TEXT($G$148/100,"0.00%"),$G$148 / 100)</f>
        <v>0.79877278693764064</v>
      </c>
      <c r="AC145" s="11">
        <f>IF(ISTEXT($I$149),TEXT($G$149/100,"0.00%"),$G$149 / 100)</f>
        <v>0.73515758008640608</v>
      </c>
      <c r="AD145" s="11">
        <f>IFERROR(AVERAGE($AA$145:$AC$145),"")</f>
        <v>0.67421143427592689</v>
      </c>
    </row>
    <row r="146" spans="1:30" ht="15.75" thickBot="1" x14ac:dyDescent="0.3">
      <c r="A146" s="32" t="s">
        <v>9</v>
      </c>
      <c r="B146" s="32" t="s">
        <v>163</v>
      </c>
      <c r="C146" s="32" t="s">
        <v>15</v>
      </c>
      <c r="D146" s="38">
        <v>1.5329999999999999</v>
      </c>
      <c r="E146" s="38">
        <v>36262.148000000001</v>
      </c>
      <c r="F146" s="38">
        <v>4.2275499999999999E-5</v>
      </c>
      <c r="G146" s="38"/>
      <c r="H146" s="38"/>
      <c r="I146" s="38"/>
      <c r="J146" s="34"/>
      <c r="K146" s="32"/>
      <c r="L146" s="32"/>
      <c r="M146" s="32"/>
      <c r="N146" s="32"/>
      <c r="O146" s="32"/>
      <c r="P146" s="32"/>
      <c r="Q146" s="32"/>
      <c r="R146" s="32" t="s">
        <v>46</v>
      </c>
      <c r="S146" s="32"/>
      <c r="T146" s="32">
        <v>190</v>
      </c>
      <c r="U146" s="32"/>
      <c r="V146" s="32"/>
      <c r="W146" s="32"/>
      <c r="X146" s="32"/>
      <c r="Y146" s="32"/>
      <c r="Z146" s="12">
        <f>$H$150</f>
        <v>0</v>
      </c>
      <c r="AA146" s="13">
        <f>IF(ISTEXT($I$150),TEXT($G$150/100,"0.00%"),$G$150 / 100)</f>
        <v>1</v>
      </c>
      <c r="AB146" s="13">
        <f>IF(ISTEXT($I$151),TEXT($G$151/100,"0.00%"),$G$151 / 100)</f>
        <v>1</v>
      </c>
      <c r="AC146" s="13">
        <f>IF(ISTEXT($I$152),TEXT($G$152/100,"0.00%"),$G$152 / 100)</f>
        <v>1</v>
      </c>
      <c r="AD146" s="13">
        <f>IFERROR(AVERAGE($AA$146:$AC$146),"")</f>
        <v>1</v>
      </c>
    </row>
    <row r="147" spans="1:30" ht="16.5" thickTop="1" thickBot="1" x14ac:dyDescent="0.3">
      <c r="A147" s="33" t="s">
        <v>367</v>
      </c>
      <c r="B147" s="33" t="s">
        <v>163</v>
      </c>
      <c r="C147" s="33" t="s">
        <v>15</v>
      </c>
      <c r="D147" s="39">
        <v>90235.172000000006</v>
      </c>
      <c r="E147" s="39">
        <v>27899.888999999999</v>
      </c>
      <c r="F147" s="39">
        <v>3.2342484229999999</v>
      </c>
      <c r="G147" s="39">
        <f>($F$147 -  AVERAGE($F$144,$F$145,$F$146) ) / ($F$150 -  AVERAGE($F$144,$F$145,$F$146) ) * 100</f>
        <v>48.870393580373403</v>
      </c>
      <c r="H147" s="39">
        <v>120</v>
      </c>
      <c r="I147" s="40">
        <f>LN($G$147)</f>
        <v>3.8891717648688968</v>
      </c>
      <c r="J147" s="35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>
        <f>IF(ISTEXT($I$147),"",1)</f>
        <v>1</v>
      </c>
      <c r="V147" s="33">
        <f t="shared" ref="V147:V152" si="14">IFERROR(INDEX($H$147:$H$152,SMALL($U$147:$U$152,ROW(W1)),1),"")</f>
        <v>120</v>
      </c>
      <c r="W147" s="33">
        <f t="shared" ref="W147:W152" si="15">IFERROR(INDEX($I$147:$I$152,SMALL($U$147:$U$152,ROW(I1)),1),"")</f>
        <v>3.8891717648688968</v>
      </c>
      <c r="X147" s="33"/>
      <c r="Y147" s="33"/>
    </row>
    <row r="148" spans="1:30" x14ac:dyDescent="0.25">
      <c r="A148" s="32" t="s">
        <v>368</v>
      </c>
      <c r="B148" s="32" t="s">
        <v>163</v>
      </c>
      <c r="C148" s="32" t="s">
        <v>15</v>
      </c>
      <c r="D148" s="38">
        <v>111443.016</v>
      </c>
      <c r="E148" s="38">
        <v>25855.491999999998</v>
      </c>
      <c r="F148" s="38">
        <v>4.3102260829999999</v>
      </c>
      <c r="G148" s="38">
        <f>($F$148 -  AVERAGE($F$144,$F$145,$F$146) ) / ($F$151 -  AVERAGE($F$144,$F$145,$F$146) ) * 100</f>
        <v>79.877278693764069</v>
      </c>
      <c r="H148" s="38">
        <v>120</v>
      </c>
      <c r="I148" s="41">
        <f>LN($G$148)</f>
        <v>4.380491440538214</v>
      </c>
      <c r="J148" s="34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>
        <f>IF(ISTEXT($I$148),"",2)</f>
        <v>2</v>
      </c>
      <c r="V148" s="32">
        <f t="shared" si="14"/>
        <v>120</v>
      </c>
      <c r="W148" s="32">
        <f t="shared" si="15"/>
        <v>4.380491440538214</v>
      </c>
      <c r="X148" s="32"/>
      <c r="Y148" s="32"/>
      <c r="Z148" s="20" t="s">
        <v>51</v>
      </c>
      <c r="AA148" s="31">
        <f>IFERROR(SLOPE($W$147:$W$152,$V$147:$V$152),"")</f>
        <v>-3.4676321517840146E-3</v>
      </c>
    </row>
    <row r="149" spans="1:30" x14ac:dyDescent="0.25">
      <c r="A149" s="33" t="s">
        <v>369</v>
      </c>
      <c r="B149" s="33" t="s">
        <v>163</v>
      </c>
      <c r="C149" s="33" t="s">
        <v>15</v>
      </c>
      <c r="D149" s="39">
        <v>107516.68</v>
      </c>
      <c r="E149" s="39">
        <v>26001.127</v>
      </c>
      <c r="F149" s="39">
        <v>4.1350776829999996</v>
      </c>
      <c r="G149" s="39">
        <f>($F$149 -  AVERAGE($F$144,$F$145,$F$146) ) / ($F$152 -  AVERAGE($F$144,$F$145,$F$146) ) * 100</f>
        <v>73.515758008640603</v>
      </c>
      <c r="H149" s="39">
        <v>120</v>
      </c>
      <c r="I149" s="40">
        <f>LN($G$149)</f>
        <v>4.2974997779149193</v>
      </c>
      <c r="J149" s="35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>
        <f>IF(ISTEXT($I$149),"",3)</f>
        <v>3</v>
      </c>
      <c r="V149" s="33">
        <f t="shared" si="14"/>
        <v>120</v>
      </c>
      <c r="W149" s="33">
        <f t="shared" si="15"/>
        <v>4.2974997779149193</v>
      </c>
      <c r="X149" s="33"/>
      <c r="Y149" s="33"/>
      <c r="Z149" s="22" t="s">
        <v>52</v>
      </c>
      <c r="AA149" s="23">
        <f>IFERROR(INTERCEPT($W$147:$W$152,$V$147:$V$152),"")</f>
        <v>4.6051701859880927</v>
      </c>
    </row>
    <row r="150" spans="1:30" ht="17.25" x14ac:dyDescent="0.25">
      <c r="A150" s="32" t="s">
        <v>328</v>
      </c>
      <c r="B150" s="32" t="s">
        <v>163</v>
      </c>
      <c r="C150" s="32" t="s">
        <v>15</v>
      </c>
      <c r="D150" s="38">
        <v>172252.266</v>
      </c>
      <c r="E150" s="38">
        <v>26027.986000000001</v>
      </c>
      <c r="F150" s="38">
        <v>6.6179636799999999</v>
      </c>
      <c r="G150" s="38">
        <f>($F$150 -  AVERAGE($F$144,$F$145,$F$146) ) / ($F$150 -  AVERAGE($F$144,$F$145,$F$146) ) * 100</f>
        <v>100</v>
      </c>
      <c r="H150" s="38">
        <v>0</v>
      </c>
      <c r="I150" s="41">
        <f>LN($G$150)</f>
        <v>4.6051701859880918</v>
      </c>
      <c r="J150" s="34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>
        <f>IF(ISTEXT($I$150),"",4)</f>
        <v>4</v>
      </c>
      <c r="V150" s="32">
        <f t="shared" si="14"/>
        <v>0</v>
      </c>
      <c r="W150" s="32">
        <f t="shared" si="15"/>
        <v>4.6051701859880918</v>
      </c>
      <c r="X150" s="32"/>
      <c r="Y150" s="32"/>
      <c r="Z150" s="22" t="s">
        <v>53</v>
      </c>
      <c r="AA150" s="26">
        <f>IFERROR(CORREL($W$147:$W$152,$V$147:$V$152)^2,"")</f>
        <v>0.65247502700582438</v>
      </c>
    </row>
    <row r="151" spans="1:30" ht="18" x14ac:dyDescent="0.35">
      <c r="A151" s="33" t="s">
        <v>329</v>
      </c>
      <c r="B151" s="33" t="s">
        <v>163</v>
      </c>
      <c r="C151" s="33" t="s">
        <v>15</v>
      </c>
      <c r="D151" s="39">
        <v>173293.56299999999</v>
      </c>
      <c r="E151" s="39">
        <v>32114.9</v>
      </c>
      <c r="F151" s="39">
        <v>5.3960486569999997</v>
      </c>
      <c r="G151" s="39">
        <f>($F$151 -  AVERAGE($F$144,$F$145,$F$146) ) / ($F$151 -  AVERAGE($F$144,$F$145,$F$146) ) * 100</f>
        <v>100</v>
      </c>
      <c r="H151" s="39">
        <v>0</v>
      </c>
      <c r="I151" s="40">
        <f>LN($G$151)</f>
        <v>4.6051701859880918</v>
      </c>
      <c r="J151" s="35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>
        <f>IF(ISTEXT($I$151),"",5)</f>
        <v>5</v>
      </c>
      <c r="V151" s="33">
        <f t="shared" si="14"/>
        <v>0</v>
      </c>
      <c r="W151" s="33">
        <f t="shared" si="15"/>
        <v>4.6051701859880918</v>
      </c>
      <c r="X151" s="33"/>
      <c r="Y151" s="33"/>
      <c r="Z151" s="22" t="s">
        <v>54</v>
      </c>
      <c r="AA151" s="25">
        <f>IF(AA148&gt;0,"",IFERROR(LN(2) /ABS(AA148),0))</f>
        <v>199.89063147985217</v>
      </c>
    </row>
    <row r="152" spans="1:30" ht="18.75" x14ac:dyDescent="0.35">
      <c r="A152" s="32" t="s">
        <v>330</v>
      </c>
      <c r="B152" s="32" t="s">
        <v>163</v>
      </c>
      <c r="C152" s="32" t="s">
        <v>15</v>
      </c>
      <c r="D152" s="38">
        <v>146330.53099999999</v>
      </c>
      <c r="E152" s="38">
        <v>26015.548999999999</v>
      </c>
      <c r="F152" s="38">
        <v>5.6247335390000002</v>
      </c>
      <c r="G152" s="38">
        <f>($F$152 -  AVERAGE($F$144,$F$145,$F$146) ) / ($F$152 -  AVERAGE($F$144,$F$145,$F$146) ) * 100</f>
        <v>100</v>
      </c>
      <c r="H152" s="38">
        <v>0</v>
      </c>
      <c r="I152" s="41">
        <f>LN($G$152)</f>
        <v>4.6051701859880918</v>
      </c>
      <c r="J152" s="34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>
        <f>IF(ISTEXT($I$152),"",6)</f>
        <v>6</v>
      </c>
      <c r="V152" s="32">
        <f t="shared" si="14"/>
        <v>0</v>
      </c>
      <c r="W152" s="32">
        <f t="shared" si="15"/>
        <v>4.6051701859880918</v>
      </c>
      <c r="X152" s="32"/>
      <c r="Y152" s="32"/>
      <c r="Z152" s="22" t="s">
        <v>55</v>
      </c>
      <c r="AA152" s="23">
        <f>IF(AA148&gt;0,0,IFERROR(ABS(AA148 * 1000 / 0.5),0))</f>
        <v>6.9352643035680295</v>
      </c>
    </row>
    <row r="153" spans="1:30" ht="15.75" thickBot="1" x14ac:dyDescent="0.3">
      <c r="A153" s="33"/>
      <c r="B153" s="33"/>
      <c r="C153" s="33"/>
      <c r="D153" s="39"/>
      <c r="E153" s="39"/>
      <c r="F153" s="39"/>
      <c r="G153" s="39"/>
      <c r="H153" s="39"/>
      <c r="I153" s="40"/>
      <c r="J153" s="35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27" t="s">
        <v>39</v>
      </c>
      <c r="AA153" s="28" t="s">
        <v>56</v>
      </c>
    </row>
    <row r="154" spans="1:30" x14ac:dyDescent="0.25">
      <c r="A154" s="32"/>
      <c r="B154" s="32"/>
      <c r="C154" s="32"/>
      <c r="D154" s="38"/>
      <c r="E154" s="38"/>
      <c r="F154" s="38"/>
      <c r="G154" s="38"/>
      <c r="H154" s="38"/>
      <c r="I154" s="41"/>
      <c r="J154" s="34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</row>
    <row r="155" spans="1:30" x14ac:dyDescent="0.25">
      <c r="A155" s="33"/>
      <c r="B155" s="33"/>
      <c r="C155" s="33"/>
      <c r="D155" s="39"/>
      <c r="E155" s="39"/>
      <c r="F155" s="39"/>
      <c r="G155" s="39"/>
      <c r="H155" s="39"/>
      <c r="I155" s="40"/>
      <c r="J155" s="35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</row>
    <row r="156" spans="1:30" x14ac:dyDescent="0.25">
      <c r="A156" s="32"/>
      <c r="B156" s="32"/>
      <c r="C156" s="32"/>
      <c r="D156" s="38"/>
      <c r="E156" s="38"/>
      <c r="F156" s="38"/>
      <c r="G156" s="38"/>
      <c r="H156" s="38"/>
      <c r="I156" s="41"/>
      <c r="J156" s="34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</row>
    <row r="157" spans="1:30" x14ac:dyDescent="0.25">
      <c r="A157" s="33"/>
      <c r="B157" s="33"/>
      <c r="C157" s="33"/>
      <c r="D157" s="39"/>
      <c r="E157" s="39"/>
      <c r="F157" s="39"/>
      <c r="G157" s="39"/>
      <c r="H157" s="39"/>
      <c r="I157" s="40"/>
      <c r="J157" s="35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</row>
    <row r="158" spans="1:30" x14ac:dyDescent="0.25">
      <c r="A158" s="32"/>
      <c r="B158" s="32"/>
      <c r="C158" s="32"/>
      <c r="D158" s="38"/>
      <c r="E158" s="38"/>
      <c r="F158" s="38"/>
      <c r="G158" s="38"/>
      <c r="H158" s="38"/>
      <c r="I158" s="41"/>
      <c r="J158" s="34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</row>
    <row r="159" spans="1:30" x14ac:dyDescent="0.25">
      <c r="A159" s="33"/>
      <c r="B159" s="33"/>
      <c r="C159" s="33"/>
      <c r="D159" s="39"/>
      <c r="E159" s="39"/>
      <c r="F159" s="39"/>
      <c r="G159" s="39"/>
      <c r="H159" s="39"/>
      <c r="I159" s="40"/>
      <c r="J159" s="35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</row>
    <row r="160" spans="1:30" x14ac:dyDescent="0.25">
      <c r="A160" s="32"/>
      <c r="B160" s="32"/>
      <c r="C160" s="32"/>
      <c r="D160" s="38"/>
      <c r="E160" s="38"/>
      <c r="F160" s="38"/>
      <c r="G160" s="38"/>
      <c r="H160" s="38"/>
      <c r="I160" s="41"/>
      <c r="J160" s="34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</row>
    <row r="161" spans="1:30" x14ac:dyDescent="0.25">
      <c r="A161" s="33"/>
      <c r="B161" s="33"/>
      <c r="C161" s="33"/>
      <c r="D161" s="39"/>
      <c r="E161" s="39"/>
      <c r="F161" s="39"/>
      <c r="G161" s="39"/>
      <c r="H161" s="39"/>
      <c r="I161" s="40"/>
      <c r="J161" s="35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</row>
    <row r="162" spans="1:30" x14ac:dyDescent="0.25">
      <c r="A162" s="32"/>
      <c r="B162" s="32"/>
      <c r="C162" s="32"/>
      <c r="D162" s="38"/>
      <c r="E162" s="38"/>
      <c r="F162" s="38"/>
      <c r="G162" s="38"/>
      <c r="H162" s="38"/>
      <c r="I162" s="41"/>
      <c r="J162" s="34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</row>
    <row r="163" spans="1:30" ht="15.75" thickBot="1" x14ac:dyDescent="0.3">
      <c r="A163" s="33"/>
      <c r="B163" s="33"/>
      <c r="C163" s="33"/>
      <c r="D163" s="39"/>
      <c r="E163" s="39"/>
      <c r="F163" s="39"/>
      <c r="G163" s="39"/>
      <c r="H163" s="39"/>
      <c r="I163" s="39"/>
      <c r="J163" s="35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</row>
    <row r="164" spans="1:30" ht="16.5" thickTop="1" thickBot="1" x14ac:dyDescent="0.3">
      <c r="A164" s="32" t="s">
        <v>6</v>
      </c>
      <c r="B164" s="32" t="s">
        <v>16</v>
      </c>
      <c r="C164" s="32" t="s">
        <v>17</v>
      </c>
      <c r="D164" s="38">
        <v>1</v>
      </c>
      <c r="E164" s="38">
        <v>37229.300999999999</v>
      </c>
      <c r="F164" s="38">
        <v>2.6860563404077881E-5</v>
      </c>
      <c r="G164" s="38"/>
      <c r="H164" s="38"/>
      <c r="I164" s="38"/>
      <c r="J164" s="34"/>
      <c r="K164" s="32"/>
      <c r="L164" s="32"/>
      <c r="M164" s="32"/>
      <c r="N164" s="32"/>
      <c r="O164" s="32"/>
      <c r="P164" s="32"/>
      <c r="Q164" s="32"/>
      <c r="R164" s="32" t="s">
        <v>380</v>
      </c>
      <c r="S164" s="32"/>
      <c r="T164" s="32">
        <v>11</v>
      </c>
      <c r="U164" s="32"/>
      <c r="V164" s="32"/>
      <c r="W164" s="32"/>
      <c r="X164" s="32"/>
      <c r="Y164" s="32"/>
      <c r="Z164" s="9" t="s">
        <v>45</v>
      </c>
      <c r="AA164" s="9" t="s">
        <v>47</v>
      </c>
      <c r="AB164" s="9" t="s">
        <v>48</v>
      </c>
      <c r="AC164" s="9" t="s">
        <v>49</v>
      </c>
      <c r="AD164" s="9" t="s">
        <v>50</v>
      </c>
    </row>
    <row r="165" spans="1:30" ht="15.75" thickTop="1" x14ac:dyDescent="0.25">
      <c r="A165" s="33" t="s">
        <v>8</v>
      </c>
      <c r="B165" s="33" t="s">
        <v>16</v>
      </c>
      <c r="C165" s="33" t="s">
        <v>17</v>
      </c>
      <c r="D165" s="39">
        <v>1</v>
      </c>
      <c r="E165" s="39">
        <v>37141.370999999999</v>
      </c>
      <c r="F165" s="39">
        <v>2.6924154199908239E-5</v>
      </c>
      <c r="G165" s="39"/>
      <c r="H165" s="39"/>
      <c r="I165" s="39"/>
      <c r="J165" s="35"/>
      <c r="K165" s="33"/>
      <c r="L165" s="33"/>
      <c r="M165" s="33"/>
      <c r="N165" s="33"/>
      <c r="O165" s="33"/>
      <c r="P165" s="33"/>
      <c r="Q165" s="33"/>
      <c r="R165" s="33" t="s">
        <v>45</v>
      </c>
      <c r="S165" s="33"/>
      <c r="T165" s="33">
        <v>205</v>
      </c>
      <c r="U165" s="33"/>
      <c r="V165" s="33"/>
      <c r="W165" s="33"/>
      <c r="X165" s="33"/>
      <c r="Y165" s="33"/>
      <c r="Z165" s="10">
        <f>$H$167</f>
        <v>120</v>
      </c>
      <c r="AA165" s="11">
        <f>IF(ISTEXT($I$167),TEXT($G$167/100,"0.00%"),$G$167 / 100)</f>
        <v>0.30464403510454469</v>
      </c>
      <c r="AB165" s="11">
        <f>IF(ISTEXT($I$168),TEXT($G$168/100,"0.00%"),$G$168 / 100)</f>
        <v>0.97593816918472709</v>
      </c>
      <c r="AC165" s="11">
        <f>IF(ISTEXT($I$169),TEXT($G$169/100,"0.00%"),$G$169 / 100)</f>
        <v>0.78896054956075579</v>
      </c>
      <c r="AD165" s="11">
        <f>IFERROR(AVERAGE($AA$165:$AC$165),"")</f>
        <v>0.68984758461667584</v>
      </c>
    </row>
    <row r="166" spans="1:30" ht="15.75" thickBot="1" x14ac:dyDescent="0.3">
      <c r="A166" s="32" t="s">
        <v>9</v>
      </c>
      <c r="B166" s="32" t="s">
        <v>16</v>
      </c>
      <c r="C166" s="32" t="s">
        <v>17</v>
      </c>
      <c r="D166" s="38">
        <v>1.5289999999999999</v>
      </c>
      <c r="E166" s="38">
        <v>36262.148000000001</v>
      </c>
      <c r="F166" s="38">
        <v>4.2165200000000001E-5</v>
      </c>
      <c r="G166" s="38"/>
      <c r="H166" s="38"/>
      <c r="I166" s="38"/>
      <c r="J166" s="34"/>
      <c r="K166" s="32"/>
      <c r="L166" s="32"/>
      <c r="M166" s="32"/>
      <c r="N166" s="32"/>
      <c r="O166" s="32"/>
      <c r="P166" s="32"/>
      <c r="Q166" s="32"/>
      <c r="R166" s="32" t="s">
        <v>46</v>
      </c>
      <c r="S166" s="32"/>
      <c r="T166" s="32">
        <v>210</v>
      </c>
      <c r="U166" s="32"/>
      <c r="V166" s="32"/>
      <c r="W166" s="32"/>
      <c r="X166" s="32"/>
      <c r="Y166" s="32"/>
      <c r="Z166" s="12">
        <f>$H$170</f>
        <v>0</v>
      </c>
      <c r="AA166" s="13">
        <f>IF(ISTEXT($I$170),TEXT($G$170/100,"0.00%"),$G$170 / 100)</f>
        <v>1</v>
      </c>
      <c r="AB166" s="13">
        <f>IF(ISTEXT($I$171),TEXT($G$171/100,"0.00%"),$G$171 / 100)</f>
        <v>1</v>
      </c>
      <c r="AC166" s="13">
        <f>IF(ISTEXT($I$172),TEXT($G$172/100,"0.00%"),$G$172 / 100)</f>
        <v>1</v>
      </c>
      <c r="AD166" s="13">
        <f>IFERROR(AVERAGE($AA$166:$AC$166),"")</f>
        <v>1</v>
      </c>
    </row>
    <row r="167" spans="1:30" ht="16.5" thickTop="1" thickBot="1" x14ac:dyDescent="0.3">
      <c r="A167" s="33" t="s">
        <v>370</v>
      </c>
      <c r="B167" s="33" t="s">
        <v>16</v>
      </c>
      <c r="C167" s="33" t="s">
        <v>17</v>
      </c>
      <c r="D167" s="39">
        <v>144919.18799999999</v>
      </c>
      <c r="E167" s="39">
        <v>29668.594000000001</v>
      </c>
      <c r="F167" s="39">
        <v>4.8845991150000003</v>
      </c>
      <c r="G167" s="39">
        <f>($F$167 -  AVERAGE($F$164,$F$165,$F$166) ) / ($F$170 -  AVERAGE($F$164,$F$165,$F$166) ) * 100</f>
        <v>30.464403510454467</v>
      </c>
      <c r="H167" s="39">
        <v>120</v>
      </c>
      <c r="I167" s="40">
        <f>LN($G$167)</f>
        <v>3.4165589040062154</v>
      </c>
      <c r="J167" s="35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>
        <f>IF(ISTEXT($I$167),"",1)</f>
        <v>1</v>
      </c>
      <c r="V167" s="33">
        <f t="shared" ref="V167:V172" si="16">IFERROR(INDEX($H$167:$H$172,SMALL($U$167:$U$172,ROW(W1)),1),"")</f>
        <v>120</v>
      </c>
      <c r="W167" s="33">
        <f t="shared" ref="W167:W172" si="17">IFERROR(INDEX($I$167:$I$172,SMALL($U$167:$U$172,ROW(I1)),1),"")</f>
        <v>3.4165589040062154</v>
      </c>
      <c r="X167" s="33"/>
      <c r="Y167" s="33"/>
    </row>
    <row r="168" spans="1:30" x14ac:dyDescent="0.25">
      <c r="A168" s="32" t="s">
        <v>371</v>
      </c>
      <c r="B168" s="32" t="s">
        <v>16</v>
      </c>
      <c r="C168" s="32" t="s">
        <v>17</v>
      </c>
      <c r="D168" s="38">
        <v>238733.516</v>
      </c>
      <c r="E168" s="38">
        <v>28617.383000000002</v>
      </c>
      <c r="F168" s="38">
        <v>8.3422553350000008</v>
      </c>
      <c r="G168" s="38">
        <f>($F$168 -  AVERAGE($F$164,$F$165,$F$166) ) / ($F$171 -  AVERAGE($F$164,$F$165,$F$166) ) * 100</f>
        <v>97.593816918472712</v>
      </c>
      <c r="H168" s="38">
        <v>120</v>
      </c>
      <c r="I168" s="41">
        <f>LN($G$168)</f>
        <v>4.5808141401671154</v>
      </c>
      <c r="J168" s="34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>
        <f>IF(ISTEXT($I$168),"",2)</f>
        <v>2</v>
      </c>
      <c r="V168" s="32">
        <f t="shared" si="16"/>
        <v>120</v>
      </c>
      <c r="W168" s="32">
        <f t="shared" si="17"/>
        <v>4.5808141401671154</v>
      </c>
      <c r="X168" s="32"/>
      <c r="Y168" s="32"/>
      <c r="Z168" s="20" t="s">
        <v>51</v>
      </c>
      <c r="AA168" s="31">
        <f>IFERROR(SLOPE($W$167:$W$172,$V$167:$V$172),"")</f>
        <v>-4.0277952437385986E-3</v>
      </c>
    </row>
    <row r="169" spans="1:30" x14ac:dyDescent="0.25">
      <c r="A169" s="33" t="s">
        <v>372</v>
      </c>
      <c r="B169" s="33" t="s">
        <v>16</v>
      </c>
      <c r="C169" s="33" t="s">
        <v>17</v>
      </c>
      <c r="D169" s="39">
        <v>174578.40599999999</v>
      </c>
      <c r="E169" s="39">
        <v>26574.002</v>
      </c>
      <c r="F169" s="39">
        <v>6.5695188099999999</v>
      </c>
      <c r="G169" s="39">
        <f>($F$169 -  AVERAGE($F$164,$F$165,$F$166) ) / ($F$172 -  AVERAGE($F$164,$F$165,$F$166) ) * 100</f>
        <v>78.896054956075574</v>
      </c>
      <c r="H169" s="39">
        <v>120</v>
      </c>
      <c r="I169" s="40">
        <f>LN($G$169)</f>
        <v>4.3681312260450493</v>
      </c>
      <c r="J169" s="35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>
        <f>IF(ISTEXT($I$169),"",3)</f>
        <v>3</v>
      </c>
      <c r="V169" s="33">
        <f t="shared" si="16"/>
        <v>120</v>
      </c>
      <c r="W169" s="33">
        <f t="shared" si="17"/>
        <v>4.3681312260450493</v>
      </c>
      <c r="X169" s="33"/>
      <c r="Y169" s="33"/>
      <c r="Z169" s="22" t="s">
        <v>52</v>
      </c>
      <c r="AA169" s="23">
        <f>IFERROR(INTERCEPT($W$167:$W$172,$V$167:$V$172),"")</f>
        <v>4.6051701859880927</v>
      </c>
    </row>
    <row r="170" spans="1:30" ht="17.25" x14ac:dyDescent="0.25">
      <c r="A170" s="32" t="s">
        <v>343</v>
      </c>
      <c r="B170" s="32" t="s">
        <v>16</v>
      </c>
      <c r="C170" s="32" t="s">
        <v>17</v>
      </c>
      <c r="D170" s="38">
        <v>493418.03100000002</v>
      </c>
      <c r="E170" s="38">
        <v>30773.773000000001</v>
      </c>
      <c r="F170" s="38">
        <v>16.03371907</v>
      </c>
      <c r="G170" s="38">
        <f>($F$170 -  AVERAGE($F$164,$F$165,$F$166) ) / ($F$170 -  AVERAGE($F$164,$F$165,$F$166) ) * 100</f>
        <v>100</v>
      </c>
      <c r="H170" s="38">
        <v>0</v>
      </c>
      <c r="I170" s="41">
        <f>LN($G$170)</f>
        <v>4.6051701859880918</v>
      </c>
      <c r="J170" s="34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>
        <f>IF(ISTEXT($I$170),"",4)</f>
        <v>4</v>
      </c>
      <c r="V170" s="32">
        <f t="shared" si="16"/>
        <v>0</v>
      </c>
      <c r="W170" s="32">
        <f t="shared" si="17"/>
        <v>4.6051701859880918</v>
      </c>
      <c r="X170" s="32"/>
      <c r="Y170" s="32"/>
      <c r="Z170" s="22" t="s">
        <v>53</v>
      </c>
      <c r="AA170" s="26">
        <f>IFERROR(CORREL($W$167:$W$172,$V$167:$V$172)^2,"")</f>
        <v>0.31311019631168208</v>
      </c>
    </row>
    <row r="171" spans="1:30" ht="18" x14ac:dyDescent="0.35">
      <c r="A171" s="33" t="s">
        <v>344</v>
      </c>
      <c r="B171" s="33" t="s">
        <v>16</v>
      </c>
      <c r="C171" s="33" t="s">
        <v>17</v>
      </c>
      <c r="D171" s="39">
        <v>260599.609</v>
      </c>
      <c r="E171" s="39">
        <v>30486.855</v>
      </c>
      <c r="F171" s="39">
        <v>8.5479334950000005</v>
      </c>
      <c r="G171" s="39">
        <f>($F$171 -  AVERAGE($F$164,$F$165,$F$166) ) / ($F$171 -  AVERAGE($F$164,$F$165,$F$166) ) * 100</f>
        <v>100</v>
      </c>
      <c r="H171" s="39">
        <v>0</v>
      </c>
      <c r="I171" s="40">
        <f>LN($G$171)</f>
        <v>4.6051701859880918</v>
      </c>
      <c r="J171" s="35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>
        <f>IF(ISTEXT($I$171),"",5)</f>
        <v>5</v>
      </c>
      <c r="V171" s="33">
        <f t="shared" si="16"/>
        <v>0</v>
      </c>
      <c r="W171" s="33">
        <f t="shared" si="17"/>
        <v>4.6051701859880918</v>
      </c>
      <c r="X171" s="33"/>
      <c r="Y171" s="33"/>
      <c r="Z171" s="22" t="s">
        <v>54</v>
      </c>
      <c r="AA171" s="25">
        <f>IF(AA168&gt;0,"",IFERROR(LN(2) /ABS(AA168),0))</f>
        <v>172.09096754296931</v>
      </c>
    </row>
    <row r="172" spans="1:30" ht="18.75" x14ac:dyDescent="0.35">
      <c r="A172" s="32" t="s">
        <v>345</v>
      </c>
      <c r="B172" s="32" t="s">
        <v>16</v>
      </c>
      <c r="C172" s="32" t="s">
        <v>17</v>
      </c>
      <c r="D172" s="38">
        <v>274947.71899999998</v>
      </c>
      <c r="E172" s="38">
        <v>33019.637000000002</v>
      </c>
      <c r="F172" s="38">
        <v>8.3267941140000001</v>
      </c>
      <c r="G172" s="38">
        <f>($F$172 -  AVERAGE($F$164,$F$165,$F$166) ) / ($F$172 -  AVERAGE($F$164,$F$165,$F$166) ) * 100</f>
        <v>100</v>
      </c>
      <c r="H172" s="38">
        <v>0</v>
      </c>
      <c r="I172" s="41">
        <f>LN($G$172)</f>
        <v>4.6051701859880918</v>
      </c>
      <c r="J172" s="34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>
        <f>IF(ISTEXT($I$172),"",6)</f>
        <v>6</v>
      </c>
      <c r="V172" s="32">
        <f t="shared" si="16"/>
        <v>0</v>
      </c>
      <c r="W172" s="32">
        <f t="shared" si="17"/>
        <v>4.6051701859880918</v>
      </c>
      <c r="X172" s="32"/>
      <c r="Y172" s="32"/>
      <c r="Z172" s="22" t="s">
        <v>55</v>
      </c>
      <c r="AA172" s="23">
        <f>IF(AA168&gt;0,0,IFERROR(ABS(AA168 * 1000 / 0.5),0))</f>
        <v>8.0555904874771969</v>
      </c>
    </row>
    <row r="173" spans="1:30" ht="15.75" thickBot="1" x14ac:dyDescent="0.3">
      <c r="A173" s="33"/>
      <c r="B173" s="33"/>
      <c r="C173" s="33"/>
      <c r="D173" s="39"/>
      <c r="E173" s="39"/>
      <c r="F173" s="39"/>
      <c r="G173" s="39"/>
      <c r="H173" s="39"/>
      <c r="I173" s="40"/>
      <c r="J173" s="35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27" t="s">
        <v>39</v>
      </c>
      <c r="AA173" s="28" t="s">
        <v>34</v>
      </c>
    </row>
    <row r="174" spans="1:30" x14ac:dyDescent="0.25">
      <c r="A174" s="2"/>
      <c r="B174" s="2"/>
      <c r="C174" s="2"/>
      <c r="D174" s="36"/>
      <c r="E174" s="36"/>
      <c r="F174" s="36"/>
      <c r="I174" s="37"/>
    </row>
    <row r="175" spans="1:30" x14ac:dyDescent="0.25">
      <c r="A175" s="2"/>
      <c r="B175" s="2"/>
      <c r="C175" s="2"/>
      <c r="D175" s="36"/>
      <c r="E175" s="36"/>
      <c r="F175" s="36"/>
      <c r="I175" s="37"/>
    </row>
    <row r="176" spans="1:30" x14ac:dyDescent="0.25">
      <c r="A176" s="2"/>
      <c r="B176" s="2"/>
      <c r="C176" s="2"/>
      <c r="D176" s="36"/>
      <c r="E176" s="36"/>
      <c r="F176" s="36"/>
      <c r="I176" s="37"/>
    </row>
    <row r="177" spans="1:9" x14ac:dyDescent="0.25">
      <c r="A177" s="2"/>
      <c r="B177" s="2"/>
      <c r="C177" s="2"/>
      <c r="D177" s="36"/>
      <c r="E177" s="36"/>
      <c r="F177" s="36"/>
      <c r="I177" s="37"/>
    </row>
    <row r="178" spans="1:9" x14ac:dyDescent="0.25">
      <c r="A178" s="2"/>
      <c r="B178" s="2"/>
      <c r="C178" s="2"/>
      <c r="D178" s="36"/>
      <c r="E178" s="36"/>
      <c r="F178" s="36"/>
      <c r="I178" s="37"/>
    </row>
    <row r="179" spans="1:9" x14ac:dyDescent="0.25">
      <c r="A179" s="2"/>
      <c r="B179" s="2"/>
      <c r="C179" s="2"/>
      <c r="D179" s="36"/>
      <c r="E179" s="36"/>
      <c r="F179" s="36"/>
      <c r="I179" s="37"/>
    </row>
    <row r="180" spans="1:9" x14ac:dyDescent="0.25">
      <c r="A180" s="2"/>
      <c r="B180" s="2"/>
      <c r="C180" s="2"/>
      <c r="D180" s="36"/>
      <c r="E180" s="36"/>
      <c r="F180" s="36"/>
      <c r="I180" s="37"/>
    </row>
    <row r="181" spans="1:9" x14ac:dyDescent="0.25">
      <c r="A181" s="2"/>
      <c r="B181" s="2"/>
      <c r="C181" s="2"/>
      <c r="D181" s="36"/>
      <c r="E181" s="36"/>
      <c r="F181" s="36"/>
      <c r="I181" s="37"/>
    </row>
    <row r="182" spans="1:9" x14ac:dyDescent="0.25">
      <c r="A182" s="2"/>
      <c r="B182" s="2"/>
      <c r="C182" s="2"/>
      <c r="D182" s="36"/>
      <c r="E182" s="36"/>
      <c r="F182" s="36"/>
      <c r="I182" s="37"/>
    </row>
  </sheetData>
  <conditionalFormatting sqref="I5">
    <cfRule type="expression" dxfId="126" priority="154">
      <formula>ISTEXT($I$5)</formula>
    </cfRule>
  </conditionalFormatting>
  <conditionalFormatting sqref="I6">
    <cfRule type="expression" dxfId="125" priority="153">
      <formula>ISTEXT($I$6)</formula>
    </cfRule>
  </conditionalFormatting>
  <conditionalFormatting sqref="I7">
    <cfRule type="expression" dxfId="124" priority="152">
      <formula>ISTEXT($I$7)</formula>
    </cfRule>
  </conditionalFormatting>
  <conditionalFormatting sqref="I8">
    <cfRule type="expression" dxfId="123" priority="151">
      <formula>ISTEXT($I$8)</formula>
    </cfRule>
  </conditionalFormatting>
  <conditionalFormatting sqref="I9">
    <cfRule type="expression" dxfId="122" priority="150">
      <formula>ISTEXT($I$9)</formula>
    </cfRule>
  </conditionalFormatting>
  <conditionalFormatting sqref="I10:I20">
    <cfRule type="expression" dxfId="121" priority="149">
      <formula>ISTEXT($I$10)</formula>
    </cfRule>
  </conditionalFormatting>
  <conditionalFormatting sqref="I25">
    <cfRule type="expression" dxfId="120" priority="148">
      <formula>ISTEXT($I$25)</formula>
    </cfRule>
  </conditionalFormatting>
  <conditionalFormatting sqref="I26">
    <cfRule type="expression" dxfId="119" priority="147">
      <formula>ISTEXT($I$26)</formula>
    </cfRule>
  </conditionalFormatting>
  <conditionalFormatting sqref="I27">
    <cfRule type="expression" dxfId="118" priority="146">
      <formula>ISTEXT($I$27)</formula>
    </cfRule>
  </conditionalFormatting>
  <conditionalFormatting sqref="I28">
    <cfRule type="expression" dxfId="117" priority="145">
      <formula>ISTEXT($I$28)</formula>
    </cfRule>
  </conditionalFormatting>
  <conditionalFormatting sqref="I29">
    <cfRule type="expression" dxfId="116" priority="144">
      <formula>ISTEXT($I$29)</formula>
    </cfRule>
  </conditionalFormatting>
  <conditionalFormatting sqref="I30:I40">
    <cfRule type="expression" dxfId="115" priority="143">
      <formula>ISTEXT($I$30)</formula>
    </cfRule>
  </conditionalFormatting>
  <conditionalFormatting sqref="I45">
    <cfRule type="expression" dxfId="114" priority="142">
      <formula>ISTEXT($I$45)</formula>
    </cfRule>
  </conditionalFormatting>
  <conditionalFormatting sqref="I46">
    <cfRule type="expression" dxfId="113" priority="141">
      <formula>ISTEXT($I$46)</formula>
    </cfRule>
  </conditionalFormatting>
  <conditionalFormatting sqref="I47">
    <cfRule type="expression" dxfId="112" priority="140">
      <formula>ISTEXT($I$47)</formula>
    </cfRule>
  </conditionalFormatting>
  <conditionalFormatting sqref="I48">
    <cfRule type="expression" dxfId="111" priority="139">
      <formula>ISTEXT($I$48)</formula>
    </cfRule>
  </conditionalFormatting>
  <conditionalFormatting sqref="I49">
    <cfRule type="expression" dxfId="110" priority="138">
      <formula>ISTEXT($I$49)</formula>
    </cfRule>
  </conditionalFormatting>
  <conditionalFormatting sqref="I50:I60">
    <cfRule type="expression" dxfId="109" priority="137">
      <formula>ISTEXT($I$50)</formula>
    </cfRule>
  </conditionalFormatting>
  <conditionalFormatting sqref="I65">
    <cfRule type="expression" dxfId="108" priority="136">
      <formula>ISTEXT($I$65)</formula>
    </cfRule>
  </conditionalFormatting>
  <conditionalFormatting sqref="I66">
    <cfRule type="expression" dxfId="107" priority="135">
      <formula>ISTEXT($I$66)</formula>
    </cfRule>
  </conditionalFormatting>
  <conditionalFormatting sqref="I67">
    <cfRule type="expression" dxfId="106" priority="134">
      <formula>ISTEXT($I$67)</formula>
    </cfRule>
  </conditionalFormatting>
  <conditionalFormatting sqref="I68">
    <cfRule type="expression" dxfId="105" priority="133">
      <formula>ISTEXT($I$68)</formula>
    </cfRule>
  </conditionalFormatting>
  <conditionalFormatting sqref="I69">
    <cfRule type="expression" dxfId="104" priority="132">
      <formula>ISTEXT($I$69)</formula>
    </cfRule>
  </conditionalFormatting>
  <conditionalFormatting sqref="I70:I80">
    <cfRule type="expression" dxfId="103" priority="131">
      <formula>ISTEXT($I$70)</formula>
    </cfRule>
  </conditionalFormatting>
  <conditionalFormatting sqref="I85">
    <cfRule type="expression" dxfId="102" priority="130">
      <formula>ISTEXT($I$85)</formula>
    </cfRule>
  </conditionalFormatting>
  <conditionalFormatting sqref="I86">
    <cfRule type="expression" dxfId="101" priority="129">
      <formula>ISTEXT($I$86)</formula>
    </cfRule>
  </conditionalFormatting>
  <conditionalFormatting sqref="I87">
    <cfRule type="expression" dxfId="100" priority="128">
      <formula>ISTEXT($I$87)</formula>
    </cfRule>
  </conditionalFormatting>
  <conditionalFormatting sqref="I88">
    <cfRule type="expression" dxfId="99" priority="127">
      <formula>ISTEXT($I$88)</formula>
    </cfRule>
  </conditionalFormatting>
  <conditionalFormatting sqref="I89">
    <cfRule type="expression" dxfId="98" priority="126">
      <formula>ISTEXT($I$89)</formula>
    </cfRule>
  </conditionalFormatting>
  <conditionalFormatting sqref="I90:I100">
    <cfRule type="expression" dxfId="97" priority="125">
      <formula>ISTEXT($I$90)</formula>
    </cfRule>
  </conditionalFormatting>
  <conditionalFormatting sqref="I107">
    <cfRule type="expression" dxfId="96" priority="112">
      <formula>ISTEXT($I$107)</formula>
    </cfRule>
  </conditionalFormatting>
  <conditionalFormatting sqref="I108">
    <cfRule type="expression" dxfId="95" priority="111">
      <formula>ISTEXT($I$108)</formula>
    </cfRule>
  </conditionalFormatting>
  <conditionalFormatting sqref="I109">
    <cfRule type="expression" dxfId="94" priority="110">
      <formula>ISTEXT($I$109)</formula>
    </cfRule>
  </conditionalFormatting>
  <conditionalFormatting sqref="I110">
    <cfRule type="expression" dxfId="93" priority="109">
      <formula>ISTEXT($I$110)</formula>
    </cfRule>
  </conditionalFormatting>
  <conditionalFormatting sqref="I111">
    <cfRule type="expression" dxfId="92" priority="108">
      <formula>ISTEXT($I$111)</formula>
    </cfRule>
  </conditionalFormatting>
  <conditionalFormatting sqref="I112:I122">
    <cfRule type="expression" dxfId="91" priority="107">
      <formula>ISTEXT($I$112)</formula>
    </cfRule>
  </conditionalFormatting>
  <conditionalFormatting sqref="I127">
    <cfRule type="expression" dxfId="90" priority="106">
      <formula>ISTEXT($I$127)</formula>
    </cfRule>
  </conditionalFormatting>
  <conditionalFormatting sqref="I128">
    <cfRule type="expression" dxfId="89" priority="105">
      <formula>ISTEXT($I$128)</formula>
    </cfRule>
  </conditionalFormatting>
  <conditionalFormatting sqref="I129">
    <cfRule type="expression" dxfId="88" priority="104">
      <formula>ISTEXT($I$129)</formula>
    </cfRule>
  </conditionalFormatting>
  <conditionalFormatting sqref="I130">
    <cfRule type="expression" dxfId="87" priority="103">
      <formula>ISTEXT($I$130)</formula>
    </cfRule>
  </conditionalFormatting>
  <conditionalFormatting sqref="I131">
    <cfRule type="expression" dxfId="86" priority="102">
      <formula>ISTEXT($I$131)</formula>
    </cfRule>
  </conditionalFormatting>
  <conditionalFormatting sqref="I132:I142">
    <cfRule type="expression" dxfId="85" priority="101">
      <formula>ISTEXT($I$132)</formula>
    </cfRule>
  </conditionalFormatting>
  <conditionalFormatting sqref="I147">
    <cfRule type="expression" dxfId="84" priority="100">
      <formula>ISTEXT($I$147)</formula>
    </cfRule>
  </conditionalFormatting>
  <conditionalFormatting sqref="I148">
    <cfRule type="expression" dxfId="83" priority="99">
      <formula>ISTEXT($I$148)</formula>
    </cfRule>
  </conditionalFormatting>
  <conditionalFormatting sqref="I149">
    <cfRule type="expression" dxfId="82" priority="98">
      <formula>ISTEXT($I$149)</formula>
    </cfRule>
  </conditionalFormatting>
  <conditionalFormatting sqref="I150">
    <cfRule type="expression" dxfId="81" priority="97">
      <formula>ISTEXT($I$150)</formula>
    </cfRule>
  </conditionalFormatting>
  <conditionalFormatting sqref="I151">
    <cfRule type="expression" dxfId="80" priority="96">
      <formula>ISTEXT($I$151)</formula>
    </cfRule>
  </conditionalFormatting>
  <conditionalFormatting sqref="I152:I162">
    <cfRule type="expression" dxfId="79" priority="95">
      <formula>ISTEXT($I$152)</formula>
    </cfRule>
  </conditionalFormatting>
  <conditionalFormatting sqref="I167">
    <cfRule type="expression" dxfId="78" priority="94">
      <formula>ISTEXT($I$167)</formula>
    </cfRule>
  </conditionalFormatting>
  <conditionalFormatting sqref="I168">
    <cfRule type="expression" dxfId="77" priority="93">
      <formula>ISTEXT($I$168)</formula>
    </cfRule>
  </conditionalFormatting>
  <conditionalFormatting sqref="I169">
    <cfRule type="expression" dxfId="76" priority="92">
      <formula>ISTEXT($I$169)</formula>
    </cfRule>
  </conditionalFormatting>
  <conditionalFormatting sqref="I170">
    <cfRule type="expression" dxfId="75" priority="91">
      <formula>ISTEXT($I$170)</formula>
    </cfRule>
  </conditionalFormatting>
  <conditionalFormatting sqref="I171">
    <cfRule type="expression" dxfId="74" priority="90">
      <formula>ISTEXT($I$171)</formula>
    </cfRule>
  </conditionalFormatting>
  <conditionalFormatting sqref="I172:I182">
    <cfRule type="expression" dxfId="73" priority="89">
      <formula>ISTEXT($I$172)</formula>
    </cfRule>
  </conditionalFormatting>
  <conditionalFormatting sqref="AA3">
    <cfRule type="expression" dxfId="72" priority="88">
      <formula>ISTEXT($AA$3)</formula>
    </cfRule>
  </conditionalFormatting>
  <conditionalFormatting sqref="AB3">
    <cfRule type="expression" dxfId="71" priority="87">
      <formula>ISTEXT($AB$3)</formula>
    </cfRule>
  </conditionalFormatting>
  <conditionalFormatting sqref="AC3">
    <cfRule type="expression" dxfId="70" priority="86">
      <formula>ISTEXT($AC$3)</formula>
    </cfRule>
  </conditionalFormatting>
  <conditionalFormatting sqref="AD3">
    <cfRule type="expression" dxfId="69" priority="85">
      <formula>ISTEXT($AD$3)</formula>
    </cfRule>
  </conditionalFormatting>
  <conditionalFormatting sqref="AA4">
    <cfRule type="expression" dxfId="68" priority="84">
      <formula>ISTEXT($AA$4)</formula>
    </cfRule>
  </conditionalFormatting>
  <conditionalFormatting sqref="AB4">
    <cfRule type="expression" dxfId="67" priority="83">
      <formula>ISTEXT($AB$4)</formula>
    </cfRule>
  </conditionalFormatting>
  <conditionalFormatting sqref="AC4">
    <cfRule type="expression" dxfId="66" priority="82">
      <formula>ISTEXT($AC$4)</formula>
    </cfRule>
  </conditionalFormatting>
  <conditionalFormatting sqref="AD4">
    <cfRule type="expression" dxfId="65" priority="81">
      <formula>ISTEXT($AD$4)</formula>
    </cfRule>
  </conditionalFormatting>
  <conditionalFormatting sqref="AA23">
    <cfRule type="expression" dxfId="64" priority="80">
      <formula>ISTEXT($AA$23)</formula>
    </cfRule>
  </conditionalFormatting>
  <conditionalFormatting sqref="AB23">
    <cfRule type="expression" dxfId="63" priority="79">
      <formula>ISTEXT($AB$23)</formula>
    </cfRule>
  </conditionalFormatting>
  <conditionalFormatting sqref="AC23">
    <cfRule type="expression" dxfId="62" priority="78">
      <formula>ISTEXT($AC$23)</formula>
    </cfRule>
  </conditionalFormatting>
  <conditionalFormatting sqref="AD23">
    <cfRule type="expression" dxfId="61" priority="77">
      <formula>ISTEXT($AD$23)</formula>
    </cfRule>
  </conditionalFormatting>
  <conditionalFormatting sqref="AA24">
    <cfRule type="expression" dxfId="60" priority="76">
      <formula>ISTEXT($AA$24)</formula>
    </cfRule>
  </conditionalFormatting>
  <conditionalFormatting sqref="AB24">
    <cfRule type="expression" dxfId="59" priority="75">
      <formula>ISTEXT($AB$24)</formula>
    </cfRule>
  </conditionalFormatting>
  <conditionalFormatting sqref="AC24">
    <cfRule type="expression" dxfId="58" priority="74">
      <formula>ISTEXT($AC$24)</formula>
    </cfRule>
  </conditionalFormatting>
  <conditionalFormatting sqref="AD24">
    <cfRule type="expression" dxfId="57" priority="73">
      <formula>ISTEXT($AD$24)</formula>
    </cfRule>
  </conditionalFormatting>
  <conditionalFormatting sqref="AA43">
    <cfRule type="expression" dxfId="56" priority="72">
      <formula>ISTEXT($AA$43)</formula>
    </cfRule>
  </conditionalFormatting>
  <conditionalFormatting sqref="AB43">
    <cfRule type="expression" dxfId="55" priority="71">
      <formula>ISTEXT($AB$43)</formula>
    </cfRule>
  </conditionalFormatting>
  <conditionalFormatting sqref="AC43">
    <cfRule type="expression" dxfId="54" priority="70">
      <formula>ISTEXT($AC$43)</formula>
    </cfRule>
  </conditionalFormatting>
  <conditionalFormatting sqref="AD43">
    <cfRule type="expression" dxfId="53" priority="69">
      <formula>ISTEXT($AD$43)</formula>
    </cfRule>
  </conditionalFormatting>
  <conditionalFormatting sqref="AA44">
    <cfRule type="expression" dxfId="52" priority="68">
      <formula>ISTEXT($AA$44)</formula>
    </cfRule>
  </conditionalFormatting>
  <conditionalFormatting sqref="AB44">
    <cfRule type="expression" dxfId="51" priority="67">
      <formula>ISTEXT($AB$44)</formula>
    </cfRule>
  </conditionalFormatting>
  <conditionalFormatting sqref="AC44">
    <cfRule type="expression" dxfId="50" priority="66">
      <formula>ISTEXT($AC$44)</formula>
    </cfRule>
  </conditionalFormatting>
  <conditionalFormatting sqref="AD44">
    <cfRule type="expression" dxfId="49" priority="65">
      <formula>ISTEXT($AD$44)</formula>
    </cfRule>
  </conditionalFormatting>
  <conditionalFormatting sqref="AA63">
    <cfRule type="expression" dxfId="48" priority="64">
      <formula>ISTEXT($AA$63)</formula>
    </cfRule>
  </conditionalFormatting>
  <conditionalFormatting sqref="AB63">
    <cfRule type="expression" dxfId="47" priority="63">
      <formula>ISTEXT($AB$63)</formula>
    </cfRule>
  </conditionalFormatting>
  <conditionalFormatting sqref="AC63">
    <cfRule type="expression" dxfId="46" priority="62">
      <formula>ISTEXT($AC$63)</formula>
    </cfRule>
  </conditionalFormatting>
  <conditionalFormatting sqref="AD63">
    <cfRule type="expression" dxfId="45" priority="61">
      <formula>ISTEXT($AD$63)</formula>
    </cfRule>
  </conditionalFormatting>
  <conditionalFormatting sqref="AA64">
    <cfRule type="expression" dxfId="44" priority="60">
      <formula>ISTEXT($AA$64)</formula>
    </cfRule>
  </conditionalFormatting>
  <conditionalFormatting sqref="AB64">
    <cfRule type="expression" dxfId="43" priority="59">
      <formula>ISTEXT($AB$64)</formula>
    </cfRule>
  </conditionalFormatting>
  <conditionalFormatting sqref="AC64">
    <cfRule type="expression" dxfId="42" priority="58">
      <formula>ISTEXT($AC$64)</formula>
    </cfRule>
  </conditionalFormatting>
  <conditionalFormatting sqref="AD64">
    <cfRule type="expression" dxfId="41" priority="57">
      <formula>ISTEXT($AD$64)</formula>
    </cfRule>
  </conditionalFormatting>
  <conditionalFormatting sqref="AA83">
    <cfRule type="expression" dxfId="40" priority="56">
      <formula>ISTEXT($AA$83)</formula>
    </cfRule>
  </conditionalFormatting>
  <conditionalFormatting sqref="AB83">
    <cfRule type="expression" dxfId="39" priority="55">
      <formula>ISTEXT($AB$83)</formula>
    </cfRule>
  </conditionalFormatting>
  <conditionalFormatting sqref="AC83">
    <cfRule type="expression" dxfId="38" priority="54">
      <formula>ISTEXT($AC$83)</formula>
    </cfRule>
  </conditionalFormatting>
  <conditionalFormatting sqref="AD83">
    <cfRule type="expression" dxfId="37" priority="53">
      <formula>ISTEXT($AD$83)</formula>
    </cfRule>
  </conditionalFormatting>
  <conditionalFormatting sqref="AA84">
    <cfRule type="expression" dxfId="36" priority="52">
      <formula>ISTEXT($AA$84)</formula>
    </cfRule>
  </conditionalFormatting>
  <conditionalFormatting sqref="AB84">
    <cfRule type="expression" dxfId="35" priority="51">
      <formula>ISTEXT($AB$84)</formula>
    </cfRule>
  </conditionalFormatting>
  <conditionalFormatting sqref="AC84">
    <cfRule type="expression" dxfId="34" priority="50">
      <formula>ISTEXT($AC$84)</formula>
    </cfRule>
  </conditionalFormatting>
  <conditionalFormatting sqref="AD84">
    <cfRule type="expression" dxfId="33" priority="49">
      <formula>ISTEXT($AD$84)</formula>
    </cfRule>
  </conditionalFormatting>
  <conditionalFormatting sqref="AA105">
    <cfRule type="expression" dxfId="32" priority="32">
      <formula>ISTEXT($AA$105)</formula>
    </cfRule>
  </conditionalFormatting>
  <conditionalFormatting sqref="AB105">
    <cfRule type="expression" dxfId="31" priority="31">
      <formula>ISTEXT($AB$105)</formula>
    </cfRule>
  </conditionalFormatting>
  <conditionalFormatting sqref="AC105">
    <cfRule type="expression" dxfId="30" priority="30">
      <formula>ISTEXT($AC$105)</formula>
    </cfRule>
  </conditionalFormatting>
  <conditionalFormatting sqref="AD105">
    <cfRule type="expression" dxfId="29" priority="29">
      <formula>ISTEXT($AD$105)</formula>
    </cfRule>
  </conditionalFormatting>
  <conditionalFormatting sqref="AA106">
    <cfRule type="expression" dxfId="28" priority="28">
      <formula>ISTEXT($AA$106)</formula>
    </cfRule>
  </conditionalFormatting>
  <conditionalFormatting sqref="AB106">
    <cfRule type="expression" dxfId="27" priority="27">
      <formula>ISTEXT($AB$106)</formula>
    </cfRule>
  </conditionalFormatting>
  <conditionalFormatting sqref="AC106">
    <cfRule type="expression" dxfId="26" priority="26">
      <formula>ISTEXT($AC$106)</formula>
    </cfRule>
  </conditionalFormatting>
  <conditionalFormatting sqref="AD106">
    <cfRule type="expression" dxfId="25" priority="25">
      <formula>ISTEXT($AD$106)</formula>
    </cfRule>
  </conditionalFormatting>
  <conditionalFormatting sqref="AA125">
    <cfRule type="expression" dxfId="24" priority="24">
      <formula>ISTEXT($AA$125)</formula>
    </cfRule>
  </conditionalFormatting>
  <conditionalFormatting sqref="AB125">
    <cfRule type="expression" dxfId="23" priority="23">
      <formula>ISTEXT($AB$125)</formula>
    </cfRule>
  </conditionalFormatting>
  <conditionalFormatting sqref="AC125">
    <cfRule type="expression" dxfId="22" priority="22">
      <formula>ISTEXT($AC$125)</formula>
    </cfRule>
  </conditionalFormatting>
  <conditionalFormatting sqref="AD125">
    <cfRule type="expression" dxfId="21" priority="21">
      <formula>ISTEXT($AD$125)</formula>
    </cfRule>
  </conditionalFormatting>
  <conditionalFormatting sqref="AA126">
    <cfRule type="expression" dxfId="20" priority="20">
      <formula>ISTEXT($AA$126)</formula>
    </cfRule>
  </conditionalFormatting>
  <conditionalFormatting sqref="AB126">
    <cfRule type="expression" dxfId="19" priority="19">
      <formula>ISTEXT($AB$126)</formula>
    </cfRule>
  </conditionalFormatting>
  <conditionalFormatting sqref="AC126">
    <cfRule type="expression" dxfId="18" priority="18">
      <formula>ISTEXT($AC$126)</formula>
    </cfRule>
  </conditionalFormatting>
  <conditionalFormatting sqref="AD126">
    <cfRule type="expression" dxfId="17" priority="17">
      <formula>ISTEXT($AD$126)</formula>
    </cfRule>
  </conditionalFormatting>
  <conditionalFormatting sqref="AA145">
    <cfRule type="expression" dxfId="16" priority="16">
      <formula>ISTEXT($AA$145)</formula>
    </cfRule>
  </conditionalFormatting>
  <conditionalFormatting sqref="AB145">
    <cfRule type="expression" dxfId="15" priority="15">
      <formula>ISTEXT($AB$145)</formula>
    </cfRule>
  </conditionalFormatting>
  <conditionalFormatting sqref="AC145">
    <cfRule type="expression" dxfId="14" priority="14">
      <formula>ISTEXT($AC$145)</formula>
    </cfRule>
  </conditionalFormatting>
  <conditionalFormatting sqref="AD145">
    <cfRule type="expression" dxfId="13" priority="13">
      <formula>ISTEXT($AD$145)</formula>
    </cfRule>
  </conditionalFormatting>
  <conditionalFormatting sqref="AA146">
    <cfRule type="expression" dxfId="12" priority="12">
      <formula>ISTEXT($AA$146)</formula>
    </cfRule>
  </conditionalFormatting>
  <conditionalFormatting sqref="AB146">
    <cfRule type="expression" dxfId="11" priority="11">
      <formula>ISTEXT($AB$146)</formula>
    </cfRule>
  </conditionalFormatting>
  <conditionalFormatting sqref="AC146">
    <cfRule type="expression" dxfId="10" priority="10">
      <formula>ISTEXT($AC$146)</formula>
    </cfRule>
  </conditionalFormatting>
  <conditionalFormatting sqref="AD146">
    <cfRule type="expression" dxfId="9" priority="9">
      <formula>ISTEXT($AD$146)</formula>
    </cfRule>
  </conditionalFormatting>
  <conditionalFormatting sqref="AA165">
    <cfRule type="expression" dxfId="8" priority="8">
      <formula>ISTEXT($AA$165)</formula>
    </cfRule>
  </conditionalFormatting>
  <conditionalFormatting sqref="AB165">
    <cfRule type="expression" dxfId="7" priority="7">
      <formula>ISTEXT($AB$165)</formula>
    </cfRule>
  </conditionalFormatting>
  <conditionalFormatting sqref="AC165">
    <cfRule type="expression" dxfId="6" priority="6">
      <formula>ISTEXT($AC$165)</formula>
    </cfRule>
  </conditionalFormatting>
  <conditionalFormatting sqref="AD165">
    <cfRule type="expression" dxfId="5" priority="5">
      <formula>ISTEXT($AD$165)</formula>
    </cfRule>
  </conditionalFormatting>
  <conditionalFormatting sqref="AA166">
    <cfRule type="expression" dxfId="4" priority="4">
      <formula>ISTEXT($AA$166)</formula>
    </cfRule>
  </conditionalFormatting>
  <conditionalFormatting sqref="AB166">
    <cfRule type="expression" dxfId="3" priority="3">
      <formula>ISTEXT($AB$166)</formula>
    </cfRule>
  </conditionalFormatting>
  <conditionalFormatting sqref="AC166">
    <cfRule type="expression" dxfId="2" priority="2">
      <formula>ISTEXT($AC$166)</formula>
    </cfRule>
  </conditionalFormatting>
  <conditionalFormatting sqref="AD166">
    <cfRule type="expression" dxfId="1" priority="1">
      <formula>ISTEXT($AD$166)</formula>
    </cfRule>
  </conditionalFormatting>
  <conditionalFormatting sqref="I102">
    <cfRule type="expression" dxfId="0" priority="386">
      <formula>ISTEXT(#REF!)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Summary</vt:lpstr>
      <vt:lpstr>Data 1uM</vt:lpstr>
      <vt:lpstr>Data 1uM Control</vt:lpstr>
      <vt:lpstr>Data 10uM</vt:lpstr>
      <vt:lpstr>Data 10uM control</vt:lpstr>
      <vt:lpstr>Summary1</vt:lpstr>
      <vt:lpstr>Table1</vt:lpstr>
      <vt:lpstr>Table2</vt:lpstr>
      <vt:lpstr>Table3</vt:lpstr>
      <vt:lpstr>Table4</vt:lpstr>
      <vt:lpstr>Table5</vt:lpstr>
      <vt:lpstr>Table6</vt:lpstr>
      <vt:lpstr>Table7</vt:lpstr>
      <vt:lpstr>Table8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Teresa Sierra</dc:creator>
  <cp:lastModifiedBy>David Ayres</cp:lastModifiedBy>
  <dcterms:created xsi:type="dcterms:W3CDTF">2020-06-30T14:26:10Z</dcterms:created>
  <dcterms:modified xsi:type="dcterms:W3CDTF">2020-07-01T01:35:22Z</dcterms:modified>
</cp:coreProperties>
</file>