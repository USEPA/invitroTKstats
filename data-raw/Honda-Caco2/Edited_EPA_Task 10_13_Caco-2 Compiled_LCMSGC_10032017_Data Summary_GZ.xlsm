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sepa-my.sharepoint.com/personal/zhao_zhihui_epa_gov/Documents/Profile/Documents/invitrotkstats/invitroTKstats/data-raw/"/>
    </mc:Choice>
  </mc:AlternateContent>
  <xr:revisionPtr revIDLastSave="66" documentId="8_{C982C905-6F16-43C0-A23E-6F1976EEDDFD}" xr6:coauthVersionLast="47" xr6:coauthVersionMax="47" xr10:uidLastSave="{0ADC7229-8459-4A84-872E-B07D7DF0C37E}"/>
  <bookViews>
    <workbookView xWindow="-110" yWindow="-110" windowWidth="19420" windowHeight="10300" activeTab="1" xr2:uid="{00000000-000D-0000-FFFF-FFFF00000000}"/>
  </bookViews>
  <sheets>
    <sheet name="Summary" sheetId="1" r:id="rId1"/>
    <sheet name="Raw Data" sheetId="7" r:id="rId2"/>
  </sheets>
  <definedNames>
    <definedName name="Individual1">Summary!$J$2:$P$52</definedName>
    <definedName name="Summary1">Summary!$A$6:$G$17</definedName>
    <definedName name="Summary2G1">Summary!$A$20:$H$38</definedName>
    <definedName name="Summary3">Summary!$A$41:$H$51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7" l="1"/>
  <c r="G60" i="7"/>
  <c r="G61" i="7"/>
  <c r="G62" i="7"/>
  <c r="G63" i="7"/>
  <c r="G64" i="7"/>
  <c r="G65" i="7"/>
  <c r="G66" i="7"/>
  <c r="G67" i="7"/>
  <c r="G68" i="7"/>
  <c r="G69" i="7"/>
  <c r="G58" i="7"/>
  <c r="G33" i="7"/>
  <c r="G34" i="7"/>
  <c r="G35" i="7"/>
  <c r="G36" i="7"/>
  <c r="G37" i="7"/>
  <c r="G38" i="7"/>
  <c r="G39" i="7"/>
  <c r="G40" i="7"/>
  <c r="G41" i="7"/>
  <c r="G42" i="7"/>
  <c r="G43" i="7"/>
  <c r="G32" i="7"/>
  <c r="G6" i="7"/>
  <c r="G7" i="7"/>
  <c r="G11" i="7"/>
  <c r="G12" i="7"/>
  <c r="G13" i="7"/>
  <c r="G14" i="7"/>
  <c r="G15" i="7"/>
  <c r="G16" i="7"/>
  <c r="G17" i="7"/>
  <c r="G8" i="7"/>
  <c r="G9" i="7"/>
  <c r="G1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Ayers</author>
  </authors>
  <commentList>
    <comment ref="D1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Dave Ayers:</t>
        </r>
        <r>
          <rPr>
            <sz val="9"/>
            <color indexed="81"/>
            <rFont val="Tahoma"/>
            <family val="2"/>
          </rPr>
          <t xml:space="preserve">
Peak area should be 735867
</t>
        </r>
      </text>
    </comment>
  </commentList>
</comments>
</file>

<file path=xl/sharedStrings.xml><?xml version="1.0" encoding="utf-8"?>
<sst xmlns="http://schemas.openxmlformats.org/spreadsheetml/2006/main" count="1106" uniqueCount="190">
  <si>
    <t>SampleName</t>
  </si>
  <si>
    <t>CompoundName</t>
  </si>
  <si>
    <t>Transition</t>
  </si>
  <si>
    <t>Area</t>
  </si>
  <si>
    <t>Dilution</t>
  </si>
  <si>
    <t>ISTD Area</t>
  </si>
  <si>
    <t>ISTDResponseRatio</t>
  </si>
  <si>
    <t>Ranitidine</t>
  </si>
  <si>
    <t>Talinolol</t>
  </si>
  <si>
    <t>Warfarin</t>
  </si>
  <si>
    <t>GC</t>
  </si>
  <si>
    <r>
      <t>Mean_x000D_
A → B_x000D_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</si>
  <si>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r>
      <t>Mean_x000D_
B → A_x000D_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</si>
  <si>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t>Efflux Ratio</t>
  </si>
  <si>
    <t>Comments</t>
  </si>
  <si>
    <t>Direction</t>
  </si>
  <si>
    <t>Parameter</t>
  </si>
  <si>
    <t>Mean</t>
  </si>
  <si>
    <t>Volume</t>
  </si>
  <si>
    <t>RR1</t>
  </si>
  <si>
    <t>RR2</t>
  </si>
  <si>
    <t>RR Mean</t>
  </si>
  <si>
    <t>RR SD</t>
  </si>
  <si>
    <t>Chamber Surface Area</t>
  </si>
  <si>
    <t>Sampling Period (hrs)</t>
  </si>
  <si>
    <t>Test Concentration (µM)</t>
  </si>
  <si>
    <t>A → B</t>
  </si>
  <si>
    <t>Donor</t>
  </si>
  <si>
    <t>Receiver</t>
  </si>
  <si>
    <t>Dosing</t>
  </si>
  <si>
    <t>Standard</t>
  </si>
  <si>
    <t>Blank</t>
  </si>
  <si>
    <t>dq/dt</t>
  </si>
  <si>
    <t>Recovery</t>
  </si>
  <si>
    <t>Papp</t>
  </si>
  <si>
    <t>B → A</t>
  </si>
  <si>
    <t>Test Article</t>
  </si>
  <si>
    <t>Low Permeability Control</t>
  </si>
  <si>
    <t>P-gp Efflux Control</t>
  </si>
  <si>
    <t>High Permeability Control</t>
  </si>
  <si>
    <t>(B → A)/(A → B)</t>
  </si>
  <si>
    <t/>
  </si>
  <si>
    <t>Caco-2 Permeability: Data Summary</t>
  </si>
  <si>
    <t>Caco-2 Permeability: Individual Data of Replicates and Recovery Levels</t>
  </si>
  <si>
    <t>Test Conc</t>
  </si>
  <si>
    <t>Assay_x000D_
Duration</t>
  </si>
  <si>
    <t>Test_x000D_
Concentration _x000D_(µM)</t>
  </si>
  <si>
    <t>First Replicate</t>
  </si>
  <si>
    <t>Second Replicate</t>
  </si>
  <si>
    <t>NC: Not Calculable</t>
  </si>
  <si>
    <t>Low recovery may be due to poor aqueous solubility, poor stability, and/or non-specific binding (high lipophilicity) of the_x000D_
compound. Permeability rates for compounds with low/poor post assay recovery may be underestimated.
ND: Not Determinable (analyte peak area in receiver wells not detected above background levels)
NC: Not Calculable</t>
  </si>
  <si>
    <t>*Note: Post-assay recovery levels Not Calculable (NC) as analyte peak not detected above background in donor samples</t>
  </si>
  <si>
    <t>10 µM</t>
  </si>
  <si>
    <t>2 hr</t>
  </si>
  <si>
    <t>ND: Not Determinable (analyte peak area in receiver wells not detected above background levels)</t>
  </si>
  <si>
    <t>Co</t>
  </si>
  <si>
    <t>EPA T010 / EPA T013</t>
  </si>
  <si>
    <t>BF175258</t>
  </si>
  <si>
    <t>BF175270</t>
  </si>
  <si>
    <t>EV0000613</t>
  </si>
  <si>
    <t>EV0000634</t>
  </si>
  <si>
    <t>EV0000635</t>
  </si>
  <si>
    <t>EV0000679</t>
  </si>
  <si>
    <t xml:space="preserve">Blank 1_TB_A_B_1_____QP1F8_Inj 5  </t>
  </si>
  <si>
    <t>315.1 / 176.1</t>
  </si>
  <si>
    <t xml:space="preserve">Blank 1_TB_A_B_2_____QP1F8_Inj 6  </t>
  </si>
  <si>
    <t xml:space="preserve">Blank 1_TB_B_A_3_____QP1F8_Inj 3  </t>
  </si>
  <si>
    <t xml:space="preserve">Blank 1_TB_B_A_4_____QP1F8_Inj 4  </t>
  </si>
  <si>
    <t xml:space="preserve">Ranitidine_A_B_rec_1_____QP3A1_Inj 7  </t>
  </si>
  <si>
    <t xml:space="preserve">Ranitidine_A_B_rec_2_____QP3B1_Inj 8  </t>
  </si>
  <si>
    <t xml:space="preserve">Ranitidine_A_B_dos_1_____QP5A1_Inj 71  </t>
  </si>
  <si>
    <t xml:space="preserve">Ranitidine_A_B_dos_2_____QP5B1_Inj 72  </t>
  </si>
  <si>
    <t xml:space="preserve">Ranitidine_A_B_don_1_____QP4A1_Inj 39  </t>
  </si>
  <si>
    <t xml:space="preserve">Ranitidine_A_B_don_2_____QP4B1_Inj 40  </t>
  </si>
  <si>
    <t xml:space="preserve">Ranitidine_B_A_rec_1_____QP4E1_Inj 23  </t>
  </si>
  <si>
    <t xml:space="preserve">Ranitidine_B_A_rec_2_____QP4F1_Inj 24  </t>
  </si>
  <si>
    <t xml:space="preserve">Ranitidine_B_A_dos_1_____QP5E1_Inj 87  </t>
  </si>
  <si>
    <t xml:space="preserve">Ranitidine_B_A_dos_2_____QP5F1_Inj 88  </t>
  </si>
  <si>
    <t xml:space="preserve">Ranitidine_B_A_don_1_____QP3E1_Inj 55  </t>
  </si>
  <si>
    <t xml:space="preserve">Ranitidine_B_A_don_2_____QP3F1_Inj 56  </t>
  </si>
  <si>
    <t>364.2 / 308.2</t>
  </si>
  <si>
    <t xml:space="preserve">Talinolol_A_B_rec_1_____QP3A2_Inj 9  </t>
  </si>
  <si>
    <t xml:space="preserve">Talinolol_A_B_rec_2_____QP3B2_Inj 10  </t>
  </si>
  <si>
    <t xml:space="preserve">Talinolol_A_B_dos_1_____QP5A2_Inj 73  </t>
  </si>
  <si>
    <t xml:space="preserve">Talinolol_A_B_dos_2_____QP5B2_Inj 74  </t>
  </si>
  <si>
    <t xml:space="preserve">Talinolol_A_B_don_1_____QP4A2_Inj 41  </t>
  </si>
  <si>
    <t xml:space="preserve">Talinolol_A_B_don_2_____QP4B2_Inj 42  </t>
  </si>
  <si>
    <t xml:space="preserve">Talinolol_B_A_rec_1_____QP4E2_Inj 25  </t>
  </si>
  <si>
    <t xml:space="preserve">Talinolol_B_A_rec_2_____QP4F2_Inj 26  </t>
  </si>
  <si>
    <t xml:space="preserve">Talinolol_B_A_dos_1_____QP5E2_Inj 89  </t>
  </si>
  <si>
    <t xml:space="preserve">Talinolol_B_A_dos_2_____QP5F2_Inj 90  </t>
  </si>
  <si>
    <t xml:space="preserve">Talinolol_B_A_don_1_____QP3E2_Inj 57  </t>
  </si>
  <si>
    <t xml:space="preserve">Talinolol_B_A_don_2_____QP3F2_Inj 58  </t>
  </si>
  <si>
    <t>309.0 / 163.1</t>
  </si>
  <si>
    <t xml:space="preserve">Warfarin_A_B_rec_1_____QP3A3_Inj 11  </t>
  </si>
  <si>
    <t xml:space="preserve">Warfarin_A_B_rec_2_____QP3B3_Inj 12  </t>
  </si>
  <si>
    <t xml:space="preserve">Warfarin_A_B_dos_1_____QP5A3_Inj 75  </t>
  </si>
  <si>
    <t xml:space="preserve">Warfarin_A_B_dos_2_____QP5B3_Inj 76  </t>
  </si>
  <si>
    <t xml:space="preserve">Warfarin_A_B_don_1_____QP4A3_Inj 43  </t>
  </si>
  <si>
    <t xml:space="preserve">Warfarin_A_B_don_2_____QP4B3_Inj 44  </t>
  </si>
  <si>
    <t xml:space="preserve">Warfarin_B_A_rec_1_____QP4E3_Inj 27  </t>
  </si>
  <si>
    <t xml:space="preserve">Warfarin_B_A_rec_2_____QP4F3_Inj 28  </t>
  </si>
  <si>
    <t xml:space="preserve">Warfarin_B_A_dos_1_____QP5E3_Inj 91  </t>
  </si>
  <si>
    <t xml:space="preserve">Warfarin_B_A_dos_2_____QP5F3_Inj 92  </t>
  </si>
  <si>
    <t xml:space="preserve">Warfarin_B_A_don_1_____QP3E3_Inj 59  </t>
  </si>
  <si>
    <t xml:space="preserve">Warfarin_B_A_don_2_____QP3F3_Inj 60  </t>
  </si>
  <si>
    <t xml:space="preserve">BF175258_A_B_rec_1_____GP3C1_Inj 7  </t>
  </si>
  <si>
    <t xml:space="preserve">BF175258_A_B_rec_2_____GP3D1_Inj 8  </t>
  </si>
  <si>
    <t xml:space="preserve">BF175258_A_B_dos_1_____GP5C1_Inj 63  </t>
  </si>
  <si>
    <t xml:space="preserve">BF175258_A_B_dos_2_____GP5D1_Inj 64  </t>
  </si>
  <si>
    <t xml:space="preserve">BF175258_A_B_don_1_____GP4C1_Inj 35  </t>
  </si>
  <si>
    <t xml:space="preserve">BF175258_A_B_don_2_____GP4D1_Inj 36  </t>
  </si>
  <si>
    <t xml:space="preserve">BF175258_B_A_rec_1_____GP4G1_Inj 21  </t>
  </si>
  <si>
    <t xml:space="preserve">BF175258_B_A_rec_2_____GP4H1_Inj 22  </t>
  </si>
  <si>
    <t xml:space="preserve">BF175258_B_A_dos_1_____GP5G1_Inj 77  </t>
  </si>
  <si>
    <t xml:space="preserve">BF175258_B_A_dos_2_____GP5H1_Inj 78  </t>
  </si>
  <si>
    <t xml:space="preserve">BF175258_B_A_don_1_____GP3G1_Inj 49  </t>
  </si>
  <si>
    <t xml:space="preserve">BF175258_B_A_don_2_____GP3H1_Inj 50  </t>
  </si>
  <si>
    <t xml:space="preserve">BF175270_A_B_rec_1_____GP3C2_Inj 9  </t>
  </si>
  <si>
    <t xml:space="preserve">BF175270_A_B_rec_2_____GP3D2_Inj 10  </t>
  </si>
  <si>
    <t xml:space="preserve">BF175270_A_B_dos_1_____GP5C2_Inj 65  </t>
  </si>
  <si>
    <t xml:space="preserve">BF175270_A_B_dos_2_____GP5D2_Inj 66  </t>
  </si>
  <si>
    <t xml:space="preserve">BF175270_A_B_don_1_____GP4C2_Inj 37  </t>
  </si>
  <si>
    <t xml:space="preserve">BF175270_A_B_don_2_____GP4D2_Inj 38  </t>
  </si>
  <si>
    <t xml:space="preserve">BF175270_B_A_rec_1_____GP4G2_Inj 23  </t>
  </si>
  <si>
    <t xml:space="preserve">BF175270_B_A_rec_2_____GP4H2_Inj 24  </t>
  </si>
  <si>
    <t xml:space="preserve">BF175270_B_A_dos_1_____GP5G2_Inj 79  </t>
  </si>
  <si>
    <t xml:space="preserve">BF175270_B_A_dos_2_____GP5H2_Inj 80  </t>
  </si>
  <si>
    <t xml:space="preserve">BF175270_B_A_don_1_____GP3G2_Inj 51  </t>
  </si>
  <si>
    <t xml:space="preserve">BF175270_B_A_don_2_____GP3H2_Inj 52  </t>
  </si>
  <si>
    <t xml:space="preserve">EV0000613_A_B_rec_1_____GP3C4_Inj 11  </t>
  </si>
  <si>
    <t xml:space="preserve">EV0000613_A_B_rec_2_____GP3D4_Inj 12  </t>
  </si>
  <si>
    <t xml:space="preserve">EV0000613_A_B_dos_1_____GP5C4_Inj 67  </t>
  </si>
  <si>
    <t xml:space="preserve">EV0000613_A_B_dos_2_____GP5D4_Inj 68  </t>
  </si>
  <si>
    <t xml:space="preserve">EV0000613_A_B_don_1_____GP4C4_Inj 39  </t>
  </si>
  <si>
    <t xml:space="preserve">EV0000613_A_B_don_2_____GP4D4_Inj 40  </t>
  </si>
  <si>
    <t xml:space="preserve">EV0000613_B_A_rec_1_____GP4G4_Inj 25  </t>
  </si>
  <si>
    <t xml:space="preserve">EV0000613_B_A_rec_2_____GP4H4_Inj 26  </t>
  </si>
  <si>
    <t xml:space="preserve">EV0000613_B_A_dos_1_____GP5G4_Inj 81  </t>
  </si>
  <si>
    <t xml:space="preserve">EV0000613_B_A_dos_2_____GP5H4_Inj 82  </t>
  </si>
  <si>
    <t xml:space="preserve">EV0000613_B_A_don_1_____GP3G4_Inj 53  </t>
  </si>
  <si>
    <t xml:space="preserve">EV0000613_B_A_don_2_____GP3H4_Inj 54  </t>
  </si>
  <si>
    <t xml:space="preserve">EV0000634_A_B_rec_1_____GP3C5_Inj 13  </t>
  </si>
  <si>
    <t xml:space="preserve">EV0000634_A_B_rec_2_____GP3D5_Inj 14  </t>
  </si>
  <si>
    <t xml:space="preserve">EV0000634_A_B_dos_1_____GP5C5_Inj 69  </t>
  </si>
  <si>
    <t xml:space="preserve">EV0000634_A_B_dos_2_____GP5D5_Inj 70  </t>
  </si>
  <si>
    <t xml:space="preserve">EV0000634_A_B_don_1_____GP4C5_Inj 41  </t>
  </si>
  <si>
    <t xml:space="preserve">EV0000634_A_B_don_2_____GP4D5_Inj 42  </t>
  </si>
  <si>
    <t xml:space="preserve">EV0000634_B_A_rec_1_____GP4G5_Inj 27  </t>
  </si>
  <si>
    <t xml:space="preserve">EV0000634_B_A_rec_2_____GP4H5_Inj 28  </t>
  </si>
  <si>
    <t xml:space="preserve">EV0000634_B_A_dos_1_____GP5G5_Inj 83  </t>
  </si>
  <si>
    <t xml:space="preserve">EV0000634_B_A_dos_2_____GP5H5_Inj 84  </t>
  </si>
  <si>
    <t xml:space="preserve">EV0000634_B_A_don_1_____GP3G5_Inj 55  </t>
  </si>
  <si>
    <t xml:space="preserve">EV0000634_B_A_don_2_____GP3H5_Inj 56  </t>
  </si>
  <si>
    <t xml:space="preserve">EV0000635_A_B_rec_1_____GP3C6_Inj 15  </t>
  </si>
  <si>
    <t xml:space="preserve">EV0000635_A_B_rec_2_____GP3D6_Inj 16  </t>
  </si>
  <si>
    <t xml:space="preserve">EV0000635_A_B_dos_1_____GP5C6_Inj 71  </t>
  </si>
  <si>
    <t xml:space="preserve">EV0000635_A_B_dos_2_____GP5D6_Inj 72  </t>
  </si>
  <si>
    <t xml:space="preserve">EV0000635_A_B_don_1_____GP4C6_Inj 43  </t>
  </si>
  <si>
    <t xml:space="preserve">EV0000635_A_B_don_2_____GP4D6_Inj 44  </t>
  </si>
  <si>
    <t xml:space="preserve">EV0000635_B_A_rec_1_____GP4G6_Inj 29  </t>
  </si>
  <si>
    <t xml:space="preserve">EV0000635_B_A_rec_2_____GP4H6_Inj 30  </t>
  </si>
  <si>
    <t xml:space="preserve">EV0000635_B_A_dos_1_____GP5G6_Inj 85  </t>
  </si>
  <si>
    <t xml:space="preserve">EV0000635_B_A_dos_2_____GP5H6_Inj 86  </t>
  </si>
  <si>
    <t xml:space="preserve">EV0000635_B_A_don_1_____GP3G6_Inj 57  </t>
  </si>
  <si>
    <t xml:space="preserve">EV0000635_B_A_don_2_____GP3H6_Inj 58  </t>
  </si>
  <si>
    <t xml:space="preserve">EV0000679_A_B_rec_1_____GP3C8_Inj 17  </t>
  </si>
  <si>
    <t xml:space="preserve">EV0000679_A_B_rec_2_____GP3D8_Inj 18  </t>
  </si>
  <si>
    <t xml:space="preserve">EV0000679_A_B_dos_1_____GP5C8_Inj 73  </t>
  </si>
  <si>
    <t xml:space="preserve">EV0000679_A_B_dos_2_____GP5D8_Inj 74  </t>
  </si>
  <si>
    <t xml:space="preserve">EV0000679_A_B_don_1_____GP4C8_Inj 45  </t>
  </si>
  <si>
    <t xml:space="preserve">EV0000679_A_B_don_2_____GP4D8_Inj 46  </t>
  </si>
  <si>
    <t xml:space="preserve">EV0000679_B_A_rec_1_____GP4G8_Inj 31  </t>
  </si>
  <si>
    <t xml:space="preserve">EV0000679_B_A_rec_2_____GP4H8_Inj 32  </t>
  </si>
  <si>
    <t xml:space="preserve">EV0000679_B_A_dos_1_____GP5G8_Inj 87  </t>
  </si>
  <si>
    <t xml:space="preserve">EV0000679_B_A_dos_2_____GP5H8_Inj 88  </t>
  </si>
  <si>
    <t xml:space="preserve">EV0000679_B_A_don_1_____GP3G8_Inj 59  </t>
  </si>
  <si>
    <t xml:space="preserve">EV0000679_B_A_don_2_____GP3H8_Inj 60  </t>
  </si>
  <si>
    <t>Low Recovery A → B and B → A</t>
  </si>
  <si>
    <t>Low Recovery A → B</t>
  </si>
  <si>
    <t>ND</t>
  </si>
  <si>
    <t>NC</t>
  </si>
  <si>
    <t>N=1 (sample lost during transfer to autosampler vial)</t>
  </si>
  <si>
    <t>Low Recovery A → B and B → A; N=1</t>
  </si>
  <si>
    <t>1(B)</t>
  </si>
  <si>
    <t>2(A)</t>
  </si>
  <si>
    <t>3(D)</t>
  </si>
  <si>
    <t>GC-MS Data</t>
  </si>
  <si>
    <t>Type</t>
  </si>
  <si>
    <t>Test Concentration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</si>
</sst>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 mmm\ yyyy"/>
    <numFmt numFmtId="165" formatCode="0.000"/>
    <numFmt numFmtId="166" formatCode="0.0"/>
    <numFmt numFmtId="167" formatCode="0.0000"/>
    <numFmt numFmtId="168" formatCode="0.0%"/>
    <numFmt numFmtId="169" formatCode="0.00000"/>
  </numFmts>
  <fonts count="10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b/>
      <sz val="11"/>
      <color theme="1"/>
      <name val="Times New Roman"/>
      <family val="1"/>
    </font>
    <font>
      <b/>
      <vertAlign val="superscript"/>
      <sz val="11"/>
      <color theme="1"/>
      <name val="Times New Roman"/>
      <family val="1"/>
    </font>
    <font>
      <sz val="10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/>
      <bottom style="dashed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double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9">
    <xf numFmtId="0" fontId="0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82">
    <xf numFmtId="0" fontId="0" fillId="0" borderId="0" xfId="0"/>
    <xf numFmtId="0" fontId="3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5" fillId="0" borderId="1" xfId="0" applyFont="1" applyBorder="1" applyAlignment="1">
      <alignment horizontal="center" wrapText="1"/>
    </xf>
    <xf numFmtId="0" fontId="0" fillId="0" borderId="2" xfId="0" applyBorder="1"/>
    <xf numFmtId="0" fontId="5" fillId="0" borderId="2" xfId="0" applyFont="1" applyBorder="1"/>
    <xf numFmtId="0" fontId="0" fillId="0" borderId="3" xfId="0" applyBorder="1"/>
    <xf numFmtId="0" fontId="5" fillId="0" borderId="3" xfId="0" applyFont="1" applyBorder="1"/>
    <xf numFmtId="0" fontId="0" fillId="0" borderId="0" xfId="0" applyBorder="1"/>
    <xf numFmtId="0" fontId="5" fillId="0" borderId="0" xfId="0" applyFont="1" applyBorder="1"/>
    <xf numFmtId="165" fontId="0" fillId="0" borderId="0" xfId="0" applyNumberFormat="1" applyBorder="1"/>
    <xf numFmtId="2" fontId="0" fillId="0" borderId="0" xfId="0" applyNumberFormat="1" applyBorder="1"/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7" fontId="0" fillId="0" borderId="0" xfId="0" applyNumberFormat="1" applyBorder="1"/>
    <xf numFmtId="167" fontId="0" fillId="0" borderId="0" xfId="0" applyNumberFormat="1" applyBorder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Border="1"/>
    <xf numFmtId="0" fontId="5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left" wrapText="1"/>
    </xf>
    <xf numFmtId="0" fontId="5" fillId="0" borderId="1" xfId="0" applyFont="1" applyBorder="1" applyAlignment="1">
      <alignment horizontal="right" wrapText="1"/>
    </xf>
    <xf numFmtId="0" fontId="5" fillId="0" borderId="1" xfId="0" applyFont="1" applyFill="1" applyBorder="1" applyAlignment="1">
      <alignment horizontal="right" wrapText="1"/>
    </xf>
    <xf numFmtId="166" fontId="0" fillId="0" borderId="5" xfId="0" applyNumberFormat="1" applyFill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165" fontId="0" fillId="0" borderId="5" xfId="0" applyNumberForma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66" fontId="0" fillId="0" borderId="4" xfId="0" applyNumberFormat="1" applyFill="1" applyBorder="1" applyAlignment="1">
      <alignment horizontal="center"/>
    </xf>
    <xf numFmtId="2" fontId="0" fillId="0" borderId="4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2" fontId="0" fillId="0" borderId="0" xfId="0" applyNumberFormat="1" applyBorder="1" applyAlignment="1">
      <alignment horizontal="right"/>
    </xf>
    <xf numFmtId="2" fontId="0" fillId="0" borderId="3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68" fontId="0" fillId="0" borderId="2" xfId="0" applyNumberFormat="1" applyFill="1" applyBorder="1" applyAlignment="1">
      <alignment horizontal="right"/>
    </xf>
    <xf numFmtId="0" fontId="0" fillId="0" borderId="0" xfId="0" applyAlignment="1">
      <alignment horizontal="center" wrapText="1"/>
    </xf>
    <xf numFmtId="164" fontId="4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Font="1" applyBorder="1" applyAlignment="1">
      <alignment horizontal="left"/>
    </xf>
    <xf numFmtId="0" fontId="5" fillId="0" borderId="0" xfId="0" applyFont="1"/>
    <xf numFmtId="0" fontId="5" fillId="0" borderId="4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0" fontId="5" fillId="0" borderId="6" xfId="0" applyFont="1" applyFill="1" applyBorder="1" applyAlignment="1">
      <alignment horizontal="center"/>
    </xf>
    <xf numFmtId="166" fontId="0" fillId="0" borderId="6" xfId="0" applyNumberFormat="1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166" fontId="0" fillId="0" borderId="7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165" fontId="0" fillId="0" borderId="6" xfId="0" applyNumberFormat="1" applyFill="1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5" fillId="0" borderId="9" xfId="0" applyFont="1" applyBorder="1"/>
    <xf numFmtId="166" fontId="0" fillId="0" borderId="9" xfId="0" applyNumberFormat="1" applyBorder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center"/>
    </xf>
    <xf numFmtId="0" fontId="5" fillId="0" borderId="10" xfId="0" applyFont="1" applyBorder="1"/>
    <xf numFmtId="2" fontId="0" fillId="0" borderId="10" xfId="0" applyNumberFormat="1" applyBorder="1" applyAlignment="1">
      <alignment horizontal="right"/>
    </xf>
    <xf numFmtId="0" fontId="0" fillId="0" borderId="0" xfId="0" applyAlignment="1">
      <alignment horizontal="left"/>
    </xf>
    <xf numFmtId="169" fontId="0" fillId="0" borderId="0" xfId="0" applyNumberFormat="1"/>
    <xf numFmtId="0" fontId="2" fillId="0" borderId="0" xfId="1"/>
    <xf numFmtId="0" fontId="0" fillId="0" borderId="0" xfId="0" applyAlignment="1">
      <alignment horizontal="center"/>
    </xf>
    <xf numFmtId="0" fontId="7" fillId="0" borderId="8" xfId="0" applyFont="1" applyBorder="1" applyAlignment="1">
      <alignment horizontal="left" vertical="center" wrapText="1"/>
    </xf>
    <xf numFmtId="0" fontId="7" fillId="0" borderId="0" xfId="0" applyFont="1" applyBorder="1" applyAlignment="1">
      <alignment horizontal="left" vertical="center" wrapText="1"/>
    </xf>
  </cellXfs>
  <cellStyles count="9">
    <cellStyle name="Normal" xfId="0" builtinId="0" customBuiltin="1"/>
    <cellStyle name="Normal 2" xfId="1" xr:uid="{00000000-0005-0000-0000-000001000000}"/>
    <cellStyle name="Normal 2 2" xfId="8" xr:uid="{00000000-0005-0000-0000-000002000000}"/>
    <cellStyle name="Normal 2 3" xfId="7" xr:uid="{00000000-0005-0000-0000-000003000000}"/>
    <cellStyle name="Normal 2 4" xfId="6" xr:uid="{00000000-0005-0000-0000-000004000000}"/>
    <cellStyle name="Normal 2 5" xfId="5" xr:uid="{00000000-0005-0000-0000-000005000000}"/>
    <cellStyle name="Normal 2 6" xfId="4" xr:uid="{00000000-0005-0000-0000-000006000000}"/>
    <cellStyle name="Normal 2 7" xfId="3" xr:uid="{00000000-0005-0000-0000-000007000000}"/>
    <cellStyle name="Normal 2 8" xfId="2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85725</xdr:colOff>
      <xdr:row>2</xdr:row>
      <xdr:rowOff>113030</xdr:rowOff>
    </xdr:to>
    <xdr:pic>
      <xdr:nvPicPr>
        <xdr:cNvPr id="4" name="Picture 3" descr="C:\Users\jwilloughby\AppData\Local\Microsoft\Windows\Temporary Internet Files\Content.Outlook\P3REECV0\cyprotec_evotec_logo_rgb (2)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790700" cy="50355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4"/>
  <sheetViews>
    <sheetView workbookViewId="0">
      <selection activeCell="G4" sqref="G4"/>
    </sheetView>
  </sheetViews>
  <sheetFormatPr defaultRowHeight="14" x14ac:dyDescent="0.3"/>
  <cols>
    <col min="1" max="1" width="15.6328125" style="3" customWidth="1"/>
    <col min="2" max="2" width="9.90625" style="3" bestFit="1" customWidth="1"/>
    <col min="3" max="3" width="9.08984375" style="3"/>
    <col min="4" max="5" width="13.08984375" style="3" customWidth="1"/>
    <col min="6" max="6" width="11.453125" style="3" customWidth="1"/>
    <col min="7" max="7" width="50.6328125" customWidth="1"/>
    <col min="8" max="8" width="8" customWidth="1"/>
    <col min="10" max="10" width="10.6328125" bestFit="1" customWidth="1"/>
    <col min="11" max="11" width="15.90625" style="3" customWidth="1"/>
    <col min="12" max="12" width="16.90625" bestFit="1" customWidth="1"/>
    <col min="13" max="13" width="12" bestFit="1" customWidth="1"/>
    <col min="14" max="14" width="13.6328125" style="27" customWidth="1"/>
    <col min="15" max="16" width="14.6328125" style="27" customWidth="1"/>
    <col min="17" max="17" width="7" style="49" customWidth="1"/>
  </cols>
  <sheetData>
    <row r="1" spans="1:17" ht="15.5" x14ac:dyDescent="0.35">
      <c r="A1" s="79"/>
      <c r="B1" s="1"/>
      <c r="G1" s="26" t="s">
        <v>56</v>
      </c>
      <c r="J1" s="11"/>
      <c r="K1" s="15"/>
      <c r="L1" s="11"/>
      <c r="M1" s="11"/>
      <c r="N1" s="29"/>
      <c r="O1" s="29"/>
      <c r="P1" s="29"/>
    </row>
    <row r="2" spans="1:17" x14ac:dyDescent="0.3">
      <c r="A2" s="79"/>
      <c r="G2" s="48">
        <v>43011</v>
      </c>
      <c r="J2" s="11"/>
      <c r="K2" s="15"/>
      <c r="L2" s="11"/>
      <c r="M2" s="11"/>
      <c r="N2" s="29"/>
      <c r="O2" s="29"/>
      <c r="P2" s="29"/>
    </row>
    <row r="3" spans="1:17" x14ac:dyDescent="0.3">
      <c r="A3" s="18"/>
      <c r="B3" s="2"/>
      <c r="C3" s="18"/>
      <c r="D3" s="18"/>
      <c r="E3" s="18"/>
      <c r="F3" s="18"/>
      <c r="G3" t="s">
        <v>187</v>
      </c>
      <c r="J3" s="11"/>
      <c r="K3" s="15"/>
      <c r="L3" s="11"/>
      <c r="M3" s="11"/>
      <c r="N3" s="29"/>
      <c r="O3" s="29"/>
      <c r="P3" s="29"/>
    </row>
    <row r="4" spans="1:17" x14ac:dyDescent="0.3">
      <c r="A4" s="18"/>
      <c r="B4" s="2"/>
      <c r="C4" s="18"/>
      <c r="D4" s="18"/>
      <c r="E4" s="18"/>
      <c r="F4" s="18"/>
      <c r="J4" s="11"/>
      <c r="K4" s="15"/>
      <c r="L4" s="11"/>
      <c r="M4" s="11"/>
      <c r="N4" s="29"/>
      <c r="O4" s="29"/>
      <c r="P4" s="29"/>
    </row>
    <row r="5" spans="1:17" ht="14.5" thickBot="1" x14ac:dyDescent="0.35">
      <c r="A5" s="24" t="s">
        <v>42</v>
      </c>
      <c r="J5" s="25" t="s">
        <v>43</v>
      </c>
      <c r="K5" s="15"/>
      <c r="L5" s="11"/>
      <c r="M5" s="11"/>
      <c r="N5" s="29"/>
      <c r="O5" s="29"/>
      <c r="P5" s="29"/>
    </row>
    <row r="6" spans="1:17" s="5" customFormat="1" ht="59.5" thickTop="1" thickBot="1" x14ac:dyDescent="0.35">
      <c r="A6" s="30" t="s">
        <v>36</v>
      </c>
      <c r="B6" s="30" t="s">
        <v>44</v>
      </c>
      <c r="C6" s="30" t="s">
        <v>45</v>
      </c>
      <c r="D6" s="6" t="s">
        <v>11</v>
      </c>
      <c r="E6" s="6" t="s">
        <v>12</v>
      </c>
      <c r="F6" s="6" t="s">
        <v>13</v>
      </c>
      <c r="G6" s="6" t="s">
        <v>14</v>
      </c>
      <c r="H6" s="4"/>
      <c r="I6" s="4"/>
      <c r="J6" s="32" t="s">
        <v>36</v>
      </c>
      <c r="K6" s="31" t="s">
        <v>46</v>
      </c>
      <c r="L6" s="32" t="s">
        <v>15</v>
      </c>
      <c r="M6" s="32" t="s">
        <v>16</v>
      </c>
      <c r="N6" s="33" t="s">
        <v>47</v>
      </c>
      <c r="O6" s="33" t="s">
        <v>48</v>
      </c>
      <c r="P6" s="34" t="s">
        <v>17</v>
      </c>
      <c r="Q6" s="47"/>
    </row>
    <row r="7" spans="1:17" ht="18" customHeight="1" thickTop="1" x14ac:dyDescent="0.3">
      <c r="A7" s="53" t="s">
        <v>57</v>
      </c>
      <c r="B7" s="39" t="s">
        <v>52</v>
      </c>
      <c r="C7" s="40" t="s">
        <v>53</v>
      </c>
      <c r="D7" s="39">
        <v>7.4778550631965608</v>
      </c>
      <c r="E7" s="39">
        <v>5.2061717382271899</v>
      </c>
      <c r="F7" s="39">
        <v>0.68864866492931542</v>
      </c>
      <c r="G7" s="41" t="s">
        <v>178</v>
      </c>
      <c r="J7" s="53" t="s">
        <v>57</v>
      </c>
      <c r="K7" s="16">
        <v>10</v>
      </c>
      <c r="L7" s="11" t="s">
        <v>26</v>
      </c>
      <c r="M7" s="12" t="s">
        <v>34</v>
      </c>
      <c r="N7" s="45">
        <v>6.406810724861586</v>
      </c>
      <c r="O7" s="45">
        <v>8.5488994015315356</v>
      </c>
      <c r="P7" s="45">
        <v>7.4778550631965608</v>
      </c>
    </row>
    <row r="8" spans="1:17" ht="18" customHeight="1" x14ac:dyDescent="0.3">
      <c r="A8" s="54" t="s">
        <v>58</v>
      </c>
      <c r="B8" s="35" t="s">
        <v>52</v>
      </c>
      <c r="C8" s="36" t="s">
        <v>53</v>
      </c>
      <c r="D8" s="35">
        <v>13.620084280527816</v>
      </c>
      <c r="E8" s="37">
        <v>14.795072283912766</v>
      </c>
      <c r="F8" s="35">
        <v>1.0848511802149474</v>
      </c>
      <c r="G8" s="38" t="s">
        <v>178</v>
      </c>
      <c r="J8" s="11"/>
      <c r="K8" s="15"/>
      <c r="L8" s="7" t="s">
        <v>26</v>
      </c>
      <c r="M8" s="8" t="s">
        <v>33</v>
      </c>
      <c r="N8" s="44">
        <v>0.18512126816973246</v>
      </c>
      <c r="O8" s="44">
        <v>0.24726237817550642</v>
      </c>
      <c r="P8" s="46">
        <v>0.21619182317261942</v>
      </c>
    </row>
    <row r="9" spans="1:17" ht="18" customHeight="1" x14ac:dyDescent="0.3">
      <c r="A9" s="54" t="s">
        <v>59</v>
      </c>
      <c r="B9" s="35" t="s">
        <v>52</v>
      </c>
      <c r="C9" s="36" t="s">
        <v>53</v>
      </c>
      <c r="D9" s="35">
        <v>28.308585902713403</v>
      </c>
      <c r="E9" s="35">
        <v>21.988768565611608</v>
      </c>
      <c r="F9" s="35">
        <v>0.77675833165190655</v>
      </c>
      <c r="G9" s="38"/>
      <c r="J9" s="11"/>
      <c r="K9" s="15"/>
      <c r="L9" s="11" t="s">
        <v>35</v>
      </c>
      <c r="M9" s="12" t="s">
        <v>34</v>
      </c>
      <c r="N9" s="42">
        <v>4.0737280010932118</v>
      </c>
      <c r="O9" s="42">
        <v>6.3386154753611681</v>
      </c>
      <c r="P9" s="42">
        <v>5.2061717382271899</v>
      </c>
    </row>
    <row r="10" spans="1:17" ht="18" customHeight="1" x14ac:dyDescent="0.3">
      <c r="A10" s="54" t="s">
        <v>60</v>
      </c>
      <c r="B10" s="35" t="s">
        <v>52</v>
      </c>
      <c r="C10" s="36" t="s">
        <v>53</v>
      </c>
      <c r="D10" s="35" t="s">
        <v>180</v>
      </c>
      <c r="E10" s="35" t="s">
        <v>180</v>
      </c>
      <c r="F10" s="35" t="s">
        <v>181</v>
      </c>
      <c r="G10" s="38"/>
      <c r="J10" s="11"/>
      <c r="K10" s="15"/>
      <c r="L10" s="7" t="s">
        <v>35</v>
      </c>
      <c r="M10" s="8" t="s">
        <v>33</v>
      </c>
      <c r="N10" s="44">
        <v>0.17099968695732687</v>
      </c>
      <c r="O10" s="44">
        <v>0.2235001625712148</v>
      </c>
      <c r="P10" s="46">
        <v>0.19724992476427083</v>
      </c>
    </row>
    <row r="11" spans="1:17" ht="18" customHeight="1" thickBot="1" x14ac:dyDescent="0.35">
      <c r="A11" s="54" t="s">
        <v>61</v>
      </c>
      <c r="B11" s="35" t="s">
        <v>52</v>
      </c>
      <c r="C11" s="36" t="s">
        <v>53</v>
      </c>
      <c r="D11" s="35" t="s">
        <v>180</v>
      </c>
      <c r="E11" s="35" t="s">
        <v>180</v>
      </c>
      <c r="F11" s="35" t="s">
        <v>181</v>
      </c>
      <c r="G11" s="38" t="s">
        <v>179</v>
      </c>
      <c r="J11" s="9"/>
      <c r="K11" s="17"/>
      <c r="L11" s="9" t="s">
        <v>40</v>
      </c>
      <c r="M11" s="10" t="s">
        <v>13</v>
      </c>
      <c r="N11" s="43">
        <v>0.63584335108966739</v>
      </c>
      <c r="O11" s="43">
        <v>0.74145397876896346</v>
      </c>
      <c r="P11" s="43">
        <v>0.68864866492931542</v>
      </c>
    </row>
    <row r="12" spans="1:17" ht="18" customHeight="1" x14ac:dyDescent="0.3">
      <c r="A12" s="57" t="s">
        <v>62</v>
      </c>
      <c r="B12" s="58" t="s">
        <v>52</v>
      </c>
      <c r="C12" s="59" t="s">
        <v>53</v>
      </c>
      <c r="D12" s="35" t="s">
        <v>180</v>
      </c>
      <c r="E12" s="35" t="s">
        <v>180</v>
      </c>
      <c r="F12" s="35" t="s">
        <v>181</v>
      </c>
      <c r="G12" s="60" t="s">
        <v>183</v>
      </c>
      <c r="J12" s="54" t="s">
        <v>58</v>
      </c>
      <c r="K12" s="16">
        <v>10</v>
      </c>
      <c r="L12" s="11" t="s">
        <v>26</v>
      </c>
      <c r="M12" s="12" t="s">
        <v>34</v>
      </c>
      <c r="N12" s="45">
        <v>14.01312193115019</v>
      </c>
      <c r="O12" s="45">
        <v>13.227046629905443</v>
      </c>
      <c r="P12" s="45">
        <v>13.620084280527816</v>
      </c>
    </row>
    <row r="13" spans="1:17" ht="18" customHeight="1" x14ac:dyDescent="0.3">
      <c r="A13" s="61" t="s">
        <v>7</v>
      </c>
      <c r="B13" s="62" t="s">
        <v>52</v>
      </c>
      <c r="C13" s="63" t="s">
        <v>53</v>
      </c>
      <c r="D13" s="64">
        <v>0.42360137617897142</v>
      </c>
      <c r="E13" s="63">
        <v>3.4738577965150177</v>
      </c>
      <c r="F13" s="63">
        <v>8.2158519410823736</v>
      </c>
      <c r="G13" s="65" t="s">
        <v>37</v>
      </c>
      <c r="J13" s="11"/>
      <c r="K13" s="15"/>
      <c r="L13" s="7" t="s">
        <v>26</v>
      </c>
      <c r="M13" s="8" t="s">
        <v>33</v>
      </c>
      <c r="N13" s="44">
        <v>0.27879467263532237</v>
      </c>
      <c r="O13" s="44">
        <v>0.26966520993215864</v>
      </c>
      <c r="P13" s="46">
        <v>0.27422994128374051</v>
      </c>
    </row>
    <row r="14" spans="1:17" ht="18" customHeight="1" x14ac:dyDescent="0.3">
      <c r="A14" s="55" t="s">
        <v>8</v>
      </c>
      <c r="B14" s="35" t="s">
        <v>52</v>
      </c>
      <c r="C14" s="36" t="s">
        <v>53</v>
      </c>
      <c r="D14" s="37">
        <v>8.3304471983457057E-2</v>
      </c>
      <c r="E14" s="36">
        <v>7.4578905782708826</v>
      </c>
      <c r="F14" s="35">
        <v>89.65637711322924</v>
      </c>
      <c r="G14" s="38" t="s">
        <v>38</v>
      </c>
      <c r="J14" s="11"/>
      <c r="K14" s="15"/>
      <c r="L14" s="11" t="s">
        <v>35</v>
      </c>
      <c r="M14" s="12" t="s">
        <v>34</v>
      </c>
      <c r="N14" s="42">
        <v>15.890539455524841</v>
      </c>
      <c r="O14" s="42">
        <v>13.699605112300691</v>
      </c>
      <c r="P14" s="42">
        <v>14.795072283912766</v>
      </c>
    </row>
    <row r="15" spans="1:17" ht="18" customHeight="1" x14ac:dyDescent="0.3">
      <c r="A15" s="66" t="s">
        <v>9</v>
      </c>
      <c r="B15" s="58" t="s">
        <v>52</v>
      </c>
      <c r="C15" s="59" t="s">
        <v>53</v>
      </c>
      <c r="D15" s="58">
        <v>81.814165156786316</v>
      </c>
      <c r="E15" s="58">
        <v>14.674853588277216</v>
      </c>
      <c r="F15" s="67">
        <v>0.18024360797943823</v>
      </c>
      <c r="G15" s="60" t="s">
        <v>39</v>
      </c>
      <c r="J15" s="11"/>
      <c r="K15" s="15"/>
      <c r="L15" s="7" t="s">
        <v>35</v>
      </c>
      <c r="M15" s="8" t="s">
        <v>33</v>
      </c>
      <c r="N15" s="44">
        <v>0.32287682668076206</v>
      </c>
      <c r="O15" s="44">
        <v>0.29183799309120567</v>
      </c>
      <c r="P15" s="46">
        <v>0.30735740988598387</v>
      </c>
    </row>
    <row r="16" spans="1:17" ht="18" customHeight="1" thickBot="1" x14ac:dyDescent="0.35">
      <c r="A16" s="80" t="s">
        <v>50</v>
      </c>
      <c r="B16" s="80"/>
      <c r="C16" s="80"/>
      <c r="D16" s="80"/>
      <c r="E16" s="80"/>
      <c r="F16" s="80"/>
      <c r="G16" s="80"/>
      <c r="J16" s="9"/>
      <c r="K16" s="17"/>
      <c r="L16" s="9" t="s">
        <v>40</v>
      </c>
      <c r="M16" s="10" t="s">
        <v>13</v>
      </c>
      <c r="N16" s="43">
        <v>1.1339756789100139</v>
      </c>
      <c r="O16" s="43">
        <v>1.0357266815198811</v>
      </c>
      <c r="P16" s="43">
        <v>1.0848511802149474</v>
      </c>
    </row>
    <row r="17" spans="1:17" ht="31.5" customHeight="1" x14ac:dyDescent="0.3">
      <c r="A17" s="81"/>
      <c r="B17" s="81"/>
      <c r="C17" s="81"/>
      <c r="D17" s="81"/>
      <c r="E17" s="81"/>
      <c r="F17" s="81"/>
      <c r="G17" s="81"/>
      <c r="J17" s="54" t="s">
        <v>59</v>
      </c>
      <c r="K17" s="16">
        <v>10</v>
      </c>
      <c r="L17" s="11" t="s">
        <v>26</v>
      </c>
      <c r="M17" s="12" t="s">
        <v>34</v>
      </c>
      <c r="N17" s="45">
        <v>28.448349944546244</v>
      </c>
      <c r="O17" s="45">
        <v>28.168821860880566</v>
      </c>
      <c r="P17" s="45">
        <v>28.308585902713403</v>
      </c>
    </row>
    <row r="18" spans="1:17" ht="22.5" customHeight="1" x14ac:dyDescent="0.3">
      <c r="A18" s="81"/>
      <c r="B18" s="81"/>
      <c r="C18" s="81"/>
      <c r="D18" s="81"/>
      <c r="E18" s="81"/>
      <c r="F18" s="81"/>
      <c r="G18" s="81"/>
      <c r="J18" s="11"/>
      <c r="K18" s="15"/>
      <c r="L18" s="7" t="s">
        <v>26</v>
      </c>
      <c r="M18" s="8" t="s">
        <v>33</v>
      </c>
      <c r="N18" s="44">
        <v>0.6085002726390587</v>
      </c>
      <c r="O18" s="44">
        <v>0.58174556184061188</v>
      </c>
      <c r="P18" s="46">
        <v>0.59512291723983535</v>
      </c>
    </row>
    <row r="19" spans="1:17" x14ac:dyDescent="0.3">
      <c r="J19" s="11"/>
      <c r="K19" s="15"/>
      <c r="L19" s="11" t="s">
        <v>35</v>
      </c>
      <c r="M19" s="12" t="s">
        <v>34</v>
      </c>
      <c r="N19" s="42">
        <v>22.064642296860928</v>
      </c>
      <c r="O19" s="42">
        <v>21.912894834362284</v>
      </c>
      <c r="P19" s="42">
        <v>21.988768565611608</v>
      </c>
    </row>
    <row r="20" spans="1:17" x14ac:dyDescent="0.3">
      <c r="J20" s="11"/>
      <c r="K20" s="15"/>
      <c r="L20" s="7" t="s">
        <v>35</v>
      </c>
      <c r="M20" s="8" t="s">
        <v>33</v>
      </c>
      <c r="N20" s="44">
        <v>0.5730096686484103</v>
      </c>
      <c r="O20" s="44">
        <v>0.58868528641232232</v>
      </c>
      <c r="P20" s="46">
        <v>0.58084747753036625</v>
      </c>
    </row>
    <row r="21" spans="1:17" ht="14.5" thickBot="1" x14ac:dyDescent="0.35">
      <c r="J21" s="9"/>
      <c r="K21" s="17"/>
      <c r="L21" s="9" t="s">
        <v>40</v>
      </c>
      <c r="M21" s="10" t="s">
        <v>13</v>
      </c>
      <c r="N21" s="43">
        <v>0.77560358825278297</v>
      </c>
      <c r="O21" s="43">
        <v>0.77791307505103013</v>
      </c>
      <c r="P21" s="43">
        <v>0.77675833165190655</v>
      </c>
    </row>
    <row r="22" spans="1:17" x14ac:dyDescent="0.3">
      <c r="J22" s="54" t="s">
        <v>60</v>
      </c>
      <c r="K22" s="16">
        <v>10</v>
      </c>
      <c r="L22" s="11" t="s">
        <v>26</v>
      </c>
      <c r="M22" s="12" t="s">
        <v>34</v>
      </c>
      <c r="N22" s="45" t="s">
        <v>180</v>
      </c>
      <c r="O22" s="45" t="s">
        <v>180</v>
      </c>
      <c r="P22" s="45" t="s">
        <v>180</v>
      </c>
    </row>
    <row r="23" spans="1:17" x14ac:dyDescent="0.3">
      <c r="J23" s="11"/>
      <c r="K23" s="15"/>
      <c r="L23" s="7" t="s">
        <v>26</v>
      </c>
      <c r="M23" s="8" t="s">
        <v>33</v>
      </c>
      <c r="N23" s="44">
        <v>0.67416186389968868</v>
      </c>
      <c r="O23" s="44">
        <v>0.53485965787066914</v>
      </c>
      <c r="P23" s="46">
        <v>0.60451076088517897</v>
      </c>
    </row>
    <row r="24" spans="1:17" x14ac:dyDescent="0.3">
      <c r="J24" s="11"/>
      <c r="K24" s="15"/>
      <c r="L24" s="11" t="s">
        <v>35</v>
      </c>
      <c r="M24" s="12" t="s">
        <v>34</v>
      </c>
      <c r="N24" s="45" t="s">
        <v>180</v>
      </c>
      <c r="O24" s="45" t="s">
        <v>180</v>
      </c>
      <c r="P24" s="45" t="s">
        <v>180</v>
      </c>
    </row>
    <row r="25" spans="1:17" x14ac:dyDescent="0.3">
      <c r="J25" s="11"/>
      <c r="K25" s="15"/>
      <c r="L25" s="7" t="s">
        <v>35</v>
      </c>
      <c r="M25" s="8" t="s">
        <v>33</v>
      </c>
      <c r="N25" s="44">
        <v>0.43926979101117886</v>
      </c>
      <c r="O25" s="44">
        <v>0.38927476748312834</v>
      </c>
      <c r="P25" s="46">
        <v>0.4142722792471536</v>
      </c>
    </row>
    <row r="26" spans="1:17" ht="14.5" thickBot="1" x14ac:dyDescent="0.35">
      <c r="J26" s="9"/>
      <c r="K26" s="17"/>
      <c r="L26" s="9" t="s">
        <v>40</v>
      </c>
      <c r="M26" s="10" t="s">
        <v>13</v>
      </c>
      <c r="N26" s="28" t="s">
        <v>181</v>
      </c>
      <c r="O26" s="28" t="s">
        <v>181</v>
      </c>
      <c r="P26" s="28" t="s">
        <v>181</v>
      </c>
    </row>
    <row r="27" spans="1:17" x14ac:dyDescent="0.3">
      <c r="J27" s="54" t="s">
        <v>61</v>
      </c>
      <c r="K27" s="16">
        <v>10</v>
      </c>
      <c r="L27" s="11" t="s">
        <v>26</v>
      </c>
      <c r="M27" s="12" t="s">
        <v>34</v>
      </c>
      <c r="N27" s="45" t="s">
        <v>180</v>
      </c>
      <c r="O27" s="45" t="s">
        <v>180</v>
      </c>
      <c r="P27" s="45" t="s">
        <v>180</v>
      </c>
    </row>
    <row r="28" spans="1:17" x14ac:dyDescent="0.3">
      <c r="J28" s="11"/>
      <c r="K28" s="15"/>
      <c r="L28" s="7" t="s">
        <v>26</v>
      </c>
      <c r="M28" s="8" t="s">
        <v>33</v>
      </c>
      <c r="N28" s="44">
        <v>0</v>
      </c>
      <c r="O28" s="44">
        <v>0</v>
      </c>
      <c r="P28" s="44">
        <v>0</v>
      </c>
    </row>
    <row r="29" spans="1:17" x14ac:dyDescent="0.3">
      <c r="J29" s="11"/>
      <c r="K29" s="15"/>
      <c r="L29" s="11" t="s">
        <v>35</v>
      </c>
      <c r="M29" s="12" t="s">
        <v>34</v>
      </c>
      <c r="N29" s="45" t="s">
        <v>180</v>
      </c>
      <c r="O29" s="45" t="s">
        <v>180</v>
      </c>
      <c r="P29" s="45" t="s">
        <v>180</v>
      </c>
    </row>
    <row r="30" spans="1:17" x14ac:dyDescent="0.3">
      <c r="J30" s="11"/>
      <c r="K30" s="15"/>
      <c r="L30" s="7" t="s">
        <v>35</v>
      </c>
      <c r="M30" s="8" t="s">
        <v>33</v>
      </c>
      <c r="N30" s="44">
        <v>0.63729755211766503</v>
      </c>
      <c r="O30" s="44">
        <v>0.61386627178393904</v>
      </c>
      <c r="P30" s="44">
        <v>0.62558191195080204</v>
      </c>
    </row>
    <row r="31" spans="1:17" ht="14.5" thickBot="1" x14ac:dyDescent="0.35">
      <c r="J31" s="9"/>
      <c r="K31" s="17"/>
      <c r="L31" s="9" t="s">
        <v>40</v>
      </c>
      <c r="M31" s="10" t="s">
        <v>13</v>
      </c>
      <c r="N31" s="28" t="s">
        <v>181</v>
      </c>
      <c r="O31" s="28" t="s">
        <v>181</v>
      </c>
      <c r="P31" s="28" t="s">
        <v>181</v>
      </c>
    </row>
    <row r="32" spans="1:17" x14ac:dyDescent="0.3">
      <c r="J32" s="57" t="s">
        <v>62</v>
      </c>
      <c r="K32" s="16">
        <v>10</v>
      </c>
      <c r="L32" s="11" t="s">
        <v>26</v>
      </c>
      <c r="M32" s="12" t="s">
        <v>34</v>
      </c>
      <c r="N32" s="45" t="s">
        <v>180</v>
      </c>
      <c r="O32" s="45"/>
      <c r="P32" s="45" t="s">
        <v>180</v>
      </c>
      <c r="Q32" s="76" t="s">
        <v>182</v>
      </c>
    </row>
    <row r="33" spans="1:16" x14ac:dyDescent="0.3">
      <c r="A33" s="15"/>
      <c r="B33" s="15"/>
      <c r="C33" s="15"/>
      <c r="D33" s="15"/>
      <c r="E33" s="15"/>
      <c r="F33" s="15"/>
      <c r="G33" s="11"/>
      <c r="H33" s="11"/>
      <c r="J33" s="11"/>
      <c r="K33" s="15"/>
      <c r="L33" s="7" t="s">
        <v>26</v>
      </c>
      <c r="M33" s="8" t="s">
        <v>33</v>
      </c>
      <c r="N33" s="44">
        <v>0</v>
      </c>
      <c r="O33" s="44" t="s">
        <v>41</v>
      </c>
      <c r="P33" s="46">
        <v>0</v>
      </c>
    </row>
    <row r="34" spans="1:16" x14ac:dyDescent="0.3">
      <c r="A34" s="15"/>
      <c r="B34" s="15"/>
      <c r="C34" s="15"/>
      <c r="D34" s="15"/>
      <c r="E34" s="15"/>
      <c r="F34" s="15"/>
      <c r="G34" s="11"/>
      <c r="H34" s="11"/>
      <c r="J34" s="11"/>
      <c r="K34" s="15"/>
      <c r="L34" s="11" t="s">
        <v>35</v>
      </c>
      <c r="M34" s="12" t="s">
        <v>34</v>
      </c>
      <c r="N34" s="45" t="s">
        <v>180</v>
      </c>
      <c r="O34" s="45"/>
      <c r="P34" s="45" t="s">
        <v>180</v>
      </c>
    </row>
    <row r="35" spans="1:16" x14ac:dyDescent="0.3">
      <c r="A35" s="15"/>
      <c r="B35" s="15"/>
      <c r="C35" s="15"/>
      <c r="D35" s="15"/>
      <c r="E35" s="15"/>
      <c r="F35" s="15"/>
      <c r="G35" s="11"/>
      <c r="H35" s="11"/>
      <c r="J35" s="11"/>
      <c r="K35" s="15"/>
      <c r="L35" s="7" t="s">
        <v>35</v>
      </c>
      <c r="M35" s="8" t="s">
        <v>33</v>
      </c>
      <c r="N35" s="44">
        <v>0.3707979144229972</v>
      </c>
      <c r="O35" s="44">
        <v>0.30938086125531644</v>
      </c>
      <c r="P35" s="46">
        <v>0.34008938783915682</v>
      </c>
    </row>
    <row r="36" spans="1:16" ht="14.5" thickBot="1" x14ac:dyDescent="0.35">
      <c r="A36" s="15"/>
      <c r="B36" s="15"/>
      <c r="C36" s="15"/>
      <c r="D36" s="15"/>
      <c r="E36" s="15"/>
      <c r="F36" s="15"/>
      <c r="G36" s="11"/>
      <c r="H36" s="11"/>
      <c r="J36" s="9"/>
      <c r="K36" s="17"/>
      <c r="L36" s="9" t="s">
        <v>40</v>
      </c>
      <c r="M36" s="10" t="s">
        <v>13</v>
      </c>
      <c r="N36" s="28" t="s">
        <v>181</v>
      </c>
      <c r="O36" s="28"/>
      <c r="P36" s="28" t="s">
        <v>181</v>
      </c>
    </row>
    <row r="37" spans="1:16" x14ac:dyDescent="0.3">
      <c r="A37" s="15"/>
      <c r="B37" s="15"/>
      <c r="C37" s="15"/>
      <c r="D37" s="15"/>
      <c r="E37" s="15"/>
      <c r="F37" s="15"/>
      <c r="G37" s="11"/>
      <c r="H37" s="11"/>
      <c r="J37" s="25" t="s">
        <v>7</v>
      </c>
      <c r="K37" s="16">
        <v>10</v>
      </c>
      <c r="L37" s="11" t="s">
        <v>26</v>
      </c>
      <c r="M37" s="12" t="s">
        <v>34</v>
      </c>
      <c r="N37" s="45">
        <v>0.46549995988101983</v>
      </c>
      <c r="O37" s="45">
        <v>0.38170279247692307</v>
      </c>
      <c r="P37" s="45">
        <v>0.42360137617897142</v>
      </c>
    </row>
    <row r="38" spans="1:16" x14ac:dyDescent="0.3">
      <c r="A38" s="15"/>
      <c r="B38" s="15"/>
      <c r="C38" s="15"/>
      <c r="D38" s="15"/>
      <c r="E38" s="15"/>
      <c r="F38" s="15"/>
      <c r="G38" s="11"/>
      <c r="H38" s="11"/>
      <c r="J38" s="11"/>
      <c r="K38" s="15"/>
      <c r="L38" s="7" t="s">
        <v>26</v>
      </c>
      <c r="M38" s="8" t="s">
        <v>33</v>
      </c>
      <c r="N38" s="44">
        <v>0.99877668036613132</v>
      </c>
      <c r="O38" s="44">
        <v>0.88203028953582396</v>
      </c>
      <c r="P38" s="44">
        <v>0.9404034849509777</v>
      </c>
    </row>
    <row r="39" spans="1:16" x14ac:dyDescent="0.3">
      <c r="A39" s="15"/>
      <c r="B39" s="15"/>
      <c r="C39" s="15"/>
      <c r="D39" s="15"/>
      <c r="E39" s="15"/>
      <c r="F39" s="15"/>
      <c r="G39" s="11"/>
      <c r="H39" s="11"/>
      <c r="J39" s="11"/>
      <c r="K39" s="15"/>
      <c r="L39" s="11" t="s">
        <v>35</v>
      </c>
      <c r="M39" s="12" t="s">
        <v>34</v>
      </c>
      <c r="N39" s="42">
        <v>3.7535026907098694</v>
      </c>
      <c r="O39" s="42">
        <v>3.194212902320166</v>
      </c>
      <c r="P39" s="42">
        <v>3.4738577965150177</v>
      </c>
    </row>
    <row r="40" spans="1:16" x14ac:dyDescent="0.3">
      <c r="A40" s="15"/>
      <c r="B40" s="15"/>
      <c r="C40" s="15"/>
      <c r="D40" s="15"/>
      <c r="E40" s="15"/>
      <c r="F40" s="15"/>
      <c r="G40" s="11"/>
      <c r="H40" s="11"/>
      <c r="J40" s="11"/>
      <c r="K40" s="15"/>
      <c r="L40" s="7" t="s">
        <v>35</v>
      </c>
      <c r="M40" s="8" t="s">
        <v>33</v>
      </c>
      <c r="N40" s="44">
        <v>0.90292594859349296</v>
      </c>
      <c r="O40" s="44">
        <v>1.0221233503793421</v>
      </c>
      <c r="P40" s="44">
        <v>0.96252464948641747</v>
      </c>
    </row>
    <row r="41" spans="1:16" ht="14.5" thickBot="1" x14ac:dyDescent="0.35">
      <c r="A41" s="19"/>
      <c r="B41" s="19"/>
      <c r="C41" s="19"/>
      <c r="D41" s="19"/>
      <c r="E41" s="19"/>
      <c r="F41" s="19"/>
      <c r="G41" s="19"/>
      <c r="H41" s="19"/>
      <c r="J41" s="9"/>
      <c r="K41" s="17"/>
      <c r="L41" s="9" t="s">
        <v>40</v>
      </c>
      <c r="M41" s="10" t="s">
        <v>13</v>
      </c>
      <c r="N41" s="43">
        <v>8.0633791927055203</v>
      </c>
      <c r="O41" s="43">
        <v>8.3683246894592251</v>
      </c>
      <c r="P41" s="43">
        <v>8.2158519410823736</v>
      </c>
    </row>
    <row r="42" spans="1:16" x14ac:dyDescent="0.3">
      <c r="A42" s="19"/>
      <c r="B42" s="16"/>
      <c r="C42" s="16"/>
      <c r="D42" s="16"/>
      <c r="E42" s="16"/>
      <c r="F42" s="15"/>
      <c r="G42" s="11"/>
      <c r="H42" s="11"/>
      <c r="J42" s="25" t="s">
        <v>8</v>
      </c>
      <c r="K42" s="16">
        <v>10</v>
      </c>
      <c r="L42" s="11" t="s">
        <v>26</v>
      </c>
      <c r="M42" s="12" t="s">
        <v>34</v>
      </c>
      <c r="N42" s="45">
        <v>8.1986451385428441E-2</v>
      </c>
      <c r="O42" s="45">
        <v>8.4622492581485673E-2</v>
      </c>
      <c r="P42" s="45">
        <v>8.3304471983457057E-2</v>
      </c>
    </row>
    <row r="43" spans="1:16" x14ac:dyDescent="0.3">
      <c r="A43" s="19"/>
      <c r="B43" s="16"/>
      <c r="C43" s="16"/>
      <c r="D43" s="20"/>
      <c r="E43" s="20"/>
      <c r="F43" s="15"/>
      <c r="G43" s="11"/>
      <c r="H43" s="11"/>
      <c r="J43" s="11"/>
      <c r="K43" s="15"/>
      <c r="L43" s="7" t="s">
        <v>26</v>
      </c>
      <c r="M43" s="8" t="s">
        <v>33</v>
      </c>
      <c r="N43" s="44">
        <v>0.98411411945093774</v>
      </c>
      <c r="O43" s="44">
        <v>1.1035505948280733</v>
      </c>
      <c r="P43" s="44">
        <v>1.0438323571395056</v>
      </c>
    </row>
    <row r="44" spans="1:16" x14ac:dyDescent="0.3">
      <c r="A44" s="19"/>
      <c r="B44" s="16"/>
      <c r="C44" s="16"/>
      <c r="D44" s="16"/>
      <c r="E44" s="16"/>
      <c r="F44" s="15"/>
      <c r="G44" s="11"/>
      <c r="H44" s="11"/>
      <c r="J44" s="11"/>
      <c r="K44" s="15"/>
      <c r="L44" s="11" t="s">
        <v>35</v>
      </c>
      <c r="M44" s="12" t="s">
        <v>34</v>
      </c>
      <c r="N44" s="42">
        <v>8.0277993075817893</v>
      </c>
      <c r="O44" s="42">
        <v>6.8879818489599769</v>
      </c>
      <c r="P44" s="42">
        <v>7.4578905782708826</v>
      </c>
    </row>
    <row r="45" spans="1:16" x14ac:dyDescent="0.3">
      <c r="A45" s="19"/>
      <c r="B45" s="16"/>
      <c r="C45" s="16"/>
      <c r="D45" s="20"/>
      <c r="E45" s="20"/>
      <c r="F45" s="15"/>
      <c r="G45" s="11"/>
      <c r="H45" s="11"/>
      <c r="J45" s="11"/>
      <c r="K45" s="15"/>
      <c r="L45" s="7" t="s">
        <v>35</v>
      </c>
      <c r="M45" s="8" t="s">
        <v>33</v>
      </c>
      <c r="N45" s="44">
        <v>0.97606666580543022</v>
      </c>
      <c r="O45" s="44">
        <v>0.82683748890344144</v>
      </c>
      <c r="P45" s="44">
        <v>0.90145207735443589</v>
      </c>
    </row>
    <row r="46" spans="1:16" ht="14.5" thickBot="1" x14ac:dyDescent="0.35">
      <c r="A46" s="19"/>
      <c r="B46" s="16"/>
      <c r="C46" s="16"/>
      <c r="D46" s="16"/>
      <c r="E46" s="16"/>
      <c r="F46" s="15"/>
      <c r="G46" s="11"/>
      <c r="H46" s="11"/>
      <c r="J46" s="72"/>
      <c r="K46" s="73"/>
      <c r="L46" s="72" t="s">
        <v>40</v>
      </c>
      <c r="M46" s="74" t="s">
        <v>13</v>
      </c>
      <c r="N46" s="75">
        <v>97.916169951570566</v>
      </c>
      <c r="O46" s="75">
        <v>81.396584274887928</v>
      </c>
      <c r="P46" s="75">
        <v>89.65637711322924</v>
      </c>
    </row>
    <row r="47" spans="1:16" x14ac:dyDescent="0.3">
      <c r="A47" s="19"/>
      <c r="B47" s="16"/>
      <c r="C47" s="16"/>
      <c r="D47" s="16"/>
      <c r="E47" s="16"/>
      <c r="F47" s="15"/>
      <c r="G47" s="11"/>
      <c r="H47" s="11"/>
      <c r="J47" s="25" t="s">
        <v>9</v>
      </c>
      <c r="K47" s="16">
        <v>10</v>
      </c>
      <c r="L47" s="11" t="s">
        <v>26</v>
      </c>
      <c r="M47" s="25" t="s">
        <v>34</v>
      </c>
      <c r="N47" s="45">
        <v>75.840801200829119</v>
      </c>
      <c r="O47" s="45">
        <v>87.787529112743499</v>
      </c>
      <c r="P47" s="45">
        <v>81.814165156786316</v>
      </c>
    </row>
    <row r="48" spans="1:16" x14ac:dyDescent="0.3">
      <c r="A48" s="19"/>
      <c r="B48" s="16"/>
      <c r="C48" s="20"/>
      <c r="D48" s="16"/>
      <c r="E48" s="20"/>
      <c r="F48" s="21"/>
      <c r="G48" s="22"/>
      <c r="H48" s="11"/>
      <c r="J48" s="11"/>
      <c r="K48" s="15"/>
      <c r="L48" s="7" t="s">
        <v>26</v>
      </c>
      <c r="M48" s="8" t="s">
        <v>33</v>
      </c>
      <c r="N48" s="44">
        <v>1.3106451296586854</v>
      </c>
      <c r="O48" s="44">
        <v>1.3662718607384281</v>
      </c>
      <c r="P48" s="44">
        <v>1.3384584951985568</v>
      </c>
    </row>
    <row r="49" spans="1:16" x14ac:dyDescent="0.3">
      <c r="A49" s="19"/>
      <c r="B49" s="20"/>
      <c r="C49" s="23"/>
      <c r="D49" s="21"/>
      <c r="E49" s="20"/>
      <c r="F49" s="21"/>
      <c r="G49" s="13"/>
      <c r="H49" s="11"/>
      <c r="J49" s="11"/>
      <c r="K49" s="15"/>
      <c r="L49" s="11" t="s">
        <v>35</v>
      </c>
      <c r="M49" s="25" t="s">
        <v>34</v>
      </c>
      <c r="N49" s="42">
        <v>14.579228163169567</v>
      </c>
      <c r="O49" s="42">
        <v>14.770479013384863</v>
      </c>
      <c r="P49" s="42">
        <v>14.674853588277216</v>
      </c>
    </row>
    <row r="50" spans="1:16" x14ac:dyDescent="0.3">
      <c r="A50" s="19"/>
      <c r="B50" s="20"/>
      <c r="C50" s="23"/>
      <c r="D50" s="21"/>
      <c r="E50" s="23"/>
      <c r="F50" s="16"/>
      <c r="G50" s="14"/>
      <c r="H50" s="11"/>
      <c r="J50" s="11"/>
      <c r="K50" s="15"/>
      <c r="L50" s="7" t="s">
        <v>35</v>
      </c>
      <c r="M50" s="8" t="s">
        <v>33</v>
      </c>
      <c r="N50" s="44">
        <v>1.236854063632165</v>
      </c>
      <c r="O50" s="44">
        <v>1.2600883621209125</v>
      </c>
      <c r="P50" s="44">
        <v>1.2484712128765387</v>
      </c>
    </row>
    <row r="51" spans="1:16" ht="14.5" thickBot="1" x14ac:dyDescent="0.35">
      <c r="A51" s="19"/>
      <c r="B51" s="16"/>
      <c r="C51" s="21"/>
      <c r="D51" s="16"/>
      <c r="E51" s="20"/>
      <c r="F51" s="20"/>
      <c r="G51" s="22"/>
      <c r="H51" s="11"/>
      <c r="J51" s="68"/>
      <c r="K51" s="69"/>
      <c r="L51" s="68" t="s">
        <v>40</v>
      </c>
      <c r="M51" s="70" t="s">
        <v>13</v>
      </c>
      <c r="N51" s="71">
        <v>0.19223462743442354</v>
      </c>
      <c r="O51" s="71">
        <v>0.16825258852445291</v>
      </c>
      <c r="P51" s="71">
        <v>0.18024360797943823</v>
      </c>
    </row>
    <row r="52" spans="1:16" ht="14.5" thickTop="1" x14ac:dyDescent="0.3">
      <c r="A52" s="15"/>
      <c r="B52" s="15"/>
      <c r="C52" s="15"/>
      <c r="D52" s="15"/>
      <c r="E52" s="15"/>
      <c r="F52" s="15"/>
      <c r="G52" s="11"/>
      <c r="H52" s="11"/>
      <c r="J52" s="51" t="s">
        <v>54</v>
      </c>
    </row>
    <row r="53" spans="1:16" x14ac:dyDescent="0.3">
      <c r="A53" s="15"/>
      <c r="B53" s="15"/>
      <c r="C53" s="15"/>
      <c r="D53" s="15"/>
      <c r="E53" s="15"/>
      <c r="F53" s="15"/>
      <c r="G53" s="11"/>
      <c r="H53" s="11"/>
      <c r="J53" s="51" t="s">
        <v>49</v>
      </c>
    </row>
    <row r="54" spans="1:16" x14ac:dyDescent="0.3">
      <c r="A54" s="15"/>
      <c r="B54" s="15"/>
      <c r="C54" s="15"/>
      <c r="D54" s="15"/>
      <c r="E54" s="15"/>
      <c r="F54" s="15"/>
      <c r="G54" s="11"/>
      <c r="H54" s="11"/>
      <c r="J54" t="s">
        <v>51</v>
      </c>
    </row>
  </sheetData>
  <mergeCells count="2">
    <mergeCell ref="A1:A2"/>
    <mergeCell ref="A16:G1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V230"/>
  <sheetViews>
    <sheetView tabSelected="1" topLeftCell="A61" workbookViewId="0">
      <selection activeCell="G62" sqref="G62"/>
    </sheetView>
  </sheetViews>
  <sheetFormatPr defaultRowHeight="14" x14ac:dyDescent="0.3"/>
  <cols>
    <col min="1" max="1" width="41.54296875" bestFit="1" customWidth="1"/>
    <col min="2" max="2" width="16.6328125" style="49" bestFit="1" customWidth="1"/>
    <col min="3" max="3" width="16.54296875" style="49" bestFit="1" customWidth="1"/>
    <col min="5" max="5" width="22.36328125" bestFit="1" customWidth="1"/>
    <col min="6" max="6" width="20.54296875" bestFit="1" customWidth="1"/>
    <col min="7" max="8" width="20.54296875" customWidth="1"/>
    <col min="10" max="10" width="13.36328125" customWidth="1"/>
    <col min="11" max="11" width="8.08984375" bestFit="1" customWidth="1"/>
    <col min="12" max="14" width="12.54296875" bestFit="1" customWidth="1"/>
    <col min="15" max="15" width="10.54296875" bestFit="1" customWidth="1"/>
  </cols>
  <sheetData>
    <row r="1" spans="1:15" s="52" customFormat="1" x14ac:dyDescent="0.3">
      <c r="A1" s="52" t="s">
        <v>0</v>
      </c>
      <c r="B1" s="50" t="s">
        <v>1</v>
      </c>
      <c r="C1" s="50" t="s">
        <v>2</v>
      </c>
      <c r="D1" s="56" t="s">
        <v>3</v>
      </c>
      <c r="E1" s="56" t="s">
        <v>5</v>
      </c>
      <c r="F1" s="52" t="s">
        <v>6</v>
      </c>
      <c r="G1" s="52" t="s">
        <v>188</v>
      </c>
      <c r="H1" s="52" t="s">
        <v>189</v>
      </c>
      <c r="J1" s="52" t="s">
        <v>26</v>
      </c>
      <c r="K1" s="52" t="s">
        <v>18</v>
      </c>
      <c r="L1" s="50" t="s">
        <v>19</v>
      </c>
      <c r="M1" s="50" t="s">
        <v>20</v>
      </c>
      <c r="N1" s="50" t="s">
        <v>21</v>
      </c>
      <c r="O1" s="50" t="s">
        <v>22</v>
      </c>
    </row>
    <row r="2" spans="1:15" x14ac:dyDescent="0.3">
      <c r="A2" t="s">
        <v>63</v>
      </c>
      <c r="B2" s="49" t="s">
        <v>57</v>
      </c>
      <c r="C2" s="49" t="s">
        <v>10</v>
      </c>
      <c r="D2">
        <v>0</v>
      </c>
      <c r="E2">
        <v>0</v>
      </c>
      <c r="F2">
        <v>0</v>
      </c>
      <c r="G2" t="s">
        <v>31</v>
      </c>
      <c r="H2">
        <v>10</v>
      </c>
      <c r="J2" s="52" t="s">
        <v>27</v>
      </c>
      <c r="K2">
        <v>7.4999999999999997E-2</v>
      </c>
      <c r="L2" s="77">
        <v>0.53346986729082191</v>
      </c>
      <c r="M2" s="77">
        <v>0.66199176428257311</v>
      </c>
      <c r="N2" s="77">
        <v>0.59773081578669751</v>
      </c>
      <c r="O2" s="77">
        <v>9.0878704893825865E-2</v>
      </c>
    </row>
    <row r="3" spans="1:15" x14ac:dyDescent="0.3">
      <c r="A3" t="s">
        <v>65</v>
      </c>
      <c r="B3" s="49" t="s">
        <v>57</v>
      </c>
      <c r="C3" s="49" t="s">
        <v>10</v>
      </c>
      <c r="D3">
        <v>0</v>
      </c>
      <c r="E3">
        <v>0</v>
      </c>
      <c r="F3">
        <v>0</v>
      </c>
      <c r="G3" t="s">
        <v>31</v>
      </c>
      <c r="H3">
        <v>10</v>
      </c>
      <c r="J3" s="52" t="s">
        <v>28</v>
      </c>
      <c r="K3">
        <v>0.25</v>
      </c>
      <c r="L3" s="77">
        <v>9.2177981713588222E-2</v>
      </c>
      <c r="M3" s="77">
        <v>0.11420550560872617</v>
      </c>
      <c r="N3" s="77">
        <v>0.10319174366115719</v>
      </c>
      <c r="O3" s="77">
        <v>1.5575811519000829E-2</v>
      </c>
    </row>
    <row r="4" spans="1:15" x14ac:dyDescent="0.3">
      <c r="A4" t="s">
        <v>66</v>
      </c>
      <c r="B4" s="49" t="s">
        <v>57</v>
      </c>
      <c r="C4" s="49" t="s">
        <v>10</v>
      </c>
      <c r="D4">
        <v>0</v>
      </c>
      <c r="E4">
        <v>0</v>
      </c>
      <c r="F4">
        <v>0</v>
      </c>
      <c r="G4" t="s">
        <v>31</v>
      </c>
      <c r="H4">
        <v>10</v>
      </c>
      <c r="J4" s="52" t="s">
        <v>29</v>
      </c>
      <c r="K4">
        <v>7.4999999999999997E-2</v>
      </c>
      <c r="L4" s="77">
        <v>4.5415084644151991</v>
      </c>
      <c r="M4" s="77">
        <v>4.2168840673296311</v>
      </c>
      <c r="N4" s="77">
        <v>4.3791962658724151</v>
      </c>
      <c r="O4" s="77">
        <v>0.22954411251779966</v>
      </c>
    </row>
    <row r="5" spans="1:15" x14ac:dyDescent="0.3">
      <c r="A5" t="s">
        <v>67</v>
      </c>
      <c r="B5" s="49" t="s">
        <v>57</v>
      </c>
      <c r="C5" s="49" t="s">
        <v>10</v>
      </c>
      <c r="D5">
        <v>0</v>
      </c>
      <c r="E5">
        <v>0</v>
      </c>
      <c r="F5">
        <v>0</v>
      </c>
      <c r="G5" t="s">
        <v>31</v>
      </c>
      <c r="H5">
        <v>10</v>
      </c>
      <c r="J5" s="52" t="s">
        <v>30</v>
      </c>
      <c r="L5" s="77"/>
      <c r="M5" s="77"/>
      <c r="N5" s="77"/>
      <c r="O5" s="77"/>
    </row>
    <row r="6" spans="1:15" x14ac:dyDescent="0.3">
      <c r="A6" t="s">
        <v>106</v>
      </c>
      <c r="B6" s="49" t="s">
        <v>57</v>
      </c>
      <c r="C6" s="49" t="s">
        <v>10</v>
      </c>
      <c r="D6">
        <v>6117</v>
      </c>
      <c r="E6">
        <v>265443</v>
      </c>
      <c r="F6" s="77">
        <v>2.3044495428397056E-2</v>
      </c>
      <c r="G6" s="77" t="str">
        <f t="shared" ref="G6:G17" si="0">IF(COUNTIF(A6,"*rec*"),"R2",IF(COUNTIF(A6, "*dos*"),"D0",IF(COUNTIF(A6,"*don*"),"D2","")))</f>
        <v>R2</v>
      </c>
      <c r="H6">
        <v>10</v>
      </c>
      <c r="J6" s="52" t="s">
        <v>31</v>
      </c>
      <c r="L6" s="77">
        <v>0</v>
      </c>
      <c r="M6" s="77">
        <v>0</v>
      </c>
      <c r="N6" s="77">
        <v>0</v>
      </c>
      <c r="O6" s="77">
        <v>0</v>
      </c>
    </row>
    <row r="7" spans="1:15" x14ac:dyDescent="0.3">
      <c r="A7" t="s">
        <v>107</v>
      </c>
      <c r="B7" s="49" t="s">
        <v>57</v>
      </c>
      <c r="C7" s="49" t="s">
        <v>10</v>
      </c>
      <c r="D7">
        <v>7282</v>
      </c>
      <c r="E7">
        <v>255049</v>
      </c>
      <c r="F7" s="77">
        <v>2.8551376402181541E-2</v>
      </c>
      <c r="G7" s="77" t="str">
        <f t="shared" si="0"/>
        <v>R2</v>
      </c>
      <c r="H7">
        <v>10</v>
      </c>
      <c r="J7" s="52" t="s">
        <v>32</v>
      </c>
      <c r="L7" s="77">
        <v>3.2006243650551466E-6</v>
      </c>
      <c r="M7" s="77">
        <v>3.9654689447474367E-6</v>
      </c>
      <c r="N7" s="77">
        <v>3.5830466549012916E-6</v>
      </c>
      <c r="O7" s="77">
        <v>5.4082678885419308E-7</v>
      </c>
    </row>
    <row r="8" spans="1:15" x14ac:dyDescent="0.3">
      <c r="A8" t="s">
        <v>108</v>
      </c>
      <c r="B8" s="49" t="s">
        <v>57</v>
      </c>
      <c r="C8" s="49" t="s">
        <v>10</v>
      </c>
      <c r="D8">
        <v>318169</v>
      </c>
      <c r="E8">
        <v>280232</v>
      </c>
      <c r="F8" s="77">
        <v>1.1353771161037998</v>
      </c>
      <c r="G8" s="77" t="str">
        <f t="shared" si="0"/>
        <v>D0</v>
      </c>
      <c r="H8">
        <v>10</v>
      </c>
      <c r="J8" s="52" t="s">
        <v>55</v>
      </c>
      <c r="L8" s="77">
        <v>4.5415084644151991</v>
      </c>
      <c r="M8" s="77">
        <v>4.2168840673296311</v>
      </c>
      <c r="N8" s="77">
        <v>4.3791962658724151</v>
      </c>
      <c r="O8" s="77">
        <v>0.22954411251779966</v>
      </c>
    </row>
    <row r="9" spans="1:15" x14ac:dyDescent="0.3">
      <c r="A9" t="s">
        <v>109</v>
      </c>
      <c r="B9" s="49" t="s">
        <v>57</v>
      </c>
      <c r="C9" s="49" t="s">
        <v>10</v>
      </c>
      <c r="D9">
        <v>293862</v>
      </c>
      <c r="E9">
        <v>278748</v>
      </c>
      <c r="F9" s="77">
        <v>1.0542210168324078</v>
      </c>
      <c r="G9" s="77" t="str">
        <f t="shared" si="0"/>
        <v>D0</v>
      </c>
      <c r="H9">
        <v>10</v>
      </c>
      <c r="J9" s="52" t="s">
        <v>33</v>
      </c>
      <c r="L9" s="77">
        <v>0.18512126816973246</v>
      </c>
      <c r="M9" s="77">
        <v>0.24726237817550642</v>
      </c>
      <c r="N9" s="77">
        <v>0.21619182317261942</v>
      </c>
      <c r="O9" s="77">
        <v>4.3940400275542073E-2</v>
      </c>
    </row>
    <row r="10" spans="1:15" x14ac:dyDescent="0.3">
      <c r="A10" t="s">
        <v>110</v>
      </c>
      <c r="B10" s="49" t="s">
        <v>57</v>
      </c>
      <c r="C10" s="49" t="s">
        <v>10</v>
      </c>
      <c r="D10">
        <v>29174</v>
      </c>
      <c r="E10">
        <v>218749</v>
      </c>
      <c r="F10" s="77">
        <v>0.13336746682270548</v>
      </c>
      <c r="G10" s="77" t="str">
        <f>IF(COUNTIF(A10,"*rec*"),"R2",IF(COUNTIF(A10, "*dos*"),"D0",IF(COUNTIF(A10,"*don*"),"D2","")))</f>
        <v>D2</v>
      </c>
      <c r="H10">
        <v>10</v>
      </c>
      <c r="J10" s="52" t="s">
        <v>34</v>
      </c>
      <c r="L10" s="77">
        <v>6.406810724861586</v>
      </c>
      <c r="M10" s="77">
        <v>8.5488994015315356</v>
      </c>
      <c r="N10" s="77">
        <v>7.4778550631965608</v>
      </c>
      <c r="O10" s="77">
        <v>1.5146854291762371</v>
      </c>
    </row>
    <row r="11" spans="1:15" x14ac:dyDescent="0.3">
      <c r="A11" t="s">
        <v>111</v>
      </c>
      <c r="B11" s="49" t="s">
        <v>57</v>
      </c>
      <c r="C11" s="49" t="s">
        <v>10</v>
      </c>
      <c r="D11">
        <v>41396</v>
      </c>
      <c r="E11">
        <v>250130</v>
      </c>
      <c r="F11" s="77">
        <v>0.16549794107064328</v>
      </c>
      <c r="G11" s="77" t="str">
        <f t="shared" si="0"/>
        <v>D2</v>
      </c>
      <c r="H11">
        <v>10</v>
      </c>
      <c r="J11" s="52"/>
      <c r="L11" s="77"/>
      <c r="M11" s="77"/>
      <c r="N11" s="77"/>
      <c r="O11" s="77"/>
    </row>
    <row r="12" spans="1:15" x14ac:dyDescent="0.3">
      <c r="A12" t="s">
        <v>112</v>
      </c>
      <c r="B12" s="49" t="s">
        <v>57</v>
      </c>
      <c r="C12" s="49" t="s">
        <v>10</v>
      </c>
      <c r="D12">
        <v>31406</v>
      </c>
      <c r="E12">
        <v>271510</v>
      </c>
      <c r="F12" s="77">
        <v>0.11567161430518214</v>
      </c>
      <c r="G12" s="77" t="str">
        <f t="shared" si="0"/>
        <v>R2</v>
      </c>
      <c r="H12">
        <v>10</v>
      </c>
      <c r="J12" s="52" t="s">
        <v>35</v>
      </c>
      <c r="L12" s="77"/>
      <c r="M12" s="77"/>
      <c r="N12" s="77"/>
      <c r="O12" s="77"/>
    </row>
    <row r="13" spans="1:15" x14ac:dyDescent="0.3">
      <c r="A13" t="s">
        <v>113</v>
      </c>
      <c r="B13" s="49" t="s">
        <v>57</v>
      </c>
      <c r="C13" s="49" t="s">
        <v>10</v>
      </c>
      <c r="D13">
        <v>36575</v>
      </c>
      <c r="E13">
        <v>252388</v>
      </c>
      <c r="F13" s="77">
        <v>0.14491576461638431</v>
      </c>
      <c r="G13" s="77" t="str">
        <f t="shared" si="0"/>
        <v>R2</v>
      </c>
      <c r="H13">
        <v>10</v>
      </c>
      <c r="J13" s="52" t="s">
        <v>27</v>
      </c>
      <c r="K13">
        <v>0.25</v>
      </c>
      <c r="L13" s="77">
        <v>1.7003821992554131</v>
      </c>
      <c r="M13" s="77">
        <v>1.7616098481239399</v>
      </c>
      <c r="N13" s="77">
        <v>1.7309960236896766</v>
      </c>
      <c r="O13" s="77">
        <v>4.3294485711044162E-2</v>
      </c>
    </row>
    <row r="14" spans="1:15" x14ac:dyDescent="0.3">
      <c r="A14" t="s">
        <v>114</v>
      </c>
      <c r="B14" s="49" t="s">
        <v>57</v>
      </c>
      <c r="C14" s="49" t="s">
        <v>10</v>
      </c>
      <c r="D14">
        <v>735967</v>
      </c>
      <c r="E14">
        <v>273708</v>
      </c>
      <c r="F14" s="77">
        <v>2.688876466891724</v>
      </c>
      <c r="G14" s="77" t="str">
        <f t="shared" si="0"/>
        <v>D0</v>
      </c>
      <c r="H14">
        <v>10</v>
      </c>
      <c r="J14" s="52" t="s">
        <v>28</v>
      </c>
      <c r="K14">
        <v>7.4999999999999997E-2</v>
      </c>
      <c r="L14" s="77">
        <v>0.46268645722072854</v>
      </c>
      <c r="M14" s="77">
        <v>0.57966305846553723</v>
      </c>
      <c r="N14" s="77">
        <v>0.52117475784313294</v>
      </c>
      <c r="O14" s="77">
        <v>8.271494798035775E-2</v>
      </c>
    </row>
    <row r="15" spans="1:15" x14ac:dyDescent="0.3">
      <c r="A15" t="s">
        <v>115</v>
      </c>
      <c r="B15" s="49" t="s">
        <v>57</v>
      </c>
      <c r="C15" s="49" t="s">
        <v>10</v>
      </c>
      <c r="D15">
        <v>560390</v>
      </c>
      <c r="E15">
        <v>258841</v>
      </c>
      <c r="F15" s="77">
        <v>2.1649970445176767</v>
      </c>
      <c r="G15" s="77" t="str">
        <f t="shared" si="0"/>
        <v>D0</v>
      </c>
      <c r="H15">
        <v>10</v>
      </c>
      <c r="J15" s="52" t="s">
        <v>29</v>
      </c>
      <c r="K15">
        <v>0.25</v>
      </c>
      <c r="L15" s="77">
        <v>10.755505867566896</v>
      </c>
      <c r="M15" s="77">
        <v>8.6599881780707069</v>
      </c>
      <c r="N15" s="77">
        <v>9.7077470228188005</v>
      </c>
      <c r="O15" s="77">
        <v>1.481754768339133</v>
      </c>
    </row>
    <row r="16" spans="1:15" x14ac:dyDescent="0.3">
      <c r="A16" t="s">
        <v>116</v>
      </c>
      <c r="B16" s="49" t="s">
        <v>57</v>
      </c>
      <c r="C16" s="49" t="s">
        <v>10</v>
      </c>
      <c r="D16">
        <v>102993</v>
      </c>
      <c r="E16">
        <v>242282</v>
      </c>
      <c r="F16" s="77">
        <v>0.42509554981385328</v>
      </c>
      <c r="G16" s="77" t="str">
        <f t="shared" si="0"/>
        <v>D2</v>
      </c>
      <c r="H16">
        <v>10</v>
      </c>
      <c r="J16" s="52" t="s">
        <v>30</v>
      </c>
      <c r="L16" s="77"/>
      <c r="M16" s="77"/>
      <c r="N16" s="77"/>
      <c r="O16" s="77"/>
    </row>
    <row r="17" spans="1:15" x14ac:dyDescent="0.3">
      <c r="A17" t="s">
        <v>117</v>
      </c>
      <c r="B17" s="49" t="s">
        <v>57</v>
      </c>
      <c r="C17" s="49" t="s">
        <v>10</v>
      </c>
      <c r="D17">
        <v>115555</v>
      </c>
      <c r="E17">
        <v>262385</v>
      </c>
      <c r="F17" s="77">
        <v>0.44040246203098499</v>
      </c>
      <c r="G17" s="77" t="str">
        <f t="shared" si="0"/>
        <v>D2</v>
      </c>
      <c r="H17">
        <v>10</v>
      </c>
      <c r="J17" s="52" t="s">
        <v>31</v>
      </c>
      <c r="L17" s="77">
        <v>0</v>
      </c>
      <c r="M17" s="77">
        <v>0</v>
      </c>
      <c r="N17" s="77">
        <v>0</v>
      </c>
      <c r="O17" s="77">
        <v>0</v>
      </c>
    </row>
    <row r="18" spans="1:15" x14ac:dyDescent="0.3">
      <c r="E18" t="s">
        <v>4</v>
      </c>
      <c r="F18">
        <v>4</v>
      </c>
      <c r="J18" s="52" t="s">
        <v>32</v>
      </c>
      <c r="L18" s="77">
        <v>4.8196505960492555E-6</v>
      </c>
      <c r="M18" s="77">
        <v>6.0381568590160127E-6</v>
      </c>
      <c r="N18" s="77">
        <v>5.4289037275326341E-6</v>
      </c>
      <c r="O18" s="77">
        <v>8.6161404146207251E-7</v>
      </c>
    </row>
    <row r="19" spans="1:15" x14ac:dyDescent="0.3">
      <c r="E19" t="s">
        <v>23</v>
      </c>
      <c r="F19">
        <v>0.11</v>
      </c>
      <c r="J19" s="52" t="s">
        <v>55</v>
      </c>
      <c r="L19" s="77">
        <v>10.755505867566896</v>
      </c>
      <c r="M19" s="77">
        <v>8.6599881780707069</v>
      </c>
      <c r="N19" s="77">
        <v>9.7077470228188005</v>
      </c>
      <c r="O19" s="77">
        <v>1.481754768339133</v>
      </c>
    </row>
    <row r="20" spans="1:15" x14ac:dyDescent="0.3">
      <c r="E20" t="s">
        <v>24</v>
      </c>
      <c r="F20">
        <v>2</v>
      </c>
      <c r="J20" s="52" t="s">
        <v>33</v>
      </c>
      <c r="L20" s="77">
        <v>0.17099968695732687</v>
      </c>
      <c r="M20" s="77">
        <v>0.2235001625712148</v>
      </c>
      <c r="N20" s="77">
        <v>0.19724992476427083</v>
      </c>
      <c r="O20" s="77">
        <v>3.7123442322099062E-2</v>
      </c>
    </row>
    <row r="21" spans="1:15" x14ac:dyDescent="0.3">
      <c r="E21" t="s">
        <v>25</v>
      </c>
      <c r="F21">
        <v>10</v>
      </c>
      <c r="J21" s="52" t="s">
        <v>34</v>
      </c>
      <c r="L21" s="77">
        <v>4.0737280010932118</v>
      </c>
      <c r="M21" s="77">
        <v>6.3386154753611681</v>
      </c>
      <c r="N21" s="77">
        <v>5.2061717382271899</v>
      </c>
      <c r="O21" s="77">
        <v>1.601517291679343</v>
      </c>
    </row>
    <row r="22" spans="1:15" x14ac:dyDescent="0.3">
      <c r="J22" s="52" t="s">
        <v>13</v>
      </c>
      <c r="L22" s="77">
        <v>0.63584335108966739</v>
      </c>
      <c r="M22" s="77">
        <v>0.74145397876896346</v>
      </c>
      <c r="N22" s="77">
        <v>0.68864866492931542</v>
      </c>
      <c r="O22" s="77">
        <v>7.4677990997397956E-2</v>
      </c>
    </row>
    <row r="23" spans="1:15" x14ac:dyDescent="0.3">
      <c r="L23" s="77"/>
      <c r="M23" s="77"/>
      <c r="N23" s="77"/>
      <c r="O23" s="77"/>
    </row>
    <row r="24" spans="1:15" x14ac:dyDescent="0.3">
      <c r="L24" s="77"/>
      <c r="M24" s="77"/>
      <c r="N24" s="77"/>
      <c r="O24" s="77"/>
    </row>
    <row r="25" spans="1:15" x14ac:dyDescent="0.3">
      <c r="L25" s="77"/>
      <c r="M25" s="77"/>
      <c r="N25" s="77"/>
      <c r="O25" s="77"/>
    </row>
    <row r="26" spans="1:15" x14ac:dyDescent="0.3">
      <c r="L26" s="77"/>
      <c r="M26" s="77"/>
      <c r="N26" s="77"/>
      <c r="O26" s="77"/>
    </row>
    <row r="27" spans="1:15" s="52" customFormat="1" x14ac:dyDescent="0.3">
      <c r="A27" s="52" t="s">
        <v>0</v>
      </c>
      <c r="B27" s="50" t="s">
        <v>1</v>
      </c>
      <c r="C27" s="50" t="s">
        <v>2</v>
      </c>
      <c r="D27" s="56" t="s">
        <v>3</v>
      </c>
      <c r="E27" s="56" t="s">
        <v>5</v>
      </c>
      <c r="F27" s="52" t="s">
        <v>6</v>
      </c>
      <c r="G27" s="52" t="s">
        <v>188</v>
      </c>
      <c r="H27" s="52" t="s">
        <v>189</v>
      </c>
      <c r="J27" s="52" t="s">
        <v>26</v>
      </c>
      <c r="K27" s="52" t="s">
        <v>18</v>
      </c>
      <c r="L27" s="50" t="s">
        <v>19</v>
      </c>
      <c r="M27" s="50" t="s">
        <v>20</v>
      </c>
      <c r="N27" s="50" t="s">
        <v>21</v>
      </c>
      <c r="O27" s="50" t="s">
        <v>22</v>
      </c>
    </row>
    <row r="28" spans="1:15" x14ac:dyDescent="0.3">
      <c r="A28" t="s">
        <v>63</v>
      </c>
      <c r="B28" s="49" t="s">
        <v>58</v>
      </c>
      <c r="C28" s="49" t="s">
        <v>10</v>
      </c>
      <c r="D28">
        <v>0</v>
      </c>
      <c r="E28">
        <v>0</v>
      </c>
      <c r="F28">
        <v>0</v>
      </c>
      <c r="G28" t="s">
        <v>31</v>
      </c>
      <c r="H28">
        <v>10</v>
      </c>
      <c r="J28" s="52" t="s">
        <v>27</v>
      </c>
      <c r="K28">
        <v>7.4999999999999997E-2</v>
      </c>
      <c r="L28" s="77">
        <v>9.3879595869631779E-2</v>
      </c>
      <c r="M28" s="77">
        <v>9.6763400325667506E-2</v>
      </c>
      <c r="N28" s="77">
        <v>9.5321498097649643E-2</v>
      </c>
      <c r="O28" s="77">
        <v>2.0391576864788453E-3</v>
      </c>
    </row>
    <row r="29" spans="1:15" x14ac:dyDescent="0.3">
      <c r="A29" t="s">
        <v>65</v>
      </c>
      <c r="B29" s="49" t="s">
        <v>58</v>
      </c>
      <c r="C29" s="49" t="s">
        <v>10</v>
      </c>
      <c r="D29">
        <v>0</v>
      </c>
      <c r="E29">
        <v>0</v>
      </c>
      <c r="F29">
        <v>0</v>
      </c>
      <c r="G29" t="s">
        <v>31</v>
      </c>
      <c r="H29">
        <v>10</v>
      </c>
      <c r="J29" s="52" t="s">
        <v>28</v>
      </c>
      <c r="K29">
        <v>0.25</v>
      </c>
      <c r="L29" s="77">
        <v>3.185884823239285E-2</v>
      </c>
      <c r="M29" s="77">
        <v>3.1193008373479405E-2</v>
      </c>
      <c r="N29" s="77">
        <v>3.1525928302936129E-2</v>
      </c>
      <c r="O29" s="77">
        <v>4.7081987942199115E-4</v>
      </c>
    </row>
    <row r="30" spans="1:15" x14ac:dyDescent="0.3">
      <c r="A30" t="s">
        <v>66</v>
      </c>
      <c r="B30" s="49" t="s">
        <v>58</v>
      </c>
      <c r="C30" s="49" t="s">
        <v>10</v>
      </c>
      <c r="D30">
        <v>0</v>
      </c>
      <c r="E30">
        <v>0</v>
      </c>
      <c r="F30">
        <v>0</v>
      </c>
      <c r="G30" t="s">
        <v>31</v>
      </c>
      <c r="H30">
        <v>10</v>
      </c>
      <c r="J30" s="52" t="s">
        <v>29</v>
      </c>
      <c r="K30">
        <v>7.4999999999999997E-2</v>
      </c>
      <c r="L30" s="77">
        <v>0.71764555166369304</v>
      </c>
      <c r="M30" s="77">
        <v>0.74440486762987934</v>
      </c>
      <c r="N30" s="77">
        <v>0.73102520964678619</v>
      </c>
      <c r="O30" s="77">
        <v>1.8921693779603784E-2</v>
      </c>
    </row>
    <row r="31" spans="1:15" x14ac:dyDescent="0.3">
      <c r="A31" t="s">
        <v>67</v>
      </c>
      <c r="B31" s="49" t="s">
        <v>58</v>
      </c>
      <c r="C31" s="49" t="s">
        <v>10</v>
      </c>
      <c r="D31">
        <v>0</v>
      </c>
      <c r="E31">
        <v>0</v>
      </c>
      <c r="F31">
        <v>0</v>
      </c>
      <c r="G31" t="s">
        <v>31</v>
      </c>
      <c r="H31">
        <v>10</v>
      </c>
      <c r="J31" s="52" t="s">
        <v>30</v>
      </c>
      <c r="L31" s="77"/>
      <c r="M31" s="77"/>
      <c r="N31" s="77"/>
      <c r="O31" s="77"/>
    </row>
    <row r="32" spans="1:15" x14ac:dyDescent="0.3">
      <c r="A32" t="s">
        <v>118</v>
      </c>
      <c r="B32" s="49" t="s">
        <v>58</v>
      </c>
      <c r="C32" s="49" t="s">
        <v>10</v>
      </c>
      <c r="D32">
        <v>2109</v>
      </c>
      <c r="E32">
        <v>264793</v>
      </c>
      <c r="F32" s="77">
        <v>7.9647120580982125E-3</v>
      </c>
      <c r="G32" s="77" t="str">
        <f>IF(COUNTIF(A32,"*rec*"),"R2",IF(COUNTIF(A32, "*dos*"),"D0",IF(COUNTIF(A32,"*don*"),"D2","")))</f>
        <v>R2</v>
      </c>
      <c r="H32">
        <v>10</v>
      </c>
      <c r="J32" s="52" t="s">
        <v>31</v>
      </c>
      <c r="L32" s="77">
        <v>0</v>
      </c>
      <c r="M32" s="77">
        <v>0</v>
      </c>
      <c r="N32" s="77">
        <v>0</v>
      </c>
      <c r="O32" s="77">
        <v>0</v>
      </c>
    </row>
    <row r="33" spans="1:15" x14ac:dyDescent="0.3">
      <c r="A33" t="s">
        <v>119</v>
      </c>
      <c r="B33" s="49" t="s">
        <v>58</v>
      </c>
      <c r="C33" s="49" t="s">
        <v>10</v>
      </c>
      <c r="D33">
        <v>2386</v>
      </c>
      <c r="E33">
        <v>305966</v>
      </c>
      <c r="F33" s="77">
        <v>7.7982520933698512E-3</v>
      </c>
      <c r="G33" s="77" t="str">
        <f t="shared" ref="G33:G43" si="1">IF(COUNTIF(A33,"*rec*"),"R2",IF(COUNTIF(A33, "*dos*"),"D0",IF(COUNTIF(A33,"*don*"),"D2","")))</f>
        <v>R2</v>
      </c>
      <c r="H33">
        <v>10</v>
      </c>
      <c r="J33" s="52" t="s">
        <v>32</v>
      </c>
      <c r="L33" s="77">
        <v>1.1062100080691962E-6</v>
      </c>
      <c r="M33" s="77">
        <v>1.0830905685235904E-6</v>
      </c>
      <c r="N33" s="77">
        <v>1.0946502882963933E-6</v>
      </c>
      <c r="O33" s="77">
        <v>1.6347912479930317E-8</v>
      </c>
    </row>
    <row r="34" spans="1:15" x14ac:dyDescent="0.3">
      <c r="A34" t="s">
        <v>120</v>
      </c>
      <c r="B34" s="49" t="s">
        <v>58</v>
      </c>
      <c r="C34" s="49" t="s">
        <v>10</v>
      </c>
      <c r="D34">
        <v>57419</v>
      </c>
      <c r="E34">
        <v>320041</v>
      </c>
      <c r="F34" s="77">
        <v>0.17941138791592326</v>
      </c>
      <c r="G34" s="77" t="str">
        <f t="shared" si="1"/>
        <v>D0</v>
      </c>
      <c r="H34">
        <v>10</v>
      </c>
      <c r="J34" s="52" t="s">
        <v>55</v>
      </c>
      <c r="L34" s="77">
        <v>0.71764555166369304</v>
      </c>
      <c r="M34" s="77">
        <v>0.74440486762987934</v>
      </c>
      <c r="N34" s="77">
        <v>0.73102520964678619</v>
      </c>
      <c r="O34" s="77">
        <v>1.8921693779603784E-2</v>
      </c>
    </row>
    <row r="35" spans="1:15" x14ac:dyDescent="0.3">
      <c r="A35" t="s">
        <v>121</v>
      </c>
      <c r="B35" s="49" t="s">
        <v>58</v>
      </c>
      <c r="C35" s="49" t="s">
        <v>10</v>
      </c>
      <c r="D35">
        <v>58465</v>
      </c>
      <c r="E35">
        <v>314157</v>
      </c>
      <c r="F35" s="77">
        <v>0.18610121690746984</v>
      </c>
      <c r="G35" s="77" t="str">
        <f t="shared" si="1"/>
        <v>D0</v>
      </c>
      <c r="H35">
        <v>10</v>
      </c>
      <c r="J35" s="52" t="s">
        <v>33</v>
      </c>
      <c r="L35" s="77">
        <v>0.27879467263532237</v>
      </c>
      <c r="M35" s="77">
        <v>0.26966520993215864</v>
      </c>
      <c r="N35" s="77">
        <v>0.27422994128374051</v>
      </c>
      <c r="O35" s="77">
        <v>6.4555049859967399E-3</v>
      </c>
    </row>
    <row r="36" spans="1:15" x14ac:dyDescent="0.3">
      <c r="A36" t="s">
        <v>122</v>
      </c>
      <c r="B36" s="49" t="s">
        <v>58</v>
      </c>
      <c r="C36" s="49" t="s">
        <v>10</v>
      </c>
      <c r="D36">
        <v>6746</v>
      </c>
      <c r="E36">
        <v>287432</v>
      </c>
      <c r="F36" s="77">
        <v>2.3469898967407945E-2</v>
      </c>
      <c r="G36" s="77" t="str">
        <f t="shared" si="1"/>
        <v>D2</v>
      </c>
      <c r="H36">
        <v>10</v>
      </c>
      <c r="J36" s="52" t="s">
        <v>34</v>
      </c>
      <c r="L36" s="77">
        <v>14.01312193115019</v>
      </c>
      <c r="M36" s="77">
        <v>13.227046629905443</v>
      </c>
      <c r="N36" s="77">
        <v>13.620084280527816</v>
      </c>
      <c r="O36" s="77">
        <v>0.55583917603341859</v>
      </c>
    </row>
    <row r="37" spans="1:15" x14ac:dyDescent="0.3">
      <c r="A37" t="s">
        <v>123</v>
      </c>
      <c r="B37" s="49" t="s">
        <v>58</v>
      </c>
      <c r="C37" s="49" t="s">
        <v>10</v>
      </c>
      <c r="D37">
        <v>6507</v>
      </c>
      <c r="E37">
        <v>268986</v>
      </c>
      <c r="F37" s="77">
        <v>2.4190850081416877E-2</v>
      </c>
      <c r="G37" s="77" t="str">
        <f t="shared" si="1"/>
        <v>D2</v>
      </c>
      <c r="H37">
        <v>10</v>
      </c>
      <c r="J37" s="52"/>
      <c r="L37" s="77"/>
      <c r="M37" s="77"/>
      <c r="N37" s="77"/>
      <c r="O37" s="77"/>
    </row>
    <row r="38" spans="1:15" x14ac:dyDescent="0.3">
      <c r="A38" t="s">
        <v>124</v>
      </c>
      <c r="B38" s="49" t="s">
        <v>58</v>
      </c>
      <c r="C38" s="49" t="s">
        <v>10</v>
      </c>
      <c r="D38">
        <v>8811</v>
      </c>
      <c r="E38">
        <v>312761</v>
      </c>
      <c r="F38" s="77">
        <v>2.8171671020363793E-2</v>
      </c>
      <c r="G38" s="77" t="str">
        <f t="shared" si="1"/>
        <v>R2</v>
      </c>
      <c r="H38">
        <v>10</v>
      </c>
      <c r="J38" s="52" t="s">
        <v>35</v>
      </c>
      <c r="L38" s="77"/>
      <c r="M38" s="77"/>
      <c r="N38" s="77"/>
      <c r="O38" s="77"/>
    </row>
    <row r="39" spans="1:15" x14ac:dyDescent="0.3">
      <c r="A39" t="s">
        <v>125</v>
      </c>
      <c r="B39" s="49" t="s">
        <v>58</v>
      </c>
      <c r="C39" s="49" t="s">
        <v>10</v>
      </c>
      <c r="D39">
        <v>7841</v>
      </c>
      <c r="E39">
        <v>283620</v>
      </c>
      <c r="F39" s="77">
        <v>2.7646146252027361E-2</v>
      </c>
      <c r="G39" s="77" t="str">
        <f t="shared" si="1"/>
        <v>R2</v>
      </c>
      <c r="H39">
        <v>10</v>
      </c>
      <c r="J39" s="52" t="s">
        <v>27</v>
      </c>
      <c r="K39">
        <v>0.25</v>
      </c>
      <c r="L39" s="77">
        <v>0.18301777733917923</v>
      </c>
      <c r="M39" s="77">
        <v>0.1899065865255937</v>
      </c>
      <c r="N39" s="77">
        <v>0.18646218193238645</v>
      </c>
      <c r="O39" s="77">
        <v>4.8711236900138496E-3</v>
      </c>
    </row>
    <row r="40" spans="1:15" x14ac:dyDescent="0.3">
      <c r="A40" t="s">
        <v>126</v>
      </c>
      <c r="B40" s="49" t="s">
        <v>58</v>
      </c>
      <c r="C40" s="49" t="s">
        <v>10</v>
      </c>
      <c r="D40">
        <v>47890</v>
      </c>
      <c r="E40">
        <v>285256</v>
      </c>
      <c r="F40" s="77">
        <v>0.1678842863953782</v>
      </c>
      <c r="G40" s="77" t="str">
        <f t="shared" si="1"/>
        <v>D0</v>
      </c>
      <c r="H40">
        <v>10</v>
      </c>
      <c r="J40" s="52" t="s">
        <v>28</v>
      </c>
      <c r="K40">
        <v>7.4999999999999997E-2</v>
      </c>
      <c r="L40" s="77">
        <v>0.11268668408145517</v>
      </c>
      <c r="M40" s="77">
        <v>0.11058458500810944</v>
      </c>
      <c r="N40" s="77">
        <v>0.11163563454478231</v>
      </c>
      <c r="O40" s="77">
        <v>1.4864085094887223E-3</v>
      </c>
    </row>
    <row r="41" spans="1:15" x14ac:dyDescent="0.3">
      <c r="A41" t="s">
        <v>127</v>
      </c>
      <c r="B41" s="49" t="s">
        <v>58</v>
      </c>
      <c r="C41" s="49" t="s">
        <v>10</v>
      </c>
      <c r="D41">
        <v>56902</v>
      </c>
      <c r="E41">
        <v>297759</v>
      </c>
      <c r="F41" s="77">
        <v>0.19110085673312982</v>
      </c>
      <c r="G41" s="77" t="str">
        <f t="shared" si="1"/>
        <v>D0</v>
      </c>
      <c r="H41">
        <v>10</v>
      </c>
      <c r="J41" s="52" t="s">
        <v>29</v>
      </c>
      <c r="K41">
        <v>0.25</v>
      </c>
      <c r="L41" s="77">
        <v>0.67153714558151278</v>
      </c>
      <c r="M41" s="77">
        <v>0.76440342693251928</v>
      </c>
      <c r="N41" s="77">
        <v>0.71797028625701609</v>
      </c>
      <c r="O41" s="77">
        <v>6.5666377286874508E-2</v>
      </c>
    </row>
    <row r="42" spans="1:15" x14ac:dyDescent="0.3">
      <c r="A42" t="s">
        <v>128</v>
      </c>
      <c r="B42" s="49" t="s">
        <v>58</v>
      </c>
      <c r="C42" s="49" t="s">
        <v>10</v>
      </c>
      <c r="D42">
        <v>12982</v>
      </c>
      <c r="E42">
        <v>283732</v>
      </c>
      <c r="F42" s="77">
        <v>4.5754444334794808E-2</v>
      </c>
      <c r="G42" s="77" t="str">
        <f t="shared" si="1"/>
        <v>D2</v>
      </c>
      <c r="H42">
        <v>10</v>
      </c>
      <c r="J42" s="52" t="s">
        <v>30</v>
      </c>
      <c r="L42" s="77"/>
      <c r="M42" s="77"/>
      <c r="N42" s="77"/>
      <c r="O42" s="77"/>
    </row>
    <row r="43" spans="1:15" x14ac:dyDescent="0.3">
      <c r="A43" t="s">
        <v>129</v>
      </c>
      <c r="B43" s="49" t="s">
        <v>58</v>
      </c>
      <c r="C43" s="49" t="s">
        <v>10</v>
      </c>
      <c r="D43">
        <v>14368</v>
      </c>
      <c r="E43">
        <v>302633</v>
      </c>
      <c r="F43" s="77">
        <v>4.7476646631398424E-2</v>
      </c>
      <c r="G43" s="77" t="str">
        <f t="shared" si="1"/>
        <v>D2</v>
      </c>
      <c r="H43">
        <v>10</v>
      </c>
      <c r="J43" s="52" t="s">
        <v>31</v>
      </c>
      <c r="L43" s="77">
        <v>0</v>
      </c>
      <c r="M43" s="77">
        <v>0</v>
      </c>
      <c r="N43" s="77">
        <v>0</v>
      </c>
      <c r="O43" s="77">
        <v>0</v>
      </c>
    </row>
    <row r="44" spans="1:15" x14ac:dyDescent="0.3">
      <c r="E44" t="s">
        <v>4</v>
      </c>
      <c r="F44">
        <v>4</v>
      </c>
      <c r="J44" s="52" t="s">
        <v>32</v>
      </c>
      <c r="L44" s="77">
        <v>1.1738196258484914E-6</v>
      </c>
      <c r="M44" s="77">
        <v>1.15192276050114E-6</v>
      </c>
      <c r="N44" s="77">
        <v>1.1628711931748157E-6</v>
      </c>
      <c r="O44" s="77">
        <v>1.5483421973840895E-8</v>
      </c>
    </row>
    <row r="45" spans="1:15" x14ac:dyDescent="0.3">
      <c r="E45" t="s">
        <v>23</v>
      </c>
      <c r="F45">
        <v>0.11</v>
      </c>
      <c r="J45" s="52" t="s">
        <v>55</v>
      </c>
      <c r="L45" s="77">
        <v>0.67153714558151278</v>
      </c>
      <c r="M45" s="77">
        <v>0.76440342693251928</v>
      </c>
      <c r="N45" s="77">
        <v>0.71797028625701609</v>
      </c>
      <c r="O45" s="77">
        <v>6.5666377286874508E-2</v>
      </c>
    </row>
    <row r="46" spans="1:15" x14ac:dyDescent="0.3">
      <c r="E46" t="s">
        <v>24</v>
      </c>
      <c r="F46">
        <v>2</v>
      </c>
      <c r="J46" s="52" t="s">
        <v>33</v>
      </c>
      <c r="L46" s="77">
        <v>0.32287682668076206</v>
      </c>
      <c r="M46" s="77">
        <v>0.29183799309120567</v>
      </c>
      <c r="N46" s="77">
        <v>0.30735740988598387</v>
      </c>
      <c r="O46" s="77">
        <v>2.1947769711296115E-2</v>
      </c>
    </row>
    <row r="47" spans="1:15" x14ac:dyDescent="0.3">
      <c r="E47" t="s">
        <v>25</v>
      </c>
      <c r="F47">
        <v>10</v>
      </c>
      <c r="J47" s="52" t="s">
        <v>34</v>
      </c>
      <c r="L47" s="77">
        <v>15.890539455524841</v>
      </c>
      <c r="M47" s="77">
        <v>13.699605112300691</v>
      </c>
      <c r="N47" s="77">
        <v>14.795072283912766</v>
      </c>
      <c r="O47" s="77">
        <v>1.5492245312282911</v>
      </c>
    </row>
    <row r="48" spans="1:15" x14ac:dyDescent="0.3">
      <c r="J48" s="52" t="s">
        <v>13</v>
      </c>
      <c r="L48" s="77">
        <v>1.1339756789100139</v>
      </c>
      <c r="M48" s="77">
        <v>1.0357266815198811</v>
      </c>
      <c r="N48" s="77">
        <v>1.0848511802149474</v>
      </c>
      <c r="O48" s="77">
        <v>6.9472532299342318E-2</v>
      </c>
    </row>
    <row r="49" spans="1:17" x14ac:dyDescent="0.3">
      <c r="L49" s="77"/>
      <c r="M49" s="77"/>
      <c r="N49" s="77"/>
      <c r="O49" s="77"/>
    </row>
    <row r="50" spans="1:17" x14ac:dyDescent="0.3">
      <c r="L50" s="77"/>
      <c r="M50" s="77"/>
      <c r="N50" s="77"/>
      <c r="O50" s="77"/>
    </row>
    <row r="51" spans="1:17" x14ac:dyDescent="0.3">
      <c r="L51" s="77"/>
      <c r="M51" s="77"/>
      <c r="N51" s="77"/>
      <c r="O51" s="77"/>
    </row>
    <row r="52" spans="1:17" x14ac:dyDescent="0.3">
      <c r="L52" s="77"/>
      <c r="M52" s="77"/>
      <c r="N52" s="77"/>
      <c r="O52" s="77"/>
    </row>
    <row r="53" spans="1:17" s="52" customFormat="1" x14ac:dyDescent="0.3">
      <c r="A53" s="52" t="s">
        <v>0</v>
      </c>
      <c r="B53" s="50" t="s">
        <v>1</v>
      </c>
      <c r="C53" s="50" t="s">
        <v>2</v>
      </c>
      <c r="D53" s="56" t="s">
        <v>3</v>
      </c>
      <c r="E53" s="56" t="s">
        <v>5</v>
      </c>
      <c r="F53" s="52" t="s">
        <v>6</v>
      </c>
      <c r="G53" s="52" t="s">
        <v>188</v>
      </c>
      <c r="H53" s="52" t="s">
        <v>189</v>
      </c>
      <c r="J53" s="52" t="s">
        <v>26</v>
      </c>
      <c r="K53" s="52" t="s">
        <v>18</v>
      </c>
      <c r="L53" s="50" t="s">
        <v>19</v>
      </c>
      <c r="M53" s="50" t="s">
        <v>20</v>
      </c>
      <c r="N53" s="50" t="s">
        <v>21</v>
      </c>
      <c r="O53" s="50" t="s">
        <v>22</v>
      </c>
    </row>
    <row r="54" spans="1:17" x14ac:dyDescent="0.3">
      <c r="A54" t="s">
        <v>63</v>
      </c>
      <c r="B54" s="49" t="s">
        <v>59</v>
      </c>
      <c r="C54" s="49" t="s">
        <v>10</v>
      </c>
      <c r="D54">
        <v>0</v>
      </c>
      <c r="E54">
        <v>0</v>
      </c>
      <c r="F54">
        <v>0</v>
      </c>
      <c r="G54" t="s">
        <v>31</v>
      </c>
      <c r="H54">
        <v>10</v>
      </c>
      <c r="J54" s="52" t="s">
        <v>27</v>
      </c>
      <c r="K54">
        <v>7.4999999999999997E-2</v>
      </c>
      <c r="L54" s="77">
        <v>1.9802023654748406</v>
      </c>
      <c r="M54" s="77">
        <v>2.0611403112477458</v>
      </c>
      <c r="N54" s="77">
        <v>2.0206713383612933</v>
      </c>
      <c r="O54" s="77">
        <v>5.7231770311330289E-2</v>
      </c>
    </row>
    <row r="55" spans="1:17" x14ac:dyDescent="0.3">
      <c r="A55" t="s">
        <v>65</v>
      </c>
      <c r="B55" s="49" t="s">
        <v>59</v>
      </c>
      <c r="C55" s="49" t="s">
        <v>10</v>
      </c>
      <c r="D55">
        <v>0</v>
      </c>
      <c r="E55">
        <v>0</v>
      </c>
      <c r="F55">
        <v>0</v>
      </c>
      <c r="G55" t="s">
        <v>31</v>
      </c>
      <c r="H55">
        <v>10</v>
      </c>
      <c r="J55" s="52" t="s">
        <v>28</v>
      </c>
      <c r="K55">
        <v>0.25</v>
      </c>
      <c r="L55" s="77">
        <v>0.57926900685521376</v>
      </c>
      <c r="M55" s="77">
        <v>0.64700974900483876</v>
      </c>
      <c r="N55" s="77">
        <v>0.61313937793002626</v>
      </c>
      <c r="O55" s="77">
        <v>4.789993813660922E-2</v>
      </c>
    </row>
    <row r="56" spans="1:17" x14ac:dyDescent="0.3">
      <c r="A56" t="s">
        <v>66</v>
      </c>
      <c r="B56" s="49" t="s">
        <v>59</v>
      </c>
      <c r="C56" s="49" t="s">
        <v>10</v>
      </c>
      <c r="D56">
        <v>0</v>
      </c>
      <c r="E56">
        <v>0</v>
      </c>
      <c r="F56">
        <v>0</v>
      </c>
      <c r="G56" t="s">
        <v>31</v>
      </c>
      <c r="H56">
        <v>10</v>
      </c>
      <c r="J56" s="52" t="s">
        <v>29</v>
      </c>
      <c r="K56">
        <v>7.4999999999999997E-2</v>
      </c>
      <c r="L56" s="77">
        <v>6.4274401029104355</v>
      </c>
      <c r="M56" s="77">
        <v>7.2503165494760093</v>
      </c>
      <c r="N56" s="77">
        <v>6.8388783261932229</v>
      </c>
      <c r="O56" s="77">
        <v>0.58186151544520692</v>
      </c>
    </row>
    <row r="57" spans="1:17" x14ac:dyDescent="0.3">
      <c r="A57" t="s">
        <v>67</v>
      </c>
      <c r="B57" s="49" t="s">
        <v>59</v>
      </c>
      <c r="C57" s="49" t="s">
        <v>10</v>
      </c>
      <c r="D57">
        <v>0</v>
      </c>
      <c r="E57">
        <v>0</v>
      </c>
      <c r="F57">
        <v>0</v>
      </c>
      <c r="G57" t="s">
        <v>31</v>
      </c>
      <c r="H57">
        <v>10</v>
      </c>
      <c r="J57" s="52" t="s">
        <v>30</v>
      </c>
      <c r="L57" s="77"/>
      <c r="M57" s="77"/>
      <c r="N57" s="77"/>
      <c r="O57" s="77"/>
    </row>
    <row r="58" spans="1:17" x14ac:dyDescent="0.3">
      <c r="A58" t="s">
        <v>130</v>
      </c>
      <c r="B58" s="49" t="s">
        <v>59</v>
      </c>
      <c r="C58" s="49" t="s">
        <v>10</v>
      </c>
      <c r="D58">
        <v>42039</v>
      </c>
      <c r="E58">
        <v>290290</v>
      </c>
      <c r="F58" s="77">
        <v>0.14481725171380344</v>
      </c>
      <c r="G58" s="77" t="str">
        <f>IF(COUNTIF(A58,"*rec*"),"R2",IF(COUNTIF(A58, "*dos*"),"D0",IF(COUNTIF(A58,"*don*"),"D2","")))</f>
        <v>R2</v>
      </c>
      <c r="H58">
        <v>10</v>
      </c>
      <c r="J58" s="52" t="s">
        <v>31</v>
      </c>
      <c r="L58" s="77">
        <v>0</v>
      </c>
      <c r="M58" s="77">
        <v>0</v>
      </c>
      <c r="N58" s="77">
        <v>0</v>
      </c>
      <c r="O58" s="77">
        <v>0</v>
      </c>
      <c r="Q58" t="s">
        <v>184</v>
      </c>
    </row>
    <row r="59" spans="1:17" x14ac:dyDescent="0.3">
      <c r="A59" t="s">
        <v>131</v>
      </c>
      <c r="B59" s="49" t="s">
        <v>59</v>
      </c>
      <c r="C59" s="49" t="s">
        <v>10</v>
      </c>
      <c r="D59">
        <v>47502</v>
      </c>
      <c r="E59">
        <v>293671</v>
      </c>
      <c r="F59" s="77">
        <v>0.16175243725120969</v>
      </c>
      <c r="G59" s="77" t="str">
        <f t="shared" ref="G59:G69" si="2">IF(COUNTIF(A59,"*rec*"),"R2",IF(COUNTIF(A59, "*dos*"),"D0",IF(COUNTIF(A59,"*don*"),"D2","")))</f>
        <v>R2</v>
      </c>
      <c r="H59">
        <v>10</v>
      </c>
      <c r="J59" s="52" t="s">
        <v>32</v>
      </c>
      <c r="L59" s="77">
        <v>2.0113507182472702E-5</v>
      </c>
      <c r="M59" s="77">
        <v>2.2465616284890236E-5</v>
      </c>
      <c r="N59" s="77">
        <v>2.1289561733681467E-5</v>
      </c>
      <c r="O59" s="77">
        <v>1.6631922964100419E-6</v>
      </c>
      <c r="Q59" t="s">
        <v>184</v>
      </c>
    </row>
    <row r="60" spans="1:17" x14ac:dyDescent="0.3">
      <c r="A60" t="s">
        <v>132</v>
      </c>
      <c r="B60" s="49" t="s">
        <v>59</v>
      </c>
      <c r="C60" s="49" t="s">
        <v>10</v>
      </c>
      <c r="D60">
        <v>479667</v>
      </c>
      <c r="E60">
        <v>298512</v>
      </c>
      <c r="F60" s="77">
        <v>1.6068600257276089</v>
      </c>
      <c r="G60" s="77" t="str">
        <f t="shared" si="2"/>
        <v>D0</v>
      </c>
      <c r="H60">
        <v>10</v>
      </c>
      <c r="J60" s="52" t="s">
        <v>55</v>
      </c>
      <c r="L60" s="77">
        <v>6.4274401029104355</v>
      </c>
      <c r="M60" s="77">
        <v>7.2503165494760093</v>
      </c>
      <c r="N60" s="77">
        <v>6.8388783261932229</v>
      </c>
      <c r="O60" s="77">
        <v>0.58186151544520692</v>
      </c>
      <c r="Q60" t="s">
        <v>186</v>
      </c>
    </row>
    <row r="61" spans="1:17" x14ac:dyDescent="0.3">
      <c r="A61" t="s">
        <v>133</v>
      </c>
      <c r="B61" s="49" t="s">
        <v>59</v>
      </c>
      <c r="C61" s="49" t="s">
        <v>10</v>
      </c>
      <c r="D61">
        <v>538249</v>
      </c>
      <c r="E61">
        <v>296952</v>
      </c>
      <c r="F61" s="77">
        <v>1.8125791373690023</v>
      </c>
      <c r="G61" s="77" t="str">
        <f t="shared" si="2"/>
        <v>D0</v>
      </c>
      <c r="H61">
        <v>10</v>
      </c>
      <c r="J61" s="52" t="s">
        <v>33</v>
      </c>
      <c r="L61" s="77">
        <v>0.6085002726390587</v>
      </c>
      <c r="M61" s="77">
        <v>0.58174556184061188</v>
      </c>
      <c r="N61" s="77">
        <v>0.59512291723983535</v>
      </c>
      <c r="O61" s="77">
        <v>1.8918437434266699E-2</v>
      </c>
      <c r="Q61" t="s">
        <v>186</v>
      </c>
    </row>
    <row r="62" spans="1:17" x14ac:dyDescent="0.3">
      <c r="A62" t="s">
        <v>134</v>
      </c>
      <c r="B62" s="49" t="s">
        <v>59</v>
      </c>
      <c r="C62" s="49" t="s">
        <v>10</v>
      </c>
      <c r="D62">
        <v>148883</v>
      </c>
      <c r="E62">
        <v>300743</v>
      </c>
      <c r="F62" s="77">
        <v>0.49505059136871016</v>
      </c>
      <c r="G62" s="77" t="str">
        <f t="shared" si="2"/>
        <v>D2</v>
      </c>
      <c r="H62">
        <v>10</v>
      </c>
      <c r="J62" s="52" t="s">
        <v>34</v>
      </c>
      <c r="L62" s="77">
        <v>28.448349944546244</v>
      </c>
      <c r="M62" s="77">
        <v>28.168821860880566</v>
      </c>
      <c r="N62" s="77">
        <v>28.308585902713403</v>
      </c>
      <c r="O62" s="77">
        <v>0.19765620349208146</v>
      </c>
      <c r="Q62" t="s">
        <v>185</v>
      </c>
    </row>
    <row r="63" spans="1:17" x14ac:dyDescent="0.3">
      <c r="A63" t="s">
        <v>135</v>
      </c>
      <c r="B63" s="49" t="s">
        <v>59</v>
      </c>
      <c r="C63" s="49" t="s">
        <v>10</v>
      </c>
      <c r="D63">
        <v>140291</v>
      </c>
      <c r="E63">
        <v>272259</v>
      </c>
      <c r="F63" s="77">
        <v>0.51528507781193644</v>
      </c>
      <c r="G63" s="77" t="str">
        <f t="shared" si="2"/>
        <v>D2</v>
      </c>
      <c r="H63">
        <v>10</v>
      </c>
      <c r="J63" s="52"/>
      <c r="L63" s="77"/>
      <c r="M63" s="77"/>
      <c r="N63" s="77"/>
      <c r="O63" s="77"/>
      <c r="Q63" t="s">
        <v>185</v>
      </c>
    </row>
    <row r="64" spans="1:17" x14ac:dyDescent="0.3">
      <c r="A64" t="s">
        <v>136</v>
      </c>
      <c r="B64" s="49" t="s">
        <v>59</v>
      </c>
      <c r="C64" s="49" t="s">
        <v>10</v>
      </c>
      <c r="D64">
        <v>118863</v>
      </c>
      <c r="E64">
        <v>300494</v>
      </c>
      <c r="F64" s="77">
        <v>0.3955586467616658</v>
      </c>
      <c r="G64" s="77" t="str">
        <f t="shared" si="2"/>
        <v>R2</v>
      </c>
      <c r="H64">
        <v>10</v>
      </c>
      <c r="J64" s="52" t="s">
        <v>35</v>
      </c>
      <c r="L64" s="77"/>
      <c r="M64" s="77"/>
      <c r="N64" s="77"/>
      <c r="O64" s="77"/>
      <c r="Q64" t="s">
        <v>185</v>
      </c>
    </row>
    <row r="65" spans="1:17" x14ac:dyDescent="0.3">
      <c r="A65" t="s">
        <v>137</v>
      </c>
      <c r="B65" s="49" t="s">
        <v>59</v>
      </c>
      <c r="C65" s="49" t="s">
        <v>10</v>
      </c>
      <c r="D65">
        <v>130819</v>
      </c>
      <c r="E65">
        <v>322978</v>
      </c>
      <c r="F65" s="77">
        <v>0.40503997176278261</v>
      </c>
      <c r="G65" s="77" t="str">
        <f t="shared" si="2"/>
        <v>R2</v>
      </c>
      <c r="H65">
        <v>10</v>
      </c>
      <c r="J65" s="52" t="s">
        <v>27</v>
      </c>
      <c r="K65">
        <v>0.25</v>
      </c>
      <c r="L65" s="77">
        <v>3.4164262395265435</v>
      </c>
      <c r="M65" s="77">
        <v>3.6356615788941675</v>
      </c>
      <c r="N65" s="77">
        <v>3.5260439092103555</v>
      </c>
      <c r="O65" s="77">
        <v>0.15502279514258105</v>
      </c>
      <c r="Q65" t="s">
        <v>185</v>
      </c>
    </row>
    <row r="66" spans="1:17" x14ac:dyDescent="0.3">
      <c r="A66" t="s">
        <v>138</v>
      </c>
      <c r="B66" s="49" t="s">
        <v>59</v>
      </c>
      <c r="C66" s="49" t="s">
        <v>10</v>
      </c>
      <c r="D66">
        <v>468674</v>
      </c>
      <c r="E66">
        <v>276071</v>
      </c>
      <c r="F66" s="77">
        <v>1.6976574866610401</v>
      </c>
      <c r="G66" s="77" t="str">
        <f t="shared" si="2"/>
        <v>D0</v>
      </c>
      <c r="H66">
        <v>10</v>
      </c>
      <c r="J66" s="52" t="s">
        <v>28</v>
      </c>
      <c r="K66">
        <v>7.4999999999999997E-2</v>
      </c>
      <c r="L66" s="77">
        <v>1.5822345870466632</v>
      </c>
      <c r="M66" s="77">
        <v>1.6201598870511305</v>
      </c>
      <c r="N66" s="77">
        <v>1.6011972370488969</v>
      </c>
      <c r="O66" s="77">
        <v>2.6817236811692995E-2</v>
      </c>
      <c r="Q66" t="s">
        <v>186</v>
      </c>
    </row>
    <row r="67" spans="1:17" x14ac:dyDescent="0.3">
      <c r="A67" t="s">
        <v>139</v>
      </c>
      <c r="B67" s="49" t="s">
        <v>59</v>
      </c>
      <c r="C67" s="49" t="s">
        <v>10</v>
      </c>
      <c r="D67">
        <v>510392</v>
      </c>
      <c r="E67">
        <v>291588</v>
      </c>
      <c r="F67" s="77">
        <v>1.7503875330946403</v>
      </c>
      <c r="G67" s="77" t="str">
        <f t="shared" si="2"/>
        <v>D0</v>
      </c>
      <c r="H67">
        <v>10</v>
      </c>
      <c r="J67" s="52" t="s">
        <v>29</v>
      </c>
      <c r="K67">
        <v>0.25</v>
      </c>
      <c r="L67" s="77">
        <v>6.7906299466441604</v>
      </c>
      <c r="M67" s="77">
        <v>7.0015501323785614</v>
      </c>
      <c r="N67" s="77">
        <v>6.8960900395113605</v>
      </c>
      <c r="O67" s="77">
        <v>0.14914309362192102</v>
      </c>
      <c r="Q67" t="s">
        <v>186</v>
      </c>
    </row>
    <row r="68" spans="1:17" x14ac:dyDescent="0.3">
      <c r="A68" t="s">
        <v>140</v>
      </c>
      <c r="B68" s="49" t="s">
        <v>59</v>
      </c>
      <c r="C68" s="49" t="s">
        <v>10</v>
      </c>
      <c r="D68">
        <v>265546</v>
      </c>
      <c r="E68">
        <v>310905</v>
      </c>
      <c r="F68" s="77">
        <v>0.85410655988163586</v>
      </c>
      <c r="G68" s="77" t="str">
        <f t="shared" si="2"/>
        <v>D2</v>
      </c>
      <c r="H68">
        <v>10</v>
      </c>
      <c r="J68" s="52" t="s">
        <v>30</v>
      </c>
      <c r="L68" s="77"/>
      <c r="M68" s="77"/>
      <c r="N68" s="77"/>
      <c r="O68" s="77"/>
      <c r="Q68" t="s">
        <v>184</v>
      </c>
    </row>
    <row r="69" spans="1:17" x14ac:dyDescent="0.3">
      <c r="A69" t="s">
        <v>141</v>
      </c>
      <c r="B69" s="49" t="s">
        <v>59</v>
      </c>
      <c r="C69" s="49" t="s">
        <v>10</v>
      </c>
      <c r="D69">
        <v>269757</v>
      </c>
      <c r="E69">
        <v>296790</v>
      </c>
      <c r="F69" s="77">
        <v>0.90891539472354188</v>
      </c>
      <c r="G69" s="77" t="str">
        <f t="shared" si="2"/>
        <v>D2</v>
      </c>
      <c r="H69">
        <v>10</v>
      </c>
      <c r="J69" s="52" t="s">
        <v>31</v>
      </c>
      <c r="L69" s="77">
        <v>0</v>
      </c>
      <c r="M69" s="77">
        <v>0</v>
      </c>
      <c r="N69" s="77">
        <v>0</v>
      </c>
      <c r="O69" s="77">
        <v>0</v>
      </c>
      <c r="Q69" t="s">
        <v>184</v>
      </c>
    </row>
    <row r="70" spans="1:17" x14ac:dyDescent="0.3">
      <c r="E70" t="s">
        <v>4</v>
      </c>
      <c r="F70">
        <v>4</v>
      </c>
      <c r="J70" s="52" t="s">
        <v>32</v>
      </c>
      <c r="L70" s="77">
        <v>1.6481610281736073E-5</v>
      </c>
      <c r="M70" s="77">
        <v>1.6876665490115942E-5</v>
      </c>
      <c r="N70" s="77">
        <v>1.6679137885926005E-5</v>
      </c>
      <c r="O70" s="77">
        <v>2.7934621678846984E-7</v>
      </c>
    </row>
    <row r="71" spans="1:17" x14ac:dyDescent="0.3">
      <c r="E71" t="s">
        <v>23</v>
      </c>
      <c r="F71">
        <v>0.11</v>
      </c>
      <c r="J71" s="52" t="s">
        <v>55</v>
      </c>
      <c r="L71" s="77">
        <v>6.7906299466441604</v>
      </c>
      <c r="M71" s="77">
        <v>7.0015501323785614</v>
      </c>
      <c r="N71" s="77">
        <v>6.8960900395113605</v>
      </c>
      <c r="O71" s="77">
        <v>0.14914309362192102</v>
      </c>
    </row>
    <row r="72" spans="1:17" x14ac:dyDescent="0.3">
      <c r="E72" t="s">
        <v>24</v>
      </c>
      <c r="F72">
        <v>2</v>
      </c>
      <c r="J72" s="52" t="s">
        <v>33</v>
      </c>
      <c r="L72" s="77">
        <v>0.5730096686484103</v>
      </c>
      <c r="M72" s="77">
        <v>0.58868528641232232</v>
      </c>
      <c r="N72" s="77">
        <v>0.58084747753036625</v>
      </c>
      <c r="O72" s="77">
        <v>1.1084335620150494E-2</v>
      </c>
    </row>
    <row r="73" spans="1:17" x14ac:dyDescent="0.3">
      <c r="E73" t="s">
        <v>25</v>
      </c>
      <c r="F73">
        <v>10</v>
      </c>
      <c r="J73" s="52" t="s">
        <v>34</v>
      </c>
      <c r="L73" s="77">
        <v>22.064642296860928</v>
      </c>
      <c r="M73" s="77">
        <v>21.912894834362284</v>
      </c>
      <c r="N73" s="77">
        <v>21.988768565611608</v>
      </c>
      <c r="O73" s="77">
        <v>0.10730165976064257</v>
      </c>
    </row>
    <row r="74" spans="1:17" x14ac:dyDescent="0.3">
      <c r="J74" s="52" t="s">
        <v>13</v>
      </c>
      <c r="L74" s="77">
        <v>0.77560358825278297</v>
      </c>
      <c r="M74" s="77">
        <v>0.77791307505103013</v>
      </c>
      <c r="N74" s="77">
        <v>0.77675833165190655</v>
      </c>
      <c r="O74" s="77">
        <v>1.6330537761013763E-3</v>
      </c>
    </row>
    <row r="75" spans="1:17" x14ac:dyDescent="0.3">
      <c r="L75" s="77"/>
      <c r="M75" s="77"/>
      <c r="N75" s="77"/>
      <c r="O75" s="77"/>
    </row>
    <row r="76" spans="1:17" x14ac:dyDescent="0.3">
      <c r="L76" s="77"/>
      <c r="M76" s="77"/>
      <c r="N76" s="77"/>
      <c r="O76" s="77"/>
    </row>
    <row r="77" spans="1:17" x14ac:dyDescent="0.3">
      <c r="L77" s="77"/>
      <c r="M77" s="77"/>
      <c r="N77" s="77"/>
      <c r="O77" s="77"/>
    </row>
    <row r="78" spans="1:17" x14ac:dyDescent="0.3">
      <c r="L78" s="77"/>
      <c r="M78" s="77"/>
      <c r="N78" s="77"/>
      <c r="O78" s="77"/>
    </row>
    <row r="79" spans="1:17" s="52" customFormat="1" x14ac:dyDescent="0.3">
      <c r="A79" s="52" t="s">
        <v>0</v>
      </c>
      <c r="B79" s="50" t="s">
        <v>1</v>
      </c>
      <c r="C79" s="50" t="s">
        <v>2</v>
      </c>
      <c r="D79" s="56" t="s">
        <v>3</v>
      </c>
      <c r="E79" s="56" t="s">
        <v>5</v>
      </c>
      <c r="F79" s="52" t="s">
        <v>6</v>
      </c>
      <c r="G79" s="52" t="s">
        <v>188</v>
      </c>
      <c r="H79" s="52" t="s">
        <v>189</v>
      </c>
      <c r="J79" s="52" t="s">
        <v>26</v>
      </c>
      <c r="K79" s="52" t="s">
        <v>18</v>
      </c>
      <c r="L79" s="50" t="s">
        <v>19</v>
      </c>
      <c r="M79" s="50" t="s">
        <v>20</v>
      </c>
      <c r="N79" s="50" t="s">
        <v>21</v>
      </c>
      <c r="O79" s="50" t="s">
        <v>22</v>
      </c>
    </row>
    <row r="80" spans="1:17" x14ac:dyDescent="0.3">
      <c r="A80" t="s">
        <v>63</v>
      </c>
      <c r="B80" s="49" t="s">
        <v>60</v>
      </c>
      <c r="C80" s="49" t="s">
        <v>10</v>
      </c>
      <c r="D80">
        <v>0</v>
      </c>
      <c r="E80">
        <v>0</v>
      </c>
      <c r="F80">
        <v>0</v>
      </c>
      <c r="J80" s="52" t="s">
        <v>27</v>
      </c>
      <c r="K80">
        <v>7.4999999999999997E-2</v>
      </c>
      <c r="L80" s="77">
        <v>9.1776590516353025</v>
      </c>
      <c r="M80" s="77">
        <v>7.6209819838673551</v>
      </c>
      <c r="N80" s="77">
        <v>8.3993205177513293</v>
      </c>
      <c r="O80" s="77">
        <v>1.1007369107363063</v>
      </c>
    </row>
    <row r="81" spans="1:17" x14ac:dyDescent="0.3">
      <c r="A81" t="s">
        <v>65</v>
      </c>
      <c r="B81" s="49" t="s">
        <v>60</v>
      </c>
      <c r="C81" s="49" t="s">
        <v>10</v>
      </c>
      <c r="D81">
        <v>0</v>
      </c>
      <c r="E81">
        <v>0</v>
      </c>
      <c r="F81">
        <v>0</v>
      </c>
      <c r="J81" s="52" t="s">
        <v>28</v>
      </c>
      <c r="K81">
        <v>0.25</v>
      </c>
      <c r="L81" s="77">
        <v>0</v>
      </c>
      <c r="M81" s="77">
        <v>0</v>
      </c>
      <c r="N81" s="77">
        <v>0</v>
      </c>
      <c r="O81" s="77">
        <v>0</v>
      </c>
    </row>
    <row r="82" spans="1:17" x14ac:dyDescent="0.3">
      <c r="A82" t="s">
        <v>66</v>
      </c>
      <c r="B82" s="49" t="s">
        <v>60</v>
      </c>
      <c r="C82" s="49" t="s">
        <v>10</v>
      </c>
      <c r="D82">
        <v>0</v>
      </c>
      <c r="E82">
        <v>0</v>
      </c>
      <c r="F82">
        <v>0</v>
      </c>
      <c r="J82" s="52" t="s">
        <v>29</v>
      </c>
      <c r="K82">
        <v>7.4999999999999997E-2</v>
      </c>
      <c r="L82" s="77">
        <v>13.613435501301042</v>
      </c>
      <c r="M82" s="77">
        <v>14.24856384608864</v>
      </c>
      <c r="N82" s="77">
        <v>13.930999673694842</v>
      </c>
      <c r="O82" s="77">
        <v>0.44910355952309783</v>
      </c>
    </row>
    <row r="83" spans="1:17" x14ac:dyDescent="0.3">
      <c r="A83" t="s">
        <v>67</v>
      </c>
      <c r="B83" s="49" t="s">
        <v>60</v>
      </c>
      <c r="C83" s="49" t="s">
        <v>10</v>
      </c>
      <c r="D83">
        <v>0</v>
      </c>
      <c r="E83">
        <v>0</v>
      </c>
      <c r="F83">
        <v>0</v>
      </c>
      <c r="J83" s="52" t="s">
        <v>30</v>
      </c>
      <c r="L83" s="77"/>
      <c r="M83" s="77"/>
      <c r="N83" s="77"/>
      <c r="O83" s="77"/>
    </row>
    <row r="84" spans="1:17" x14ac:dyDescent="0.3">
      <c r="A84" t="s">
        <v>142</v>
      </c>
      <c r="B84" s="49" t="s">
        <v>60</v>
      </c>
      <c r="C84" s="49" t="s">
        <v>10</v>
      </c>
      <c r="D84">
        <v>0</v>
      </c>
      <c r="E84">
        <v>297912</v>
      </c>
      <c r="F84">
        <v>0</v>
      </c>
      <c r="J84" s="52" t="s">
        <v>31</v>
      </c>
      <c r="L84" s="77">
        <v>0</v>
      </c>
      <c r="M84" s="77">
        <v>0</v>
      </c>
      <c r="N84" s="77">
        <v>0</v>
      </c>
      <c r="O84" s="77">
        <v>0</v>
      </c>
      <c r="Q84" t="s">
        <v>184</v>
      </c>
    </row>
    <row r="85" spans="1:17" x14ac:dyDescent="0.3">
      <c r="A85" t="s">
        <v>143</v>
      </c>
      <c r="B85" s="49" t="s">
        <v>60</v>
      </c>
      <c r="C85" s="49" t="s">
        <v>10</v>
      </c>
      <c r="D85">
        <v>0</v>
      </c>
      <c r="E85">
        <v>314674</v>
      </c>
      <c r="F85">
        <v>0</v>
      </c>
      <c r="J85" s="52" t="s">
        <v>32</v>
      </c>
      <c r="L85" s="77">
        <v>0</v>
      </c>
      <c r="M85" s="77">
        <v>0</v>
      </c>
      <c r="N85" s="77">
        <v>0</v>
      </c>
      <c r="O85" s="77">
        <v>0</v>
      </c>
      <c r="Q85" t="s">
        <v>184</v>
      </c>
    </row>
    <row r="86" spans="1:17" x14ac:dyDescent="0.3">
      <c r="A86" t="s">
        <v>144</v>
      </c>
      <c r="B86" s="49" t="s">
        <v>60</v>
      </c>
      <c r="C86" s="49" t="s">
        <v>10</v>
      </c>
      <c r="D86">
        <v>1042425</v>
      </c>
      <c r="E86">
        <v>306293</v>
      </c>
      <c r="F86" s="77">
        <v>3.4033588753252606</v>
      </c>
      <c r="G86" s="77"/>
      <c r="H86" s="77"/>
      <c r="J86" s="52" t="s">
        <v>55</v>
      </c>
      <c r="L86" s="77">
        <v>13.613435501301042</v>
      </c>
      <c r="M86" s="77">
        <v>14.24856384608864</v>
      </c>
      <c r="N86" s="77">
        <v>13.930999673694842</v>
      </c>
      <c r="O86" s="77">
        <v>0.44910355952309783</v>
      </c>
      <c r="Q86" t="s">
        <v>186</v>
      </c>
    </row>
    <row r="87" spans="1:17" x14ac:dyDescent="0.3">
      <c r="A87" t="s">
        <v>145</v>
      </c>
      <c r="B87" s="49" t="s">
        <v>60</v>
      </c>
      <c r="C87" s="49" t="s">
        <v>10</v>
      </c>
      <c r="D87">
        <v>1092587</v>
      </c>
      <c r="E87">
        <v>306722</v>
      </c>
      <c r="F87" s="77">
        <v>3.56214096152216</v>
      </c>
      <c r="G87" s="77"/>
      <c r="H87" s="77"/>
      <c r="J87" s="52" t="s">
        <v>33</v>
      </c>
      <c r="L87" s="77">
        <v>0.67416186389968868</v>
      </c>
      <c r="M87" s="77">
        <v>0.53485965787066914</v>
      </c>
      <c r="N87" s="77">
        <v>0.60451076088517897</v>
      </c>
      <c r="O87" s="77">
        <v>9.8501534517364597E-2</v>
      </c>
      <c r="Q87" t="s">
        <v>186</v>
      </c>
    </row>
    <row r="88" spans="1:17" x14ac:dyDescent="0.3">
      <c r="A88" t="s">
        <v>146</v>
      </c>
      <c r="B88" s="49" t="s">
        <v>60</v>
      </c>
      <c r="C88" s="49" t="s">
        <v>10</v>
      </c>
      <c r="D88">
        <v>723624</v>
      </c>
      <c r="E88">
        <v>315385</v>
      </c>
      <c r="F88" s="77">
        <v>2.2944147629088256</v>
      </c>
      <c r="G88" s="77"/>
      <c r="H88" s="77"/>
      <c r="J88" s="52" t="s">
        <v>34</v>
      </c>
      <c r="L88" s="77">
        <v>0</v>
      </c>
      <c r="M88" s="77">
        <v>0</v>
      </c>
      <c r="N88" s="77">
        <v>0</v>
      </c>
      <c r="O88" s="77">
        <v>0</v>
      </c>
      <c r="Q88" t="s">
        <v>185</v>
      </c>
    </row>
    <row r="89" spans="1:17" x14ac:dyDescent="0.3">
      <c r="A89" t="s">
        <v>147</v>
      </c>
      <c r="B89" s="49" t="s">
        <v>60</v>
      </c>
      <c r="C89" s="49" t="s">
        <v>10</v>
      </c>
      <c r="D89">
        <v>518926</v>
      </c>
      <c r="E89">
        <v>272367</v>
      </c>
      <c r="F89" s="77">
        <v>1.9052454959668388</v>
      </c>
      <c r="G89" s="77"/>
      <c r="H89" s="77"/>
      <c r="J89" s="52"/>
      <c r="L89" s="77"/>
      <c r="M89" s="77"/>
      <c r="N89" s="77"/>
      <c r="O89" s="77"/>
      <c r="Q89" t="s">
        <v>185</v>
      </c>
    </row>
    <row r="90" spans="1:17" x14ac:dyDescent="0.3">
      <c r="A90" t="s">
        <v>148</v>
      </c>
      <c r="B90" s="49" t="s">
        <v>60</v>
      </c>
      <c r="C90" s="49" t="s">
        <v>10</v>
      </c>
      <c r="D90">
        <v>0</v>
      </c>
      <c r="E90">
        <v>298287</v>
      </c>
      <c r="F90" s="77">
        <v>0</v>
      </c>
      <c r="G90" s="77"/>
      <c r="H90" s="77"/>
      <c r="J90" s="52" t="s">
        <v>35</v>
      </c>
      <c r="L90" s="77"/>
      <c r="M90" s="77"/>
      <c r="N90" s="77"/>
      <c r="O90" s="77"/>
      <c r="Q90" t="s">
        <v>185</v>
      </c>
    </row>
    <row r="91" spans="1:17" x14ac:dyDescent="0.3">
      <c r="A91" t="s">
        <v>149</v>
      </c>
      <c r="B91" s="49" t="s">
        <v>60</v>
      </c>
      <c r="C91" s="49" t="s">
        <v>10</v>
      </c>
      <c r="D91">
        <v>0</v>
      </c>
      <c r="E91">
        <v>313565</v>
      </c>
      <c r="F91" s="77">
        <v>0</v>
      </c>
      <c r="G91" s="77"/>
      <c r="H91" s="77"/>
      <c r="J91" s="52" t="s">
        <v>27</v>
      </c>
      <c r="K91">
        <v>0.25</v>
      </c>
      <c r="L91" s="77">
        <v>8.7065350630389489</v>
      </c>
      <c r="M91" s="77">
        <v>8.6426544561345526</v>
      </c>
      <c r="N91" s="77">
        <v>8.6745947595867499</v>
      </c>
      <c r="O91" s="77">
        <v>4.5170410328410765E-2</v>
      </c>
      <c r="Q91" t="s">
        <v>185</v>
      </c>
    </row>
    <row r="92" spans="1:17" x14ac:dyDescent="0.3">
      <c r="A92" t="s">
        <v>150</v>
      </c>
      <c r="B92" s="49" t="s">
        <v>60</v>
      </c>
      <c r="C92" s="49" t="s">
        <v>10</v>
      </c>
      <c r="D92">
        <v>1489459</v>
      </c>
      <c r="E92">
        <v>300590</v>
      </c>
      <c r="F92" s="77">
        <v>4.9551182674074319</v>
      </c>
      <c r="G92" s="77"/>
      <c r="H92" s="77"/>
      <c r="J92" s="52" t="s">
        <v>28</v>
      </c>
      <c r="K92">
        <v>7.4999999999999997E-2</v>
      </c>
      <c r="L92" s="77">
        <v>0</v>
      </c>
      <c r="M92" s="77">
        <v>0</v>
      </c>
      <c r="N92" s="77">
        <v>0</v>
      </c>
      <c r="O92" s="77">
        <v>0</v>
      </c>
      <c r="Q92" t="s">
        <v>186</v>
      </c>
    </row>
    <row r="93" spans="1:17" x14ac:dyDescent="0.3">
      <c r="A93" t="s">
        <v>151</v>
      </c>
      <c r="B93" s="49" t="s">
        <v>60</v>
      </c>
      <c r="C93" s="49" t="s">
        <v>10</v>
      </c>
      <c r="D93">
        <v>1530696</v>
      </c>
      <c r="E93">
        <v>275777</v>
      </c>
      <c r="F93" s="77">
        <v>5.5504846306979916</v>
      </c>
      <c r="G93" s="77"/>
      <c r="H93" s="77"/>
      <c r="J93" s="52" t="s">
        <v>29</v>
      </c>
      <c r="K93">
        <v>0.25</v>
      </c>
      <c r="L93" s="77">
        <v>19.820473069629728</v>
      </c>
      <c r="M93" s="77">
        <v>22.201938522791966</v>
      </c>
      <c r="N93" s="77">
        <v>21.011205796210845</v>
      </c>
      <c r="O93" s="77">
        <v>1.6839503710925134</v>
      </c>
      <c r="Q93" t="s">
        <v>186</v>
      </c>
    </row>
    <row r="94" spans="1:17" x14ac:dyDescent="0.3">
      <c r="A94" t="s">
        <v>152</v>
      </c>
      <c r="B94" s="49" t="s">
        <v>60</v>
      </c>
      <c r="C94" s="49" t="s">
        <v>10</v>
      </c>
      <c r="D94">
        <v>715601</v>
      </c>
      <c r="E94">
        <v>328765</v>
      </c>
      <c r="F94" s="77">
        <v>2.1766337657597372</v>
      </c>
      <c r="G94" s="77"/>
      <c r="H94" s="77"/>
      <c r="J94" s="52" t="s">
        <v>30</v>
      </c>
      <c r="L94" s="77"/>
      <c r="M94" s="77"/>
      <c r="N94" s="77"/>
      <c r="O94" s="77"/>
      <c r="Q94" t="s">
        <v>184</v>
      </c>
    </row>
    <row r="95" spans="1:17" x14ac:dyDescent="0.3">
      <c r="A95" t="s">
        <v>153</v>
      </c>
      <c r="B95" s="49" t="s">
        <v>60</v>
      </c>
      <c r="C95" s="49" t="s">
        <v>10</v>
      </c>
      <c r="D95">
        <v>679963</v>
      </c>
      <c r="E95">
        <v>314701</v>
      </c>
      <c r="F95" s="77">
        <v>2.1606636140336382</v>
      </c>
      <c r="G95" s="77"/>
      <c r="H95" s="77"/>
      <c r="J95" s="52" t="s">
        <v>31</v>
      </c>
      <c r="L95" s="77">
        <v>0</v>
      </c>
      <c r="M95" s="77">
        <v>0</v>
      </c>
      <c r="N95" s="77">
        <v>0</v>
      </c>
      <c r="O95" s="77">
        <v>0</v>
      </c>
      <c r="Q95" t="s">
        <v>184</v>
      </c>
    </row>
    <row r="96" spans="1:17" x14ac:dyDescent="0.3">
      <c r="E96" t="s">
        <v>4</v>
      </c>
      <c r="F96">
        <v>4</v>
      </c>
      <c r="J96" s="52" t="s">
        <v>32</v>
      </c>
      <c r="L96" s="77">
        <v>0</v>
      </c>
      <c r="M96" s="77">
        <v>0</v>
      </c>
      <c r="N96" s="77">
        <v>0</v>
      </c>
      <c r="O96" s="77">
        <v>0</v>
      </c>
    </row>
    <row r="97" spans="1:15" x14ac:dyDescent="0.3">
      <c r="E97" t="s">
        <v>23</v>
      </c>
      <c r="F97">
        <v>0.11</v>
      </c>
      <c r="J97" s="52" t="s">
        <v>55</v>
      </c>
      <c r="L97" s="77">
        <v>19.820473069629728</v>
      </c>
      <c r="M97" s="77">
        <v>22.201938522791966</v>
      </c>
      <c r="N97" s="77">
        <v>21.011205796210845</v>
      </c>
      <c r="O97" s="77">
        <v>1.6839503710925134</v>
      </c>
    </row>
    <row r="98" spans="1:15" x14ac:dyDescent="0.3">
      <c r="E98" t="s">
        <v>24</v>
      </c>
      <c r="F98">
        <v>2</v>
      </c>
      <c r="J98" s="52" t="s">
        <v>33</v>
      </c>
      <c r="L98" s="77">
        <v>0.43926979101117886</v>
      </c>
      <c r="M98" s="77">
        <v>0.38927476748312834</v>
      </c>
      <c r="N98" s="77">
        <v>0.4142722792471536</v>
      </c>
      <c r="O98" s="77">
        <v>3.5351820162265513E-2</v>
      </c>
    </row>
    <row r="99" spans="1:15" x14ac:dyDescent="0.3">
      <c r="E99" t="s">
        <v>25</v>
      </c>
      <c r="F99">
        <v>10</v>
      </c>
      <c r="J99" s="52" t="s">
        <v>34</v>
      </c>
      <c r="L99" s="77">
        <v>0</v>
      </c>
      <c r="M99" s="77">
        <v>0</v>
      </c>
      <c r="N99" s="77">
        <v>0</v>
      </c>
      <c r="O99" s="77">
        <v>0</v>
      </c>
    </row>
    <row r="100" spans="1:15" x14ac:dyDescent="0.3">
      <c r="J100" s="52" t="s">
        <v>13</v>
      </c>
      <c r="L100" s="77" t="s">
        <v>41</v>
      </c>
      <c r="M100" s="77" t="s">
        <v>41</v>
      </c>
      <c r="N100" s="77"/>
      <c r="O100" s="77"/>
    </row>
    <row r="101" spans="1:15" x14ac:dyDescent="0.3">
      <c r="L101" s="77"/>
      <c r="M101" s="77"/>
      <c r="N101" s="77"/>
      <c r="O101" s="77"/>
    </row>
    <row r="102" spans="1:15" x14ac:dyDescent="0.3">
      <c r="L102" s="77"/>
      <c r="M102" s="77"/>
      <c r="N102" s="77"/>
      <c r="O102" s="77"/>
    </row>
    <row r="103" spans="1:15" x14ac:dyDescent="0.3">
      <c r="L103" s="77"/>
      <c r="M103" s="77"/>
      <c r="N103" s="77"/>
      <c r="O103" s="77"/>
    </row>
    <row r="104" spans="1:15" x14ac:dyDescent="0.3">
      <c r="L104" s="77"/>
      <c r="M104" s="77"/>
      <c r="N104" s="77"/>
      <c r="O104" s="77"/>
    </row>
    <row r="105" spans="1:15" s="52" customFormat="1" x14ac:dyDescent="0.3">
      <c r="A105" s="52" t="s">
        <v>0</v>
      </c>
      <c r="B105" s="50" t="s">
        <v>1</v>
      </c>
      <c r="C105" s="50" t="s">
        <v>2</v>
      </c>
      <c r="D105" s="56" t="s">
        <v>3</v>
      </c>
      <c r="E105" s="56" t="s">
        <v>5</v>
      </c>
      <c r="F105" s="52" t="s">
        <v>6</v>
      </c>
      <c r="G105" s="52" t="s">
        <v>188</v>
      </c>
      <c r="H105" s="52" t="s">
        <v>189</v>
      </c>
      <c r="J105" s="52" t="s">
        <v>26</v>
      </c>
      <c r="K105" s="52" t="s">
        <v>18</v>
      </c>
      <c r="L105" s="50" t="s">
        <v>19</v>
      </c>
      <c r="M105" s="50" t="s">
        <v>20</v>
      </c>
      <c r="N105" s="50" t="s">
        <v>21</v>
      </c>
      <c r="O105" s="50" t="s">
        <v>22</v>
      </c>
    </row>
    <row r="106" spans="1:15" x14ac:dyDescent="0.3">
      <c r="A106" t="s">
        <v>63</v>
      </c>
      <c r="B106" s="49" t="s">
        <v>61</v>
      </c>
      <c r="C106" s="49" t="s">
        <v>10</v>
      </c>
      <c r="D106">
        <v>0</v>
      </c>
      <c r="E106">
        <v>0</v>
      </c>
      <c r="F106">
        <v>0</v>
      </c>
      <c r="J106" s="52" t="s">
        <v>27</v>
      </c>
      <c r="K106">
        <v>7.4999999999999997E-2</v>
      </c>
      <c r="L106" s="77">
        <v>0</v>
      </c>
      <c r="M106" s="77">
        <v>0</v>
      </c>
      <c r="N106" s="77">
        <v>0</v>
      </c>
      <c r="O106" s="77">
        <v>0</v>
      </c>
    </row>
    <row r="107" spans="1:15" x14ac:dyDescent="0.3">
      <c r="A107" t="s">
        <v>65</v>
      </c>
      <c r="B107" s="49" t="s">
        <v>61</v>
      </c>
      <c r="C107" s="49" t="s">
        <v>10</v>
      </c>
      <c r="D107">
        <v>0</v>
      </c>
      <c r="E107">
        <v>0</v>
      </c>
      <c r="F107">
        <v>0</v>
      </c>
      <c r="J107" s="52" t="s">
        <v>28</v>
      </c>
      <c r="K107">
        <v>0.25</v>
      </c>
      <c r="L107" s="77">
        <v>0</v>
      </c>
      <c r="M107" s="77">
        <v>0</v>
      </c>
      <c r="N107" s="77">
        <v>0</v>
      </c>
      <c r="O107" s="77">
        <v>0</v>
      </c>
    </row>
    <row r="108" spans="1:15" x14ac:dyDescent="0.3">
      <c r="A108" t="s">
        <v>66</v>
      </c>
      <c r="B108" s="49" t="s">
        <v>61</v>
      </c>
      <c r="C108" s="49" t="s">
        <v>10</v>
      </c>
      <c r="D108">
        <v>0</v>
      </c>
      <c r="E108">
        <v>0</v>
      </c>
      <c r="F108">
        <v>0</v>
      </c>
      <c r="J108" s="52" t="s">
        <v>29</v>
      </c>
      <c r="K108">
        <v>7.4999999999999997E-2</v>
      </c>
      <c r="L108" s="77">
        <v>4.5376932909395817</v>
      </c>
      <c r="M108" s="77">
        <v>4.3973273648871043</v>
      </c>
      <c r="N108" s="77">
        <v>4.4675103279133435</v>
      </c>
      <c r="O108" s="77">
        <v>9.9253698159236278E-2</v>
      </c>
    </row>
    <row r="109" spans="1:15" x14ac:dyDescent="0.3">
      <c r="A109" t="s">
        <v>67</v>
      </c>
      <c r="B109" s="49" t="s">
        <v>61</v>
      </c>
      <c r="C109" s="49" t="s">
        <v>10</v>
      </c>
      <c r="D109">
        <v>0</v>
      </c>
      <c r="E109">
        <v>0</v>
      </c>
      <c r="F109">
        <v>0</v>
      </c>
      <c r="J109" s="52" t="s">
        <v>30</v>
      </c>
      <c r="L109" s="77"/>
      <c r="M109" s="77"/>
      <c r="N109" s="77"/>
      <c r="O109" s="77"/>
    </row>
    <row r="110" spans="1:15" x14ac:dyDescent="0.3">
      <c r="A110" t="s">
        <v>154</v>
      </c>
      <c r="B110" s="49" t="s">
        <v>61</v>
      </c>
      <c r="C110" s="49" t="s">
        <v>10</v>
      </c>
      <c r="D110">
        <v>0</v>
      </c>
      <c r="E110">
        <v>283982</v>
      </c>
      <c r="F110">
        <v>0</v>
      </c>
      <c r="J110" s="52" t="s">
        <v>31</v>
      </c>
      <c r="L110" s="77">
        <v>0</v>
      </c>
      <c r="M110" s="77">
        <v>0</v>
      </c>
      <c r="N110" s="77">
        <v>0</v>
      </c>
      <c r="O110" s="77">
        <v>0</v>
      </c>
    </row>
    <row r="111" spans="1:15" x14ac:dyDescent="0.3">
      <c r="A111" t="s">
        <v>155</v>
      </c>
      <c r="B111" s="49" t="s">
        <v>61</v>
      </c>
      <c r="C111" s="49" t="s">
        <v>10</v>
      </c>
      <c r="D111">
        <v>0</v>
      </c>
      <c r="E111">
        <v>305265</v>
      </c>
      <c r="F111">
        <v>0</v>
      </c>
      <c r="J111" s="52" t="s">
        <v>32</v>
      </c>
      <c r="L111" s="77">
        <v>0</v>
      </c>
      <c r="M111" s="77">
        <v>0</v>
      </c>
      <c r="N111" s="77">
        <v>0</v>
      </c>
      <c r="O111" s="77">
        <v>0</v>
      </c>
    </row>
    <row r="112" spans="1:15" x14ac:dyDescent="0.3">
      <c r="A112" t="s">
        <v>156</v>
      </c>
      <c r="B112" s="49" t="s">
        <v>61</v>
      </c>
      <c r="C112" s="49" t="s">
        <v>10</v>
      </c>
      <c r="D112">
        <v>318613</v>
      </c>
      <c r="E112">
        <v>280859</v>
      </c>
      <c r="F112" s="77">
        <v>1.1344233227348954</v>
      </c>
      <c r="G112" s="77"/>
      <c r="H112" s="77"/>
      <c r="J112" s="52" t="s">
        <v>55</v>
      </c>
      <c r="L112" s="77">
        <v>4.5376932909395817</v>
      </c>
      <c r="M112" s="77">
        <v>4.3973273648871043</v>
      </c>
      <c r="N112" s="77">
        <v>4.4675103279133435</v>
      </c>
      <c r="O112" s="77">
        <v>9.9253698159236278E-2</v>
      </c>
    </row>
    <row r="113" spans="1:15" x14ac:dyDescent="0.3">
      <c r="A113" t="s">
        <v>157</v>
      </c>
      <c r="B113" s="49" t="s">
        <v>61</v>
      </c>
      <c r="C113" s="49" t="s">
        <v>10</v>
      </c>
      <c r="D113">
        <v>333999</v>
      </c>
      <c r="E113">
        <v>303820</v>
      </c>
      <c r="F113" s="77">
        <v>1.0993318412217761</v>
      </c>
      <c r="G113" s="77"/>
      <c r="H113" s="77"/>
      <c r="J113" s="52" t="s">
        <v>33</v>
      </c>
      <c r="L113" s="77">
        <v>0</v>
      </c>
      <c r="M113" s="77">
        <v>0</v>
      </c>
      <c r="N113" s="77">
        <v>0</v>
      </c>
      <c r="O113" s="77">
        <v>0</v>
      </c>
    </row>
    <row r="114" spans="1:15" x14ac:dyDescent="0.3">
      <c r="A114" t="s">
        <v>158</v>
      </c>
      <c r="B114" s="49" t="s">
        <v>61</v>
      </c>
      <c r="C114" s="49" t="s">
        <v>10</v>
      </c>
      <c r="D114">
        <v>0</v>
      </c>
      <c r="E114">
        <v>303314</v>
      </c>
      <c r="F114" s="77">
        <v>0</v>
      </c>
      <c r="G114" s="77"/>
      <c r="H114" s="77"/>
      <c r="J114" s="52" t="s">
        <v>34</v>
      </c>
      <c r="L114" s="77">
        <v>0</v>
      </c>
      <c r="M114" s="77">
        <v>0</v>
      </c>
      <c r="N114" s="77">
        <v>0</v>
      </c>
      <c r="O114" s="77">
        <v>0</v>
      </c>
    </row>
    <row r="115" spans="1:15" x14ac:dyDescent="0.3">
      <c r="A115" t="s">
        <v>159</v>
      </c>
      <c r="B115" s="49" t="s">
        <v>61</v>
      </c>
      <c r="C115" s="49" t="s">
        <v>10</v>
      </c>
      <c r="D115">
        <v>0</v>
      </c>
      <c r="E115">
        <v>299408</v>
      </c>
      <c r="F115" s="77">
        <v>0</v>
      </c>
      <c r="G115" s="77"/>
      <c r="H115" s="77"/>
      <c r="J115" s="52"/>
      <c r="L115" s="77"/>
      <c r="M115" s="77"/>
      <c r="N115" s="77"/>
      <c r="O115" s="77"/>
    </row>
    <row r="116" spans="1:15" x14ac:dyDescent="0.3">
      <c r="A116" t="s">
        <v>160</v>
      </c>
      <c r="B116" s="49" t="s">
        <v>61</v>
      </c>
      <c r="C116" s="49" t="s">
        <v>10</v>
      </c>
      <c r="D116">
        <v>0</v>
      </c>
      <c r="E116">
        <v>297788</v>
      </c>
      <c r="F116" s="77">
        <v>0</v>
      </c>
      <c r="G116" s="77"/>
      <c r="H116" s="77"/>
      <c r="J116" s="52" t="s">
        <v>35</v>
      </c>
      <c r="L116" s="77"/>
      <c r="M116" s="77"/>
      <c r="N116" s="77"/>
      <c r="O116" s="77"/>
    </row>
    <row r="117" spans="1:15" x14ac:dyDescent="0.3">
      <c r="A117" t="s">
        <v>161</v>
      </c>
      <c r="B117" s="49" t="s">
        <v>61</v>
      </c>
      <c r="C117" s="49" t="s">
        <v>10</v>
      </c>
      <c r="D117">
        <v>0</v>
      </c>
      <c r="E117">
        <v>308264</v>
      </c>
      <c r="F117" s="77">
        <v>0</v>
      </c>
      <c r="G117" s="77"/>
      <c r="H117" s="77"/>
      <c r="J117" s="52" t="s">
        <v>27</v>
      </c>
      <c r="K117">
        <v>0.25</v>
      </c>
      <c r="L117" s="77">
        <v>2.6023927084273355</v>
      </c>
      <c r="M117" s="77">
        <v>2.7610518227021958</v>
      </c>
      <c r="N117" s="77">
        <v>2.6817222655647655</v>
      </c>
      <c r="O117" s="77">
        <v>0.11218893560080512</v>
      </c>
    </row>
    <row r="118" spans="1:15" x14ac:dyDescent="0.3">
      <c r="A118" t="s">
        <v>162</v>
      </c>
      <c r="B118" s="49" t="s">
        <v>61</v>
      </c>
      <c r="C118" s="49" t="s">
        <v>10</v>
      </c>
      <c r="D118">
        <v>317702</v>
      </c>
      <c r="E118">
        <v>311207</v>
      </c>
      <c r="F118" s="77">
        <v>1.0208703531732899</v>
      </c>
      <c r="G118" s="77"/>
      <c r="H118" s="77"/>
      <c r="J118" s="52" t="s">
        <v>28</v>
      </c>
      <c r="K118">
        <v>7.4999999999999997E-2</v>
      </c>
      <c r="L118" s="77">
        <v>0</v>
      </c>
      <c r="M118" s="77">
        <v>0</v>
      </c>
      <c r="N118" s="77">
        <v>0</v>
      </c>
      <c r="O118" s="77">
        <v>0</v>
      </c>
    </row>
    <row r="119" spans="1:15" x14ac:dyDescent="0.3">
      <c r="A119" t="s">
        <v>163</v>
      </c>
      <c r="B119" s="49" t="s">
        <v>61</v>
      </c>
      <c r="C119" s="49" t="s">
        <v>10</v>
      </c>
      <c r="D119">
        <v>329136</v>
      </c>
      <c r="E119">
        <v>292708</v>
      </c>
      <c r="F119" s="77">
        <v>1.1244516719734343</v>
      </c>
      <c r="G119" s="77"/>
      <c r="H119" s="77"/>
      <c r="J119" s="52" t="s">
        <v>29</v>
      </c>
      <c r="K119">
        <v>0.25</v>
      </c>
      <c r="L119" s="77">
        <v>4.0834814126931596</v>
      </c>
      <c r="M119" s="77">
        <v>4.4978066878937373</v>
      </c>
      <c r="N119" s="77">
        <v>4.290644050293448</v>
      </c>
      <c r="O119" s="77">
        <v>0.29297221171131099</v>
      </c>
    </row>
    <row r="120" spans="1:15" x14ac:dyDescent="0.3">
      <c r="A120" t="s">
        <v>164</v>
      </c>
      <c r="B120" s="49" t="s">
        <v>61</v>
      </c>
      <c r="C120" s="49" t="s">
        <v>10</v>
      </c>
      <c r="D120">
        <v>201865</v>
      </c>
      <c r="E120">
        <v>310276</v>
      </c>
      <c r="F120" s="77">
        <v>0.65059817710683387</v>
      </c>
      <c r="G120" s="77"/>
      <c r="H120" s="77"/>
      <c r="J120" s="52" t="s">
        <v>30</v>
      </c>
      <c r="L120" s="77"/>
      <c r="M120" s="77"/>
      <c r="N120" s="77"/>
      <c r="O120" s="77"/>
    </row>
    <row r="121" spans="1:15" x14ac:dyDescent="0.3">
      <c r="A121" t="s">
        <v>165</v>
      </c>
      <c r="B121" s="49" t="s">
        <v>61</v>
      </c>
      <c r="C121" s="49" t="s">
        <v>10</v>
      </c>
      <c r="D121">
        <v>200315</v>
      </c>
      <c r="E121">
        <v>290201</v>
      </c>
      <c r="F121" s="77">
        <v>0.69026295567554896</v>
      </c>
      <c r="G121" s="77"/>
      <c r="H121" s="77"/>
      <c r="J121" s="52" t="s">
        <v>31</v>
      </c>
      <c r="L121" s="77">
        <v>0</v>
      </c>
      <c r="M121" s="77">
        <v>0</v>
      </c>
      <c r="N121" s="77">
        <v>0</v>
      </c>
      <c r="O121" s="77">
        <v>0</v>
      </c>
    </row>
    <row r="122" spans="1:15" x14ac:dyDescent="0.3">
      <c r="E122" t="s">
        <v>4</v>
      </c>
      <c r="F122">
        <v>4</v>
      </c>
      <c r="J122" s="52" t="s">
        <v>32</v>
      </c>
      <c r="L122" s="77">
        <v>0</v>
      </c>
      <c r="M122" s="77">
        <v>0</v>
      </c>
      <c r="N122" s="77">
        <v>0</v>
      </c>
      <c r="O122" s="77">
        <v>0</v>
      </c>
    </row>
    <row r="123" spans="1:15" x14ac:dyDescent="0.3">
      <c r="E123" t="s">
        <v>23</v>
      </c>
      <c r="F123">
        <v>0.11</v>
      </c>
      <c r="J123" s="52" t="s">
        <v>55</v>
      </c>
      <c r="L123" s="77">
        <v>4.0834814126931596</v>
      </c>
      <c r="M123" s="77">
        <v>4.4978066878937373</v>
      </c>
      <c r="N123" s="77">
        <v>4.290644050293448</v>
      </c>
      <c r="O123" s="77">
        <v>0.29297221171131099</v>
      </c>
    </row>
    <row r="124" spans="1:15" x14ac:dyDescent="0.3">
      <c r="E124" t="s">
        <v>24</v>
      </c>
      <c r="F124">
        <v>2</v>
      </c>
      <c r="J124" s="52" t="s">
        <v>33</v>
      </c>
      <c r="L124" s="77">
        <v>0.63729755211766503</v>
      </c>
      <c r="M124" s="77">
        <v>0.61386627178393904</v>
      </c>
      <c r="N124" s="77">
        <v>0.62558191195080204</v>
      </c>
      <c r="O124" s="77">
        <v>1.6568417215860637E-2</v>
      </c>
    </row>
    <row r="125" spans="1:15" x14ac:dyDescent="0.3">
      <c r="E125" t="s">
        <v>25</v>
      </c>
      <c r="F125">
        <v>10</v>
      </c>
      <c r="J125" s="52" t="s">
        <v>34</v>
      </c>
      <c r="L125" s="77">
        <v>0</v>
      </c>
      <c r="M125" s="77">
        <v>0</v>
      </c>
      <c r="N125" s="77">
        <v>0</v>
      </c>
      <c r="O125" s="77">
        <v>0</v>
      </c>
    </row>
    <row r="126" spans="1:15" x14ac:dyDescent="0.3">
      <c r="J126" s="52" t="s">
        <v>13</v>
      </c>
      <c r="L126" s="77" t="s">
        <v>41</v>
      </c>
      <c r="M126" s="77" t="s">
        <v>41</v>
      </c>
      <c r="N126" s="77"/>
      <c r="O126" s="77"/>
    </row>
    <row r="127" spans="1:15" x14ac:dyDescent="0.3">
      <c r="L127" s="77"/>
      <c r="M127" s="77"/>
      <c r="N127" s="77"/>
      <c r="O127" s="77"/>
    </row>
    <row r="128" spans="1:15" x14ac:dyDescent="0.3">
      <c r="L128" s="77"/>
      <c r="M128" s="77"/>
      <c r="N128" s="77"/>
      <c r="O128" s="77"/>
    </row>
    <row r="129" spans="1:15" x14ac:dyDescent="0.3">
      <c r="L129" s="77"/>
      <c r="M129" s="77"/>
      <c r="N129" s="77"/>
      <c r="O129" s="77"/>
    </row>
    <row r="130" spans="1:15" x14ac:dyDescent="0.3">
      <c r="L130" s="77"/>
      <c r="M130" s="77"/>
      <c r="N130" s="77"/>
      <c r="O130" s="77"/>
    </row>
    <row r="131" spans="1:15" s="52" customFormat="1" x14ac:dyDescent="0.3">
      <c r="A131" s="52" t="s">
        <v>0</v>
      </c>
      <c r="B131" s="50" t="s">
        <v>1</v>
      </c>
      <c r="C131" s="50" t="s">
        <v>2</v>
      </c>
      <c r="D131" s="56" t="s">
        <v>3</v>
      </c>
      <c r="E131" s="56" t="s">
        <v>5</v>
      </c>
      <c r="F131" s="52" t="s">
        <v>6</v>
      </c>
      <c r="G131" s="52" t="s">
        <v>188</v>
      </c>
      <c r="H131" s="52" t="s">
        <v>189</v>
      </c>
      <c r="J131" s="52" t="s">
        <v>26</v>
      </c>
      <c r="K131" s="52" t="s">
        <v>18</v>
      </c>
      <c r="L131" s="50" t="s">
        <v>19</v>
      </c>
      <c r="M131" s="50" t="s">
        <v>20</v>
      </c>
      <c r="N131" s="50" t="s">
        <v>21</v>
      </c>
      <c r="O131" s="50" t="s">
        <v>22</v>
      </c>
    </row>
    <row r="132" spans="1:15" x14ac:dyDescent="0.3">
      <c r="A132" t="s">
        <v>63</v>
      </c>
      <c r="B132" s="49" t="s">
        <v>62</v>
      </c>
      <c r="C132" s="49" t="s">
        <v>10</v>
      </c>
      <c r="D132">
        <v>0</v>
      </c>
      <c r="E132">
        <v>0</v>
      </c>
      <c r="F132">
        <v>0</v>
      </c>
      <c r="J132" s="52" t="s">
        <v>27</v>
      </c>
      <c r="K132">
        <v>7.4999999999999997E-2</v>
      </c>
      <c r="L132" s="77">
        <v>0</v>
      </c>
      <c r="M132" s="77">
        <v>0</v>
      </c>
      <c r="N132" s="77">
        <v>0</v>
      </c>
      <c r="O132" s="77">
        <v>0</v>
      </c>
    </row>
    <row r="133" spans="1:15" x14ac:dyDescent="0.3">
      <c r="A133" t="s">
        <v>65</v>
      </c>
      <c r="B133" s="49" t="s">
        <v>62</v>
      </c>
      <c r="C133" s="49" t="s">
        <v>10</v>
      </c>
      <c r="D133">
        <v>0</v>
      </c>
      <c r="E133">
        <v>0</v>
      </c>
      <c r="F133">
        <v>0</v>
      </c>
      <c r="J133" s="52" t="s">
        <v>28</v>
      </c>
      <c r="K133">
        <v>0.25</v>
      </c>
      <c r="L133" s="77">
        <v>0</v>
      </c>
      <c r="M133" s="77">
        <v>0</v>
      </c>
      <c r="N133" s="77">
        <v>0</v>
      </c>
      <c r="O133" s="77">
        <v>0</v>
      </c>
    </row>
    <row r="134" spans="1:15" x14ac:dyDescent="0.3">
      <c r="A134" t="s">
        <v>66</v>
      </c>
      <c r="B134" s="49" t="s">
        <v>62</v>
      </c>
      <c r="C134" s="49" t="s">
        <v>10</v>
      </c>
      <c r="D134">
        <v>0</v>
      </c>
      <c r="E134">
        <v>0</v>
      </c>
      <c r="F134">
        <v>0</v>
      </c>
      <c r="J134" s="52" t="s">
        <v>29</v>
      </c>
      <c r="K134">
        <v>7.4999999999999997E-2</v>
      </c>
      <c r="L134" s="77">
        <v>10.998778168085195</v>
      </c>
      <c r="M134" s="77">
        <v>0</v>
      </c>
      <c r="N134" s="77">
        <v>5.4993890840425976</v>
      </c>
      <c r="O134" s="77">
        <v>7.7773106274195944</v>
      </c>
    </row>
    <row r="135" spans="1:15" x14ac:dyDescent="0.3">
      <c r="A135" t="s">
        <v>67</v>
      </c>
      <c r="B135" s="49" t="s">
        <v>62</v>
      </c>
      <c r="C135" s="49" t="s">
        <v>10</v>
      </c>
      <c r="D135">
        <v>0</v>
      </c>
      <c r="E135">
        <v>0</v>
      </c>
      <c r="F135">
        <v>0</v>
      </c>
      <c r="J135" s="52" t="s">
        <v>30</v>
      </c>
      <c r="L135" s="77"/>
      <c r="M135" s="77"/>
      <c r="N135" s="77"/>
      <c r="O135" s="77"/>
    </row>
    <row r="136" spans="1:15" x14ac:dyDescent="0.3">
      <c r="A136" t="s">
        <v>166</v>
      </c>
      <c r="B136" s="49" t="s">
        <v>62</v>
      </c>
      <c r="C136" s="49" t="s">
        <v>10</v>
      </c>
      <c r="D136">
        <v>0</v>
      </c>
      <c r="E136">
        <v>309206</v>
      </c>
      <c r="F136">
        <v>0</v>
      </c>
      <c r="J136" s="52" t="s">
        <v>31</v>
      </c>
      <c r="L136" s="77">
        <v>0</v>
      </c>
      <c r="M136" s="77">
        <v>0</v>
      </c>
      <c r="N136" s="77">
        <v>0</v>
      </c>
      <c r="O136" s="77">
        <v>0</v>
      </c>
    </row>
    <row r="137" spans="1:15" x14ac:dyDescent="0.3">
      <c r="A137" t="s">
        <v>167</v>
      </c>
      <c r="B137" s="49" t="s">
        <v>62</v>
      </c>
      <c r="C137" s="49" t="s">
        <v>10</v>
      </c>
      <c r="D137">
        <v>0</v>
      </c>
      <c r="E137">
        <v>309918</v>
      </c>
      <c r="F137">
        <v>0</v>
      </c>
      <c r="J137" s="52" t="s">
        <v>32</v>
      </c>
      <c r="L137" s="77">
        <v>0</v>
      </c>
      <c r="M137" s="77">
        <v>0</v>
      </c>
      <c r="N137" s="77">
        <v>0</v>
      </c>
      <c r="O137" s="77">
        <v>0</v>
      </c>
    </row>
    <row r="138" spans="1:15" x14ac:dyDescent="0.3">
      <c r="A138" t="s">
        <v>168</v>
      </c>
      <c r="B138" s="49" t="s">
        <v>62</v>
      </c>
      <c r="C138" s="49" t="s">
        <v>10</v>
      </c>
      <c r="D138">
        <v>792165</v>
      </c>
      <c r="E138">
        <v>288092</v>
      </c>
      <c r="F138" s="77">
        <v>2.7496945420212988</v>
      </c>
      <c r="G138" s="77"/>
      <c r="H138" s="77"/>
      <c r="J138" s="52" t="s">
        <v>55</v>
      </c>
      <c r="L138" s="77">
        <v>10.998778168085195</v>
      </c>
      <c r="M138" s="77">
        <v>0</v>
      </c>
      <c r="N138" s="77">
        <v>5.4993890840425976</v>
      </c>
      <c r="O138" s="77">
        <v>7.7773106274195944</v>
      </c>
    </row>
    <row r="139" spans="1:15" x14ac:dyDescent="0.3">
      <c r="A139" t="s">
        <v>169</v>
      </c>
      <c r="B139" s="49" t="s">
        <v>62</v>
      </c>
      <c r="C139" s="49" t="s">
        <v>10</v>
      </c>
      <c r="D139">
        <v>0</v>
      </c>
      <c r="E139">
        <v>0</v>
      </c>
      <c r="F139" s="77">
        <v>0</v>
      </c>
      <c r="G139" s="77"/>
      <c r="H139" s="77"/>
      <c r="J139" s="52" t="s">
        <v>33</v>
      </c>
      <c r="L139" s="77">
        <v>0</v>
      </c>
      <c r="M139" s="77" t="s">
        <v>41</v>
      </c>
      <c r="N139" s="77">
        <v>0</v>
      </c>
      <c r="O139" s="77" t="s">
        <v>41</v>
      </c>
    </row>
    <row r="140" spans="1:15" x14ac:dyDescent="0.3">
      <c r="A140" t="s">
        <v>170</v>
      </c>
      <c r="B140" s="49" t="s">
        <v>62</v>
      </c>
      <c r="C140" s="49" t="s">
        <v>10</v>
      </c>
      <c r="D140">
        <v>0</v>
      </c>
      <c r="E140">
        <v>300829</v>
      </c>
      <c r="F140" s="77">
        <v>0</v>
      </c>
      <c r="G140" s="77"/>
      <c r="H140" s="77"/>
      <c r="J140" s="52" t="s">
        <v>34</v>
      </c>
      <c r="L140" s="77">
        <v>0</v>
      </c>
      <c r="M140" s="77" t="s">
        <v>41</v>
      </c>
      <c r="N140" s="77">
        <v>0</v>
      </c>
      <c r="O140" s="77" t="s">
        <v>41</v>
      </c>
    </row>
    <row r="141" spans="1:15" x14ac:dyDescent="0.3">
      <c r="A141" t="s">
        <v>171</v>
      </c>
      <c r="B141" s="49" t="s">
        <v>62</v>
      </c>
      <c r="C141" s="49" t="s">
        <v>10</v>
      </c>
      <c r="D141">
        <v>0</v>
      </c>
      <c r="E141">
        <v>290424</v>
      </c>
      <c r="F141" s="77">
        <v>0</v>
      </c>
      <c r="G141" s="77"/>
      <c r="H141" s="77"/>
      <c r="J141" s="52"/>
      <c r="L141" s="77"/>
      <c r="M141" s="77"/>
      <c r="N141" s="77"/>
      <c r="O141" s="77"/>
    </row>
    <row r="142" spans="1:15" x14ac:dyDescent="0.3">
      <c r="A142" t="s">
        <v>172</v>
      </c>
      <c r="B142" s="49" t="s">
        <v>62</v>
      </c>
      <c r="C142" s="49" t="s">
        <v>10</v>
      </c>
      <c r="D142">
        <v>0</v>
      </c>
      <c r="E142">
        <v>281551</v>
      </c>
      <c r="F142" s="77">
        <v>0</v>
      </c>
      <c r="G142" s="77"/>
      <c r="H142" s="77"/>
      <c r="J142" s="52" t="s">
        <v>35</v>
      </c>
      <c r="L142" s="77"/>
      <c r="M142" s="77"/>
      <c r="N142" s="77"/>
      <c r="O142" s="77"/>
    </row>
    <row r="143" spans="1:15" x14ac:dyDescent="0.3">
      <c r="A143" t="s">
        <v>173</v>
      </c>
      <c r="B143" s="49" t="s">
        <v>62</v>
      </c>
      <c r="C143" s="49" t="s">
        <v>10</v>
      </c>
      <c r="D143">
        <v>0</v>
      </c>
      <c r="E143">
        <v>291202</v>
      </c>
      <c r="F143" s="77">
        <v>0</v>
      </c>
      <c r="G143" s="77"/>
      <c r="H143" s="77"/>
      <c r="J143" s="52" t="s">
        <v>27</v>
      </c>
      <c r="K143">
        <v>0.25</v>
      </c>
      <c r="L143" s="77">
        <v>4.5380183952543671</v>
      </c>
      <c r="M143" s="77">
        <v>4.1581076038098059</v>
      </c>
      <c r="N143" s="77">
        <v>4.3480629995320861</v>
      </c>
      <c r="O143" s="77">
        <v>0.26863749687639743</v>
      </c>
    </row>
    <row r="144" spans="1:15" x14ac:dyDescent="0.3">
      <c r="A144" t="s">
        <v>174</v>
      </c>
      <c r="B144" s="49" t="s">
        <v>62</v>
      </c>
      <c r="C144" s="49" t="s">
        <v>10</v>
      </c>
      <c r="D144">
        <v>841071</v>
      </c>
      <c r="E144">
        <v>274893</v>
      </c>
      <c r="F144" s="77">
        <v>3.0596304744027676</v>
      </c>
      <c r="G144" s="77"/>
      <c r="H144" s="77"/>
      <c r="J144" s="52" t="s">
        <v>28</v>
      </c>
      <c r="K144">
        <v>7.4999999999999997E-2</v>
      </c>
      <c r="L144" s="77">
        <v>0</v>
      </c>
      <c r="M144" s="77">
        <v>0</v>
      </c>
      <c r="N144" s="77">
        <v>0</v>
      </c>
      <c r="O144" s="77">
        <v>0</v>
      </c>
    </row>
    <row r="145" spans="1:22" x14ac:dyDescent="0.3">
      <c r="A145" t="s">
        <v>175</v>
      </c>
      <c r="B145" s="49" t="s">
        <v>62</v>
      </c>
      <c r="C145" s="49" t="s">
        <v>10</v>
      </c>
      <c r="D145">
        <v>853876</v>
      </c>
      <c r="E145">
        <v>254128</v>
      </c>
      <c r="F145" s="77">
        <v>3.3600232953472267</v>
      </c>
      <c r="G145" s="77"/>
      <c r="H145" s="77"/>
      <c r="J145" s="52" t="s">
        <v>29</v>
      </c>
      <c r="K145">
        <v>0.25</v>
      </c>
      <c r="L145" s="77">
        <v>12.23852189761107</v>
      </c>
      <c r="M145" s="77">
        <v>13.440093181388907</v>
      </c>
      <c r="N145" s="77">
        <v>12.839307539499988</v>
      </c>
      <c r="O145" s="77">
        <v>0.8496392028383335</v>
      </c>
    </row>
    <row r="146" spans="1:22" x14ac:dyDescent="0.3">
      <c r="A146" t="s">
        <v>176</v>
      </c>
      <c r="B146" s="49" t="s">
        <v>62</v>
      </c>
      <c r="C146" s="49" t="s">
        <v>10</v>
      </c>
      <c r="D146">
        <v>344633</v>
      </c>
      <c r="E146">
        <v>303774</v>
      </c>
      <c r="F146" s="77">
        <v>1.1345045988135918</v>
      </c>
      <c r="G146" s="77"/>
      <c r="H146" s="77"/>
      <c r="J146" s="52" t="s">
        <v>30</v>
      </c>
      <c r="L146" s="77"/>
      <c r="M146" s="77"/>
      <c r="N146" s="77"/>
      <c r="O146" s="77"/>
    </row>
    <row r="147" spans="1:22" x14ac:dyDescent="0.3">
      <c r="A147" t="s">
        <v>177</v>
      </c>
      <c r="B147" s="49" t="s">
        <v>62</v>
      </c>
      <c r="C147" s="49" t="s">
        <v>10</v>
      </c>
      <c r="D147">
        <v>309200</v>
      </c>
      <c r="E147">
        <v>297443</v>
      </c>
      <c r="F147" s="77">
        <v>1.0395269009524515</v>
      </c>
      <c r="G147" s="77"/>
      <c r="H147" s="77"/>
      <c r="J147" s="52" t="s">
        <v>31</v>
      </c>
      <c r="L147" s="77">
        <v>0</v>
      </c>
      <c r="M147" s="77">
        <v>0</v>
      </c>
      <c r="N147" s="77">
        <v>0</v>
      </c>
      <c r="O147" s="77">
        <v>0</v>
      </c>
    </row>
    <row r="148" spans="1:22" x14ac:dyDescent="0.3">
      <c r="E148" t="s">
        <v>4</v>
      </c>
      <c r="F148">
        <v>4</v>
      </c>
      <c r="J148" s="52" t="s">
        <v>32</v>
      </c>
      <c r="L148" s="77">
        <v>0</v>
      </c>
      <c r="M148" s="77">
        <v>0</v>
      </c>
      <c r="N148" s="77">
        <v>0</v>
      </c>
      <c r="O148" s="77">
        <v>0</v>
      </c>
    </row>
    <row r="149" spans="1:22" x14ac:dyDescent="0.3">
      <c r="E149" t="s">
        <v>23</v>
      </c>
      <c r="F149">
        <v>0.11</v>
      </c>
      <c r="J149" s="52" t="s">
        <v>55</v>
      </c>
      <c r="L149" s="77">
        <v>12.23852189761107</v>
      </c>
      <c r="M149" s="77">
        <v>13.440093181388907</v>
      </c>
      <c r="N149" s="77">
        <v>12.839307539499988</v>
      </c>
      <c r="O149" s="77">
        <v>0.8496392028383335</v>
      </c>
    </row>
    <row r="150" spans="1:22" x14ac:dyDescent="0.3">
      <c r="E150" t="s">
        <v>24</v>
      </c>
      <c r="F150">
        <v>2</v>
      </c>
      <c r="J150" s="52" t="s">
        <v>33</v>
      </c>
      <c r="L150" s="77">
        <v>0.3707979144229972</v>
      </c>
      <c r="M150" s="77">
        <v>0.30938086125531644</v>
      </c>
      <c r="N150" s="77">
        <v>0.34008938783915682</v>
      </c>
      <c r="O150" s="77">
        <v>4.3428414775361794E-2</v>
      </c>
    </row>
    <row r="151" spans="1:22" x14ac:dyDescent="0.3">
      <c r="E151" t="s">
        <v>25</v>
      </c>
      <c r="F151">
        <v>10</v>
      </c>
      <c r="J151" s="52" t="s">
        <v>34</v>
      </c>
      <c r="L151" s="77">
        <v>0</v>
      </c>
      <c r="M151" s="77">
        <v>0</v>
      </c>
      <c r="N151" s="77">
        <v>0</v>
      </c>
      <c r="O151" s="77">
        <v>0</v>
      </c>
    </row>
    <row r="152" spans="1:22" x14ac:dyDescent="0.3">
      <c r="J152" s="52" t="s">
        <v>13</v>
      </c>
      <c r="L152" t="s">
        <v>41</v>
      </c>
      <c r="M152" t="s">
        <v>41</v>
      </c>
    </row>
    <row r="157" spans="1:22" s="52" customFormat="1" x14ac:dyDescent="0.3">
      <c r="A157" s="52" t="s">
        <v>0</v>
      </c>
      <c r="B157" s="50" t="s">
        <v>1</v>
      </c>
      <c r="C157" s="50" t="s">
        <v>2</v>
      </c>
      <c r="D157" s="56" t="s">
        <v>3</v>
      </c>
      <c r="E157" s="56" t="s">
        <v>5</v>
      </c>
      <c r="F157" s="52" t="s">
        <v>6</v>
      </c>
      <c r="G157" s="52" t="s">
        <v>188</v>
      </c>
      <c r="H157" s="52" t="s">
        <v>189</v>
      </c>
      <c r="J157" s="52" t="s">
        <v>26</v>
      </c>
      <c r="K157" s="52" t="s">
        <v>18</v>
      </c>
      <c r="L157" s="50" t="s">
        <v>19</v>
      </c>
      <c r="M157" s="50" t="s">
        <v>20</v>
      </c>
      <c r="N157" s="50" t="s">
        <v>21</v>
      </c>
      <c r="O157" s="50" t="s">
        <v>22</v>
      </c>
    </row>
    <row r="158" spans="1:22" ht="14.5" x14ac:dyDescent="0.35">
      <c r="A158" t="s">
        <v>63</v>
      </c>
      <c r="B158" s="49" t="s">
        <v>7</v>
      </c>
      <c r="C158" s="49" t="s">
        <v>64</v>
      </c>
      <c r="D158">
        <v>3058.1734099999999</v>
      </c>
      <c r="E158">
        <v>57883.681499999999</v>
      </c>
      <c r="F158">
        <v>5.2830000000000002E-2</v>
      </c>
      <c r="J158" s="52" t="s">
        <v>27</v>
      </c>
      <c r="K158">
        <v>7.4999999999999997E-2</v>
      </c>
      <c r="L158">
        <v>1974.6153999999999</v>
      </c>
      <c r="M158">
        <v>1920.3622799999998</v>
      </c>
      <c r="N158">
        <v>1947.48884</v>
      </c>
      <c r="O158">
        <v>38.362749052527562</v>
      </c>
      <c r="Q158" s="78" t="s">
        <v>63</v>
      </c>
      <c r="R158" s="78" t="s">
        <v>7</v>
      </c>
      <c r="S158" s="78"/>
      <c r="T158" s="78"/>
      <c r="U158" s="78"/>
      <c r="V158" s="78"/>
    </row>
    <row r="159" spans="1:22" ht="14.5" x14ac:dyDescent="0.35">
      <c r="A159" t="s">
        <v>65</v>
      </c>
      <c r="B159" s="49" t="s">
        <v>7</v>
      </c>
      <c r="C159" s="49" t="s">
        <v>64</v>
      </c>
      <c r="D159">
        <v>1839.7333699999999</v>
      </c>
      <c r="E159">
        <v>60223.447500000002</v>
      </c>
      <c r="F159">
        <v>3.0550000000000001E-2</v>
      </c>
      <c r="J159" s="52" t="s">
        <v>28</v>
      </c>
      <c r="K159">
        <v>0.25</v>
      </c>
      <c r="L159">
        <v>2.9299599999999999</v>
      </c>
      <c r="M159">
        <v>2.6448399999999999</v>
      </c>
      <c r="N159">
        <v>2.7873999999999999</v>
      </c>
      <c r="O159">
        <v>0.20161028545190846</v>
      </c>
      <c r="Q159" s="78" t="s">
        <v>65</v>
      </c>
      <c r="R159" s="78" t="s">
        <v>7</v>
      </c>
      <c r="S159" s="78"/>
      <c r="T159" s="78"/>
      <c r="U159" s="78"/>
      <c r="V159" s="78"/>
    </row>
    <row r="160" spans="1:22" ht="14.5" x14ac:dyDescent="0.35">
      <c r="A160" t="s">
        <v>66</v>
      </c>
      <c r="B160" s="49" t="s">
        <v>7</v>
      </c>
      <c r="C160" s="49" t="s">
        <v>64</v>
      </c>
      <c r="D160">
        <v>1804.90553</v>
      </c>
      <c r="E160">
        <v>62309.947500000002</v>
      </c>
      <c r="F160">
        <v>2.8969999999999999E-2</v>
      </c>
      <c r="J160" s="52" t="s">
        <v>29</v>
      </c>
      <c r="K160">
        <v>7.4999999999999997E-2</v>
      </c>
      <c r="L160">
        <v>1986.8124399999999</v>
      </c>
      <c r="M160">
        <v>2187.2019999999998</v>
      </c>
      <c r="N160">
        <v>2087.00722</v>
      </c>
      <c r="O160">
        <v>141.69681675498842</v>
      </c>
      <c r="Q160" s="78" t="s">
        <v>66</v>
      </c>
      <c r="R160" s="78" t="s">
        <v>7</v>
      </c>
      <c r="S160" s="78"/>
      <c r="T160" s="78"/>
      <c r="U160" s="78"/>
      <c r="V160" s="78"/>
    </row>
    <row r="161" spans="1:22" ht="14.5" x14ac:dyDescent="0.35">
      <c r="A161" t="s">
        <v>67</v>
      </c>
      <c r="B161" s="49" t="s">
        <v>7</v>
      </c>
      <c r="C161" s="49" t="s">
        <v>64</v>
      </c>
      <c r="D161">
        <v>2294.0443599999999</v>
      </c>
      <c r="E161">
        <v>55517.792500000003</v>
      </c>
      <c r="F161">
        <v>4.1320000000000003E-2</v>
      </c>
      <c r="J161" s="52" t="s">
        <v>30</v>
      </c>
      <c r="Q161" s="78" t="s">
        <v>67</v>
      </c>
      <c r="R161" s="78" t="s">
        <v>7</v>
      </c>
      <c r="S161" s="78"/>
      <c r="T161" s="78"/>
      <c r="U161" s="78"/>
      <c r="V161" s="78"/>
    </row>
    <row r="162" spans="1:22" ht="14.5" x14ac:dyDescent="0.35">
      <c r="A162" t="s">
        <v>68</v>
      </c>
      <c r="B162" s="49" t="s">
        <v>7</v>
      </c>
      <c r="C162" s="49" t="s">
        <v>64</v>
      </c>
      <c r="D162">
        <v>42843.777970000003</v>
      </c>
      <c r="E162">
        <v>55340.997499999998</v>
      </c>
      <c r="F162">
        <v>0.77417999999999998</v>
      </c>
      <c r="J162" s="52" t="s">
        <v>31</v>
      </c>
      <c r="L162">
        <v>5.2830000000000002E-2</v>
      </c>
      <c r="M162">
        <v>3.0550000000000001E-2</v>
      </c>
      <c r="N162">
        <v>4.1690000000000005E-2</v>
      </c>
      <c r="O162">
        <v>1.5754339084836259E-2</v>
      </c>
      <c r="Q162" s="78" t="s">
        <v>68</v>
      </c>
      <c r="R162" s="78" t="s">
        <v>7</v>
      </c>
      <c r="S162" s="78"/>
      <c r="T162" s="78"/>
      <c r="U162" s="78"/>
      <c r="V162" s="78"/>
    </row>
    <row r="163" spans="1:22" ht="14.5" x14ac:dyDescent="0.35">
      <c r="A163" t="s">
        <v>69</v>
      </c>
      <c r="B163" s="49" t="s">
        <v>7</v>
      </c>
      <c r="C163" s="49" t="s">
        <v>64</v>
      </c>
      <c r="D163">
        <v>39928.119140000003</v>
      </c>
      <c r="E163">
        <v>56804.612000000001</v>
      </c>
      <c r="F163">
        <v>0.70289999999999997</v>
      </c>
      <c r="J163" s="52" t="s">
        <v>32</v>
      </c>
      <c r="L163">
        <v>1.0173472222222222E-4</v>
      </c>
      <c r="M163">
        <v>9.1834722222222215E-5</v>
      </c>
      <c r="N163">
        <v>9.6784722222222226E-5</v>
      </c>
      <c r="O163">
        <v>7.0003571337468274E-6</v>
      </c>
      <c r="Q163" s="78" t="s">
        <v>69</v>
      </c>
      <c r="R163" s="78" t="s">
        <v>7</v>
      </c>
      <c r="S163" s="78"/>
      <c r="T163" s="78"/>
      <c r="U163" s="78"/>
      <c r="V163" s="78"/>
    </row>
    <row r="164" spans="1:22" ht="14.5" x14ac:dyDescent="0.35">
      <c r="A164" t="s">
        <v>70</v>
      </c>
      <c r="B164" s="49" t="s">
        <v>7</v>
      </c>
      <c r="C164" s="49" t="s">
        <v>64</v>
      </c>
      <c r="D164">
        <v>34703214.691739999</v>
      </c>
      <c r="E164">
        <v>69861.254499999995</v>
      </c>
      <c r="F164">
        <v>496.7448</v>
      </c>
      <c r="J164" s="52" t="s">
        <v>55</v>
      </c>
      <c r="L164">
        <v>1986.8124399999999</v>
      </c>
      <c r="M164">
        <v>2187.2019999999998</v>
      </c>
      <c r="N164">
        <v>2087.00722</v>
      </c>
      <c r="O164">
        <v>141.69681675498842</v>
      </c>
      <c r="Q164" s="78" t="s">
        <v>70</v>
      </c>
      <c r="R164" s="78" t="s">
        <v>7</v>
      </c>
      <c r="S164" s="78"/>
      <c r="T164" s="78"/>
      <c r="U164" s="78"/>
      <c r="V164" s="78"/>
    </row>
    <row r="165" spans="1:22" ht="14.5" x14ac:dyDescent="0.35">
      <c r="A165" t="s">
        <v>71</v>
      </c>
      <c r="B165" s="49" t="s">
        <v>7</v>
      </c>
      <c r="C165" s="49" t="s">
        <v>64</v>
      </c>
      <c r="D165">
        <v>35665027.832000002</v>
      </c>
      <c r="E165">
        <v>65219.964</v>
      </c>
      <c r="F165">
        <v>546.84218999999996</v>
      </c>
      <c r="J165" s="52" t="s">
        <v>33</v>
      </c>
      <c r="L165">
        <v>0.99877668036613132</v>
      </c>
      <c r="M165">
        <v>0.88203028953582396</v>
      </c>
      <c r="N165">
        <v>0.9404034849509777</v>
      </c>
      <c r="O165">
        <v>8.2552164635165307E-2</v>
      </c>
      <c r="Q165" s="78" t="s">
        <v>71</v>
      </c>
      <c r="R165" s="78" t="s">
        <v>7</v>
      </c>
      <c r="S165" s="78"/>
      <c r="T165" s="78"/>
      <c r="U165" s="78"/>
      <c r="V165" s="78"/>
    </row>
    <row r="166" spans="1:22" ht="14.5" x14ac:dyDescent="0.35">
      <c r="A166" t="s">
        <v>72</v>
      </c>
      <c r="B166" s="49" t="s">
        <v>7</v>
      </c>
      <c r="C166" s="49" t="s">
        <v>64</v>
      </c>
      <c r="D166">
        <v>26739407.2665</v>
      </c>
      <c r="E166">
        <v>54161.735970000002</v>
      </c>
      <c r="F166">
        <v>493.69553999999999</v>
      </c>
      <c r="J166" s="52" t="s">
        <v>34</v>
      </c>
      <c r="L166">
        <v>0.46549995988101983</v>
      </c>
      <c r="M166">
        <v>0.38170279247692307</v>
      </c>
      <c r="N166">
        <v>0.42360137617897142</v>
      </c>
      <c r="O166">
        <v>5.9253545315661141E-2</v>
      </c>
      <c r="Q166" s="78" t="s">
        <v>72</v>
      </c>
      <c r="R166" s="78" t="s">
        <v>7</v>
      </c>
      <c r="S166" s="78"/>
      <c r="T166" s="78"/>
      <c r="U166" s="78"/>
      <c r="V166" s="78"/>
    </row>
    <row r="167" spans="1:22" ht="14.5" x14ac:dyDescent="0.35">
      <c r="A167" t="s">
        <v>73</v>
      </c>
      <c r="B167" s="49" t="s">
        <v>7</v>
      </c>
      <c r="C167" s="49" t="s">
        <v>64</v>
      </c>
      <c r="D167">
        <v>25487138.006370001</v>
      </c>
      <c r="E167">
        <v>53083.576999999997</v>
      </c>
      <c r="F167">
        <v>480.13225999999997</v>
      </c>
      <c r="J167" s="52"/>
      <c r="Q167" s="78" t="s">
        <v>73</v>
      </c>
      <c r="R167" s="78" t="s">
        <v>7</v>
      </c>
      <c r="S167" s="78"/>
      <c r="T167" s="78"/>
      <c r="U167" s="78"/>
      <c r="V167" s="78"/>
    </row>
    <row r="168" spans="1:22" ht="14.5" x14ac:dyDescent="0.35">
      <c r="A168" t="s">
        <v>74</v>
      </c>
      <c r="B168" s="49" t="s">
        <v>7</v>
      </c>
      <c r="C168" s="49" t="s">
        <v>64</v>
      </c>
      <c r="D168">
        <v>1148595.54425</v>
      </c>
      <c r="E168">
        <v>56492.614500000003</v>
      </c>
      <c r="F168">
        <v>20.331779999999998</v>
      </c>
      <c r="J168" s="52" t="s">
        <v>35</v>
      </c>
      <c r="Q168" s="78" t="s">
        <v>74</v>
      </c>
      <c r="R168" s="78" t="s">
        <v>7</v>
      </c>
      <c r="S168" s="78"/>
      <c r="T168" s="78"/>
      <c r="U168" s="78"/>
      <c r="V168" s="78"/>
    </row>
    <row r="169" spans="1:22" ht="14.5" x14ac:dyDescent="0.35">
      <c r="A169" t="s">
        <v>75</v>
      </c>
      <c r="B169" s="49" t="s">
        <v>7</v>
      </c>
      <c r="C169" s="49" t="s">
        <v>64</v>
      </c>
      <c r="D169">
        <v>1024177.3585</v>
      </c>
      <c r="E169">
        <v>59940.767999999996</v>
      </c>
      <c r="F169">
        <v>17.086490000000001</v>
      </c>
      <c r="J169" s="52" t="s">
        <v>27</v>
      </c>
      <c r="K169">
        <v>0.25</v>
      </c>
      <c r="L169">
        <v>1825.0639000000001</v>
      </c>
      <c r="M169">
        <v>2046.31798</v>
      </c>
      <c r="N169">
        <v>1935.69094</v>
      </c>
      <c r="O169">
        <v>156.45026033319084</v>
      </c>
      <c r="Q169" s="78" t="s">
        <v>75</v>
      </c>
      <c r="R169" s="78" t="s">
        <v>7</v>
      </c>
      <c r="S169" s="78"/>
      <c r="T169" s="78"/>
      <c r="U169" s="78"/>
      <c r="V169" s="78"/>
    </row>
    <row r="170" spans="1:22" ht="14.5" x14ac:dyDescent="0.35">
      <c r="A170" t="s">
        <v>76</v>
      </c>
      <c r="B170" s="49" t="s">
        <v>7</v>
      </c>
      <c r="C170" s="49" t="s">
        <v>64</v>
      </c>
      <c r="D170">
        <v>31224416.024489999</v>
      </c>
      <c r="E170">
        <v>60973.500500000002</v>
      </c>
      <c r="F170">
        <v>512.09813999999994</v>
      </c>
      <c r="J170" s="52" t="s">
        <v>28</v>
      </c>
      <c r="K170">
        <v>7.4999999999999997E-2</v>
      </c>
      <c r="L170">
        <v>81.186539999999994</v>
      </c>
      <c r="M170">
        <v>68.205380000000005</v>
      </c>
      <c r="N170">
        <v>74.695959999999999</v>
      </c>
      <c r="O170">
        <v>9.179066263667556</v>
      </c>
      <c r="Q170" s="78" t="s">
        <v>76</v>
      </c>
      <c r="R170" s="78" t="s">
        <v>7</v>
      </c>
      <c r="S170" s="78"/>
      <c r="T170" s="78"/>
      <c r="U170" s="78"/>
      <c r="V170" s="78"/>
    </row>
    <row r="171" spans="1:22" ht="14.5" x14ac:dyDescent="0.35">
      <c r="A171" t="s">
        <v>77</v>
      </c>
      <c r="B171" s="49" t="s">
        <v>7</v>
      </c>
      <c r="C171" s="49" t="s">
        <v>64</v>
      </c>
      <c r="D171">
        <v>31806620.263009999</v>
      </c>
      <c r="E171">
        <v>62915.328500000003</v>
      </c>
      <c r="F171">
        <v>505.54644000000002</v>
      </c>
      <c r="J171" s="52" t="s">
        <v>29</v>
      </c>
      <c r="K171">
        <v>0.25</v>
      </c>
      <c r="L171">
        <v>2048.25198</v>
      </c>
      <c r="M171">
        <v>2022.0451800000001</v>
      </c>
      <c r="N171">
        <v>2035.14858</v>
      </c>
      <c r="O171">
        <v>18.531005993199564</v>
      </c>
      <c r="Q171" s="78" t="s">
        <v>77</v>
      </c>
      <c r="R171" s="78" t="s">
        <v>7</v>
      </c>
      <c r="S171" s="78"/>
      <c r="T171" s="78"/>
      <c r="U171" s="78"/>
      <c r="V171" s="78"/>
    </row>
    <row r="172" spans="1:22" ht="14.5" x14ac:dyDescent="0.35">
      <c r="A172" t="s">
        <v>78</v>
      </c>
      <c r="B172" s="49" t="s">
        <v>7</v>
      </c>
      <c r="C172" s="49" t="s">
        <v>64</v>
      </c>
      <c r="D172">
        <v>29346528.495979998</v>
      </c>
      <c r="E172">
        <v>64313.952499999999</v>
      </c>
      <c r="F172">
        <v>456.30112000000003</v>
      </c>
      <c r="J172" s="52" t="s">
        <v>30</v>
      </c>
      <c r="Q172" s="78" t="s">
        <v>78</v>
      </c>
      <c r="R172" s="78" t="s">
        <v>7</v>
      </c>
      <c r="S172" s="78"/>
      <c r="T172" s="78"/>
      <c r="U172" s="78"/>
      <c r="V172" s="78"/>
    </row>
    <row r="173" spans="1:22" ht="14.5" x14ac:dyDescent="0.35">
      <c r="A173" t="s">
        <v>79</v>
      </c>
      <c r="B173" s="49" t="s">
        <v>7</v>
      </c>
      <c r="C173" s="49" t="s">
        <v>64</v>
      </c>
      <c r="D173">
        <v>29397003.963350002</v>
      </c>
      <c r="E173">
        <v>57459.271000000001</v>
      </c>
      <c r="F173">
        <v>511.61464000000001</v>
      </c>
      <c r="J173" s="52" t="s">
        <v>31</v>
      </c>
      <c r="L173">
        <v>2.8969999999999999E-2</v>
      </c>
      <c r="M173">
        <v>4.1320000000000003E-2</v>
      </c>
      <c r="N173">
        <v>3.5145000000000003E-2</v>
      </c>
      <c r="O173">
        <v>8.732768747653866E-3</v>
      </c>
      <c r="Q173" s="78" t="s">
        <v>79</v>
      </c>
      <c r="R173" s="78" t="s">
        <v>7</v>
      </c>
      <c r="S173" s="78"/>
      <c r="T173" s="78"/>
      <c r="U173" s="78"/>
      <c r="V173" s="78"/>
    </row>
    <row r="174" spans="1:22" x14ac:dyDescent="0.3">
      <c r="E174" t="s">
        <v>4</v>
      </c>
      <c r="F174">
        <v>4</v>
      </c>
      <c r="J174" s="52" t="s">
        <v>32</v>
      </c>
      <c r="L174">
        <v>8.4569312499999994E-4</v>
      </c>
      <c r="M174">
        <v>7.1047270833333336E-4</v>
      </c>
      <c r="N174">
        <v>7.7808291666666665E-4</v>
      </c>
      <c r="O174">
        <v>9.5615273579870386E-5</v>
      </c>
    </row>
    <row r="175" spans="1:22" x14ac:dyDescent="0.3">
      <c r="E175" t="s">
        <v>23</v>
      </c>
      <c r="F175">
        <v>0.11</v>
      </c>
      <c r="J175" s="52" t="s">
        <v>55</v>
      </c>
      <c r="L175">
        <v>2048.25198</v>
      </c>
      <c r="M175">
        <v>2022.0451800000001</v>
      </c>
      <c r="N175">
        <v>2035.14858</v>
      </c>
      <c r="O175">
        <v>18.531005993199564</v>
      </c>
    </row>
    <row r="176" spans="1:22" x14ac:dyDescent="0.3">
      <c r="E176" t="s">
        <v>24</v>
      </c>
      <c r="F176">
        <v>2</v>
      </c>
      <c r="J176" s="52" t="s">
        <v>33</v>
      </c>
      <c r="L176">
        <v>0.90292594859349296</v>
      </c>
      <c r="M176">
        <v>1.0221233503793421</v>
      </c>
      <c r="N176">
        <v>0.96252464948641747</v>
      </c>
      <c r="O176">
        <v>8.428529110259142E-2</v>
      </c>
    </row>
    <row r="177" spans="1:22" x14ac:dyDescent="0.3">
      <c r="E177" t="s">
        <v>25</v>
      </c>
      <c r="F177">
        <v>10</v>
      </c>
      <c r="J177" s="52" t="s">
        <v>34</v>
      </c>
      <c r="L177">
        <v>3.7535026907098694</v>
      </c>
      <c r="M177">
        <v>3.194212902320166</v>
      </c>
      <c r="N177">
        <v>3.4738577965150177</v>
      </c>
      <c r="O177">
        <v>0.39547760201874849</v>
      </c>
    </row>
    <row r="178" spans="1:22" x14ac:dyDescent="0.3">
      <c r="J178" s="52" t="s">
        <v>13</v>
      </c>
      <c r="L178">
        <v>8.0633791927055203</v>
      </c>
      <c r="M178">
        <v>8.3683246894592251</v>
      </c>
      <c r="N178">
        <v>8.2158519410823736</v>
      </c>
      <c r="O178">
        <v>0.21562902864684502</v>
      </c>
    </row>
    <row r="183" spans="1:22" s="52" customFormat="1" x14ac:dyDescent="0.3">
      <c r="A183" s="52" t="s">
        <v>0</v>
      </c>
      <c r="B183" s="50" t="s">
        <v>1</v>
      </c>
      <c r="C183" s="50" t="s">
        <v>2</v>
      </c>
      <c r="D183" s="56" t="s">
        <v>3</v>
      </c>
      <c r="E183" s="56" t="s">
        <v>5</v>
      </c>
      <c r="F183" s="52" t="s">
        <v>6</v>
      </c>
      <c r="G183" s="52" t="s">
        <v>188</v>
      </c>
      <c r="H183" s="52" t="s">
        <v>189</v>
      </c>
      <c r="J183" s="52" t="s">
        <v>26</v>
      </c>
      <c r="K183" s="52" t="s">
        <v>18</v>
      </c>
      <c r="L183" s="50" t="s">
        <v>19</v>
      </c>
      <c r="M183" s="50" t="s">
        <v>20</v>
      </c>
      <c r="N183" s="50" t="s">
        <v>21</v>
      </c>
      <c r="O183" s="50" t="s">
        <v>22</v>
      </c>
    </row>
    <row r="184" spans="1:22" ht="14.5" x14ac:dyDescent="0.35">
      <c r="A184" t="s">
        <v>63</v>
      </c>
      <c r="B184" s="49" t="s">
        <v>8</v>
      </c>
      <c r="C184" s="49" t="s">
        <v>80</v>
      </c>
      <c r="D184">
        <v>1981.1984</v>
      </c>
      <c r="E184">
        <v>57883.681499999999</v>
      </c>
      <c r="F184">
        <v>3.4229999999999997E-2</v>
      </c>
      <c r="J184" s="52" t="s">
        <v>27</v>
      </c>
      <c r="K184">
        <v>7.4999999999999997E-2</v>
      </c>
      <c r="L184">
        <v>16092.707180000001</v>
      </c>
      <c r="M184">
        <v>17744.825499999999</v>
      </c>
      <c r="N184">
        <v>16918.766340000002</v>
      </c>
      <c r="O184">
        <v>1168.224067394525</v>
      </c>
      <c r="Q184" s="78" t="s">
        <v>63</v>
      </c>
      <c r="R184" s="78" t="s">
        <v>8</v>
      </c>
      <c r="S184" s="78"/>
      <c r="T184" s="78"/>
      <c r="U184" s="78"/>
      <c r="V184" s="78"/>
    </row>
    <row r="185" spans="1:22" ht="14.5" x14ac:dyDescent="0.35">
      <c r="A185" t="s">
        <v>65</v>
      </c>
      <c r="B185" s="49" t="s">
        <v>8</v>
      </c>
      <c r="C185" s="49" t="s">
        <v>80</v>
      </c>
      <c r="D185">
        <v>670.94485999999995</v>
      </c>
      <c r="E185">
        <v>60223.447500000002</v>
      </c>
      <c r="F185">
        <v>1.1140000000000001E-2</v>
      </c>
      <c r="J185" s="52" t="s">
        <v>28</v>
      </c>
      <c r="K185">
        <v>0.25</v>
      </c>
      <c r="L185">
        <v>4.2510199999999996</v>
      </c>
      <c r="M185">
        <v>4.3142199999999997</v>
      </c>
      <c r="N185">
        <v>4.2826199999999996</v>
      </c>
      <c r="O185">
        <v>4.4689148570989906E-2</v>
      </c>
      <c r="Q185" s="78" t="s">
        <v>65</v>
      </c>
      <c r="R185" s="78" t="s">
        <v>8</v>
      </c>
      <c r="S185" s="78"/>
      <c r="T185" s="78"/>
      <c r="U185" s="78"/>
      <c r="V185" s="78"/>
    </row>
    <row r="186" spans="1:22" ht="14.5" x14ac:dyDescent="0.35">
      <c r="A186" t="s">
        <v>66</v>
      </c>
      <c r="B186" s="49" t="s">
        <v>8</v>
      </c>
      <c r="C186" s="49" t="s">
        <v>80</v>
      </c>
      <c r="D186">
        <v>1455.6590699999999</v>
      </c>
      <c r="E186">
        <v>62309.947500000002</v>
      </c>
      <c r="F186">
        <v>2.3359999999999999E-2</v>
      </c>
      <c r="J186" s="52" t="s">
        <v>29</v>
      </c>
      <c r="K186">
        <v>7.4999999999999997E-2</v>
      </c>
      <c r="L186">
        <v>16366.87954</v>
      </c>
      <c r="M186">
        <v>16092.788420000001</v>
      </c>
      <c r="N186">
        <v>16229.833979999999</v>
      </c>
      <c r="O186">
        <v>193.81168961501513</v>
      </c>
      <c r="Q186" s="78" t="s">
        <v>66</v>
      </c>
      <c r="R186" s="78" t="s">
        <v>8</v>
      </c>
      <c r="S186" s="78"/>
      <c r="T186" s="78"/>
      <c r="U186" s="78"/>
      <c r="V186" s="78"/>
    </row>
    <row r="187" spans="1:22" ht="14.5" x14ac:dyDescent="0.35">
      <c r="A187" t="s">
        <v>67</v>
      </c>
      <c r="B187" s="49" t="s">
        <v>8</v>
      </c>
      <c r="C187" s="49" t="s">
        <v>80</v>
      </c>
      <c r="D187">
        <v>2687.7260000000001</v>
      </c>
      <c r="E187">
        <v>55517.792500000003</v>
      </c>
      <c r="F187">
        <v>4.8410000000000002E-2</v>
      </c>
      <c r="J187" s="52" t="s">
        <v>30</v>
      </c>
      <c r="Q187" s="78" t="s">
        <v>67</v>
      </c>
      <c r="R187" s="78" t="s">
        <v>8</v>
      </c>
      <c r="S187" s="78"/>
      <c r="T187" s="78"/>
      <c r="U187" s="78"/>
      <c r="V187" s="78"/>
    </row>
    <row r="188" spans="1:22" ht="14.5" x14ac:dyDescent="0.35">
      <c r="A188" t="s">
        <v>81</v>
      </c>
      <c r="B188" s="49" t="s">
        <v>8</v>
      </c>
      <c r="C188" s="49" t="s">
        <v>80</v>
      </c>
      <c r="D188">
        <v>65529.140500000001</v>
      </c>
      <c r="E188">
        <v>60371.241999999998</v>
      </c>
      <c r="F188">
        <v>1.08544</v>
      </c>
      <c r="J188" s="52" t="s">
        <v>31</v>
      </c>
      <c r="L188">
        <v>3.4229999999999997E-2</v>
      </c>
      <c r="M188">
        <v>1.1140000000000001E-2</v>
      </c>
      <c r="N188">
        <v>2.2684999999999997E-2</v>
      </c>
      <c r="O188">
        <v>1.6327095577597386E-2</v>
      </c>
      <c r="Q188" s="78" t="s">
        <v>81</v>
      </c>
      <c r="R188" s="78" t="s">
        <v>8</v>
      </c>
      <c r="S188" s="78"/>
      <c r="T188" s="78"/>
      <c r="U188" s="78"/>
      <c r="V188" s="78"/>
    </row>
    <row r="189" spans="1:22" ht="14.5" x14ac:dyDescent="0.35">
      <c r="A189" t="s">
        <v>82</v>
      </c>
      <c r="B189" s="49" t="s">
        <v>8</v>
      </c>
      <c r="C189" s="49" t="s">
        <v>80</v>
      </c>
      <c r="D189">
        <v>66658.740999999995</v>
      </c>
      <c r="E189">
        <v>60530.847500000003</v>
      </c>
      <c r="F189">
        <v>1.10124</v>
      </c>
      <c r="J189" s="52" t="s">
        <v>32</v>
      </c>
      <c r="L189">
        <v>1.4760486111111109E-4</v>
      </c>
      <c r="M189">
        <v>1.4979930555555554E-4</v>
      </c>
      <c r="N189">
        <v>1.487020833333333E-4</v>
      </c>
      <c r="O189">
        <v>1.5517065476038164E-6</v>
      </c>
      <c r="Q189" s="78" t="s">
        <v>82</v>
      </c>
      <c r="R189" s="78" t="s">
        <v>8</v>
      </c>
      <c r="S189" s="78"/>
      <c r="T189" s="78"/>
      <c r="U189" s="78"/>
      <c r="V189" s="78"/>
    </row>
    <row r="190" spans="1:22" ht="14.5" x14ac:dyDescent="0.35">
      <c r="A190" t="s">
        <v>83</v>
      </c>
      <c r="B190" s="49" t="s">
        <v>8</v>
      </c>
      <c r="C190" s="49" t="s">
        <v>80</v>
      </c>
      <c r="D190">
        <v>225744674.38429999</v>
      </c>
      <c r="E190">
        <v>55170.790999999997</v>
      </c>
      <c r="F190">
        <v>4091.7425699999999</v>
      </c>
      <c r="J190" s="52" t="s">
        <v>55</v>
      </c>
      <c r="L190">
        <v>16366.87954</v>
      </c>
      <c r="M190">
        <v>16092.788420000001</v>
      </c>
      <c r="N190">
        <v>16229.833979999999</v>
      </c>
      <c r="O190">
        <v>193.81168961501513</v>
      </c>
      <c r="Q190" s="78" t="s">
        <v>83</v>
      </c>
      <c r="R190" s="78" t="s">
        <v>8</v>
      </c>
      <c r="S190" s="78"/>
      <c r="T190" s="78"/>
      <c r="U190" s="78"/>
      <c r="V190" s="78"/>
    </row>
    <row r="191" spans="1:22" ht="14.5" x14ac:dyDescent="0.35">
      <c r="A191" t="s">
        <v>84</v>
      </c>
      <c r="B191" s="49" t="s">
        <v>8</v>
      </c>
      <c r="C191" s="49" t="s">
        <v>80</v>
      </c>
      <c r="D191">
        <v>218867338.61263001</v>
      </c>
      <c r="E191">
        <v>54401.039499999999</v>
      </c>
      <c r="F191">
        <v>4023.2197900000001</v>
      </c>
      <c r="J191" s="52" t="s">
        <v>33</v>
      </c>
      <c r="L191">
        <v>0.98411411945093774</v>
      </c>
      <c r="M191">
        <v>1.1035505948280733</v>
      </c>
      <c r="N191">
        <v>1.0438323571395056</v>
      </c>
      <c r="O191">
        <v>8.4454341660192653E-2</v>
      </c>
      <c r="Q191" s="78" t="s">
        <v>84</v>
      </c>
      <c r="R191" s="78" t="s">
        <v>8</v>
      </c>
      <c r="S191" s="78"/>
      <c r="T191" s="78"/>
      <c r="U191" s="78"/>
      <c r="V191" s="78"/>
    </row>
    <row r="192" spans="1:22" ht="14.5" x14ac:dyDescent="0.35">
      <c r="A192" t="s">
        <v>85</v>
      </c>
      <c r="B192" s="49" t="s">
        <v>8</v>
      </c>
      <c r="C192" s="49" t="s">
        <v>80</v>
      </c>
      <c r="D192">
        <v>173847788.27371001</v>
      </c>
      <c r="E192">
        <v>43211.326999999997</v>
      </c>
      <c r="F192">
        <v>4023.1994800000002</v>
      </c>
      <c r="J192" s="52" t="s">
        <v>34</v>
      </c>
      <c r="L192">
        <v>8.1986451385428441E-2</v>
      </c>
      <c r="M192">
        <v>8.4622492581485673E-2</v>
      </c>
      <c r="N192">
        <v>8.3304471983457057E-2</v>
      </c>
      <c r="O192">
        <v>1.8639626052191658E-3</v>
      </c>
      <c r="Q192" s="78" t="s">
        <v>85</v>
      </c>
      <c r="R192" s="78" t="s">
        <v>8</v>
      </c>
      <c r="S192" s="78"/>
      <c r="T192" s="78"/>
      <c r="U192" s="78"/>
      <c r="V192" s="78"/>
    </row>
    <row r="193" spans="1:22" ht="14.5" x14ac:dyDescent="0.35">
      <c r="A193" t="s">
        <v>86</v>
      </c>
      <c r="B193" s="49" t="s">
        <v>8</v>
      </c>
      <c r="C193" s="49" t="s">
        <v>80</v>
      </c>
      <c r="D193">
        <v>190163142.07052001</v>
      </c>
      <c r="E193">
        <v>42865.942999999999</v>
      </c>
      <c r="F193">
        <v>4436.2290599999997</v>
      </c>
      <c r="J193" s="52"/>
      <c r="Q193" s="78" t="s">
        <v>86</v>
      </c>
      <c r="R193" s="78" t="s">
        <v>8</v>
      </c>
      <c r="S193" s="78"/>
      <c r="T193" s="78"/>
      <c r="U193" s="78"/>
      <c r="V193" s="78"/>
    </row>
    <row r="194" spans="1:22" ht="14.5" x14ac:dyDescent="0.35">
      <c r="A194" t="s">
        <v>87</v>
      </c>
      <c r="B194" s="49" t="s">
        <v>8</v>
      </c>
      <c r="C194" s="49" t="s">
        <v>80</v>
      </c>
      <c r="D194">
        <v>18680191.313999999</v>
      </c>
      <c r="E194">
        <v>57705.781510000001</v>
      </c>
      <c r="F194">
        <v>323.71438000000001</v>
      </c>
      <c r="J194" s="52" t="s">
        <v>35</v>
      </c>
      <c r="Q194" s="78" t="s">
        <v>87</v>
      </c>
      <c r="R194" s="78" t="s">
        <v>8</v>
      </c>
      <c r="S194" s="78"/>
      <c r="T194" s="78"/>
      <c r="U194" s="78"/>
      <c r="V194" s="78"/>
    </row>
    <row r="195" spans="1:22" ht="14.5" x14ac:dyDescent="0.35">
      <c r="A195" t="s">
        <v>88</v>
      </c>
      <c r="B195" s="49" t="s">
        <v>8</v>
      </c>
      <c r="C195" s="49" t="s">
        <v>80</v>
      </c>
      <c r="D195">
        <v>19057948.823740002</v>
      </c>
      <c r="E195">
        <v>59898.392419999996</v>
      </c>
      <c r="F195">
        <v>318.17129</v>
      </c>
      <c r="J195" s="52" t="s">
        <v>27</v>
      </c>
      <c r="K195">
        <v>0.25</v>
      </c>
      <c r="L195">
        <v>14518.676500000001</v>
      </c>
      <c r="M195">
        <v>14083.830540000001</v>
      </c>
      <c r="N195">
        <v>14301.253520000002</v>
      </c>
      <c r="O195">
        <v>307.48252708757457</v>
      </c>
      <c r="Q195" s="78" t="s">
        <v>88</v>
      </c>
      <c r="R195" s="78" t="s">
        <v>8</v>
      </c>
      <c r="S195" s="78"/>
      <c r="T195" s="78"/>
      <c r="U195" s="78"/>
      <c r="V195" s="78"/>
    </row>
    <row r="196" spans="1:22" ht="14.5" x14ac:dyDescent="0.35">
      <c r="A196" t="s">
        <v>89</v>
      </c>
      <c r="B196" s="49" t="s">
        <v>8</v>
      </c>
      <c r="C196" s="49" t="s">
        <v>80</v>
      </c>
      <c r="D196">
        <v>188465527.07934001</v>
      </c>
      <c r="E196">
        <v>49359.917000000001</v>
      </c>
      <c r="F196">
        <v>3818.1897100000001</v>
      </c>
      <c r="J196" s="52" t="s">
        <v>28</v>
      </c>
      <c r="K196">
        <v>7.4999999999999997E-2</v>
      </c>
      <c r="L196">
        <v>1294.71398</v>
      </c>
      <c r="M196">
        <v>1272.54162</v>
      </c>
      <c r="N196">
        <v>1283.6278</v>
      </c>
      <c r="O196">
        <v>15.678226110909376</v>
      </c>
      <c r="Q196" s="78" t="s">
        <v>89</v>
      </c>
      <c r="R196" s="78" t="s">
        <v>8</v>
      </c>
      <c r="S196" s="78"/>
      <c r="T196" s="78"/>
      <c r="U196" s="78"/>
      <c r="V196" s="78"/>
    </row>
    <row r="197" spans="1:22" ht="14.5" x14ac:dyDescent="0.35">
      <c r="A197" t="s">
        <v>90</v>
      </c>
      <c r="B197" s="49" t="s">
        <v>8</v>
      </c>
      <c r="C197" s="49" t="s">
        <v>80</v>
      </c>
      <c r="D197">
        <v>207658565.04881001</v>
      </c>
      <c r="E197">
        <v>47477.756999999998</v>
      </c>
      <c r="F197">
        <v>4373.8073999999997</v>
      </c>
      <c r="J197" s="52" t="s">
        <v>29</v>
      </c>
      <c r="K197">
        <v>0.25</v>
      </c>
      <c r="L197">
        <v>15272.615300000001</v>
      </c>
      <c r="M197">
        <v>17495.086059999998</v>
      </c>
      <c r="N197">
        <v>16383.85068</v>
      </c>
      <c r="O197">
        <v>1571.5241453848175</v>
      </c>
      <c r="Q197" s="78" t="s">
        <v>90</v>
      </c>
      <c r="R197" s="78" t="s">
        <v>8</v>
      </c>
      <c r="S197" s="78"/>
      <c r="T197" s="78"/>
      <c r="U197" s="78"/>
      <c r="V197" s="78"/>
    </row>
    <row r="198" spans="1:22" ht="14.5" x14ac:dyDescent="0.35">
      <c r="A198" t="s">
        <v>91</v>
      </c>
      <c r="B198" s="49" t="s">
        <v>8</v>
      </c>
      <c r="C198" s="49" t="s">
        <v>80</v>
      </c>
      <c r="D198">
        <v>176529859.37900001</v>
      </c>
      <c r="E198">
        <v>48634.767500000002</v>
      </c>
      <c r="F198">
        <v>3629.7050100000001</v>
      </c>
      <c r="J198" s="52" t="s">
        <v>30</v>
      </c>
      <c r="Q198" s="78" t="s">
        <v>91</v>
      </c>
      <c r="R198" s="78" t="s">
        <v>8</v>
      </c>
      <c r="S198" s="78"/>
      <c r="T198" s="78"/>
      <c r="U198" s="78"/>
      <c r="V198" s="78"/>
    </row>
    <row r="199" spans="1:22" ht="14.5" x14ac:dyDescent="0.35">
      <c r="A199" t="s">
        <v>92</v>
      </c>
      <c r="B199" s="49" t="s">
        <v>8</v>
      </c>
      <c r="C199" s="49" t="s">
        <v>80</v>
      </c>
      <c r="D199">
        <v>163758075.954</v>
      </c>
      <c r="E199">
        <v>46509.053440000003</v>
      </c>
      <c r="F199">
        <v>3520.99352</v>
      </c>
      <c r="J199" s="52" t="s">
        <v>31</v>
      </c>
      <c r="L199">
        <v>2.3359999999999999E-2</v>
      </c>
      <c r="M199">
        <v>4.8410000000000002E-2</v>
      </c>
      <c r="N199">
        <v>3.5885E-2</v>
      </c>
      <c r="O199">
        <v>1.7713024868723014E-2</v>
      </c>
      <c r="Q199" s="78" t="s">
        <v>92</v>
      </c>
      <c r="R199" s="78" t="s">
        <v>8</v>
      </c>
      <c r="S199" s="78"/>
      <c r="T199" s="78"/>
      <c r="U199" s="78"/>
      <c r="V199" s="78"/>
    </row>
    <row r="200" spans="1:22" x14ac:dyDescent="0.3">
      <c r="E200" t="s">
        <v>4</v>
      </c>
      <c r="F200">
        <v>4</v>
      </c>
      <c r="J200" s="52" t="s">
        <v>32</v>
      </c>
      <c r="L200">
        <v>1.3486603958333334E-2</v>
      </c>
      <c r="M200">
        <v>1.3255641874999998E-2</v>
      </c>
      <c r="N200">
        <v>1.3371122916666665E-2</v>
      </c>
      <c r="O200">
        <v>1.6331485532197456E-4</v>
      </c>
    </row>
    <row r="201" spans="1:22" x14ac:dyDescent="0.3">
      <c r="E201" t="s">
        <v>23</v>
      </c>
      <c r="F201">
        <v>0.11</v>
      </c>
      <c r="J201" s="52" t="s">
        <v>55</v>
      </c>
      <c r="L201">
        <v>15272.615300000001</v>
      </c>
      <c r="M201">
        <v>17495.086059999998</v>
      </c>
      <c r="N201">
        <v>16383.85068</v>
      </c>
      <c r="O201">
        <v>1571.5241453848175</v>
      </c>
    </row>
    <row r="202" spans="1:22" x14ac:dyDescent="0.3">
      <c r="E202" t="s">
        <v>24</v>
      </c>
      <c r="F202">
        <v>2</v>
      </c>
      <c r="J202" s="52" t="s">
        <v>33</v>
      </c>
      <c r="L202">
        <v>0.97606666580543022</v>
      </c>
      <c r="M202">
        <v>0.82683748890344144</v>
      </c>
      <c r="N202">
        <v>0.90145207735443589</v>
      </c>
      <c r="O202">
        <v>0.10552096293828318</v>
      </c>
    </row>
    <row r="203" spans="1:22" x14ac:dyDescent="0.3">
      <c r="E203" t="s">
        <v>25</v>
      </c>
      <c r="F203">
        <v>10</v>
      </c>
      <c r="J203" s="52" t="s">
        <v>34</v>
      </c>
      <c r="L203">
        <v>8.0277993075817893</v>
      </c>
      <c r="M203">
        <v>6.8879818489599769</v>
      </c>
      <c r="N203">
        <v>7.4578905782708826</v>
      </c>
      <c r="O203">
        <v>0.80597265430630061</v>
      </c>
    </row>
    <row r="204" spans="1:22" x14ac:dyDescent="0.3">
      <c r="J204" s="52" t="s">
        <v>13</v>
      </c>
      <c r="L204">
        <v>97.916169951570566</v>
      </c>
      <c r="M204">
        <v>81.396584274887928</v>
      </c>
      <c r="N204">
        <v>89.65637711322924</v>
      </c>
      <c r="O204">
        <v>11.681111054374455</v>
      </c>
    </row>
    <row r="209" spans="1:22" s="52" customFormat="1" x14ac:dyDescent="0.3">
      <c r="A209" s="52" t="s">
        <v>0</v>
      </c>
      <c r="B209" s="50" t="s">
        <v>1</v>
      </c>
      <c r="C209" s="50" t="s">
        <v>2</v>
      </c>
      <c r="D209" s="56" t="s">
        <v>3</v>
      </c>
      <c r="E209" s="56" t="s">
        <v>5</v>
      </c>
      <c r="F209" s="52" t="s">
        <v>6</v>
      </c>
      <c r="G209" s="52" t="s">
        <v>188</v>
      </c>
      <c r="H209" s="52" t="s">
        <v>189</v>
      </c>
      <c r="J209" s="52" t="s">
        <v>26</v>
      </c>
      <c r="K209" s="52" t="s">
        <v>18</v>
      </c>
      <c r="L209" s="50" t="s">
        <v>19</v>
      </c>
      <c r="M209" s="50" t="s">
        <v>20</v>
      </c>
      <c r="N209" s="50" t="s">
        <v>21</v>
      </c>
      <c r="O209" s="50" t="s">
        <v>22</v>
      </c>
    </row>
    <row r="210" spans="1:22" ht="14.5" x14ac:dyDescent="0.35">
      <c r="A210" t="s">
        <v>63</v>
      </c>
      <c r="B210" s="49" t="s">
        <v>9</v>
      </c>
      <c r="C210" s="49" t="s">
        <v>93</v>
      </c>
      <c r="D210">
        <v>2685.2114099999999</v>
      </c>
      <c r="E210">
        <v>57883.681499999999</v>
      </c>
      <c r="F210">
        <v>4.6390000000000001E-2</v>
      </c>
      <c r="J210" s="52" t="s">
        <v>27</v>
      </c>
      <c r="K210">
        <v>7.4999999999999997E-2</v>
      </c>
      <c r="L210">
        <v>1413.01846</v>
      </c>
      <c r="M210">
        <v>1168.8808200000001</v>
      </c>
      <c r="N210">
        <v>1290.94964</v>
      </c>
      <c r="O210">
        <v>172.63138078688007</v>
      </c>
      <c r="Q210" s="78" t="s">
        <v>63</v>
      </c>
      <c r="R210" s="78" t="s">
        <v>9</v>
      </c>
      <c r="S210" s="78"/>
      <c r="T210" s="78"/>
      <c r="U210" s="78"/>
      <c r="V210" s="78"/>
    </row>
    <row r="211" spans="1:22" ht="14.5" x14ac:dyDescent="0.35">
      <c r="A211" t="s">
        <v>65</v>
      </c>
      <c r="B211" s="49" t="s">
        <v>9</v>
      </c>
      <c r="C211" s="49" t="s">
        <v>93</v>
      </c>
      <c r="D211">
        <v>1241.5383899999999</v>
      </c>
      <c r="E211">
        <v>60223.447500000002</v>
      </c>
      <c r="F211">
        <v>2.0619999999999999E-2</v>
      </c>
      <c r="J211" s="52" t="s">
        <v>28</v>
      </c>
      <c r="K211">
        <v>0.25</v>
      </c>
      <c r="L211">
        <v>665.98558000000003</v>
      </c>
      <c r="M211">
        <v>740.10058000000004</v>
      </c>
      <c r="N211">
        <v>703.04308000000003</v>
      </c>
      <c r="O211">
        <v>52.407219087640975</v>
      </c>
      <c r="Q211" s="78" t="s">
        <v>65</v>
      </c>
      <c r="R211" s="78" t="s">
        <v>9</v>
      </c>
      <c r="S211" s="78"/>
      <c r="T211" s="78"/>
      <c r="U211" s="78"/>
      <c r="V211" s="78"/>
    </row>
    <row r="212" spans="1:22" ht="14.5" x14ac:dyDescent="0.35">
      <c r="A212" t="s">
        <v>66</v>
      </c>
      <c r="B212" s="49" t="s">
        <v>9</v>
      </c>
      <c r="C212" s="49" t="s">
        <v>93</v>
      </c>
      <c r="D212">
        <v>6784.4201599999997</v>
      </c>
      <c r="E212">
        <v>62309.947500000002</v>
      </c>
      <c r="F212">
        <v>0.10888</v>
      </c>
      <c r="J212" s="52" t="s">
        <v>29</v>
      </c>
      <c r="K212">
        <v>7.4999999999999997E-2</v>
      </c>
      <c r="L212">
        <v>2771.8947800000001</v>
      </c>
      <c r="M212">
        <v>2661.1707799999999</v>
      </c>
      <c r="N212">
        <v>2716.53278</v>
      </c>
      <c r="O212">
        <v>78.293691240099406</v>
      </c>
      <c r="Q212" s="78" t="s">
        <v>66</v>
      </c>
      <c r="R212" s="78" t="s">
        <v>9</v>
      </c>
      <c r="S212" s="78"/>
      <c r="T212" s="78"/>
      <c r="U212" s="78"/>
      <c r="V212" s="78"/>
    </row>
    <row r="213" spans="1:22" ht="14.5" x14ac:dyDescent="0.35">
      <c r="A213" t="s">
        <v>67</v>
      </c>
      <c r="B213" s="49" t="s">
        <v>9</v>
      </c>
      <c r="C213" s="49" t="s">
        <v>93</v>
      </c>
      <c r="D213">
        <v>2959.87302</v>
      </c>
      <c r="E213">
        <v>55517.792500000003</v>
      </c>
      <c r="F213">
        <v>5.3310000000000003E-2</v>
      </c>
      <c r="J213" s="52" t="s">
        <v>30</v>
      </c>
      <c r="Q213" s="78" t="s">
        <v>67</v>
      </c>
      <c r="R213" s="78" t="s">
        <v>9</v>
      </c>
      <c r="S213" s="78"/>
      <c r="T213" s="78"/>
      <c r="U213" s="78"/>
      <c r="V213" s="78"/>
    </row>
    <row r="214" spans="1:22" ht="14.5" x14ac:dyDescent="0.35">
      <c r="A214" t="s">
        <v>94</v>
      </c>
      <c r="B214" s="49" t="s">
        <v>9</v>
      </c>
      <c r="C214" s="49" t="s">
        <v>93</v>
      </c>
      <c r="D214">
        <v>9819138.9360300004</v>
      </c>
      <c r="E214">
        <v>58963.218500000003</v>
      </c>
      <c r="F214">
        <v>166.5299</v>
      </c>
      <c r="J214" s="52" t="s">
        <v>31</v>
      </c>
      <c r="L214">
        <v>4.6390000000000001E-2</v>
      </c>
      <c r="M214">
        <v>2.0619999999999999E-2</v>
      </c>
      <c r="N214">
        <v>3.3505E-2</v>
      </c>
      <c r="O214">
        <v>1.8222141751177326E-2</v>
      </c>
      <c r="Q214" s="78" t="s">
        <v>94</v>
      </c>
      <c r="R214" s="78" t="s">
        <v>9</v>
      </c>
      <c r="S214" s="78"/>
      <c r="T214" s="78"/>
      <c r="U214" s="78"/>
      <c r="V214" s="78"/>
    </row>
    <row r="215" spans="1:22" ht="14.5" x14ac:dyDescent="0.35">
      <c r="A215" t="s">
        <v>95</v>
      </c>
      <c r="B215" s="49" t="s">
        <v>9</v>
      </c>
      <c r="C215" s="49" t="s">
        <v>93</v>
      </c>
      <c r="D215">
        <v>10797177.45276</v>
      </c>
      <c r="E215">
        <v>58344.623</v>
      </c>
      <c r="F215">
        <v>185.05865</v>
      </c>
      <c r="J215" s="52" t="s">
        <v>32</v>
      </c>
      <c r="L215">
        <v>2.3124499305555556E-2</v>
      </c>
      <c r="M215">
        <v>2.5697936805555557E-2</v>
      </c>
      <c r="N215">
        <v>2.4411218055555559E-2</v>
      </c>
      <c r="O215">
        <v>1.8196951072097566E-3</v>
      </c>
      <c r="Q215" s="78" t="s">
        <v>95</v>
      </c>
      <c r="R215" s="78" t="s">
        <v>9</v>
      </c>
      <c r="S215" s="78"/>
      <c r="T215" s="78"/>
      <c r="U215" s="78"/>
      <c r="V215" s="78"/>
    </row>
    <row r="216" spans="1:22" ht="14.5" x14ac:dyDescent="0.35">
      <c r="A216" t="s">
        <v>96</v>
      </c>
      <c r="B216" s="49" t="s">
        <v>9</v>
      </c>
      <c r="C216" s="49" t="s">
        <v>93</v>
      </c>
      <c r="D216">
        <v>48468969.168729998</v>
      </c>
      <c r="E216">
        <v>69940.065499999997</v>
      </c>
      <c r="F216">
        <v>693.00720000000001</v>
      </c>
      <c r="J216" s="52" t="s">
        <v>55</v>
      </c>
      <c r="L216">
        <v>2771.8947800000001</v>
      </c>
      <c r="M216">
        <v>2661.1707799999999</v>
      </c>
      <c r="N216">
        <v>2716.53278</v>
      </c>
      <c r="O216">
        <v>78.293691240099406</v>
      </c>
      <c r="Q216" s="78" t="s">
        <v>96</v>
      </c>
      <c r="R216" s="78" t="s">
        <v>9</v>
      </c>
      <c r="S216" s="78"/>
      <c r="T216" s="78"/>
      <c r="U216" s="78"/>
      <c r="V216" s="78"/>
    </row>
    <row r="217" spans="1:22" ht="14.5" x14ac:dyDescent="0.35">
      <c r="A217" t="s">
        <v>97</v>
      </c>
      <c r="B217" s="49" t="s">
        <v>9</v>
      </c>
      <c r="C217" s="49" t="s">
        <v>93</v>
      </c>
      <c r="D217">
        <v>43775545.612360001</v>
      </c>
      <c r="E217">
        <v>65795.614000000001</v>
      </c>
      <c r="F217">
        <v>665.32619999999997</v>
      </c>
      <c r="J217" s="52" t="s">
        <v>33</v>
      </c>
      <c r="L217">
        <v>1.3106451296586854</v>
      </c>
      <c r="M217">
        <v>1.3662718607384281</v>
      </c>
      <c r="N217">
        <v>1.3384584951985568</v>
      </c>
      <c r="O217">
        <v>3.9334038761726545E-2</v>
      </c>
      <c r="Q217" s="78" t="s">
        <v>97</v>
      </c>
      <c r="R217" s="78" t="s">
        <v>9</v>
      </c>
      <c r="S217" s="78"/>
      <c r="T217" s="78"/>
      <c r="U217" s="78"/>
      <c r="V217" s="78"/>
    </row>
    <row r="218" spans="1:22" ht="14.5" x14ac:dyDescent="0.35">
      <c r="A218" t="s">
        <v>98</v>
      </c>
      <c r="B218" s="49" t="s">
        <v>9</v>
      </c>
      <c r="C218" s="49" t="s">
        <v>93</v>
      </c>
      <c r="D218">
        <v>21159994.84877</v>
      </c>
      <c r="E218">
        <v>59894.442430000003</v>
      </c>
      <c r="F218">
        <v>353.28811999999999</v>
      </c>
      <c r="J218" s="52" t="s">
        <v>34</v>
      </c>
      <c r="L218">
        <v>75.840801200829119</v>
      </c>
      <c r="M218">
        <v>87.787529112743499</v>
      </c>
      <c r="N218">
        <v>81.814165156786316</v>
      </c>
      <c r="O218">
        <v>8.4476123195052608</v>
      </c>
      <c r="Q218" s="78" t="s">
        <v>98</v>
      </c>
      <c r="R218" s="78" t="s">
        <v>9</v>
      </c>
      <c r="S218" s="78"/>
      <c r="T218" s="78"/>
      <c r="U218" s="78"/>
      <c r="V218" s="78"/>
    </row>
    <row r="219" spans="1:22" ht="14.5" x14ac:dyDescent="0.35">
      <c r="A219" t="s">
        <v>99</v>
      </c>
      <c r="B219" s="49" t="s">
        <v>9</v>
      </c>
      <c r="C219" s="49" t="s">
        <v>93</v>
      </c>
      <c r="D219">
        <v>18393510.079009999</v>
      </c>
      <c r="E219">
        <v>62936.788500000002</v>
      </c>
      <c r="F219">
        <v>292.25371000000001</v>
      </c>
      <c r="J219" s="52"/>
      <c r="Q219" s="78" t="s">
        <v>99</v>
      </c>
      <c r="R219" s="78" t="s">
        <v>9</v>
      </c>
      <c r="S219" s="78"/>
      <c r="T219" s="78"/>
      <c r="U219" s="78"/>
      <c r="V219" s="78"/>
    </row>
    <row r="220" spans="1:22" ht="14.5" x14ac:dyDescent="0.35">
      <c r="A220" t="s">
        <v>100</v>
      </c>
      <c r="B220" s="49" t="s">
        <v>9</v>
      </c>
      <c r="C220" s="49" t="s">
        <v>93</v>
      </c>
      <c r="D220">
        <v>6758007.6512799999</v>
      </c>
      <c r="E220">
        <v>66407.520999999993</v>
      </c>
      <c r="F220">
        <v>101.7657</v>
      </c>
      <c r="J220" s="52" t="s">
        <v>35</v>
      </c>
      <c r="Q220" s="78" t="s">
        <v>100</v>
      </c>
      <c r="R220" s="78" t="s">
        <v>9</v>
      </c>
      <c r="S220" s="78"/>
      <c r="T220" s="78"/>
      <c r="U220" s="78"/>
      <c r="V220" s="78"/>
    </row>
    <row r="221" spans="1:22" ht="14.5" x14ac:dyDescent="0.35">
      <c r="A221" t="s">
        <v>101</v>
      </c>
      <c r="B221" s="49" t="s">
        <v>9</v>
      </c>
      <c r="C221" s="49" t="s">
        <v>93</v>
      </c>
      <c r="D221">
        <v>6212982.7448100001</v>
      </c>
      <c r="E221">
        <v>64577.535000000003</v>
      </c>
      <c r="F221">
        <v>96.20966</v>
      </c>
      <c r="J221" s="52" t="s">
        <v>27</v>
      </c>
      <c r="K221">
        <v>0.25</v>
      </c>
      <c r="L221">
        <v>3145.6260200000002</v>
      </c>
      <c r="M221">
        <v>2991.0283800000002</v>
      </c>
      <c r="N221">
        <v>3068.3272000000002</v>
      </c>
      <c r="O221">
        <v>109.31703959943661</v>
      </c>
      <c r="Q221" s="78" t="s">
        <v>101</v>
      </c>
      <c r="R221" s="78" t="s">
        <v>9</v>
      </c>
      <c r="S221" s="78"/>
      <c r="T221" s="78"/>
      <c r="U221" s="78"/>
      <c r="V221" s="78"/>
    </row>
    <row r="222" spans="1:22" ht="14.5" x14ac:dyDescent="0.35">
      <c r="A222" t="s">
        <v>102</v>
      </c>
      <c r="B222" s="49" t="s">
        <v>9</v>
      </c>
      <c r="C222" s="49" t="s">
        <v>93</v>
      </c>
      <c r="D222">
        <v>41975431.572149999</v>
      </c>
      <c r="E222">
        <v>63545.542500000003</v>
      </c>
      <c r="F222">
        <v>660.55665999999997</v>
      </c>
      <c r="J222" s="52" t="s">
        <v>28</v>
      </c>
      <c r="K222">
        <v>7.4999999999999997E-2</v>
      </c>
      <c r="L222">
        <v>406.73841999999996</v>
      </c>
      <c r="M222">
        <v>384.51425999999998</v>
      </c>
      <c r="N222">
        <v>395.62633999999997</v>
      </c>
      <c r="O222">
        <v>15.714854242174811</v>
      </c>
      <c r="Q222" s="78" t="s">
        <v>102</v>
      </c>
      <c r="R222" s="78" t="s">
        <v>9</v>
      </c>
      <c r="S222" s="78"/>
      <c r="T222" s="78"/>
      <c r="U222" s="78"/>
      <c r="V222" s="78"/>
    </row>
    <row r="223" spans="1:22" ht="14.5" x14ac:dyDescent="0.35">
      <c r="A223" t="s">
        <v>103</v>
      </c>
      <c r="B223" s="49" t="s">
        <v>9</v>
      </c>
      <c r="C223" s="49" t="s">
        <v>93</v>
      </c>
      <c r="D223">
        <v>40903899.773649998</v>
      </c>
      <c r="E223">
        <v>66361.104999999996</v>
      </c>
      <c r="F223">
        <v>616.38364000000001</v>
      </c>
      <c r="J223" s="52" t="s">
        <v>29</v>
      </c>
      <c r="K223">
        <v>0.25</v>
      </c>
      <c r="L223">
        <v>2641.9022599999998</v>
      </c>
      <c r="M223">
        <v>2465.21018</v>
      </c>
      <c r="N223">
        <v>2553.5562199999999</v>
      </c>
      <c r="O223">
        <v>124.94016794995581</v>
      </c>
      <c r="Q223" s="78" t="s">
        <v>103</v>
      </c>
      <c r="R223" s="78" t="s">
        <v>9</v>
      </c>
      <c r="S223" s="78"/>
      <c r="T223" s="78"/>
      <c r="U223" s="78"/>
      <c r="V223" s="78"/>
    </row>
    <row r="224" spans="1:22" ht="14.5" x14ac:dyDescent="0.35">
      <c r="A224" t="s">
        <v>104</v>
      </c>
      <c r="B224" s="49" t="s">
        <v>9</v>
      </c>
      <c r="C224" s="49" t="s">
        <v>93</v>
      </c>
      <c r="D224">
        <v>46826352.417989999</v>
      </c>
      <c r="E224">
        <v>59538.576999999997</v>
      </c>
      <c r="F224">
        <v>786.48760000000004</v>
      </c>
      <c r="J224" s="52" t="s">
        <v>30</v>
      </c>
      <c r="Q224" s="78" t="s">
        <v>104</v>
      </c>
      <c r="R224" s="78" t="s">
        <v>9</v>
      </c>
      <c r="S224" s="78"/>
      <c r="T224" s="78"/>
      <c r="U224" s="78"/>
      <c r="V224" s="78"/>
    </row>
    <row r="225" spans="1:22" ht="14.5" x14ac:dyDescent="0.35">
      <c r="A225" t="s">
        <v>105</v>
      </c>
      <c r="B225" s="49" t="s">
        <v>9</v>
      </c>
      <c r="C225" s="49" t="s">
        <v>93</v>
      </c>
      <c r="D225">
        <v>48833883.295139998</v>
      </c>
      <c r="E225">
        <v>65300.066500000001</v>
      </c>
      <c r="F225">
        <v>747.83819000000005</v>
      </c>
      <c r="J225" s="52" t="s">
        <v>31</v>
      </c>
      <c r="L225">
        <v>0.10888</v>
      </c>
      <c r="M225">
        <v>5.3310000000000003E-2</v>
      </c>
      <c r="N225">
        <v>8.1095E-2</v>
      </c>
      <c r="O225">
        <v>3.9293923830536467E-2</v>
      </c>
      <c r="Q225" s="78" t="s">
        <v>105</v>
      </c>
      <c r="R225" s="78" t="s">
        <v>9</v>
      </c>
      <c r="S225" s="78"/>
      <c r="T225" s="78"/>
      <c r="U225" s="78"/>
      <c r="V225" s="78"/>
    </row>
    <row r="226" spans="1:22" x14ac:dyDescent="0.3">
      <c r="E226" t="s">
        <v>4</v>
      </c>
      <c r="F226">
        <v>4</v>
      </c>
      <c r="J226" s="52" t="s">
        <v>32</v>
      </c>
      <c r="L226">
        <v>4.236858541666666E-3</v>
      </c>
      <c r="M226">
        <v>4.0053568749999994E-3</v>
      </c>
      <c r="N226">
        <v>4.1211077083333327E-3</v>
      </c>
      <c r="O226">
        <v>1.6369639835598767E-4</v>
      </c>
    </row>
    <row r="227" spans="1:22" x14ac:dyDescent="0.3">
      <c r="E227" t="s">
        <v>23</v>
      </c>
      <c r="F227">
        <v>0.11</v>
      </c>
      <c r="J227" s="52" t="s">
        <v>55</v>
      </c>
      <c r="L227">
        <v>2641.9022599999998</v>
      </c>
      <c r="M227">
        <v>2465.21018</v>
      </c>
      <c r="N227">
        <v>2553.5562199999999</v>
      </c>
      <c r="O227">
        <v>124.94016794995581</v>
      </c>
    </row>
    <row r="228" spans="1:22" x14ac:dyDescent="0.3">
      <c r="E228" t="s">
        <v>24</v>
      </c>
      <c r="F228">
        <v>2</v>
      </c>
      <c r="J228" s="52" t="s">
        <v>33</v>
      </c>
      <c r="L228">
        <v>1.236854063632165</v>
      </c>
      <c r="M228">
        <v>1.2600883621209125</v>
      </c>
      <c r="N228">
        <v>1.2484712128765387</v>
      </c>
      <c r="O228">
        <v>1.6429130017505691E-2</v>
      </c>
    </row>
    <row r="229" spans="1:22" x14ac:dyDescent="0.3">
      <c r="E229" t="s">
        <v>25</v>
      </c>
      <c r="F229">
        <v>10</v>
      </c>
      <c r="J229" s="52" t="s">
        <v>34</v>
      </c>
      <c r="L229">
        <v>14.579228163169567</v>
      </c>
      <c r="M229">
        <v>14.770479013384863</v>
      </c>
      <c r="N229">
        <v>14.674853588277216</v>
      </c>
      <c r="O229">
        <v>0.13523477309492823</v>
      </c>
    </row>
    <row r="230" spans="1:22" x14ac:dyDescent="0.3">
      <c r="J230" s="52" t="s">
        <v>13</v>
      </c>
      <c r="L230">
        <v>0.19223462743442354</v>
      </c>
      <c r="M230">
        <v>0.16825258852445291</v>
      </c>
      <c r="N230">
        <v>0.18024360797943823</v>
      </c>
      <c r="O230">
        <v>1.6957862339919878E-2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Summary</vt:lpstr>
      <vt:lpstr>Raw Data</vt:lpstr>
      <vt:lpstr>Individual1</vt:lpstr>
      <vt:lpstr>Summary1</vt:lpstr>
      <vt:lpstr>Summary2G1</vt:lpstr>
      <vt:lpstr>Summary3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Fu-Ni Cometa</dc:creator>
  <cp:lastModifiedBy>Zhao, Zhihui (she/her/hers)</cp:lastModifiedBy>
  <dcterms:created xsi:type="dcterms:W3CDTF">2017-08-22T15:35:46Z</dcterms:created>
  <dcterms:modified xsi:type="dcterms:W3CDTF">2024-03-04T18:11:09Z</dcterms:modified>
</cp:coreProperties>
</file>